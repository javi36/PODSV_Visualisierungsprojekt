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backupFile="1" defaultThemeVersion="202300"/>
  <mc:AlternateContent xmlns:mc="http://schemas.openxmlformats.org/markup-compatibility/2006">
    <mc:Choice Requires="x15">
      <x15ac:absPath xmlns:x15ac="http://schemas.microsoft.com/office/spreadsheetml/2010/11/ac" url="/Users/K.Smaili_ZHAW/Desktop/ZHAW/4. Semester/PoDSV_Project Orientated Digital Storytelling and Visualization/PODSV_Visualisierungsprojekt/data/whopays/raw_whopays/"/>
    </mc:Choice>
  </mc:AlternateContent>
  <xr:revisionPtr revIDLastSave="0" documentId="8_{2F18E4CD-A225-3546-92B9-6F1BAA440A02}" xr6:coauthVersionLast="47" xr6:coauthVersionMax="47" xr10:uidLastSave="{00000000-0000-0000-0000-000000000000}"/>
  <bookViews>
    <workbookView xWindow="0" yWindow="500" windowWidth="38400" windowHeight="20000" tabRatio="601" xr2:uid="{8D612400-1958-6B42-8C53-6CA551C95114}"/>
  </bookViews>
  <sheets>
    <sheet name="Info" sheetId="150" r:id="rId1"/>
    <sheet name=" I d" sheetId="318" r:id="rId2"/>
    <sheet name="B d" sheetId="319" r:id="rId3"/>
    <sheet name="G1 96 -&gt; 04 d" sheetId="316" r:id="rId4"/>
    <sheet name="G2 04 -&gt; 96 d" sheetId="317" r:id="rId5"/>
    <sheet name="T1d" sheetId="217" r:id="rId6"/>
    <sheet name="101d" sheetId="224" r:id="rId7"/>
    <sheet name="102d" sheetId="199" r:id="rId8"/>
    <sheet name="103d" sheetId="198" r:id="rId9"/>
    <sheet name="104d" sheetId="197" r:id="rId10"/>
    <sheet name="105d" sheetId="223" r:id="rId11"/>
    <sheet name="106d" sheetId="196" r:id="rId12"/>
    <sheet name="107d" sheetId="222" r:id="rId13"/>
    <sheet name="108d" sheetId="202" r:id="rId14"/>
    <sheet name="109d" sheetId="221" r:id="rId15"/>
    <sheet name="110d" sheetId="203" r:id="rId16"/>
    <sheet name="111d" sheetId="201" r:id="rId17"/>
    <sheet name="112d" sheetId="200" r:id="rId18"/>
    <sheet name="113d" sheetId="220" r:id="rId19"/>
    <sheet name="114d" sheetId="225" r:id="rId20"/>
    <sheet name="115d" sheetId="273" r:id="rId21"/>
    <sheet name="116d" sheetId="205" r:id="rId22"/>
    <sheet name="117d" sheetId="272" r:id="rId23"/>
    <sheet name="118d" sheetId="204" r:id="rId24"/>
    <sheet name="119d" sheetId="219" r:id="rId25"/>
    <sheet name="120d" sheetId="218" r:id="rId26"/>
    <sheet name="121d" sheetId="231" r:id="rId27"/>
    <sheet name="122d" sheetId="230" r:id="rId28"/>
    <sheet name="123d" sheetId="229" r:id="rId29"/>
    <sheet name="124d" sheetId="228" r:id="rId30"/>
    <sheet name="125d" sheetId="227" r:id="rId31"/>
    <sheet name="126d" sheetId="226" r:id="rId32"/>
    <sheet name="127d" sheetId="207" r:id="rId33"/>
    <sheet name="128d" sheetId="208" r:id="rId34"/>
    <sheet name="129d" sheetId="209" r:id="rId35"/>
    <sheet name="130d" sheetId="210" r:id="rId36"/>
    <sheet name="131d" sheetId="206" r:id="rId37"/>
    <sheet name="132d" sheetId="235" r:id="rId38"/>
    <sheet name="133d" sheetId="234" r:id="rId39"/>
    <sheet name="134d" sheetId="233" r:id="rId40"/>
    <sheet name="135d" sheetId="243" r:id="rId41"/>
    <sheet name="136d" sheetId="244" r:id="rId42"/>
    <sheet name="137d" sheetId="245" r:id="rId43"/>
    <sheet name="138d" sheetId="246" r:id="rId44"/>
    <sheet name="139d" sheetId="212" r:id="rId45"/>
    <sheet name="140d" sheetId="211" r:id="rId46"/>
    <sheet name="141d" sheetId="248" r:id="rId47"/>
    <sheet name="142d" sheetId="232" r:id="rId48"/>
    <sheet name="143d" sheetId="281" r:id="rId49"/>
    <sheet name="144d" sheetId="249" r:id="rId50"/>
    <sheet name="145d" sheetId="250" r:id="rId51"/>
    <sheet name="146d" sheetId="247" r:id="rId52"/>
    <sheet name="147d" sheetId="216" r:id="rId53"/>
    <sheet name="148d" sheetId="215" r:id="rId54"/>
    <sheet name="149d" sheetId="214" r:id="rId55"/>
    <sheet name="150d" sheetId="213" r:id="rId56"/>
    <sheet name="151d" sheetId="292" r:id="rId57"/>
    <sheet name="T2d" sheetId="155" r:id="rId58"/>
    <sheet name="201d" sheetId="166" r:id="rId59"/>
    <sheet name="202d" sheetId="165" r:id="rId60"/>
    <sheet name="203d" sheetId="164" r:id="rId61"/>
    <sheet name="204d" sheetId="163" r:id="rId62"/>
    <sheet name="205d" sheetId="162" r:id="rId63"/>
    <sheet name="206d" sheetId="241" r:id="rId64"/>
    <sheet name="207d" sheetId="167" r:id="rId65"/>
    <sheet name="208d" sheetId="168" r:id="rId66"/>
    <sheet name="209d" sheetId="240" r:id="rId67"/>
    <sheet name="210d" sheetId="169" r:id="rId68"/>
    <sheet name="211d" sheetId="242" r:id="rId69"/>
    <sheet name="212d" sheetId="161" r:id="rId70"/>
    <sheet name="213d" sheetId="160" r:id="rId71"/>
    <sheet name="T3d" sheetId="282" r:id="rId72"/>
    <sheet name="301d" sheetId="288" r:id="rId73"/>
    <sheet name="302d" sheetId="285" r:id="rId74"/>
    <sheet name="303d" sheetId="287" r:id="rId75"/>
    <sheet name="304d" sheetId="284" r:id="rId76"/>
    <sheet name="305d" sheetId="286" r:id="rId77"/>
    <sheet name="306d" sheetId="283" r:id="rId78"/>
    <sheet name="307d" sheetId="294" r:id="rId79"/>
    <sheet name="308d" sheetId="295" r:id="rId80"/>
    <sheet name="309d" sheetId="296" r:id="rId81"/>
    <sheet name="310d" sheetId="293" r:id="rId82"/>
    <sheet name="311d" sheetId="291" r:id="rId83"/>
    <sheet name="312d" sheetId="290" r:id="rId84"/>
    <sheet name="313d" sheetId="289" r:id="rId85"/>
    <sheet name="T4d" sheetId="251" r:id="rId86"/>
    <sheet name="401d" sheetId="263" r:id="rId87"/>
    <sheet name="402d" sheetId="256" r:id="rId88"/>
    <sheet name="403d" sheetId="255" r:id="rId89"/>
    <sheet name="404d" sheetId="254" r:id="rId90"/>
    <sheet name="405d" sheetId="253" r:id="rId91"/>
    <sheet name="406d" sheetId="252" r:id="rId92"/>
    <sheet name="407d" sheetId="270" r:id="rId93"/>
    <sheet name="408d" sheetId="269" r:id="rId94"/>
    <sheet name="409d" sheetId="268" r:id="rId95"/>
    <sheet name="410d" sheetId="267" r:id="rId96"/>
    <sheet name="411d" sheetId="266" r:id="rId97"/>
    <sheet name="412d" sheetId="265" r:id="rId98"/>
    <sheet name="413d" sheetId="264" r:id="rId99"/>
    <sheet name="T5d" sheetId="156" r:id="rId100"/>
    <sheet name="501d" sheetId="171" r:id="rId101"/>
    <sheet name="502d" sheetId="152" r:id="rId102"/>
    <sheet name="503d" sheetId="170" r:id="rId103"/>
    <sheet name="504d" sheetId="153" r:id="rId104"/>
    <sheet name="T6d" sheetId="174" r:id="rId105"/>
    <sheet name="601d" sheetId="239" r:id="rId106"/>
    <sheet name="602d" sheetId="237" r:id="rId107"/>
    <sheet name="603d" sheetId="238" r:id="rId108"/>
    <sheet name="604d" sheetId="177" r:id="rId109"/>
    <sheet name="605d" sheetId="176" r:id="rId110"/>
    <sheet name="606d" sheetId="175" r:id="rId111"/>
    <sheet name="T7d" sheetId="173" r:id="rId112"/>
    <sheet name="701d" sheetId="183" r:id="rId113"/>
    <sheet name="702d" sheetId="182" r:id="rId114"/>
    <sheet name="703d" sheetId="181" r:id="rId115"/>
    <sheet name="704d" sheetId="180" r:id="rId116"/>
    <sheet name="705d" sheetId="179" r:id="rId117"/>
    <sheet name="T8d" sheetId="236" r:id="rId118"/>
    <sheet name="801d" sheetId="185" r:id="rId119"/>
    <sheet name="802d" sheetId="184" r:id="rId120"/>
    <sheet name="803d" sheetId="186" r:id="rId121"/>
    <sheet name="804d" sheetId="187" r:id="rId122"/>
    <sheet name="805d" sheetId="188" r:id="rId123"/>
    <sheet name="806d" sheetId="189" r:id="rId124"/>
    <sheet name="807d" sheetId="190" r:id="rId125"/>
    <sheet name="808d" sheetId="191" r:id="rId126"/>
    <sheet name="809d" sheetId="194" r:id="rId127"/>
    <sheet name="810d" sheetId="192" r:id="rId128"/>
    <sheet name="811d" sheetId="193" r:id="rId129"/>
    <sheet name="T9d" sheetId="311" r:id="rId130"/>
    <sheet name="901d" sheetId="300" r:id="rId131"/>
    <sheet name="902d" sheetId="299" r:id="rId132"/>
    <sheet name="903d" sheetId="298" r:id="rId133"/>
    <sheet name="904d" sheetId="301" r:id="rId134"/>
    <sheet name="905d" sheetId="302" r:id="rId135"/>
    <sheet name="906d" sheetId="312" r:id="rId136"/>
    <sheet name="907d" sheetId="315" r:id="rId137"/>
    <sheet name="908d" sheetId="314" r:id="rId138"/>
    <sheet name="909d" sheetId="276" r:id="rId139"/>
    <sheet name="910d" sheetId="280" r:id="rId140"/>
    <sheet name="911d" sheetId="310" r:id="rId141"/>
    <sheet name="912d" sheetId="303" r:id="rId142"/>
    <sheet name="913d" sheetId="304" r:id="rId143"/>
    <sheet name="914d" sheetId="306" r:id="rId144"/>
    <sheet name="915d" sheetId="305" r:id="rId145"/>
    <sheet name="916d" sheetId="309" r:id="rId146"/>
    <sheet name="917d" sheetId="308" r:id="rId147"/>
    <sheet name="918d" sheetId="307" r:id="rId148"/>
    <sheet name="919d" sheetId="271" r:id="rId149"/>
    <sheet name="920d" sheetId="275" r:id="rId150"/>
    <sheet name="921d" sheetId="313" r:id="rId151"/>
    <sheet name="T10d" sheetId="154" r:id="rId152"/>
    <sheet name="1001d" sheetId="159" r:id="rId153"/>
    <sheet name="1002d" sheetId="158" r:id="rId154"/>
    <sheet name="1003d" sheetId="157" r:id="rId155"/>
  </sheets>
  <definedNames>
    <definedName name="_xlnm.Print_Area" localSheetId="152">'1001d'!$A$1:$G$24</definedName>
    <definedName name="_xlnm.Print_Area" localSheetId="153">'1002d'!$A$1:$G$25</definedName>
    <definedName name="_xlnm.Print_Area" localSheetId="154">'1003d'!$A$1:$H$34</definedName>
    <definedName name="_xlnm.Print_Area" localSheetId="6">'101d'!$A$1:$I$23</definedName>
    <definedName name="_xlnm.Print_Area" localSheetId="7">'102d'!$A$1:$G$26</definedName>
    <definedName name="_xlnm.Print_Area" localSheetId="8">'103d'!$A$1:$F$43</definedName>
    <definedName name="_xlnm.Print_Area" localSheetId="9">'104d'!$A$1:$G$41</definedName>
    <definedName name="_xlnm.Print_Area" localSheetId="10">'105d'!$A$1:$G$21</definedName>
    <definedName name="_xlnm.Print_Area" localSheetId="11">'106d'!$A$1:$G$18</definedName>
    <definedName name="_xlnm.Print_Area" localSheetId="12">'107d'!$A$1:$G$28</definedName>
    <definedName name="_xlnm.Print_Area" localSheetId="13">'108d'!$A$1:$G$25</definedName>
    <definedName name="_xlnm.Print_Area" localSheetId="14">'109d'!$A$2:$G$23</definedName>
    <definedName name="_xlnm.Print_Area" localSheetId="15">'110d'!$A$1:$J$76</definedName>
    <definedName name="_xlnm.Print_Area" localSheetId="16">'111d'!$A$1:$G$17</definedName>
    <definedName name="_xlnm.Print_Area" localSheetId="17">'112d'!$A$1:$G$17</definedName>
    <definedName name="_xlnm.Print_Area" localSheetId="18">'113d'!$A$1:$G$23</definedName>
    <definedName name="_xlnm.Print_Area" localSheetId="19">'114d'!$A$1:$G$21</definedName>
    <definedName name="_xlnm.Print_Area" localSheetId="20">'115d'!$A$1:$N$46</definedName>
    <definedName name="_xlnm.Print_Area" localSheetId="21">'116d'!$A$1:$H$35</definedName>
    <definedName name="_xlnm.Print_Area" localSheetId="22">'117d'!$A$1:$N$46</definedName>
    <definedName name="_xlnm.Print_Area" localSheetId="23">'118d'!$A$1:$H$35</definedName>
    <definedName name="_xlnm.Print_Area" localSheetId="24">'119d'!$A$1:$G$21</definedName>
    <definedName name="_xlnm.Print_Area" localSheetId="25">'120d'!$A$1:$J$76</definedName>
    <definedName name="_xlnm.Print_Area" localSheetId="26">'121d'!$A$1:$G$23</definedName>
    <definedName name="_xlnm.Print_Area" localSheetId="27">'122d'!$A$1:$G$23</definedName>
    <definedName name="_xlnm.Print_Area" localSheetId="28">'123d'!$A$1:$H$21</definedName>
    <definedName name="_xlnm.Print_Area" localSheetId="29">'124d'!$A$1:$G$21</definedName>
    <definedName name="_xlnm.Print_Area" localSheetId="30">'125d'!$A$1:$F$21</definedName>
    <definedName name="_xlnm.Print_Area" localSheetId="31">'126d'!$A$1:$F$21</definedName>
    <definedName name="_xlnm.Print_Area" localSheetId="32">'127d'!$A$1:$E$39</definedName>
    <definedName name="_xlnm.Print_Area" localSheetId="33">'128d'!$A$1:$E$39</definedName>
    <definedName name="_xlnm.Print_Area" localSheetId="34">'129d'!$A$1:$E$39</definedName>
    <definedName name="_xlnm.Print_Area" localSheetId="35">'130d'!$A$1:$E$39</definedName>
    <definedName name="_xlnm.Print_Area" localSheetId="36">'131d'!$A$1:$E$39</definedName>
    <definedName name="_xlnm.Print_Area" localSheetId="37">'132d'!$A$1:$G$24</definedName>
    <definedName name="_xlnm.Print_Area" localSheetId="38">'133d'!$A$1:$G$24</definedName>
    <definedName name="_xlnm.Print_Area" localSheetId="39">'134d'!$A$1:$G$21</definedName>
    <definedName name="_xlnm.Print_Area" localSheetId="40">'135d'!$A$1:$I$25</definedName>
    <definedName name="_xlnm.Print_Area" localSheetId="41">'136d'!$A$1:$I$42</definedName>
    <definedName name="_xlnm.Print_Area" localSheetId="43">'138d'!$A$1:$H$42</definedName>
    <definedName name="_xlnm.Print_Area" localSheetId="44">'139d'!$A$1:$G$17</definedName>
    <definedName name="_xlnm.Print_Area" localSheetId="45">'140d'!$A$1:$G$17</definedName>
    <definedName name="_xlnm.Print_Area" localSheetId="46">'141d'!$A$1:$J$73</definedName>
    <definedName name="_xlnm.Print_Area" localSheetId="47">'142d'!$A$1:$G$24</definedName>
    <definedName name="_xlnm.Print_Area" localSheetId="48">'143d'!$A$1:$U$57</definedName>
    <definedName name="_xlnm.Print_Area" localSheetId="49">'144d'!$A$1:$J$73</definedName>
    <definedName name="_xlnm.Print_Area" localSheetId="50">'145d'!$A$1:$J$73</definedName>
    <definedName name="_xlnm.Print_Area" localSheetId="51">'146d'!$A$1:$J$73</definedName>
    <definedName name="_xlnm.Print_Area" localSheetId="52">'147d'!$A$1:$F$36</definedName>
    <definedName name="_xlnm.Print_Area" localSheetId="53">'148d'!$A$1:$F$19</definedName>
    <definedName name="_xlnm.Print_Area" localSheetId="54">'149d'!$A$1:$G$19</definedName>
    <definedName name="_xlnm.Print_Area" localSheetId="55">'150d'!$A$1:$E$48</definedName>
    <definedName name="_xlnm.Print_Area" localSheetId="56">'151d'!$A$1:$K$41</definedName>
    <definedName name="_xlnm.Print_Area" localSheetId="58">'201d'!$A$1:$G$51</definedName>
    <definedName name="_xlnm.Print_Area" localSheetId="59">'202d'!$A$1:$G$32</definedName>
    <definedName name="_xlnm.Print_Area" localSheetId="60">'203d'!$A$1:$G$42</definedName>
    <definedName name="_xlnm.Print_Area" localSheetId="61">'204d'!$A$1:$G$42</definedName>
    <definedName name="_xlnm.Print_Area" localSheetId="62">'205d'!$A$1:$G$41</definedName>
    <definedName name="_xlnm.Print_Area" localSheetId="63">'206d'!$A$1:$G$47</definedName>
    <definedName name="_xlnm.Print_Area" localSheetId="64">'207d'!$A$1:$G$42</definedName>
    <definedName name="_xlnm.Print_Area" localSheetId="65">'208d'!$A$1:$G$41</definedName>
    <definedName name="_xlnm.Print_Area" localSheetId="66">'209d'!$A$1:$G$47</definedName>
    <definedName name="_xlnm.Print_Area" localSheetId="67">'210d'!$A$1:$G$41</definedName>
    <definedName name="_xlnm.Print_Area" localSheetId="68">'211d'!$A$1:$G$45</definedName>
    <definedName name="_xlnm.Print_Area" localSheetId="69">'212d'!$A$1:$G$39</definedName>
    <definedName name="_xlnm.Print_Area" localSheetId="70">'213d'!$A$1:$G$41</definedName>
    <definedName name="_xlnm.Print_Area" localSheetId="72">'301d'!$A$1:$M$46</definedName>
    <definedName name="_xlnm.Print_Area" localSheetId="73">'302d'!$A$1:$M$43</definedName>
    <definedName name="_xlnm.Print_Area" localSheetId="74">'303d'!$A$1:$M$45</definedName>
    <definedName name="_xlnm.Print_Area" localSheetId="75">'304d'!$A$1:$M$43</definedName>
    <definedName name="_xlnm.Print_Area" localSheetId="76">'305d'!$A$1:$M$41</definedName>
    <definedName name="_xlnm.Print_Area" localSheetId="77">'306d'!$A$1:$N$43</definedName>
    <definedName name="_xlnm.Print_Area" localSheetId="78">'307d'!$A$1:$G$42</definedName>
    <definedName name="_xlnm.Print_Area" localSheetId="79">'308d'!$A$1:$G$42</definedName>
    <definedName name="_xlnm.Print_Area" localSheetId="80">'309d'!$A$1:$G$42</definedName>
    <definedName name="_xlnm.Print_Area" localSheetId="81">'310d'!$A$1:$K$40</definedName>
    <definedName name="_xlnm.Print_Area" localSheetId="82">'311d'!$A$1:$F$43</definedName>
    <definedName name="_xlnm.Print_Area" localSheetId="83">'312d'!$A$1:$F$43</definedName>
    <definedName name="_xlnm.Print_Area" localSheetId="84">'313d'!$A$1:$F$43</definedName>
    <definedName name="_xlnm.Print_Area" localSheetId="86">'401d'!$A$1:$H$24</definedName>
    <definedName name="_xlnm.Print_Area" localSheetId="87">'402d'!$A$1:$G$42</definedName>
    <definedName name="_xlnm.Print_Area" localSheetId="88">'403d'!$A$1:$F$35</definedName>
    <definedName name="_xlnm.Print_Area" localSheetId="89">'404d'!$A$1:$I$43</definedName>
    <definedName name="_xlnm.Print_Area" localSheetId="90">'405d'!$A$1:$I$42</definedName>
    <definedName name="_xlnm.Print_Area" localSheetId="91">'406d'!$A$1:$I$42</definedName>
    <definedName name="_xlnm.Print_Area" localSheetId="92">'407d'!$A$1:$H$34</definedName>
    <definedName name="_xlnm.Print_Area" localSheetId="93">'408d'!$A$1:$I$49</definedName>
    <definedName name="_xlnm.Print_Area" localSheetId="94">'409d'!$A$1:$G$47</definedName>
    <definedName name="_xlnm.Print_Area" localSheetId="95">'410d'!$A$1:$G$42</definedName>
    <definedName name="_xlnm.Print_Area" localSheetId="96">'411d'!$A$1:$K$41</definedName>
    <definedName name="_xlnm.Print_Area" localSheetId="97">'412d'!$A$1:$K$43</definedName>
    <definedName name="_xlnm.Print_Area" localSheetId="98">'413d'!$A$1:$I$47</definedName>
    <definedName name="_xlnm.Print_Area" localSheetId="100">'501d'!$A$1:$V$109</definedName>
    <definedName name="_xlnm.Print_Area" localSheetId="101">'502d'!$A$1:$J$76</definedName>
    <definedName name="_xlnm.Print_Area" localSheetId="102">'503d'!$A$1:$I$120</definedName>
    <definedName name="_xlnm.Print_Area" localSheetId="103">'504d'!$A$1:$I$31</definedName>
    <definedName name="_xlnm.Print_Area" localSheetId="105">'601d'!$A$1:$G$23</definedName>
    <definedName name="_xlnm.Print_Area" localSheetId="106">'602d'!$A$1:$G$21</definedName>
    <definedName name="_xlnm.Print_Area" localSheetId="107">'603d'!$A$1:$E$38</definedName>
    <definedName name="_xlnm.Print_Area" localSheetId="108">'604d'!$A$1:$E$37</definedName>
    <definedName name="_xlnm.Print_Area" localSheetId="109">'605d'!$A$1:$E$40</definedName>
    <definedName name="_xlnm.Print_Area" localSheetId="110">'606d'!$A$1:$E$40</definedName>
    <definedName name="_xlnm.Print_Area" localSheetId="112">'701d'!$A$1:$G$27</definedName>
    <definedName name="_xlnm.Print_Area" localSheetId="113">'702d'!$A$2:$F$23</definedName>
    <definedName name="_xlnm.Print_Area" localSheetId="114">'703d'!$A$1:$E$43</definedName>
    <definedName name="_xlnm.Print_Area" localSheetId="115">'704d'!$A$1:$E$37</definedName>
    <definedName name="_xlnm.Print_Area" localSheetId="116">'705d'!$A$1:$E$39</definedName>
    <definedName name="_xlnm.Print_Area" localSheetId="118">'801d'!$A$1:$G$21</definedName>
    <definedName name="_xlnm.Print_Area" localSheetId="119">'802d'!$A$1:$D$27</definedName>
    <definedName name="_xlnm.Print_Area" localSheetId="120">'803d'!$A$1:$H$24</definedName>
    <definedName name="_xlnm.Print_Area" localSheetId="121">'804d'!$A$1:$H$26</definedName>
    <definedName name="_xlnm.Print_Area" localSheetId="122">'805d'!$A$1:$D$48</definedName>
    <definedName name="_xlnm.Print_Area" localSheetId="123">'806d'!$A$1:$D$41</definedName>
    <definedName name="_xlnm.Print_Area" localSheetId="124">'807d'!$A$1:$G$25</definedName>
    <definedName name="_xlnm.Print_Area" localSheetId="125">'808d'!$A$1:$F$23</definedName>
    <definedName name="_xlnm.Print_Area" localSheetId="126">'809d'!$A$1:$D$33</definedName>
    <definedName name="_xlnm.Print_Area" localSheetId="127">'810d'!$A$1:$D$44</definedName>
    <definedName name="_xlnm.Print_Area" localSheetId="128">'811d'!$A$1:$D$31</definedName>
    <definedName name="_xlnm.Print_Area" localSheetId="130">'901d'!$A$1:$G$30</definedName>
    <definedName name="_xlnm.Print_Area" localSheetId="131">'902d'!$A$1:$H$28</definedName>
    <definedName name="_xlnm.Print_Area" localSheetId="132">'903d'!$A$1:$I$29</definedName>
    <definedName name="_xlnm.Print_Area" localSheetId="133">'904d'!$A$1:$H$27</definedName>
    <definedName name="_xlnm.Print_Area" localSheetId="134">'905d'!$A$1:$H$27</definedName>
    <definedName name="_xlnm.Print_Area" localSheetId="135">'906d'!$A$1:$Q$70</definedName>
    <definedName name="_xlnm.Print_Area" localSheetId="136">'907d'!$A$1:$N$53</definedName>
    <definedName name="_xlnm.Print_Area" localSheetId="137">'908d'!$A$1:$R$84</definedName>
    <definedName name="_xlnm.Print_Area" localSheetId="138">'909d'!$A$1:$K$51</definedName>
    <definedName name="_xlnm.Print_Area" localSheetId="139">'910d'!$A$1:$I$24</definedName>
    <definedName name="_xlnm.Print_Area" localSheetId="140">'911d'!$A$1:$O$27</definedName>
    <definedName name="_xlnm.Print_Area" localSheetId="141">'912d'!$A$1:$I$68</definedName>
    <definedName name="_xlnm.Print_Area" localSheetId="142">'913d'!$A$1:$K$43</definedName>
    <definedName name="_xlnm.Print_Area" localSheetId="143">'914d'!$A$1:$M$38</definedName>
    <definedName name="_xlnm.Print_Area" localSheetId="144">'915d'!$A$1:$F$43</definedName>
    <definedName name="_xlnm.Print_Area" localSheetId="145">'916d'!$A$1:$J$39</definedName>
    <definedName name="_xlnm.Print_Area" localSheetId="146">'917d'!$A$1:$K$34</definedName>
    <definedName name="_xlnm.Print_Area" localSheetId="147">'918d'!$A$1:$I$32</definedName>
    <definedName name="_xlnm.Print_Area" localSheetId="148">'919d'!$A$1:$O$26</definedName>
    <definedName name="_xlnm.Print_Area" localSheetId="149">'920d'!$A$1:$O$39</definedName>
    <definedName name="_xlnm.Print_Area" localSheetId="150">'921d'!$A$1:$Q$47</definedName>
    <definedName name="_xlnm.Print_Area" localSheetId="3" xml:space="preserve">              'G1 96 -&gt; 04 d'!$A$1:$I$187</definedName>
    <definedName name="_xlnm.Print_Area" localSheetId="4" xml:space="preserve">      'G2 04 -&gt; 96 d'!$A$1:$I$186</definedName>
    <definedName name="_xlnm.Print_Area" localSheetId="0">Info!$A$1:$K$69</definedName>
    <definedName name="_xlnm.Print_Titles" localSheetId="100">'501d'!$A:$B,'501d'!$1:$10</definedName>
    <definedName name="_xlnm.Print_Titles" localSheetId="102">'503d'!$A:$A,'503d'!$1:$10</definedName>
    <definedName name="_xlnm.Print_Titles" localSheetId="103">'504d'!$A:$A,'504d'!$1:$7</definedName>
    <definedName name="_xlnm.Print_Titles" localSheetId="150">'921d'!$1:$7</definedName>
    <definedName name="_xlnm.Print_Titles" localSheetId="3">'G1 96 -&gt; 04 d'!$5:$5</definedName>
    <definedName name="_xlnm.Print_Titles" localSheetId="4">'G2 04 -&gt; 96 d'!$5:$5</definedName>
    <definedName name="Z_E58FEA52_E3A2_4787_9824_12DA55A527FE_.wvu.Cols" localSheetId="95" hidden="1">'410d'!$I:$I</definedName>
    <definedName name="Z_E58FEA52_E3A2_4787_9824_12DA55A527FE_.wvu.PrintArea" localSheetId="95" hidden="1">'410d'!$A$1:$E$41</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8" i="276" l="1"/>
  <c r="V8" i="276"/>
  <c r="S9" i="276"/>
  <c r="V9" i="276"/>
  <c r="S10" i="276"/>
  <c r="V10" i="276"/>
  <c r="S11" i="276"/>
  <c r="V11" i="276"/>
  <c r="S12" i="276"/>
  <c r="V12" i="276"/>
  <c r="S13" i="276"/>
  <c r="V13" i="276"/>
  <c r="S14" i="276"/>
  <c r="V14" i="276"/>
  <c r="S15" i="276"/>
  <c r="V15" i="276"/>
  <c r="S16" i="276"/>
  <c r="V16" i="276"/>
  <c r="S17" i="276"/>
  <c r="V17" i="276"/>
  <c r="S18" i="276"/>
  <c r="V18" i="276"/>
  <c r="S19" i="276"/>
  <c r="V19" i="276"/>
  <c r="S20" i="276"/>
  <c r="V20" i="276"/>
  <c r="S21" i="276"/>
  <c r="V21" i="276"/>
  <c r="S22" i="276"/>
  <c r="V22" i="276"/>
  <c r="S23" i="276"/>
  <c r="V23" i="276"/>
  <c r="S24" i="276"/>
  <c r="V24" i="276"/>
  <c r="S25" i="276"/>
  <c r="V25" i="276"/>
  <c r="S26" i="276"/>
  <c r="V26" i="276"/>
  <c r="S27" i="276"/>
  <c r="V27" i="276"/>
  <c r="S28" i="276"/>
  <c r="V28" i="276"/>
  <c r="S29" i="276"/>
  <c r="V29" i="276"/>
  <c r="S30" i="276"/>
  <c r="V30" i="276"/>
  <c r="S31" i="276"/>
  <c r="V31" i="276"/>
  <c r="S32" i="276"/>
  <c r="V32" i="276"/>
  <c r="S33" i="276"/>
  <c r="V33" i="276"/>
  <c r="N34" i="276"/>
  <c r="S34" i="276" s="1"/>
  <c r="O34" i="276"/>
  <c r="P34" i="276"/>
  <c r="Q34" i="276"/>
  <c r="T34" i="276"/>
  <c r="A68" i="248"/>
  <c r="V34" i="27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Informatik</author>
  </authors>
  <commentList>
    <comment ref="H6" authorId="0" shapeId="0" xr:uid="{CA902EDB-9E65-DF44-A1E1-77DBD77937B7}">
      <text>
        <r>
          <rPr>
            <b/>
            <sz val="8"/>
            <color indexed="81"/>
            <rFont val="Tahoma"/>
            <family val="2"/>
          </rPr>
          <t>Cap / 22.10.01</t>
        </r>
        <r>
          <rPr>
            <sz val="8"/>
            <color indexed="81"/>
            <rFont val="Tahoma"/>
            <family val="2"/>
          </rPr>
          <t xml:space="preserve">
gemäss Auswertung 1999 vom 22.10.01</t>
        </r>
      </text>
    </comment>
  </commentList>
</comments>
</file>

<file path=xl/sharedStrings.xml><?xml version="1.0" encoding="utf-8"?>
<sst xmlns="http://schemas.openxmlformats.org/spreadsheetml/2006/main" count="9792" uniqueCount="2257">
  <si>
    <t>2) Intra-muros Behandlung; andere Gruppen = ambulante Behandlung.</t>
  </si>
  <si>
    <t>3) Kategorie "Medikamente Spital ambulant" : gehört zur Kategorie "Spital ambulant".</t>
  </si>
  <si>
    <t xml:space="preserve">Quelle: T 1.16 / T 1.06 </t>
  </si>
  <si>
    <r>
      <t xml:space="preserve">Spital stationär </t>
    </r>
    <r>
      <rPr>
        <vertAlign val="superscript"/>
        <sz val="11"/>
        <rFont val="Arial"/>
        <family val="2"/>
      </rPr>
      <t>2</t>
    </r>
  </si>
  <si>
    <r>
      <t xml:space="preserve">Pflegeheim </t>
    </r>
    <r>
      <rPr>
        <vertAlign val="superscript"/>
        <sz val="11"/>
        <rFont val="Arial"/>
        <family val="2"/>
      </rPr>
      <t>2</t>
    </r>
  </si>
  <si>
    <r>
      <t xml:space="preserve">Betriebsbeiträge an HMO's </t>
    </r>
    <r>
      <rPr>
        <vertAlign val="superscript"/>
        <sz val="11"/>
        <rFont val="Arial"/>
        <family val="2"/>
      </rPr>
      <t>1</t>
    </r>
  </si>
  <si>
    <r>
      <t xml:space="preserve">Übrige Leistungen stationär </t>
    </r>
    <r>
      <rPr>
        <vertAlign val="superscript"/>
        <sz val="11"/>
        <rFont val="Arial"/>
        <family val="2"/>
      </rPr>
      <t>2</t>
    </r>
  </si>
  <si>
    <r>
      <t xml:space="preserve">davon Medikamente Spital ambulant </t>
    </r>
    <r>
      <rPr>
        <i/>
        <vertAlign val="superscript"/>
        <sz val="11"/>
        <rFont val="Arial"/>
        <family val="2"/>
      </rPr>
      <t>3</t>
    </r>
  </si>
  <si>
    <t xml:space="preserve">T 1.16  Leistungen (brutto) in Franken nach Kostengruppen </t>
  </si>
  <si>
    <t>in 1000 Fr.</t>
  </si>
  <si>
    <t xml:space="preserve">Quelle: Formular EF3 [T 3.6] </t>
  </si>
  <si>
    <t>1) Siehe Fussnote 1) in T 1.27</t>
  </si>
  <si>
    <t>Quelle: Formular EF2 [Summe 2.5 bis 2.7]</t>
  </si>
  <si>
    <r>
      <t xml:space="preserve">T 1.31  Betriebsrechnung der Versicherungen </t>
    </r>
    <r>
      <rPr>
        <b/>
        <vertAlign val="superscript"/>
        <sz val="12"/>
        <rFont val="Arial"/>
        <family val="2"/>
      </rPr>
      <t>1</t>
    </r>
    <r>
      <rPr>
        <b/>
        <sz val="12"/>
        <rFont val="Arial"/>
        <family val="2"/>
      </rPr>
      <t xml:space="preserve">  mit eingeschränkter Wahl des Leistungserbringers </t>
    </r>
  </si>
  <si>
    <t>Quelle: Formular EF2 [Summe 2.2 bis 2.7]</t>
  </si>
  <si>
    <r>
      <t xml:space="preserve">T 1.27  Betriebsrechnung der obligatorischen Krankenpflegeversicherung KVG insgesamt </t>
    </r>
    <r>
      <rPr>
        <b/>
        <vertAlign val="superscript"/>
        <sz val="12"/>
        <rFont val="Arial"/>
        <family val="2"/>
      </rPr>
      <t>1</t>
    </r>
  </si>
  <si>
    <t>Quelle: Formular EF2 [ 2.2 ]</t>
  </si>
  <si>
    <r>
      <t xml:space="preserve">T 1.28  Betriebsrechnung der Versicherung </t>
    </r>
    <r>
      <rPr>
        <b/>
        <vertAlign val="superscript"/>
        <sz val="12"/>
        <rFont val="Arial"/>
        <family val="2"/>
      </rPr>
      <t>1</t>
    </r>
    <r>
      <rPr>
        <b/>
        <sz val="12"/>
        <rFont val="Arial"/>
        <family val="2"/>
      </rPr>
      <t xml:space="preserve">  mit ordentlicher Franchise </t>
    </r>
  </si>
  <si>
    <t>Quelle: Formular EF2 [ 2.3]</t>
  </si>
  <si>
    <r>
      <t xml:space="preserve">T 1.29  Betriebsrechnung der Versicherungen </t>
    </r>
    <r>
      <rPr>
        <b/>
        <vertAlign val="superscript"/>
        <sz val="12"/>
        <rFont val="Arial"/>
        <family val="2"/>
      </rPr>
      <t>1</t>
    </r>
    <r>
      <rPr>
        <b/>
        <sz val="12"/>
        <rFont val="Arial"/>
        <family val="2"/>
      </rPr>
      <t xml:space="preserve">  mit wählbarer Franchise </t>
    </r>
  </si>
  <si>
    <t>Quelle: Formular EF2 [ 2.4]</t>
  </si>
  <si>
    <r>
      <t xml:space="preserve">T 1.30  Betriebsrechnung der BONUS-Versicherung </t>
    </r>
    <r>
      <rPr>
        <b/>
        <vertAlign val="superscript"/>
        <sz val="12"/>
        <rFont val="Arial"/>
        <family val="2"/>
      </rPr>
      <t>1</t>
    </r>
  </si>
  <si>
    <t>T 1.40  Leistungen (brutto) in Franken je versicherte Person nach Versicherungsform</t>
  </si>
  <si>
    <t>Quelle: T 1.39 / T 1.06</t>
  </si>
  <si>
    <t xml:space="preserve">T 1.39  Leistungen (brutto) in Franken nach Versicherungsform </t>
  </si>
  <si>
    <t>Veränderung der Rückstellungen für unerledigte Versicherungsfälle / versicherungstechnische Rückstellungen</t>
  </si>
  <si>
    <t>30 – 35</t>
  </si>
  <si>
    <t>Leistungsanteile der Rückversicherer</t>
  </si>
  <si>
    <t>– Personalaufwand inkl. Sozialleistungen</t>
  </si>
  <si>
    <t>– Verwaltungsräumlichkeiten und Betriebseinrichtungen</t>
  </si>
  <si>
    <t>– EDV-Kosten</t>
  </si>
  <si>
    <t>– Versicherungsprämien und Verbandsbeiträge</t>
  </si>
  <si>
    <t>– Marketing und Werbung inkl. Provisionen KVG</t>
  </si>
  <si>
    <t>– Marketing und Werbung inkl. Provisionen VVG</t>
  </si>
  <si>
    <t>– Übriger Verwaltungsaufwand</t>
  </si>
  <si>
    <t>17.10.05: 9.13, 9.15</t>
  </si>
  <si>
    <t>Datenstand: 17.10.2005</t>
  </si>
  <si>
    <t>901-921</t>
  </si>
  <si>
    <t>KVG-Versicherer</t>
  </si>
  <si>
    <t>Grund-</t>
  </si>
  <si>
    <t>Versicherung</t>
  </si>
  <si>
    <t>2) Die Zusatzversicherungen gemäss VVG der KVG-Versicherer (Krankenkassen) ab 1996 sind nicht in diesen Zahlen inbegriffen.</t>
  </si>
  <si>
    <t>3) Zusatzversicherungen der KVG-Versicherer (Krankenkassen) : ab 1996 gemäss VVG. Mit Unfallversicherung.</t>
  </si>
  <si>
    <t>Quelle: STAT KV T 7.03 [60-65] und [30-33] (BAG) - Krankentaggeld VVG (-&gt; 2003: Bundesamt für Privatversicherungen [BPV]).</t>
  </si>
  <si>
    <t>4) Quelle: T 1.27 [60-65] und [30-33]. Mit Unfallversicherung.</t>
  </si>
  <si>
    <r>
      <t xml:space="preserve">T 9.18  Krankenversicherung </t>
    </r>
    <r>
      <rPr>
        <b/>
        <vertAlign val="superscript"/>
        <sz val="12"/>
        <rFont val="Arial"/>
        <family val="2"/>
      </rPr>
      <t>1</t>
    </r>
    <r>
      <rPr>
        <b/>
        <sz val="12"/>
        <rFont val="Arial"/>
        <family val="2"/>
      </rPr>
      <t xml:space="preserve"> (KVG-Versicherer und Privatversicherer) ab 1996 in Mio. Fr.</t>
    </r>
  </si>
  <si>
    <r>
      <t xml:space="preserve">Privat-versicherer </t>
    </r>
    <r>
      <rPr>
        <b/>
        <vertAlign val="superscript"/>
        <sz val="11"/>
        <rFont val="Arial"/>
        <family val="2"/>
      </rPr>
      <t>2</t>
    </r>
  </si>
  <si>
    <r>
      <t xml:space="preserve">versicherung </t>
    </r>
    <r>
      <rPr>
        <vertAlign val="superscript"/>
        <sz val="10"/>
        <rFont val="Arial"/>
        <family val="2"/>
      </rPr>
      <t>4</t>
    </r>
  </si>
  <si>
    <r>
      <t xml:space="preserve">sicherung </t>
    </r>
    <r>
      <rPr>
        <vertAlign val="superscript"/>
        <sz val="11"/>
        <rFont val="Arial"/>
        <family val="2"/>
      </rPr>
      <t>3</t>
    </r>
  </si>
  <si>
    <r>
      <t xml:space="preserve">1) Krankenpflegeversicherung: Prämien und Leistungen ohne Taggeldversicherung; </t>
    </r>
    <r>
      <rPr>
        <i/>
        <sz val="10"/>
        <rFont val="Arial"/>
        <family val="2"/>
      </rPr>
      <t>1996: Schätzung BSV</t>
    </r>
    <r>
      <rPr>
        <sz val="10"/>
        <rFont val="Arial"/>
        <family val="2"/>
      </rPr>
      <t>.</t>
    </r>
  </si>
  <si>
    <r>
      <t xml:space="preserve">Quelle: T 9.16. </t>
    </r>
    <r>
      <rPr>
        <u/>
        <sz val="10"/>
        <rFont val="Arial"/>
        <family val="2"/>
      </rPr>
      <t>Ohne</t>
    </r>
    <r>
      <rPr>
        <sz val="10"/>
        <rFont val="Arial"/>
        <family val="2"/>
      </rPr>
      <t xml:space="preserve"> Unfallversicherung.</t>
    </r>
  </si>
  <si>
    <t>T 9.17 Taggeldversicherung KVG / VVG ab 1996 in Mio. Fr.</t>
  </si>
  <si>
    <t>Privat-versicherer</t>
  </si>
  <si>
    <t>freiwillige</t>
  </si>
  <si>
    <t>Prämien = verdiente Prämien brutto; Leistungen = Zahlungen für Versicherungsfälle .</t>
  </si>
  <si>
    <t>1) Quelle: T 6.04 [60-65] und [30-33]. Mit Unfallversicherung.</t>
  </si>
  <si>
    <t>2) Quelle: STAT KV T 7.03 (BAG) : Krankentaggeld VVG. Mit Unfallversicherung.</t>
  </si>
  <si>
    <t>3) Total: die kursiv gedruckten Zahlen wurden vom BSV geschätzt auf der Basis der vom BPV gelieferten Zahlen.</t>
  </si>
  <si>
    <t>4) Quelle: Bundesamt für Privatversicherungen (BPV). Für 1996 sind keine Zahlen verfügbar; 1996:  Schätzungen  BSV.</t>
  </si>
  <si>
    <t xml:space="preserve">     Der Anteil der Kollektivversicherung (Prämien und Leistungen) umfasst mehr als 90 %. Ohne Unfallversicherung.</t>
  </si>
  <si>
    <t>5) Das BPV konnte die definitiven Werte für 2004 bis zum Redaktionsschluss (15.10.05) nicht liefern.</t>
  </si>
  <si>
    <r>
      <t>Total</t>
    </r>
    <r>
      <rPr>
        <b/>
        <vertAlign val="superscript"/>
        <sz val="11"/>
        <rFont val="Arial"/>
        <family val="2"/>
      </rPr>
      <t xml:space="preserve"> 3</t>
    </r>
  </si>
  <si>
    <r>
      <t xml:space="preserve">Total </t>
    </r>
    <r>
      <rPr>
        <b/>
        <vertAlign val="superscript"/>
        <sz val="11"/>
        <rFont val="Arial"/>
        <family val="2"/>
      </rPr>
      <t>3</t>
    </r>
  </si>
  <si>
    <r>
      <t xml:space="preserve">VVG </t>
    </r>
    <r>
      <rPr>
        <vertAlign val="superscript"/>
        <sz val="11"/>
        <rFont val="Arial"/>
        <family val="2"/>
      </rPr>
      <t>2</t>
    </r>
  </si>
  <si>
    <r>
      <t xml:space="preserve">VVG </t>
    </r>
    <r>
      <rPr>
        <vertAlign val="superscript"/>
        <sz val="11"/>
        <rFont val="Arial"/>
        <family val="2"/>
      </rPr>
      <t>4</t>
    </r>
  </si>
  <si>
    <r>
      <t xml:space="preserve">KVG </t>
    </r>
    <r>
      <rPr>
        <vertAlign val="superscript"/>
        <sz val="11"/>
        <rFont val="Arial"/>
        <family val="2"/>
      </rPr>
      <t>1</t>
    </r>
  </si>
  <si>
    <r>
      <t xml:space="preserve">(-&gt; 2003: Bundesamt für Privatversicherungen [BPV]). </t>
    </r>
    <r>
      <rPr>
        <i/>
        <sz val="10"/>
        <rFont val="Arial"/>
        <family val="2"/>
      </rPr>
      <t>1996: Schätzung BSV.</t>
    </r>
  </si>
  <si>
    <t>T 9.16 Krankenversicherung bei den privaten Versicherungsunternehmungen ab 1996 in Mio. Fr.</t>
  </si>
  <si>
    <t>mit</t>
  </si>
  <si>
    <t>krankenver-</t>
  </si>
  <si>
    <t>1) Prämien = verdiente Prämien brutto; Leistungen = Zahlungen für Versicherungsfälle brutto.</t>
  </si>
  <si>
    <t xml:space="preserve">  1996:  Schätzung  BSV (kursiv).</t>
  </si>
  <si>
    <t xml:space="preserve">   Die Zusatzversicherungen gemäss VVG der KVG-Versicherer (Krankenkassen) ab 1996 sind in diesen Zahlen nicht inbegriffen.</t>
  </si>
  <si>
    <t>2) Prämien und Leistungen ohne Taggeldversicherung und ohne Unfallversicherung.</t>
  </si>
  <si>
    <t>Quelle: Bundesamt für Privatversicherungen (BPV).</t>
  </si>
  <si>
    <r>
      <t xml:space="preserve">Prämien </t>
    </r>
    <r>
      <rPr>
        <b/>
        <vertAlign val="superscript"/>
        <sz val="11"/>
        <rFont val="Arial"/>
        <family val="2"/>
      </rPr>
      <t>1</t>
    </r>
  </si>
  <si>
    <r>
      <t xml:space="preserve">Leistungen </t>
    </r>
    <r>
      <rPr>
        <b/>
        <vertAlign val="superscript"/>
        <sz val="11"/>
        <rFont val="Arial"/>
        <family val="2"/>
      </rPr>
      <t>1</t>
    </r>
  </si>
  <si>
    <r>
      <t xml:space="preserve">      Krankenpflegeversicherung</t>
    </r>
    <r>
      <rPr>
        <b/>
        <vertAlign val="superscript"/>
        <sz val="11"/>
        <rFont val="Arial"/>
        <family val="2"/>
      </rPr>
      <t xml:space="preserve"> 2</t>
    </r>
  </si>
  <si>
    <r>
      <t xml:space="preserve">      Krankenpflegeversicherung </t>
    </r>
    <r>
      <rPr>
        <b/>
        <vertAlign val="superscript"/>
        <sz val="11"/>
        <rFont val="Arial"/>
        <family val="2"/>
      </rPr>
      <t>2</t>
    </r>
  </si>
  <si>
    <t>T 9.11 Versicherte mit einer Spitalzusatzversicherung ab 1996</t>
  </si>
  <si>
    <t>Versicherten-</t>
  </si>
  <si>
    <t xml:space="preserve">   Total der Versicherer </t>
  </si>
  <si>
    <t xml:space="preserve">   (KVG + Privatversicherer)</t>
  </si>
  <si>
    <t>per 31.12</t>
  </si>
  <si>
    <t>ganze CH</t>
  </si>
  <si>
    <t xml:space="preserve">in % von A </t>
  </si>
  <si>
    <t>in % von A</t>
  </si>
  <si>
    <t>1) Quelle: Bundesamt für Privatversicherungen (BPV).</t>
  </si>
  <si>
    <t>2) Quelle: Bundesamt für gesundheit (BAG), Formular EF3 [3.7.3].</t>
  </si>
  <si>
    <t>3) Quelle: T 1.06.</t>
  </si>
  <si>
    <r>
      <t xml:space="preserve">   KVG-Versicherer </t>
    </r>
    <r>
      <rPr>
        <b/>
        <vertAlign val="superscript"/>
        <sz val="11"/>
        <rFont val="Arial"/>
        <family val="2"/>
      </rPr>
      <t>2</t>
    </r>
  </si>
  <si>
    <r>
      <t xml:space="preserve"> Privatversicherer </t>
    </r>
    <r>
      <rPr>
        <b/>
        <vertAlign val="superscript"/>
        <sz val="11"/>
        <rFont val="Arial"/>
        <family val="2"/>
      </rPr>
      <t>1</t>
    </r>
  </si>
  <si>
    <r>
      <t xml:space="preserve">(A) </t>
    </r>
    <r>
      <rPr>
        <vertAlign val="superscript"/>
        <sz val="11"/>
        <rFont val="Arial"/>
        <family val="2"/>
      </rPr>
      <t>3</t>
    </r>
  </si>
  <si>
    <t>Kosten des Gesundheitswesens in der Schweiz aus der Sicht der Krankenversicherung-Prämien in Mio. Franken ab 1996</t>
  </si>
  <si>
    <t>Kosten des Gesundheitswesens in der Schweiz aus der Sicht der Krankenversicherung-Prämien in % des Totals der Kosten ab 1996</t>
  </si>
  <si>
    <t>Index der Krankenpflegekosten, der Löhne sowie der Preise ab 1996</t>
  </si>
  <si>
    <t>Kosten des Gesundheitswesens in der Schweiz aus der Sicht der Krankenversicherung-Leistungen ab 1996</t>
  </si>
  <si>
    <t xml:space="preserve">Verwaltungsaufwand / Abschreibungen  je versicherte Person nach Versicherungsform ab 1996 </t>
  </si>
  <si>
    <t>Gesamtbetriebsergebnis  nach Versicherungsform ab 1996</t>
  </si>
  <si>
    <r>
      <t xml:space="preserve">2005 </t>
    </r>
    <r>
      <rPr>
        <b/>
        <i/>
        <vertAlign val="superscript"/>
        <sz val="10"/>
        <rFont val="Arial"/>
        <family val="2"/>
      </rPr>
      <t>5</t>
    </r>
  </si>
  <si>
    <r>
      <t xml:space="preserve"> 2006 </t>
    </r>
    <r>
      <rPr>
        <b/>
        <i/>
        <vertAlign val="superscript"/>
        <sz val="10"/>
        <rFont val="Arial"/>
        <family val="2"/>
      </rPr>
      <t>5</t>
    </r>
  </si>
  <si>
    <r>
      <t xml:space="preserve">Veränderung 2004 - 2005 in % </t>
    </r>
    <r>
      <rPr>
        <i/>
        <vertAlign val="superscript"/>
        <sz val="9"/>
        <rFont val="Arial"/>
        <family val="2"/>
      </rPr>
      <t>5</t>
    </r>
  </si>
  <si>
    <r>
      <t xml:space="preserve">Veränderung 2005 - 2006 in % </t>
    </r>
    <r>
      <rPr>
        <i/>
        <vertAlign val="superscript"/>
        <sz val="9"/>
        <rFont val="Arial"/>
        <family val="2"/>
      </rPr>
      <t>5</t>
    </r>
  </si>
  <si>
    <t>Eine positive Prozentzahl bedeutet, dass der Versicherer in den Risikoausgleich einzahlen muss, ein negativer Wert steht bei Versicherern, welche aus dem Risikoausgleich Mittel beziehen können.</t>
  </si>
  <si>
    <t>Statistik der obligatorischen Krankenversicherung 2004, Bundesamt für Gesundheit</t>
  </si>
  <si>
    <t>Datenstand: 6.7.05</t>
  </si>
  <si>
    <t/>
  </si>
  <si>
    <t xml:space="preserve">15.7.05:  Teil 2 ohne [2.06, 2.09, 2.11] </t>
  </si>
  <si>
    <t>6.7.05:  5.02, 5.04</t>
  </si>
  <si>
    <t>18.7.05:  Teil 10</t>
  </si>
  <si>
    <t>Beilage G1</t>
  </si>
  <si>
    <t>Beilage G2</t>
  </si>
  <si>
    <t>Quelle: Formular EF3 [T 3.5]</t>
  </si>
  <si>
    <t xml:space="preserve">Prämien für Effektivkosten </t>
  </si>
  <si>
    <t xml:space="preserve">Prämien für Pauschalkosten </t>
  </si>
  <si>
    <t>Leistungen (Effektivkosten)</t>
  </si>
  <si>
    <t>Leistungen (Pauschalkosten)</t>
  </si>
  <si>
    <t>Rückstellungen für Pauschalkosten</t>
  </si>
  <si>
    <t>Leistungen (31.1 + 31.2)</t>
  </si>
  <si>
    <t>Kostenbeteiligung der Versicherten (32)                      (-)</t>
  </si>
  <si>
    <t>Bezahlte Leistungen (30-33)</t>
  </si>
  <si>
    <t>1) Ohne Liechstenstein. Versichertenbestand : siehe T 1.47.</t>
  </si>
  <si>
    <t>2) GrenzgängerInnen, sowie ihre nichterwerbstätigen Familienangehörigen (Versicherte gemäss Art. 3 KVV).</t>
  </si>
  <si>
    <t>Quelle: Formular EF2 [T.E] &amp; EF1 [1.12]</t>
  </si>
  <si>
    <t>28.7.05: Teil 8 , Teil 6 ohne [6.01, 6.02]</t>
  </si>
  <si>
    <t>T 8.02  Ergebnisverteilung per 31.12.</t>
  </si>
  <si>
    <r>
      <t xml:space="preserve">T 1.50  Betriebsrechnung der obligatorischen Krankenpflegeversicherung Personen mit Wohnsitz in einem EG-Staat, in Island oder in Norwegen, inklusive GrenzgängerInnen </t>
    </r>
    <r>
      <rPr>
        <b/>
        <vertAlign val="superscript"/>
        <sz val="12"/>
        <rFont val="Arial"/>
        <family val="2"/>
      </rPr>
      <t>1</t>
    </r>
  </si>
  <si>
    <r>
      <t xml:space="preserve">Nur GrenzgängerInnen </t>
    </r>
    <r>
      <rPr>
        <b/>
        <vertAlign val="superscript"/>
        <sz val="12"/>
        <rFont val="Arial"/>
        <family val="2"/>
      </rPr>
      <t>2</t>
    </r>
  </si>
  <si>
    <t xml:space="preserve">T 1.49  Versicherteneintritte / Versicherungswechsler KVG nach Geschlecht </t>
  </si>
  <si>
    <t>Anteil in %</t>
  </si>
  <si>
    <t xml:space="preserve">In % am </t>
  </si>
  <si>
    <t>durchschnittlichen</t>
  </si>
  <si>
    <t>davon Neugeborene</t>
  </si>
  <si>
    <t>Quelle: Formular EF3 [3.8.3] + T 1.47</t>
  </si>
  <si>
    <t>Quelle: Formular EF3 [T 3.8.2]</t>
  </si>
  <si>
    <t>T 1.47 Durchschnittlicher Versichertenbestand, gemäss Art. 29 KVV, für die obligatorische Krankenpflegeversicherung</t>
  </si>
  <si>
    <t>davon gestorben</t>
  </si>
  <si>
    <t>1) Effectiv Total per 31.12: siehe T 1.02.</t>
  </si>
  <si>
    <t xml:space="preserve">    Durchschnittsbestand = Stand aller Monate zusammengezählt und geteilt durch 12.</t>
  </si>
  <si>
    <t>2) Betriebsrechnung: siehe T 1.50.</t>
  </si>
  <si>
    <t>3) GrenzgängerInnen, sowie ihre nichterwerbstätigen Familienangehörigen (Versicherte gemäss Art. 3 KVV).</t>
  </si>
  <si>
    <t>Quelle: A: Formular EF3 [T 3.8.1 &amp; 3.8.4] / B: Formular EF1 [1.12 D] / C: Formular EF1 [1.12 E]</t>
  </si>
  <si>
    <r>
      <t xml:space="preserve">A. KVG-Versicherte mit Wohnsitz in der Schweiz und scheizerischer Prämie (inkl. Versicherte gemäss Art. 4 und 5 KVV) </t>
    </r>
    <r>
      <rPr>
        <b/>
        <vertAlign val="superscript"/>
        <sz val="12"/>
        <rFont val="55 Helvetica Roman"/>
      </rPr>
      <t>1</t>
    </r>
  </si>
  <si>
    <r>
      <t xml:space="preserve">B. KVG-Versicherte mit Wohnsitz in einem EG-Staat, in Island oder in Norwegen, inklusive GrenzgängerInnen </t>
    </r>
    <r>
      <rPr>
        <b/>
        <vertAlign val="superscript"/>
        <sz val="12"/>
        <rFont val="Arial"/>
        <family val="2"/>
      </rPr>
      <t>2</t>
    </r>
  </si>
  <si>
    <r>
      <t xml:space="preserve">C. KVG-Versicherte mit Wohnsitz in einem EG-Staat, in Island oder in Norwegen, nur GrenzgängerInnen </t>
    </r>
    <r>
      <rPr>
        <b/>
        <vertAlign val="superscript"/>
        <sz val="12"/>
        <rFont val="Arial"/>
        <family val="2"/>
      </rPr>
      <t>3</t>
    </r>
  </si>
  <si>
    <t>2.8.05: 1.27-1.31, 1.39, 1.40, 1.47-1.50</t>
  </si>
  <si>
    <t>Datenstand: 18.7.05</t>
  </si>
  <si>
    <t>T 1.48 Versichertenbestand KVG nach Geschlecht  am 1.1.2005</t>
  </si>
  <si>
    <t>Datenstand: 5.8.2004</t>
  </si>
  <si>
    <t>CSS Kranken-Vers. AG</t>
  </si>
  <si>
    <t>Krankenkasse Aquilana</t>
  </si>
  <si>
    <t>*</t>
  </si>
  <si>
    <t xml:space="preserve">Krankenkasse 57 </t>
  </si>
  <si>
    <t>SUPRA Caisse-maladie</t>
  </si>
  <si>
    <t>Krankenkasse Luchsingen-Hätzingen</t>
  </si>
  <si>
    <t>Krankenkasse Unitas</t>
  </si>
  <si>
    <t>Krankenkasse Einsiedeln</t>
  </si>
  <si>
    <t>16.8.05: 1.41, 1.44-1.46, 4.02-4.06</t>
  </si>
  <si>
    <t>4: Prämienverbilligung in der OKP</t>
  </si>
  <si>
    <t>Anzahl Bezügern, Bezügerquoten, subventionierte Haushalte sowie ausgerichtete Subventionen ab 1996</t>
  </si>
  <si>
    <t>Anzahl Bezügern nach Geschlecht und Kantonen</t>
  </si>
  <si>
    <t>Anzahl Bezügern nach Geschlecht und Altersgruppen</t>
  </si>
  <si>
    <t xml:space="preserve">Anzahl subventionierte Haushalte nach Haushaltsgrösse und Kantonen </t>
  </si>
  <si>
    <t>Anzahl subventionierte Haushalte nach ausbezahltem Jahresbetrag und Kantonen</t>
  </si>
  <si>
    <t xml:space="preserve">Kantonale Grenzbeträge für die Berechtigung: Massgebende Einkommen </t>
  </si>
  <si>
    <t>Maximale, budgetierte und ausbezahlte Subventionen ab 1996</t>
  </si>
  <si>
    <t xml:space="preserve">KVG-Verteilmodell: Berechnungsbasis sowie Bundes- und Kantonsbeiträge </t>
  </si>
  <si>
    <t>Reduktionsfaktor und Subventionen nach Reduktion nach Kantonen</t>
  </si>
  <si>
    <t xml:space="preserve">Ausgerichtete Leistungen nach Kantonen </t>
  </si>
  <si>
    <t>Beiträge pro Kanton nach Reduktion ab 1996</t>
  </si>
  <si>
    <t>Beiträge pro Kanton in % des Totals vor Reduktion ab 1996</t>
  </si>
  <si>
    <t>Bezügerquoten nach Geschlecht und Kantonen und begünstigte Haushalte in %</t>
  </si>
  <si>
    <t>Obergrenze des massgebenden Einkommens in Fr.</t>
  </si>
  <si>
    <t>Hauhaltsvorstand alleinstehend/alleinerziehend</t>
  </si>
  <si>
    <t>Hauhaltsvorstand verheiratet</t>
  </si>
  <si>
    <t>Keine</t>
  </si>
  <si>
    <t>1 Kind</t>
  </si>
  <si>
    <t>2 Kinder</t>
  </si>
  <si>
    <t>3 Kinder</t>
  </si>
  <si>
    <t>Quelle: Formular PV2 [2.3]</t>
  </si>
  <si>
    <t>1) Für massgebende Einkommen, die höher sind als die obenstehenden Beträge, werden keine Subventionen mehr ausbezahlt.</t>
  </si>
  <si>
    <t>Das massgebende Einkommen entspricht einem je nach Kanton definierten Einkommen, meist "steuerbares Einkommen" aber auch "Reineinkommen"</t>
  </si>
  <si>
    <t>oder "Effektives Einkommen", zuzüglich einem bestimmten Anteil des Vermögens (meist "steuerbares Vermögen" oder "Reinvermögen").</t>
  </si>
  <si>
    <r>
      <t xml:space="preserve">T 4.06 Kantonale Grenzbeträge für die Berechtigung: Massgebende Einkommen </t>
    </r>
    <r>
      <rPr>
        <b/>
        <vertAlign val="superscript"/>
        <sz val="12"/>
        <rFont val="Arial"/>
        <family val="2"/>
      </rPr>
      <t>1</t>
    </r>
  </si>
  <si>
    <t>Ausbezahlter Jahresbetrag</t>
  </si>
  <si>
    <t>Haushalte</t>
  </si>
  <si>
    <t>1 - 600</t>
  </si>
  <si>
    <t>601 -</t>
  </si>
  <si>
    <t>1'201 -</t>
  </si>
  <si>
    <t>2'401 -</t>
  </si>
  <si>
    <t>3'601 -</t>
  </si>
  <si>
    <t>Jahresbe-</t>
  </si>
  <si>
    <t>1'200 Fr.</t>
  </si>
  <si>
    <t>2'400 Fr.</t>
  </si>
  <si>
    <t>3'600 Fr.</t>
  </si>
  <si>
    <t>4'800 Fr.</t>
  </si>
  <si>
    <t>trag un-</t>
  </si>
  <si>
    <t>bekannt</t>
  </si>
  <si>
    <t>Quelle: Formular PV2 [2.2]</t>
  </si>
  <si>
    <t>1) Anzahl subventionierte Haushalte im Sinne der kantonalen Regelungen zur Prämienverbilligung.</t>
  </si>
  <si>
    <r>
      <t xml:space="preserve">T 4.05 Anzahl subventionierte Haushalte </t>
    </r>
    <r>
      <rPr>
        <b/>
        <vertAlign val="superscript"/>
        <sz val="12"/>
        <rFont val="Arial"/>
        <family val="2"/>
      </rPr>
      <t>1</t>
    </r>
    <r>
      <rPr>
        <b/>
        <sz val="12"/>
        <rFont val="Arial"/>
        <family val="2"/>
      </rPr>
      <t xml:space="preserve">  nach ausbezahltem Jahresbetrag und Kantonen </t>
    </r>
  </si>
  <si>
    <t>Haushaltgrösse gemäss Anzahl Haushaltsmitglieder</t>
  </si>
  <si>
    <t>davon</t>
  </si>
  <si>
    <t>1 Person</t>
  </si>
  <si>
    <t>2 Perso-</t>
  </si>
  <si>
    <t>3 Perso-</t>
  </si>
  <si>
    <t>4 Perso-</t>
  </si>
  <si>
    <t>5 Perso-</t>
  </si>
  <si>
    <t>alleiner-</t>
  </si>
  <si>
    <t>nen</t>
  </si>
  <si>
    <t>nen und</t>
  </si>
  <si>
    <t>ziehende</t>
  </si>
  <si>
    <t>mehr</t>
  </si>
  <si>
    <t xml:space="preserve">FR </t>
  </si>
  <si>
    <t xml:space="preserve">SO </t>
  </si>
  <si>
    <t>2) Alleinerziehende Personen mit einem oder mehreren Kindern.</t>
  </si>
  <si>
    <r>
      <t xml:space="preserve">T 4.04 Anzahl subventionierte Haushalte </t>
    </r>
    <r>
      <rPr>
        <b/>
        <vertAlign val="superscript"/>
        <sz val="12"/>
        <rFont val="Arial"/>
        <family val="2"/>
      </rPr>
      <t>1</t>
    </r>
    <r>
      <rPr>
        <b/>
        <sz val="12"/>
        <rFont val="Arial"/>
        <family val="2"/>
      </rPr>
      <t xml:space="preserve">  nach Haushaltsgrösse und Kantonen</t>
    </r>
  </si>
  <si>
    <r>
      <t xml:space="preserve">Haushalte </t>
    </r>
    <r>
      <rPr>
        <vertAlign val="superscript"/>
        <sz val="11"/>
        <rFont val="Arial"/>
        <family val="2"/>
      </rPr>
      <t>2</t>
    </r>
  </si>
  <si>
    <t>T 4.03 Anzahl Bezügern nach Geschlecht und Altersgruppen</t>
  </si>
  <si>
    <t>Altersgruppe</t>
  </si>
  <si>
    <t>total</t>
  </si>
  <si>
    <t>20 – 25</t>
  </si>
  <si>
    <t>26 – 30</t>
  </si>
  <si>
    <t>31 – 35</t>
  </si>
  <si>
    <t>36 – 40</t>
  </si>
  <si>
    <t>41 – 45</t>
  </si>
  <si>
    <t>46 – 50</t>
  </si>
  <si>
    <t>51 – 55</t>
  </si>
  <si>
    <t>56 – 60</t>
  </si>
  <si>
    <t>61 – 65</t>
  </si>
  <si>
    <t>66 – 70</t>
  </si>
  <si>
    <t>71 – 75</t>
  </si>
  <si>
    <t>76 – 80</t>
  </si>
  <si>
    <t>81 – 85</t>
  </si>
  <si>
    <t>86 – 90</t>
  </si>
  <si>
    <t>96 und mehr</t>
  </si>
  <si>
    <t>Alter unbekannt</t>
  </si>
  <si>
    <t>Quelle: Formular PV2 [2.1]</t>
  </si>
  <si>
    <t>T 4.02 Anzahl Bezügern nach Geschlecht und Kantonen</t>
  </si>
  <si>
    <t>Männliche</t>
  </si>
  <si>
    <t>Weibliche</t>
  </si>
  <si>
    <t xml:space="preserve">davon </t>
  </si>
  <si>
    <t>Ergänzungs-</t>
  </si>
  <si>
    <t>Sozialhilfe-</t>
  </si>
  <si>
    <t>Leistungs-</t>
  </si>
  <si>
    <t>Bezügern</t>
  </si>
  <si>
    <t>1) Anzahl Personen, an welche im Berichtsjahr Subventionen nach KVG ausgerichtet wurden.</t>
  </si>
  <si>
    <r>
      <t xml:space="preserve">Bezügern </t>
    </r>
    <r>
      <rPr>
        <vertAlign val="superscript"/>
        <sz val="11"/>
        <rFont val="Arial"/>
        <family val="2"/>
      </rPr>
      <t>1</t>
    </r>
  </si>
  <si>
    <t>Datenstand: 16.08.05</t>
  </si>
  <si>
    <t>Caisse-maladie de la Fonction Publique</t>
  </si>
  <si>
    <t>Kranken- und Unfallkasse Rothenburg</t>
  </si>
  <si>
    <t>PROVITA Gesundheitsversicherung AG</t>
  </si>
  <si>
    <t>Sumiswalder Kranken- und Unfallkasse</t>
  </si>
  <si>
    <t>Caisse-maladie EOS</t>
  </si>
  <si>
    <t>OEKK Celerina</t>
  </si>
  <si>
    <t>Krankenkasse Steffisburg</t>
  </si>
  <si>
    <t>carena schweiz</t>
  </si>
  <si>
    <t>C.M.B.B.</t>
  </si>
  <si>
    <t>CONCORDIA Schweiz. Kranken- und Unfallversicherung</t>
  </si>
  <si>
    <t>Krankenkasse Malters</t>
  </si>
  <si>
    <t>Atupri Krankenkasse</t>
  </si>
  <si>
    <t>Avenir Assurances</t>
  </si>
  <si>
    <t>Luzerner Hinterland</t>
  </si>
  <si>
    <t>Krankenkasse  KPT / CPT</t>
  </si>
  <si>
    <t>Xundheit</t>
  </si>
  <si>
    <t>Caisse-maladie Hermes</t>
  </si>
  <si>
    <t>ÖKK Kranken- und Unfallversicherungen AG</t>
  </si>
  <si>
    <t>Stiftung Panorama</t>
  </si>
  <si>
    <t>Öffent. Krankenkasse Basel</t>
  </si>
  <si>
    <t>Kranken- und Unfall-Versicherungsverein St. Moritz</t>
  </si>
  <si>
    <t>Krankenkasse Flaachtal</t>
  </si>
  <si>
    <t>KK Region Goms</t>
  </si>
  <si>
    <t>Krankenkasse Embd</t>
  </si>
  <si>
    <t>Krankenkasse Lötschental</t>
  </si>
  <si>
    <t>La Caisse Vaudoise</t>
  </si>
  <si>
    <t>Krankenkasse Stalden</t>
  </si>
  <si>
    <t>Kolping Krankenkasse AG</t>
  </si>
  <si>
    <t>Krankenversicherung EASY SANA</t>
  </si>
  <si>
    <t>Krankenkasse Elm</t>
  </si>
  <si>
    <t>Krankenkasse des Saastales</t>
  </si>
  <si>
    <t>ÖKK LUGNEZ I</t>
  </si>
  <si>
    <t>KLuG Krankenversicherung</t>
  </si>
  <si>
    <t>EGK- Gesundheitskasse</t>
  </si>
  <si>
    <t>Krankenkasse Staldenried</t>
  </si>
  <si>
    <t>ÖKK Lugnez II</t>
  </si>
  <si>
    <t>Krankenkasse SLKK</t>
  </si>
  <si>
    <t>ÖKK Surselva</t>
  </si>
  <si>
    <t>Schattenberge</t>
  </si>
  <si>
    <t>Natura Gesundheitskasse</t>
  </si>
  <si>
    <t>Progrès caisse-maladie</t>
  </si>
  <si>
    <t>Krankenkasse Zeneggen</t>
  </si>
  <si>
    <t>Mutualité Assurances</t>
  </si>
  <si>
    <t>KK Visperterminen</t>
  </si>
  <si>
    <t>KK Gondo-Zwischbergen</t>
  </si>
  <si>
    <t>Andere</t>
  </si>
  <si>
    <t>400 Fr.</t>
  </si>
  <si>
    <t>600 Fr.</t>
  </si>
  <si>
    <t>1200 Fr.</t>
  </si>
  <si>
    <t>1500 Fr.</t>
  </si>
  <si>
    <t>rungsformen</t>
  </si>
  <si>
    <t>300 Fr.</t>
  </si>
  <si>
    <t>1) Im Jahr 1996/97: ordentliche Jahresfranchise: 150.- ; wählbare Jahresfranchisen: 300.-  600.-  1200.-  1500.-</t>
  </si>
  <si>
    <t xml:space="preserve">    Im Jahr 1998-2003: ordentliche Jahresfranchise: 230.- ; wählbare Jahresfranchisen: 400.-  600.-  1200.-  1500.-</t>
  </si>
  <si>
    <t xml:space="preserve">    Im Jahr 2004: ordentliche Jahresfranchise: 300.- ; wählbare Jahresfranchisen: 400.-  600.-  1200.-  1500.-</t>
  </si>
  <si>
    <t>Quelle: T 1.36</t>
  </si>
  <si>
    <r>
      <t>T 1.35 Verteilung der Versicherungsformen</t>
    </r>
    <r>
      <rPr>
        <b/>
        <vertAlign val="superscript"/>
        <sz val="12"/>
        <rFont val="Arial"/>
        <family val="2"/>
      </rPr>
      <t xml:space="preserve"> </t>
    </r>
    <r>
      <rPr>
        <b/>
        <sz val="12"/>
        <rFont val="Arial"/>
        <family val="2"/>
      </rPr>
      <t>in % - Versicherte ab 19 Jahren ab 1996</t>
    </r>
  </si>
  <si>
    <t>Ordentl.</t>
  </si>
  <si>
    <t>Quelle: DATENPOOL santésuisse / Auswertung BSV / Abdeckungsgrad der Erhebung 2004: CH 97,8% ; Kantone: 95,1% - 100,0%</t>
  </si>
  <si>
    <t>Oblig. Krankenpflegevers. (Pauschalkosten gem. Verordnung (EWG) Nr. 574/72 Art. 94 und 95)</t>
  </si>
  <si>
    <t>– Freiwillige Taggeldversicherung nach KVG</t>
  </si>
  <si>
    <t>– Aktive Rückversicherung</t>
  </si>
  <si>
    <t>– Zusatzversicherungen inkl. Taggeld VVG</t>
  </si>
  <si>
    <t>– Nicht versicherungstechnische Rückstellungen VVG</t>
  </si>
  <si>
    <t>– Risikoausgleich</t>
  </si>
  <si>
    <t>– Zweckgebundene Rücklagen aus Fusionen</t>
  </si>
  <si>
    <t>Fonds und Eigenkapital</t>
  </si>
  <si>
    <t>Fonds</t>
  </si>
  <si>
    <t>– Reglementierte Fonds</t>
  </si>
  <si>
    <t>– Immobilien (Renovationen, Umbauten)</t>
  </si>
  <si>
    <t>– EDV-Projekte</t>
  </si>
  <si>
    <t xml:space="preserve">Reserven Oblig. Krankenpflegeversicherung (ohne Konto 290.5) </t>
  </si>
  <si>
    <t>Aktienkapital</t>
  </si>
  <si>
    <t>– Reserven Taggeldversicherung nach KVG</t>
  </si>
  <si>
    <t>– Reserven Aktive Rückversicherung</t>
  </si>
  <si>
    <t>– Zusatzversicherung VVG, inkl. Taggeld VVG</t>
  </si>
  <si>
    <t>– Einkaufssummen fusionierter Versicherer</t>
  </si>
  <si>
    <t>Total Passiven</t>
  </si>
  <si>
    <t>Quelle: Formular EF1 [4,5]</t>
  </si>
  <si>
    <t>T 8.11  Aufstellung über Kapitalanlagen, Grundstücke und Gebäude per 31.12.</t>
  </si>
  <si>
    <t xml:space="preserve">Kapitalanlagen </t>
  </si>
  <si>
    <t>Kapitalanlagen nach Art. 80 KVV</t>
  </si>
  <si>
    <t>Anlagen bei öffentlich-rechtlichen Körperschaften und bei Banken und Sparkassen</t>
  </si>
  <si>
    <t>Wertpapiere und andere an der Börse kotierte Anlagen</t>
  </si>
  <si>
    <t xml:space="preserve">Anlagen in grundpfandgesicherten Darlehen </t>
  </si>
  <si>
    <t>Anlagen und Guthaben von Betriebskrankenkassen im eigenen Betrieb</t>
  </si>
  <si>
    <t>Anlagen bei Institutionen, die der Durchführung der sozialen Krankenversicherung dienen</t>
  </si>
  <si>
    <t xml:space="preserve">Sonstige Wertschriften </t>
  </si>
  <si>
    <t>Wertberichtigung Kapitalanlagen</t>
  </si>
  <si>
    <t>Kapitalanlagen  - Gesamttotal</t>
  </si>
  <si>
    <t>Grundstücke und Gebäude</t>
  </si>
  <si>
    <t xml:space="preserve">Grundstücke </t>
  </si>
  <si>
    <t>Gebäude für Verwaltungszwecke</t>
  </si>
  <si>
    <t>Gebäude für Wohn- und Geschäftszwecke</t>
  </si>
  <si>
    <t>Wertberichtigung Grundstücke und Gebäude</t>
  </si>
  <si>
    <t>Grundstücke / Gebäude - Gesamttotal</t>
  </si>
  <si>
    <t>17-18</t>
  </si>
  <si>
    <t>Gesamttotal  Kapitalanlagen, Grundstücke und Gebäude</t>
  </si>
  <si>
    <t>1) Anschaffungswert = Buchwert</t>
  </si>
  <si>
    <t>Quelle: Formular EF1 [11]</t>
  </si>
  <si>
    <t>T 8.09  Bilanz: Aktiven der Versicherer per 31.12.</t>
  </si>
  <si>
    <t>Umlaufvermögen</t>
  </si>
  <si>
    <t>Flüssige Mittel</t>
  </si>
  <si>
    <t>Forderungen bei Versicherten</t>
  </si>
  <si>
    <t>– Forderungen bei Versicherten brutto</t>
  </si>
  <si>
    <t xml:space="preserve">– Wertberichtigung / Delkredere </t>
  </si>
  <si>
    <t>Forderungen bei Partnern</t>
  </si>
  <si>
    <t>2.9.05: 4.01, 4.07-4.13</t>
  </si>
  <si>
    <t>T 4.01 Anzahl Bezügern, Bezügerquoten, subventionierte Haushalte sowie ausgerichtete Subventionen nach KVG ab 1996</t>
  </si>
  <si>
    <t>Bezüger-</t>
  </si>
  <si>
    <t>Anzahl sub-</t>
  </si>
  <si>
    <t>Subvention</t>
  </si>
  <si>
    <t>Innen-</t>
  </si>
  <si>
    <t>ventionierte</t>
  </si>
  <si>
    <t>pro Haushalt</t>
  </si>
  <si>
    <t>pro Bezüger</t>
  </si>
  <si>
    <t>Innen</t>
  </si>
  <si>
    <t xml:space="preserve">Datenstand: 2.9.05 </t>
  </si>
  <si>
    <t>Quelle: T 4.02 / 4.04 / 4.10 / 4.13</t>
  </si>
  <si>
    <t>1) Angaben zu Bezügern und subventionierten Haushalten der Jahre 1996 und 1997 teilweise unvollständig.</t>
  </si>
  <si>
    <t>2) Anzahl Bezügern in Prozent der mittleren Wohnbevölkerung des entsprechenden Berichtsjahres.</t>
  </si>
  <si>
    <t xml:space="preserve">T 4.13 Bezügerquoten nach Geschlecht und Kantonen und begünstigte Haushalte in % </t>
  </si>
  <si>
    <t>Begünstigte</t>
  </si>
  <si>
    <t>haushalte</t>
  </si>
  <si>
    <t>(approximativ)</t>
  </si>
  <si>
    <t>Datenstand: 2.9.05</t>
  </si>
  <si>
    <t>Quelle: BFS Sektion Bevölkerungsentwicklung &amp; T 4.02 &amp; T 4.05</t>
  </si>
  <si>
    <t>1) Durchschnittliche Wohnbevölkerung in einem bestimmten Gebiet nach wirtschaftlichem Wohnsitz (BFS).</t>
  </si>
  <si>
    <t>2) Anzahl Personen in % der mittleren Wohnbevölkerung des Berichtsjahres.</t>
  </si>
  <si>
    <t>3) Gemäss eidgenössischer Volkszählung 2000.</t>
  </si>
  <si>
    <t>4) Die Zahlen sind nur begrenzt vergleichbar, da</t>
  </si>
  <si>
    <t>- Vergleich der Zahlen dieses Jahres mit den Haushalten von 2000,</t>
  </si>
  <si>
    <t>- unterschiedliche Definition des Begriffes Haushalt.</t>
  </si>
  <si>
    <r>
      <t xml:space="preserve">Mittlere Wohnbevölkerung </t>
    </r>
    <r>
      <rPr>
        <vertAlign val="superscript"/>
        <sz val="11"/>
        <rFont val="Arial"/>
        <family val="2"/>
      </rPr>
      <t>1</t>
    </r>
  </si>
  <si>
    <r>
      <t xml:space="preserve">Bezügerquoten </t>
    </r>
    <r>
      <rPr>
        <vertAlign val="superscript"/>
        <sz val="11"/>
        <rFont val="Arial"/>
        <family val="2"/>
      </rPr>
      <t>2</t>
    </r>
  </si>
  <si>
    <r>
      <t xml:space="preserve">Total </t>
    </r>
    <r>
      <rPr>
        <vertAlign val="superscript"/>
        <sz val="11"/>
        <rFont val="Arial"/>
        <family val="2"/>
      </rPr>
      <t>3</t>
    </r>
  </si>
  <si>
    <r>
      <t xml:space="preserve">in % </t>
    </r>
    <r>
      <rPr>
        <vertAlign val="superscript"/>
        <sz val="11"/>
        <rFont val="Arial"/>
        <family val="2"/>
      </rPr>
      <t>4</t>
    </r>
  </si>
  <si>
    <t>Mittelwert</t>
  </si>
  <si>
    <t>Quelle: T 4.09</t>
  </si>
  <si>
    <t>1) Benutzter Kantonsbeitrag in Prozent des maximalen Gesamtbeitrages.</t>
  </si>
  <si>
    <r>
      <t xml:space="preserve">T 4.12 Beiträge pro Kanton in % des Totals vor Reduktion </t>
    </r>
    <r>
      <rPr>
        <b/>
        <vertAlign val="superscript"/>
        <sz val="12"/>
        <rFont val="Arial"/>
        <family val="2"/>
      </rPr>
      <t>1</t>
    </r>
    <r>
      <rPr>
        <b/>
        <sz val="12"/>
        <rFont val="Arial"/>
        <family val="2"/>
      </rPr>
      <t xml:space="preserve"> ab 1996</t>
    </r>
  </si>
  <si>
    <t>T 4.11 Beiträge pro Kanton nach Reduktion in Mio. Fr. ab 1996</t>
  </si>
  <si>
    <t>Jahresdurch-</t>
  </si>
  <si>
    <t>schnittliche</t>
  </si>
  <si>
    <t>Veränderung</t>
  </si>
  <si>
    <t>T 4.10 Ausgerichtete Leistungen nach Kantonen</t>
  </si>
  <si>
    <t>nach KVG</t>
  </si>
  <si>
    <t>und früher</t>
  </si>
  <si>
    <t xml:space="preserve">Datenstand: 30.8.05 </t>
  </si>
  <si>
    <t>Quelle: Formular PV1 &amp; T 4.02 &amp; T 4.04</t>
  </si>
  <si>
    <t>1) Effektiv im Berichtsjahr an die Haushalte/BezügerInnen ausbezahlte Prämienverbilligungen nach KVG.</t>
  </si>
  <si>
    <r>
      <t xml:space="preserve">nach KVG </t>
    </r>
    <r>
      <rPr>
        <b/>
        <vertAlign val="superscript"/>
        <sz val="11"/>
        <rFont val="Arial"/>
        <family val="2"/>
      </rPr>
      <t>1</t>
    </r>
  </si>
  <si>
    <t xml:space="preserve">T 4.09 Reduktionsfaktor und Subventionen nach Reduktion nach Kantonen </t>
  </si>
  <si>
    <t>Reduk-</t>
  </si>
  <si>
    <t>Bundes-</t>
  </si>
  <si>
    <t>Kantons-</t>
  </si>
  <si>
    <t>Subventions-</t>
  </si>
  <si>
    <t>In %</t>
  </si>
  <si>
    <t>tions-</t>
  </si>
  <si>
    <t>beitrag</t>
  </si>
  <si>
    <t>Budget</t>
  </si>
  <si>
    <t>nach Re-</t>
  </si>
  <si>
    <t>Beitrag</t>
  </si>
  <si>
    <t xml:space="preserve">duktion </t>
  </si>
  <si>
    <t>vor Re-</t>
  </si>
  <si>
    <t>Quelle : EFV - Bundes- und Kantonsbeiträge nach Reduktion durch die Kantone für das Jahr 2004.</t>
  </si>
  <si>
    <t>1) Vgl. Art. 66 Abs. 5 KVG: "Der Kanton darf den (...) von ihm zu übernehmenden Betrag um maximal 50 Prozent kürzen, wenn</t>
  </si>
  <si>
    <t xml:space="preserve">  die Prämienverbilligung für Versicherte in bescheidenen wirtschaftlichen Verhältnissen trotzdem sichergestellt ist. </t>
  </si>
  <si>
    <t>BAG-Nr. / Versicherer</t>
  </si>
  <si>
    <r>
      <t xml:space="preserve">Korrigierte Tabellen :             </t>
    </r>
    <r>
      <rPr>
        <b/>
        <sz val="11"/>
        <color indexed="9"/>
        <rFont val="55 Helvetica Roman"/>
      </rPr>
      <t>(gegenüber PDF Version und der gedruckten Version) :</t>
    </r>
  </si>
  <si>
    <t>Beilage I</t>
  </si>
  <si>
    <t>701-705</t>
  </si>
  <si>
    <t>10: Risikoausgleich in der OKP</t>
  </si>
  <si>
    <t>10.01</t>
  </si>
  <si>
    <t>Risikoausgleich: Nettozahler und Nettoempfänger ab 1996</t>
  </si>
  <si>
    <t>10.02</t>
  </si>
  <si>
    <t>Risikoausgleich: Bruttoumverteilung und Nettoumverteilung ab 1996</t>
  </si>
  <si>
    <t>10.03</t>
  </si>
  <si>
    <t>Risikoausgleich pro Versicherten und Versicherungsmonat nach Altersgruppen und Geschlecht</t>
  </si>
  <si>
    <t>2: Leistungen und Kostenbeteiligung in der OKP</t>
  </si>
  <si>
    <t>Durchschnittlicher Versichertenbestand nach Kantonen und Altersgruppen</t>
  </si>
  <si>
    <t>Durchschnittlicher Versichertenbestand nach Altersgruppen und Geschlecht</t>
  </si>
  <si>
    <t xml:space="preserve">Durchschnittlicher Versichertenbestand nach Kantonen </t>
  </si>
  <si>
    <t>Bruttokosten nach Kantonen</t>
  </si>
  <si>
    <t>Bruttokosten pro Versicherten pro Versicherungsmonat nach Kantonen</t>
  </si>
  <si>
    <t>T 9.01  Kosten des Gesundheitswesens in der Schweiz aus der Sicht der sozialen Sicherheit in Mio. Fr. ab 1996</t>
  </si>
  <si>
    <t>Kosten des Gesundheitswesens in der Schweiz aus der Sicht der sozialen Sicherheit ab 1996</t>
  </si>
  <si>
    <t xml:space="preserve">Bruttokosten pro Versicherten pro Versicherungsmonat nach Altersgruppen und Geschlecht </t>
  </si>
  <si>
    <t>Effektive Kosten nach Kantonen</t>
  </si>
  <si>
    <t xml:space="preserve">Effektive Kosten pro Versicherten pro Versicherungsmonat nach Kantonen </t>
  </si>
  <si>
    <t>Effektive Kosten pro Versicherten pro Versicherungsmonat nach Altersgruppen und Geschlecht</t>
  </si>
  <si>
    <t>Kostenbeteiligung pro Versicherten pro Jahr nach Kantonen</t>
  </si>
  <si>
    <t>Kostenbeteiligung pro Versicherten pro Jahr nach Altersgruppen und Geschlecht</t>
  </si>
  <si>
    <t>Effektive Kosten pro Versicherten pro Versicherungsmonat nach Kantonen und Altersgruppen</t>
  </si>
  <si>
    <t>Kostenbeteiligung pro Versicherten pro Jahr nach Kantonen und Altersgruppen</t>
  </si>
  <si>
    <t>5: Individuelle Daten pro Versicherer</t>
  </si>
  <si>
    <t>Aufsichtsdaten der Krankenversicherer OKP</t>
  </si>
  <si>
    <t>Erklärungen und Quellen für die Aufsichtsdaten</t>
  </si>
  <si>
    <t xml:space="preserve">KVG-Versicherer: Daten zur freiwilligen Taggeldversicherung </t>
  </si>
  <si>
    <t>Mutationen bei den Krankenversicherern</t>
  </si>
  <si>
    <t>Altersgruppen</t>
  </si>
  <si>
    <t>Männlich</t>
  </si>
  <si>
    <t>Veränd.</t>
  </si>
  <si>
    <t>Weiblich</t>
  </si>
  <si>
    <t>gegenüber</t>
  </si>
  <si>
    <t>Vorjahr</t>
  </si>
  <si>
    <t>0 - 18</t>
  </si>
  <si>
    <t>19 - 25</t>
  </si>
  <si>
    <t>26 - 30</t>
  </si>
  <si>
    <t>31 - 35</t>
  </si>
  <si>
    <t>36 - 40</t>
  </si>
  <si>
    <t>41 - 45</t>
  </si>
  <si>
    <t>46 - 50</t>
  </si>
  <si>
    <t>51 - 55</t>
  </si>
  <si>
    <t>56 - 60</t>
  </si>
  <si>
    <t>61 - 65</t>
  </si>
  <si>
    <t>66 - 70</t>
  </si>
  <si>
    <t>71 - 75</t>
  </si>
  <si>
    <t>76 - 80</t>
  </si>
  <si>
    <t>81 - 85</t>
  </si>
  <si>
    <t>86 - 90</t>
  </si>
  <si>
    <t>&gt; 90</t>
  </si>
  <si>
    <t>Quelle: Statistik des Risikoausgleiches - Gemeinsame Einrichtung KVG</t>
  </si>
  <si>
    <t xml:space="preserve">1) Bei der Berechnung der Abgaben und Beiträge werden die effektiven Durchschnittskosten jeder Risikogruppe mit den </t>
  </si>
  <si>
    <t>effektiven Durchschnittskosten aller erwachsenen Versicherten im Alter von 19 und mehr Jahren (Referenzgruppe) verglichen.</t>
  </si>
  <si>
    <t xml:space="preserve">Sind die effektiven Durchschnittskosten der jeweiligen Risikogruppe höher als die Durchschnittskosten der Referenzgruppe, </t>
  </si>
  <si>
    <t>so erhält der Versicherer für jeden Versicherten in dieser Risikogruppe einen Beitrag (+). Umgekehrt hat er eine Abgabe (-) zu leisten.</t>
  </si>
  <si>
    <t>Kinder (0-18 Jahre) werden für die Berechnung des Risikoausgleichs nicht miteinbezogen.</t>
  </si>
  <si>
    <r>
      <t xml:space="preserve">T 10.03  Risikoausgleich </t>
    </r>
    <r>
      <rPr>
        <b/>
        <vertAlign val="superscript"/>
        <sz val="12"/>
        <rFont val="Arial"/>
        <family val="2"/>
      </rPr>
      <t>1</t>
    </r>
    <r>
      <rPr>
        <b/>
        <sz val="12"/>
        <rFont val="Arial"/>
        <family val="2"/>
      </rPr>
      <t xml:space="preserve">  in Fr. pro Versicherten und Versicherungsmonat nach Altersgruppen und Geschlecht</t>
    </r>
  </si>
  <si>
    <t>T 10.02  Risikoausgleich: Bruttoumverteilung und Nettoumverteilung in Mio. Fr. ab 1996</t>
  </si>
  <si>
    <t>Aus-</t>
  </si>
  <si>
    <t>gleichs-</t>
  </si>
  <si>
    <t>nach Ge-</t>
  </si>
  <si>
    <t>nach</t>
  </si>
  <si>
    <t>zwischen</t>
  </si>
  <si>
    <t>jahr</t>
  </si>
  <si>
    <t>schlecht</t>
  </si>
  <si>
    <t>gegenüb.</t>
  </si>
  <si>
    <t>Alter</t>
  </si>
  <si>
    <t>Versicherern</t>
  </si>
  <si>
    <t xml:space="preserve">Vorjahr </t>
  </si>
  <si>
    <t>1) Theoretisch-statistische Grösse: Gesamtschweizerische Umverteilung von Männern zu Frauen resp. von jüngeren</t>
  </si>
  <si>
    <t>Versicherten (19 – 55-jährige Personen) zu älteren Versicherten (56-jährige und ältere Personen).</t>
  </si>
  <si>
    <t>2) Effektiv erfolgte Umverteilung zwischen den Versicherern (von Nettozahlern zu Nettoempfängern; vgl. Tabelle 10.01).</t>
  </si>
  <si>
    <r>
      <t xml:space="preserve">Bruttoumverteilung </t>
    </r>
    <r>
      <rPr>
        <vertAlign val="superscript"/>
        <sz val="11"/>
        <rFont val="Arial"/>
        <family val="2"/>
      </rPr>
      <t>1</t>
    </r>
  </si>
  <si>
    <r>
      <t xml:space="preserve">Nettoumverteilung </t>
    </r>
    <r>
      <rPr>
        <vertAlign val="superscript"/>
        <sz val="11"/>
        <rFont val="Arial"/>
        <family val="2"/>
      </rPr>
      <t>2</t>
    </r>
  </si>
  <si>
    <t xml:space="preserve">T 10.01  Risikoausgleich: Nettozahler und Nettoempfänger ab 1993 </t>
  </si>
  <si>
    <t>Netto-</t>
  </si>
  <si>
    <t>Anteil</t>
  </si>
  <si>
    <t>am Total</t>
  </si>
  <si>
    <t>1) Anzahl Versicherer, die für das Ausgleichsjahr eine Abgabe an den Risikoausgleich leisten mussten (Nettozahler), resp.</t>
  </si>
  <si>
    <t>einen Beitrag aus dem Risikoausgleich erhielten (Nettoempfänger).</t>
  </si>
  <si>
    <r>
      <t xml:space="preserve">zahler </t>
    </r>
    <r>
      <rPr>
        <vertAlign val="superscript"/>
        <sz val="11"/>
        <rFont val="Arial"/>
        <family val="2"/>
      </rPr>
      <t>1</t>
    </r>
  </si>
  <si>
    <r>
      <t xml:space="preserve">empfänger </t>
    </r>
    <r>
      <rPr>
        <vertAlign val="superscript"/>
        <sz val="11"/>
        <rFont val="Arial"/>
        <family val="2"/>
      </rPr>
      <t>1</t>
    </r>
  </si>
  <si>
    <t>Kanton</t>
  </si>
  <si>
    <t>Kinder</t>
  </si>
  <si>
    <t>Junge</t>
  </si>
  <si>
    <t>Erwachsene</t>
  </si>
  <si>
    <t>(0-18 Jahre)</t>
  </si>
  <si>
    <t>(19-25 Jahre)</t>
  </si>
  <si>
    <t>(26 J. und älter)</t>
  </si>
  <si>
    <t>ZH</t>
  </si>
  <si>
    <t>BE</t>
  </si>
  <si>
    <t>LU</t>
  </si>
  <si>
    <t>UR</t>
  </si>
  <si>
    <t>SZ</t>
  </si>
  <si>
    <t>OW</t>
  </si>
  <si>
    <t>NW</t>
  </si>
  <si>
    <t>GL</t>
  </si>
  <si>
    <t>ZG</t>
  </si>
  <si>
    <t>FR</t>
  </si>
  <si>
    <t>SO</t>
  </si>
  <si>
    <t>BS</t>
  </si>
  <si>
    <t>BL</t>
  </si>
  <si>
    <t>SH</t>
  </si>
  <si>
    <t>Versichertenbestand KVG, Personen mit Wohnsitz in der Schweiz und schweizerischer Prämie (inkl. Versicherte gemäss Art. 4 und 5 KVV)</t>
  </si>
  <si>
    <t>* : KVG-Versi-</t>
  </si>
  <si>
    <t>Prämien</t>
  </si>
  <si>
    <t>Leistungen</t>
  </si>
  <si>
    <t>Verwaltungs-</t>
  </si>
  <si>
    <t>Gesamt-</t>
  </si>
  <si>
    <t>Stand der</t>
  </si>
  <si>
    <t>cherer nur mit</t>
  </si>
  <si>
    <t xml:space="preserve">aufwand + </t>
  </si>
  <si>
    <t>ergebnis</t>
  </si>
  <si>
    <t xml:space="preserve"> Rückstel-</t>
  </si>
  <si>
    <t>Reserven</t>
  </si>
  <si>
    <t xml:space="preserve">freiwilliger </t>
  </si>
  <si>
    <t>Abschrei-</t>
  </si>
  <si>
    <t>lungen</t>
  </si>
  <si>
    <t>Taggeld-</t>
  </si>
  <si>
    <t>in Tausend</t>
  </si>
  <si>
    <t>bungen</t>
  </si>
  <si>
    <t>versicherung</t>
  </si>
  <si>
    <t>Fr.</t>
  </si>
  <si>
    <t xml:space="preserve"> </t>
  </si>
  <si>
    <t>1) Es gibt OKP-Versicherer, die in der freiwilligen Krankentaggeld keine Versicherten haben.</t>
  </si>
  <si>
    <t>101-151</t>
  </si>
  <si>
    <t>Arzt</t>
  </si>
  <si>
    <t>Spital</t>
  </si>
  <si>
    <t>Medikamente</t>
  </si>
  <si>
    <t>Mittel und</t>
  </si>
  <si>
    <t>Betriebsbeiträge</t>
  </si>
  <si>
    <t>Komplementär-</t>
  </si>
  <si>
    <t>(ambulant)</t>
  </si>
  <si>
    <t>(Arzt)</t>
  </si>
  <si>
    <t>(Apotheke)</t>
  </si>
  <si>
    <t>Gegenstände</t>
  </si>
  <si>
    <t>an HMO's</t>
  </si>
  <si>
    <t>medizin</t>
  </si>
  <si>
    <t>«Intra-muros»</t>
  </si>
  <si>
    <t xml:space="preserve">Spital </t>
  </si>
  <si>
    <t>Pflegeheim</t>
  </si>
  <si>
    <t>(stationär)</t>
  </si>
  <si>
    <t>1) Vgl. Fussnoten 1) , 2) und 3) von Tabelle 1.15.</t>
  </si>
  <si>
    <t>2) Schätzungen : alle Kostengruppen sind nicht verfügbar.</t>
  </si>
  <si>
    <t>Quelle: Formular EF123</t>
  </si>
  <si>
    <t>BAG-Nr. nur wenn [2] oder [3] &gt; 0</t>
  </si>
  <si>
    <t xml:space="preserve">* wenn EF 1.12B Total = 0 </t>
  </si>
  <si>
    <t>EF3 Total T 3.9.2</t>
  </si>
  <si>
    <t>EF3 Total T 3.9.3</t>
  </si>
  <si>
    <t>4</t>
  </si>
  <si>
    <t xml:space="preserve">EF2 Konten 40-47 + 48 Krankheit + Unfall Seiten 2.0 -&gt; 2.1 </t>
  </si>
  <si>
    <t>EF2 Konten Gesamtbetriebergebnis ohne Position Krankheit + Unfall Seiten 2.0 -&gt; 2.1</t>
  </si>
  <si>
    <t>EF1 [1.4] Konto 271</t>
  </si>
  <si>
    <t>EF1 [1.5] Konto 291</t>
  </si>
  <si>
    <r>
      <t xml:space="preserve">Name des KVG-Versicherers </t>
    </r>
    <r>
      <rPr>
        <vertAlign val="superscript"/>
        <sz val="10"/>
        <rFont val="Arial"/>
        <family val="2"/>
      </rPr>
      <t>1</t>
    </r>
  </si>
  <si>
    <t xml:space="preserve">T 5.01 Aufsichtsdaten OKP gemäss Art. 31 KVV </t>
  </si>
  <si>
    <t>Name des OKP Versicherers</t>
  </si>
  <si>
    <t>Versicher-</t>
  </si>
  <si>
    <t>Einnahmen</t>
  </si>
  <si>
    <t>Risikoaus–</t>
  </si>
  <si>
    <t>Gesamter-</t>
  </si>
  <si>
    <t>* : KVG-</t>
  </si>
  <si>
    <t>Gesetzlich</t>
  </si>
  <si>
    <t>Höher als die</t>
  </si>
  <si>
    <t>Tiefer als die</t>
  </si>
  <si>
    <t>tenbestand</t>
  </si>
  <si>
    <t>in Mio. Fr.</t>
  </si>
  <si>
    <t>gleich</t>
  </si>
  <si>
    <t>gleich in %</t>
  </si>
  <si>
    <t>des Ver-</t>
  </si>
  <si>
    <t>gebnis pro</t>
  </si>
  <si>
    <t>in % der</t>
  </si>
  <si>
    <t>vorgeschrie-</t>
  </si>
  <si>
    <t>gesetzlich</t>
  </si>
  <si>
    <t>pro versi-</t>
  </si>
  <si>
    <t>1) Diese Auswertung basiert auf der Gesamtheit der Versicherten, für die Alter, Geschlecht, Kanton, Versicherungsform und</t>
  </si>
  <si>
    <r>
      <t xml:space="preserve">T 1.36 Verteilung der Versicherungsformen in % nach Kanton - Versicherte ab 19 Jahren </t>
    </r>
    <r>
      <rPr>
        <b/>
        <vertAlign val="superscript"/>
        <sz val="12"/>
        <rFont val="Arial"/>
        <family val="2"/>
      </rPr>
      <t>1</t>
    </r>
  </si>
  <si>
    <t>T 1.37 Verteilung der Versicherungsformen in % - Versicherte 0-18 Jahre ab 1996</t>
  </si>
  <si>
    <t>150 Fr.</t>
  </si>
  <si>
    <t>375 Fr.</t>
  </si>
  <si>
    <t>0 Fr.</t>
  </si>
  <si>
    <t>Quelle: T 1.38</t>
  </si>
  <si>
    <r>
      <t xml:space="preserve">T 1.38  Verteilung der Versicherungsformen in % nach Kanton - Versicherte 0-18 Jahre </t>
    </r>
    <r>
      <rPr>
        <b/>
        <vertAlign val="superscript"/>
        <sz val="12"/>
        <rFont val="Arial"/>
        <family val="2"/>
      </rPr>
      <t>1</t>
    </r>
  </si>
  <si>
    <t>12.8.05: 6.01, 6.02, 2.06, 2.09, 2.11, 1.35-1.38</t>
  </si>
  <si>
    <t>Wincare Versicherungen</t>
  </si>
  <si>
    <t>Caisse-maladie d'Isérables</t>
  </si>
  <si>
    <t>Avantis Assureur maladie</t>
  </si>
  <si>
    <t xml:space="preserve">Caisse-maladie Vallée d'Entremont </t>
  </si>
  <si>
    <t>Krankenkasse Institut Ingenbohl</t>
  </si>
  <si>
    <t>Krankenkasse Turbenthal</t>
  </si>
  <si>
    <t>Auxilia</t>
  </si>
  <si>
    <t>Caisse-maladie de Troistorrents</t>
  </si>
  <si>
    <t>OEKK Winterthur</t>
  </si>
  <si>
    <t>KK Wädenswil</t>
  </si>
  <si>
    <t>Krankenkasse Birchmeier</t>
  </si>
  <si>
    <t>kmu-Krankenversicherung</t>
  </si>
  <si>
    <t>Stoffel KKS</t>
  </si>
  <si>
    <t>Simplon</t>
  </si>
  <si>
    <t>SWICA Krankenversicherung</t>
  </si>
  <si>
    <t>GALENOS</t>
  </si>
  <si>
    <t>ÖKK Schweiz</t>
  </si>
  <si>
    <t>Betriebskrankenkasse Heerbrugg</t>
  </si>
  <si>
    <t>Allgemeine Krankenkasse Brugg</t>
  </si>
  <si>
    <t>Caisse-maladie des Chemins de Fer du Jura</t>
  </si>
  <si>
    <t>Krankenkasse Mischabel</t>
  </si>
  <si>
    <t>Krankenkasse Zermatt</t>
  </si>
  <si>
    <t xml:space="preserve">AMB </t>
  </si>
  <si>
    <t>Sanitas Grundvers. AG</t>
  </si>
  <si>
    <t>Hotela</t>
  </si>
  <si>
    <t>Intras caisse-maladie</t>
  </si>
  <si>
    <t>Philos</t>
  </si>
  <si>
    <t>Assura</t>
  </si>
  <si>
    <t>Caisse-maladie Futura</t>
  </si>
  <si>
    <t>Caisse maladie Universa</t>
  </si>
  <si>
    <t>Aerosana Krankenkasse</t>
  </si>
  <si>
    <t>VISANA</t>
  </si>
  <si>
    <t>AGRISANO</t>
  </si>
  <si>
    <t>Helsana Versicherungen AG</t>
  </si>
  <si>
    <t>Innova Krankenversicherung AG</t>
  </si>
  <si>
    <t>Accorda assurance-maladie</t>
  </si>
  <si>
    <t>avanex Versicherungen AG</t>
  </si>
  <si>
    <t>sansan Versicherungen AG</t>
  </si>
  <si>
    <t>Caisse Maladie du Personnel Communal de la Ville de NE</t>
  </si>
  <si>
    <t>Color Metal</t>
  </si>
  <si>
    <t>Taggeldk.bild.Künstler/innen</t>
  </si>
  <si>
    <t>Gewerbliche Krankenkasse Bern</t>
  </si>
  <si>
    <t>KSM</t>
  </si>
  <si>
    <t>Krankengeldversicherung für Mitarbeiter der fenaco-Mitgliedgenossenschaften (KGV)</t>
  </si>
  <si>
    <t>Quellenangabe (Name der Publikation, Jahr, Nummer der Tabelle) und Zustellung eines</t>
  </si>
  <si>
    <t>Belegexemplares an das Bundesamt für Gesundheit, Sektion Statistik und Mathematik gestattet.</t>
  </si>
  <si>
    <t>Verfügbar am:</t>
  </si>
  <si>
    <t>Total</t>
  </si>
  <si>
    <t>Vom Bund anerkannte Versicherungsträger</t>
  </si>
  <si>
    <t xml:space="preserve">Tabellen </t>
  </si>
  <si>
    <t>Teil 1</t>
  </si>
  <si>
    <t>Versicherte und Finanzen in der obligatorischen Krankenpflegeversicherung (OKP)</t>
  </si>
  <si>
    <t>Teil 2</t>
  </si>
  <si>
    <t>Leistungen und Kostenbeteiligung in der OKP</t>
  </si>
  <si>
    <t>Teil 3</t>
  </si>
  <si>
    <t>Prämien in der OKP</t>
  </si>
  <si>
    <t>Teil 4</t>
  </si>
  <si>
    <t>Prämienverbilligung in der OKP</t>
  </si>
  <si>
    <t>Teil 5</t>
  </si>
  <si>
    <t>Aufsichtsdaten OKP</t>
  </si>
  <si>
    <t>Teil 6</t>
  </si>
  <si>
    <t>601-606</t>
  </si>
  <si>
    <t>Freiwillige Taggeldversicherung KVG</t>
  </si>
  <si>
    <t>Teil 7</t>
  </si>
  <si>
    <t>Teil 8</t>
  </si>
  <si>
    <t>Teil 9</t>
  </si>
  <si>
    <t>Zusatzinformationen zum Gesundheitswesen</t>
  </si>
  <si>
    <t>07.12.2005: 6.01</t>
  </si>
  <si>
    <t>Index der Krankenversicherungsausgaben OKP ab 1996</t>
  </si>
  <si>
    <t>7) Schätzung BFS [Medienmitteilung 3/05].</t>
  </si>
  <si>
    <r>
      <t xml:space="preserve">2004 </t>
    </r>
    <r>
      <rPr>
        <i/>
        <vertAlign val="superscript"/>
        <sz val="11"/>
        <rFont val="Arial"/>
        <family val="2"/>
      </rPr>
      <t>7</t>
    </r>
  </si>
  <si>
    <t>6) Schätzung BFS [Medienmitteilung 3/05].</t>
  </si>
  <si>
    <r>
      <t xml:space="preserve">2004 </t>
    </r>
    <r>
      <rPr>
        <i/>
        <vertAlign val="superscript"/>
        <sz val="11"/>
        <rFont val="Arial"/>
        <family val="2"/>
      </rPr>
      <t>6</t>
    </r>
  </si>
  <si>
    <t>5) Schätzung BFS [Medienmitteilung 3/05].</t>
  </si>
  <si>
    <r>
      <t xml:space="preserve">2004 </t>
    </r>
    <r>
      <rPr>
        <i/>
        <vertAlign val="superscript"/>
        <sz val="11"/>
        <rFont val="Arial"/>
        <family val="2"/>
      </rPr>
      <t>5</t>
    </r>
  </si>
  <si>
    <t>4) Schätzung BFS [Medienmitteilung 3/05].</t>
  </si>
  <si>
    <r>
      <t xml:space="preserve">2004 </t>
    </r>
    <r>
      <rPr>
        <i/>
        <vertAlign val="superscript"/>
        <sz val="11"/>
        <rFont val="Arial"/>
        <family val="2"/>
      </rPr>
      <t>4</t>
    </r>
  </si>
  <si>
    <t xml:space="preserve">   Kontaktlinsen in 16 Gemeinden), Hörgeräte (Kostenfeststellung nach den 6 - nach BAG-Tarif - meistverkauften Geräten)</t>
  </si>
  <si>
    <t>T 9.13 Index der Krankenversicherungsprämein je versicherte Person nach Versicherungsart ab 1996 (Basis 1999 = 100)</t>
  </si>
  <si>
    <t>Einfluss auf das</t>
  </si>
  <si>
    <t xml:space="preserve">Kinder </t>
  </si>
  <si>
    <t>verfügbares</t>
  </si>
  <si>
    <t>allgemein</t>
  </si>
  <si>
    <t>halbprivat</t>
  </si>
  <si>
    <t>privat</t>
  </si>
  <si>
    <t>Einkommen</t>
  </si>
  <si>
    <t>(ganze CH)</t>
  </si>
  <si>
    <t>Veränderung gegenüber dem Vorjahr</t>
  </si>
  <si>
    <t>1) Versichertenbestand (nur OKP Versicherer)</t>
  </si>
  <si>
    <t>2) Einnahmen Total (in Mio. Fr.)</t>
  </si>
  <si>
    <t>Prämiensoll, Subventionen und Prämienverbilligungen, Erlösminderungen (Rabatte und Skonti) sowie die übrigen Erträge (Kapital- und Liegenschaftserträge).</t>
  </si>
  <si>
    <t>3) Prämien (in Mio. Fr.)</t>
  </si>
  <si>
    <t>Prämiensoll = Prämiensumme gemäss den genehmigten Prämientarifen.</t>
  </si>
  <si>
    <t>Bezahlte Leistungen = Leistungen der Versicherer an die Leistungserbringer (Ärzte, Spitäler, Apotheken, usw.) nach Abzug der Kostenbeteiligung der Versicherten (Franchise / Selbstbehalt / Tagespauschale im Spital).</t>
  </si>
  <si>
    <t>6A + 6B) Verwaltungsaufwand/Abschreibungen (in % der Ausgaben und pro versicherte Person in Fr.)</t>
  </si>
  <si>
    <t>Personalaufwand inkl. Sozialleistungen, Verwaltungsräumlichkeiten und Betriebseinrichtungen, EDV-Kosten, Versicherungsprämien (Mobiliar, Haftpflicht usw.), Werbung sowie Abschreibungen. Ausgaben = Total des Versicherungs- und Betriebsaufwands.</t>
  </si>
  <si>
    <t>7) Gesamtergebnis (pro versicherte Person in Fr.)</t>
  </si>
  <si>
    <t>Das Gesamtbetriebsergebnis entspricht dem Saldo der Einnahmen (Total des Gesamtertrags) und der Ausgaben (Total des Versicherungs- und Betriebsaufwands).</t>
  </si>
  <si>
    <t>Versicherte</t>
  </si>
  <si>
    <t>Quelle: Formulare EF 1 2 3</t>
  </si>
  <si>
    <t>EF2 Konten 6 + 7 Krankheit + Unfall Seiten 2.2 -&gt; 2.7</t>
  </si>
  <si>
    <t>EF2 Konto 61 Krankheit + Unfall Seiten 2.2 -&gt; 2.7</t>
  </si>
  <si>
    <t>(EF2 Konto 37 Krankheit + Unfall Seiten 2.2 -&gt; 2.7) / [ 2 ]</t>
  </si>
  <si>
    <t>EF2 Konto 30-33 Krankheit + Unfall Seiten 2.2 -&gt; 2.7</t>
  </si>
  <si>
    <t>(EF2 Konten 40-47 + 48 Krankheit + Unfall Seiten 2.2 -&gt; 2.7) / (EF2 Konto 3/4 Krankheit + Unfall Seiten 2.2 -&gt; 2.7) in %</t>
  </si>
  <si>
    <t>(EF2 Konten 40-47 + 48 Krankheit + Unfall Seiten 2.2 -&gt; 2.7) / [ 1 ] in %</t>
  </si>
  <si>
    <t>EF2 Konten Gesamtbetriebsergebnis ohne Position Krankheit + Unfall Seiten 2.2 -&gt; 2.7 / ( [ 1 ] )</t>
  </si>
  <si>
    <t>EF1 Seite 4 Konto 270</t>
  </si>
  <si>
    <t>EF1 Seite 5 Konten 290 + 290.9</t>
  </si>
  <si>
    <t>T 5.02 Erklärungen und Quellen für Aufsichtsdaten OKP (T 5.01)</t>
  </si>
  <si>
    <t>Je nach Grösse des Versicherers müssen folgende Mindestsätze (Reserven in % des jährlichen Prämiensolls) erreicht werden (Art. 78 KVV):</t>
  </si>
  <si>
    <t>10) KVG-Versicherer mit VVG Zusatzversicherungen</t>
  </si>
  <si>
    <t>KVG-Versicherer, welche eigene VVG-Zusatzversicherungen anbieten.</t>
  </si>
  <si>
    <r>
      <t xml:space="preserve">Minimale Reserve in % </t>
    </r>
    <r>
      <rPr>
        <b/>
        <vertAlign val="superscript"/>
        <sz val="10"/>
        <color indexed="8"/>
        <rFont val="Arial"/>
        <family val="2"/>
      </rPr>
      <t>*</t>
    </r>
  </si>
  <si>
    <t>Zusatzversicherungen VVG der vom BAG anerkannten Krankenversicherer</t>
  </si>
  <si>
    <t>Index (Tabellen)</t>
  </si>
  <si>
    <t>Krankenkasse Visp und Umgebung</t>
  </si>
  <si>
    <t>Mutuel Assurances</t>
  </si>
  <si>
    <t>Datenstand: 28.12.2005</t>
  </si>
  <si>
    <t>28.12.2005: 9.15</t>
  </si>
  <si>
    <t>Beilage B: Übergangsschlüssel Tabellen T  2003 -&gt; 2004 / 2004 -&gt; 2003</t>
  </si>
  <si>
    <t>8.10</t>
  </si>
  <si>
    <t>8.11</t>
  </si>
  <si>
    <t>8.12</t>
  </si>
  <si>
    <t>1.51</t>
  </si>
  <si>
    <t>9.20</t>
  </si>
  <si>
    <t>9.21</t>
  </si>
  <si>
    <t>(140 Tabellen)</t>
  </si>
  <si>
    <t>neu / Neuheit im Jahr 2004 (36)</t>
  </si>
  <si>
    <t>nicht vorhanden</t>
  </si>
  <si>
    <t>Daten pro Kanton (36)</t>
  </si>
  <si>
    <t>Beilage B</t>
  </si>
  <si>
    <t>Übergangsschlüssel Tabellen 2003 -&gt; 2004 / 2004 -&gt; 2003</t>
  </si>
  <si>
    <r>
      <t xml:space="preserve"> </t>
    </r>
    <r>
      <rPr>
        <b/>
        <sz val="10"/>
        <rFont val="Arial"/>
        <family val="2"/>
      </rPr>
      <t>inklusive Unfalldeckung der ordentlichen Franchise</t>
    </r>
    <r>
      <rPr>
        <sz val="10"/>
        <rFont val="Arial"/>
        <family val="2"/>
      </rPr>
      <t xml:space="preserve"> und auf den Versichertenbeständen nach Kantonen und nach Prämienregionen</t>
    </r>
  </si>
  <si>
    <t>Kosten des Gesundheitswesens in der Schweiz nach Leistungen ab 1996</t>
  </si>
  <si>
    <t>Kosten des Gesundheitswesens in der Schweiz aus der Sicht der Volkswirtschaft und pro Einwohner ab 1996</t>
  </si>
  <si>
    <t>Details des Finanzierungssaldos in Mio. Franken ab 1996</t>
  </si>
  <si>
    <t>Wohnbevölkerung, Ärzte mit Praxistätigkeit und Apotheken nach Kantonen</t>
  </si>
  <si>
    <t>Entwicklung der Wohnbevölkerung, der Ärzte mit Praxistätigkeit und der Apotheken ab 1996</t>
  </si>
  <si>
    <t>Aufteilung der Versicherten nach Art der Spitalzusatzversicherungen ab 1996</t>
  </si>
  <si>
    <t>Entwicklung der Preisindizes für Gesundheitspflege ab 1996</t>
  </si>
  <si>
    <t>Vorjahresveränderung der Preisindizes für Gesundheitspflege ab 1996</t>
  </si>
  <si>
    <t>Krankenversicherung bei den privaten Versicherungsunternehmungen ab 1996</t>
  </si>
  <si>
    <t>Taggeldversicherung KVG / VVG ab 1996</t>
  </si>
  <si>
    <t>Krankenversicherung (KVG-Versicherer und Privatversicherer) ab 1996</t>
  </si>
  <si>
    <t>Gesundheitskosten ausgewählter OECD–Länder in % des BIP ab 1996</t>
  </si>
  <si>
    <t>Sozialleistungen für die Gesundheitsversorgung : Internationaler Vergleich in % des BIP ab 1996</t>
  </si>
  <si>
    <t>T 9.03  Kosten des Gesundheitswesens in der Schweiz nach Leistungserbringer in Mio. Fr. ab 1996</t>
  </si>
  <si>
    <t>Sozialme-</t>
  </si>
  <si>
    <t>Ambulante</t>
  </si>
  <si>
    <t>Detail-</t>
  </si>
  <si>
    <t>Organisati-</t>
  </si>
  <si>
    <t>Total </t>
  </si>
  <si>
    <t>dizinische</t>
  </si>
  <si>
    <t>Versor-</t>
  </si>
  <si>
    <t>onen ohne</t>
  </si>
  <si>
    <t>Institu-</t>
  </si>
  <si>
    <t>Erwerbs-</t>
  </si>
  <si>
    <t>charakter</t>
  </si>
  <si>
    <t>1) Allgemeine Krankenhäuser; Psychiatrische Kliniken; Rehabilitationskliniken; andere Spezialkliniken.</t>
  </si>
  <si>
    <t>2) Institutionen für Betagte und Chronischkranke; Institutionen für Behinderte und andere Institutionen.</t>
  </si>
  <si>
    <t>3) Ärzte, Zahnärzte, Physiotherapeuten, Psychotherapeuten, Spitexdienste, medizinische Labors , (usw.).</t>
  </si>
  <si>
    <t>4) Apotheken, Drogerien und therapeutische Apparate.</t>
  </si>
  <si>
    <t>5) Bund, Kantone, Gemeinden.</t>
  </si>
  <si>
    <t>6) Krankenversicherer (KVG); Unfallversicherer (UVG); AHV-IV; Private Krankenversicherer (VVG).</t>
  </si>
  <si>
    <r>
      <t xml:space="preserve">Staat </t>
    </r>
    <r>
      <rPr>
        <vertAlign val="superscript"/>
        <sz val="11"/>
        <rFont val="Arial"/>
        <family val="2"/>
      </rPr>
      <t>5</t>
    </r>
  </si>
  <si>
    <r>
      <t xml:space="preserve">häuser </t>
    </r>
    <r>
      <rPr>
        <vertAlign val="superscript"/>
        <sz val="11"/>
        <rFont val="Arial"/>
        <family val="2"/>
      </rPr>
      <t>1</t>
    </r>
  </si>
  <si>
    <r>
      <t xml:space="preserve">handel </t>
    </r>
    <r>
      <rPr>
        <vertAlign val="superscript"/>
        <sz val="11"/>
        <rFont val="Arial"/>
        <family val="2"/>
      </rPr>
      <t>4</t>
    </r>
  </si>
  <si>
    <r>
      <t xml:space="preserve">cherer </t>
    </r>
    <r>
      <rPr>
        <vertAlign val="superscript"/>
        <sz val="11"/>
        <rFont val="Arial"/>
        <family val="2"/>
      </rPr>
      <t>6</t>
    </r>
  </si>
  <si>
    <r>
      <t xml:space="preserve">gung </t>
    </r>
    <r>
      <rPr>
        <vertAlign val="superscript"/>
        <sz val="11"/>
        <rFont val="Arial"/>
        <family val="2"/>
      </rPr>
      <t>3</t>
    </r>
  </si>
  <si>
    <r>
      <t xml:space="preserve">tionen </t>
    </r>
    <r>
      <rPr>
        <vertAlign val="superscript"/>
        <sz val="11"/>
        <rFont val="Arial"/>
        <family val="2"/>
      </rPr>
      <t>2</t>
    </r>
  </si>
  <si>
    <t>T 9.02  Kosten des Gesundheitswesens in der Schweiz nach Direktzahler in Mio. Fr. ab 1996</t>
  </si>
  <si>
    <t>Sozial-</t>
  </si>
  <si>
    <t>Privat-</t>
  </si>
  <si>
    <t>Private</t>
  </si>
  <si>
    <t>Haus-</t>
  </si>
  <si>
    <t>private</t>
  </si>
  <si>
    <t>rungen</t>
  </si>
  <si>
    <t>Finanzie-</t>
  </si>
  <si>
    <t>1) Öffentliche Sicherheit, Rettungsdienste, Stationäre Betriebe, Ambulante Krankenpflege, Verwaltung, Prävention (usw.).</t>
  </si>
  <si>
    <t>2) Krankenversicherung KVG (Grundversicherung); Unfallversicherung UVG; AHV-IV; Militärversicherung.</t>
  </si>
  <si>
    <t>3) KVG-Versicherer &amp; private Versicherer.</t>
  </si>
  <si>
    <t>4) Kostenbeteiligung &amp; "Out of pocket".</t>
  </si>
  <si>
    <t xml:space="preserve">5) Spenden und Vermächtnisse an Institutionen ohne Erwerbscharakter (Pflegeheim, Institution für Behinderte, Spitexorganisation usw.) </t>
  </si>
  <si>
    <r>
      <t xml:space="preserve">Staat </t>
    </r>
    <r>
      <rPr>
        <vertAlign val="superscript"/>
        <sz val="11"/>
        <rFont val="Arial"/>
        <family val="2"/>
      </rPr>
      <t>1</t>
    </r>
  </si>
  <si>
    <r>
      <t xml:space="preserve">rungen </t>
    </r>
    <r>
      <rPr>
        <vertAlign val="superscript"/>
        <sz val="11"/>
        <rFont val="Arial"/>
        <family val="2"/>
      </rPr>
      <t>2</t>
    </r>
  </si>
  <si>
    <r>
      <t xml:space="preserve">halte </t>
    </r>
    <r>
      <rPr>
        <vertAlign val="superscript"/>
        <sz val="11"/>
        <rFont val="Arial"/>
        <family val="2"/>
      </rPr>
      <t>4</t>
    </r>
  </si>
  <si>
    <r>
      <t xml:space="preserve">VVG </t>
    </r>
    <r>
      <rPr>
        <vertAlign val="superscript"/>
        <sz val="11"/>
        <rFont val="Arial"/>
        <family val="2"/>
      </rPr>
      <t>3</t>
    </r>
  </si>
  <si>
    <r>
      <t xml:space="preserve">rung </t>
    </r>
    <r>
      <rPr>
        <vertAlign val="superscript"/>
        <sz val="11"/>
        <rFont val="Arial"/>
        <family val="2"/>
      </rPr>
      <t>5</t>
    </r>
  </si>
  <si>
    <t>Regimes der</t>
  </si>
  <si>
    <t>sozialen</t>
  </si>
  <si>
    <t>1) Subventionen an die Leistungserbringer (Krankenhäuser, usw.); Gesundheitswesen, Verwaltung und Prävention.</t>
  </si>
  <si>
    <t>2) Unfallversicherung UVG, AHV-IV und Militärversicherung.</t>
  </si>
  <si>
    <t>3) Verbilligung KVG-Prämien; Ergänzungsleistungen AHV und IV; Sozialhilfe; Hilflosenschädigung:</t>
  </si>
  <si>
    <t xml:space="preserve">     Regimes der Sozialen Sicherheit, die nicht als Direktzahler in diser Statistik betrachtet sind.</t>
  </si>
  <si>
    <t>4) Aufwand der Krankenversicherung (Betrag der Zahlungen der Krankenversicherung an das Gesundheitswesen, abzüglich Beiträge</t>
  </si>
  <si>
    <t xml:space="preserve">    an die Versicherten für die Prämienverbilligung); Kostenbeteiligungen; "Out of pocket".</t>
  </si>
  <si>
    <t>Quelle: Kosten des Gesundheitswesens 1995-2000 &amp; Kosten und Finanzierung des Gesundheitswesens 2002/2003, BFS</t>
  </si>
  <si>
    <r>
      <t xml:space="preserve">Sicherheit </t>
    </r>
    <r>
      <rPr>
        <vertAlign val="superscript"/>
        <sz val="11"/>
        <rFont val="Arial"/>
        <family val="2"/>
      </rPr>
      <t>3</t>
    </r>
  </si>
  <si>
    <t>T 9.04  Kosten des Gesundheitswesens in der Schweiz nach Leistungen in Mio. Fr. ab 1996</t>
  </si>
  <si>
    <t>Stationäre</t>
  </si>
  <si>
    <t>Verkauf</t>
  </si>
  <si>
    <t>Verwaltung</t>
  </si>
  <si>
    <t>und</t>
  </si>
  <si>
    <t>Behandlung</t>
  </si>
  <si>
    <t>Gesund-</t>
  </si>
  <si>
    <t>teilstationäre</t>
  </si>
  <si>
    <t>1) Akutbehandlung Inkl. Psychiatrie; Rehabilitation; Lagzeit; Andere.</t>
  </si>
  <si>
    <t>2) Medizinische Laboruntersuchungen (in medizinischen Labors); Radiologie; Transport und Rettung; Andere.</t>
  </si>
  <si>
    <t>3) Arzneimittel durch Detailhandel; Arzneimittel durch Ärzte; Therapeutische Apparate.</t>
  </si>
  <si>
    <t>4) Alkohol- und Drogenmissbrauch; Schulgesundheit, usw.</t>
  </si>
  <si>
    <r>
      <t xml:space="preserve">Prävention </t>
    </r>
    <r>
      <rPr>
        <vertAlign val="superscript"/>
        <sz val="11"/>
        <rFont val="Arial"/>
        <family val="2"/>
      </rPr>
      <t>4</t>
    </r>
  </si>
  <si>
    <r>
      <t xml:space="preserve">Leistungen </t>
    </r>
    <r>
      <rPr>
        <vertAlign val="superscript"/>
        <sz val="11"/>
        <rFont val="Arial"/>
        <family val="2"/>
      </rPr>
      <t>2</t>
    </r>
  </si>
  <si>
    <r>
      <t xml:space="preserve">heitsgüter </t>
    </r>
    <r>
      <rPr>
        <vertAlign val="superscript"/>
        <sz val="11"/>
        <rFont val="Arial"/>
        <family val="2"/>
      </rPr>
      <t>3</t>
    </r>
  </si>
  <si>
    <r>
      <t xml:space="preserve">Behandlung </t>
    </r>
    <r>
      <rPr>
        <vertAlign val="superscript"/>
        <sz val="11"/>
        <rFont val="Arial"/>
        <family val="2"/>
      </rPr>
      <t>1</t>
    </r>
  </si>
  <si>
    <t>T 9.05 Kosten des Gesundheitswesens in der Schweiz aus der Sicht der Volkswirtschaft in Mio. Fr. und pro Einwohner in Fr. ab 1996</t>
  </si>
  <si>
    <t>Unter-</t>
  </si>
  <si>
    <t>Total pro</t>
  </si>
  <si>
    <t>Einwohner</t>
  </si>
  <si>
    <t>1) Beiträge an Leistungserbringer; Gesundheitswesen,Verwaltung und Prävention; Verbilligung KVG-Prämien; Andere Soziale Sicherheit.</t>
  </si>
  <si>
    <t>2) Unfallversicherung UVG &amp; AHV-IV: Beiträge und Prämien der Arbeitgeber, der Arbeitnehmer und der Selbständigerwerbenden.</t>
  </si>
  <si>
    <t>3) Aufwand der Krankenversicherung (Betrag der Zahlungen der Krankenversicherung an das Gesundheitswesen, abzüglich Beiträge</t>
  </si>
  <si>
    <t xml:space="preserve"> an die Versicherten für die Prämienverbilligung); Kostenbeteiligung; "Out of pocket"; Andere private Finanzierung.</t>
  </si>
  <si>
    <r>
      <t xml:space="preserve">nehmungen </t>
    </r>
    <r>
      <rPr>
        <vertAlign val="superscript"/>
        <sz val="11"/>
        <rFont val="Arial"/>
        <family val="2"/>
      </rPr>
      <t>2</t>
    </r>
  </si>
  <si>
    <r>
      <t xml:space="preserve">Haushalte </t>
    </r>
    <r>
      <rPr>
        <vertAlign val="superscript"/>
        <sz val="11"/>
        <rFont val="Arial"/>
        <family val="2"/>
      </rPr>
      <t>3</t>
    </r>
  </si>
  <si>
    <t>Datenstand: 19.8.2005</t>
  </si>
  <si>
    <t>Quelle: Kosten des Gesundheitswesens 1995-2000 &amp; Kosten und Finanzierung des Gesundheitswesens 2002/2003, BFS &amp; T 9.10.</t>
  </si>
  <si>
    <t>T 6.01 Prämien, Leistungen, Versichertenbestand und Versichererbestand ab 1996</t>
  </si>
  <si>
    <t>Prämien-</t>
  </si>
  <si>
    <t>Leistun-</t>
  </si>
  <si>
    <t>Versi-</t>
  </si>
  <si>
    <t>soll pro</t>
  </si>
  <si>
    <t>gen pro</t>
  </si>
  <si>
    <t>cherten-</t>
  </si>
  <si>
    <t>cherer-</t>
  </si>
  <si>
    <t>Versicherte(n)</t>
  </si>
  <si>
    <t>bestand</t>
  </si>
  <si>
    <t>te(n) in Fr.</t>
  </si>
  <si>
    <t>Quelle: T 6.03</t>
  </si>
  <si>
    <t>1) Versichertenbestand am 31.12. Die Werte 1997 bis 1999 des Versichertenbestands wurden revidiert.</t>
  </si>
  <si>
    <r>
      <t xml:space="preserve">bestand </t>
    </r>
    <r>
      <rPr>
        <vertAlign val="superscript"/>
        <sz val="11"/>
        <rFont val="Arial"/>
        <family val="2"/>
      </rPr>
      <t>1</t>
    </r>
  </si>
  <si>
    <t>Einkommens-, Vermögens-, Ertrags- und Kapitalsteuer VVG</t>
  </si>
  <si>
    <t>Total neutraler Aufwand/Ertrag</t>
  </si>
  <si>
    <t>6 / 7</t>
  </si>
  <si>
    <t>Total des Gesamtertrages</t>
  </si>
  <si>
    <t>800 – 801</t>
  </si>
  <si>
    <t>Rückschlag Gesamtbetriebsrechnung</t>
  </si>
  <si>
    <t>Gesamt-Total</t>
  </si>
  <si>
    <t>1) Mit Versicherten, die dem Versicherungsobligatorium unterstehen und in einem EU- oder EFTA-Staat Wohnsitz haben (EWG);</t>
  </si>
  <si>
    <t>[T 1.27 + T 1.50].</t>
  </si>
  <si>
    <t xml:space="preserve">2) Jene Zusatzversicherungen VVG, welche auch unternehmensrechtlich vom KVG-Bereich eines Versicherers abgetrennt werden, </t>
  </si>
  <si>
    <t>entziehen sich der Sicht der BSV-Krankenversicherungsstatistik.</t>
  </si>
  <si>
    <t>Quelle: Formular EF1 [8,9]</t>
  </si>
  <si>
    <r>
      <t xml:space="preserve">Obligatorische Krankenpflegeversicherung KVG </t>
    </r>
    <r>
      <rPr>
        <vertAlign val="superscript"/>
        <sz val="11"/>
        <rFont val="Arial"/>
        <family val="2"/>
      </rPr>
      <t>1</t>
    </r>
  </si>
  <si>
    <r>
      <t xml:space="preserve">Zusatzversicherungen VVG, inkl. Taggeld VVG </t>
    </r>
    <r>
      <rPr>
        <vertAlign val="superscript"/>
        <sz val="11"/>
        <rFont val="Arial"/>
        <family val="2"/>
      </rPr>
      <t>2</t>
    </r>
  </si>
  <si>
    <t xml:space="preserve">T 8.06  Gesamtbetriebsrechnung: Aufwand der Versicherer </t>
  </si>
  <si>
    <t>Kostenbeteiligung der Versicherten</t>
  </si>
  <si>
    <t>30 – 33</t>
  </si>
  <si>
    <t>der Ein-</t>
  </si>
  <si>
    <t>sicherers</t>
  </si>
  <si>
    <t>versicherte</t>
  </si>
  <si>
    <t>lungen pro</t>
  </si>
  <si>
    <t xml:space="preserve"> in Mio. Fr.</t>
  </si>
  <si>
    <t>mit VVG</t>
  </si>
  <si>
    <t>bene Reserve</t>
  </si>
  <si>
    <t>cherte Per-</t>
  </si>
  <si>
    <t>nahmen</t>
  </si>
  <si>
    <t>bungen pro</t>
  </si>
  <si>
    <t xml:space="preserve"> Person</t>
  </si>
  <si>
    <t>Zusatzver-</t>
  </si>
  <si>
    <t>son in Fr.</t>
  </si>
  <si>
    <t xml:space="preserve"> in % der </t>
  </si>
  <si>
    <t xml:space="preserve"> in Fr.</t>
  </si>
  <si>
    <t>Person</t>
  </si>
  <si>
    <t>sicherungen</t>
  </si>
  <si>
    <t>(+) in Mio. Fr.</t>
  </si>
  <si>
    <t>(-) in Mio. Fr.</t>
  </si>
  <si>
    <t>Ausgaben</t>
  </si>
  <si>
    <t>Person in Fr.</t>
  </si>
  <si>
    <t>in Fr.</t>
  </si>
  <si>
    <t>Quelle und Erklärungen: T 5.02</t>
  </si>
  <si>
    <t xml:space="preserve">BAG-Nr. nur wenn EF1.12A Total  &gt; 0 </t>
  </si>
  <si>
    <t>27.7.05:  5.01, 5.03, Teil 7</t>
  </si>
  <si>
    <t>1) Auswirkung der Prämienentwicklung auf das Wachstum des verfügbaren Einkommens der Haushalte in %. Quelle: Siehe 3).</t>
  </si>
  <si>
    <t>2) Quelle: T 1.10. Effektive Erhöhungen für alle Versicherungsmodelle.</t>
  </si>
  <si>
    <t>Werte der effektiven Erhöhung der Prämien nach Altersgruppen und Versicherungsform: vgl. T 1.44.</t>
  </si>
  <si>
    <t>3) Quelle: BFS, Sektion Preise und Verbrauch. Krankenversicherungsprämienindex (KVPI) seit 1999.</t>
  </si>
  <si>
    <r>
      <t xml:space="preserve">Obligatorische Krankenpflegeversicherung (OKP) </t>
    </r>
    <r>
      <rPr>
        <b/>
        <vertAlign val="superscript"/>
        <sz val="11"/>
        <rFont val="Arial"/>
        <family val="2"/>
      </rPr>
      <t>2</t>
    </r>
  </si>
  <si>
    <r>
      <t xml:space="preserve">Spitalzusatzversicherungen </t>
    </r>
    <r>
      <rPr>
        <b/>
        <vertAlign val="superscript"/>
        <sz val="11"/>
        <rFont val="Arial"/>
        <family val="2"/>
      </rPr>
      <t>3</t>
    </r>
  </si>
  <si>
    <r>
      <t xml:space="preserve">in %  </t>
    </r>
    <r>
      <rPr>
        <vertAlign val="superscript"/>
        <sz val="10"/>
        <rFont val="Arial"/>
        <family val="2"/>
      </rPr>
      <t>1</t>
    </r>
  </si>
  <si>
    <r>
      <t xml:space="preserve">2005 </t>
    </r>
    <r>
      <rPr>
        <i/>
        <vertAlign val="superscript"/>
        <sz val="11"/>
        <rFont val="Arial"/>
        <family val="2"/>
      </rPr>
      <t>4</t>
    </r>
  </si>
  <si>
    <r>
      <t xml:space="preserve">Werte der </t>
    </r>
    <r>
      <rPr>
        <u/>
        <sz val="10"/>
        <rFont val="Arial"/>
        <family val="2"/>
      </rPr>
      <t>geschätzten</t>
    </r>
    <r>
      <rPr>
        <sz val="10"/>
        <rFont val="Arial"/>
        <family val="2"/>
      </rPr>
      <t xml:space="preserve"> Erhöhung der Prämien pro Kanton und Altersgruppen für die ordentliche Franchise: vgl. T 3.02, 3.04 und 3.06.</t>
    </r>
  </si>
  <si>
    <t>1) Ausgaben für die Krankenversicherung: Prämien + Kostenbeteiligung für die OKP.</t>
  </si>
  <si>
    <t>2) Quelle: T 1.41. Effektive Erhöhungen für alle Versicherungsmodelle.</t>
  </si>
  <si>
    <r>
      <t xml:space="preserve">T 9.15 Index der Krankenversicherungsausgaben </t>
    </r>
    <r>
      <rPr>
        <b/>
        <vertAlign val="superscript"/>
        <sz val="12"/>
        <rFont val="Arial"/>
        <family val="2"/>
      </rPr>
      <t>1</t>
    </r>
    <r>
      <rPr>
        <b/>
        <sz val="12"/>
        <rFont val="Arial"/>
        <family val="2"/>
      </rPr>
      <t xml:space="preserve"> je versicherte Person nach Versicherungsart ab 1996 (Basis 1999 = 100)</t>
    </r>
  </si>
  <si>
    <r>
      <t xml:space="preserve">Werte der </t>
    </r>
    <r>
      <rPr>
        <u/>
        <sz val="10"/>
        <rFont val="Arial"/>
        <family val="2"/>
      </rPr>
      <t>effektiven</t>
    </r>
    <r>
      <rPr>
        <sz val="10"/>
        <rFont val="Arial"/>
        <family val="2"/>
      </rPr>
      <t xml:space="preserve"> Erhöhung der Prämien nach Altersgruppen und Versicherungsform: vgl. T 1.44.</t>
    </r>
  </si>
  <si>
    <r>
      <t xml:space="preserve">Werte der </t>
    </r>
    <r>
      <rPr>
        <u/>
        <sz val="10"/>
        <rFont val="Arial"/>
        <family val="2"/>
      </rPr>
      <t>effektiven</t>
    </r>
    <r>
      <rPr>
        <sz val="10"/>
        <rFont val="Arial"/>
        <family val="2"/>
      </rPr>
      <t xml:space="preserve"> Erhöhung der Kostenbeteiligung nach Altersgruppen und Versicherungsform: vgl. T 1.45.</t>
    </r>
  </si>
  <si>
    <r>
      <t xml:space="preserve">Werte der </t>
    </r>
    <r>
      <rPr>
        <u/>
        <sz val="10"/>
        <rFont val="Arial"/>
        <family val="2"/>
      </rPr>
      <t>effektiven</t>
    </r>
    <r>
      <rPr>
        <sz val="10"/>
        <rFont val="Arial"/>
        <family val="2"/>
      </rPr>
      <t xml:space="preserve"> Erhöhung der gesamten Ausgaben nach Altersgruppen und Versicherungsform: vgl. T 1.46.</t>
    </r>
  </si>
  <si>
    <t>Quelle: Formular EF2 [2.8] &amp; EF1 [1.12C]</t>
  </si>
  <si>
    <r>
      <t xml:space="preserve">T 7.03  Betriebsrechnung der Zusatzversicherungen VVG </t>
    </r>
    <r>
      <rPr>
        <b/>
        <vertAlign val="superscript"/>
        <sz val="12"/>
        <rFont val="Arial"/>
        <family val="2"/>
      </rPr>
      <t>1</t>
    </r>
  </si>
  <si>
    <t xml:space="preserve">T 7.02  Indikatoren der Betriebsrechnung der anderen Versicherungen in Franken </t>
  </si>
  <si>
    <t>Zusatzversi-</t>
  </si>
  <si>
    <t>Kranken-</t>
  </si>
  <si>
    <t>cherungen</t>
  </si>
  <si>
    <t>pflegever-</t>
  </si>
  <si>
    <t>VVG</t>
  </si>
  <si>
    <t>sicherung</t>
  </si>
  <si>
    <t>Liechten-</t>
  </si>
  <si>
    <t>wohnhaft</t>
  </si>
  <si>
    <t>stein</t>
  </si>
  <si>
    <t xml:space="preserve"> im Ausland</t>
  </si>
  <si>
    <t>Versicherungsertrag</t>
  </si>
  <si>
    <t>davon Brutto-Prämien</t>
  </si>
  <si>
    <t>Neutraler Aufwand/Ertrag</t>
  </si>
  <si>
    <t>Total des Gesamtertrags</t>
  </si>
  <si>
    <t>Versicherungsaufwand</t>
  </si>
  <si>
    <t>davon Brutto-Leistungen</t>
  </si>
  <si>
    <t>Betriebsaufwand</t>
  </si>
  <si>
    <t>Total Vers.- und Betriebsaufwand</t>
  </si>
  <si>
    <t>Quelle: T 7.03, 7.04, 7.05</t>
  </si>
  <si>
    <t>Total des</t>
  </si>
  <si>
    <t>Total Ver-</t>
  </si>
  <si>
    <t>sicherungs-</t>
  </si>
  <si>
    <t>betriebs-</t>
  </si>
  <si>
    <t>ertrags</t>
  </si>
  <si>
    <t>und Betriebs-</t>
  </si>
  <si>
    <t>aufwand</t>
  </si>
  <si>
    <t>1) Zusammenzug der «Zusatzversicherungen VVG»,</t>
  </si>
  <si>
    <t>«Krankenpflegeversicherung Liechtenstein» und «Zusatzversicherungen Versicherte wohnhaft im Ausland».</t>
  </si>
  <si>
    <t>T 1.10  Prämiensoll in Franken je versicherte Person nach Versicherungsform ab 1996</t>
  </si>
  <si>
    <r>
      <t xml:space="preserve">Zusätzliche Angaben : nach Altersgruppe ab 1996 </t>
    </r>
    <r>
      <rPr>
        <b/>
        <vertAlign val="superscript"/>
        <sz val="12"/>
        <rFont val="Arial"/>
        <family val="2"/>
      </rPr>
      <t>2</t>
    </r>
  </si>
  <si>
    <t>Stand der Reserven per 31.12. ab 1996</t>
  </si>
  <si>
    <t xml:space="preserve">Stand der Rückstellungen per 31.12. für unerledigte Versicherungsfälle ab 1996 </t>
  </si>
  <si>
    <t>Verteilung der Versicherungsformen in % - Versicherte ab 19 Jahren seit 1996</t>
  </si>
  <si>
    <t>Verteilung der Versicherungsformen in % - Versicherte 0-18 Jahre seit 1996</t>
  </si>
  <si>
    <t>Quelle: T 1.19 / T 1.05</t>
  </si>
  <si>
    <t xml:space="preserve">Quelle: DATENPOOL santésuisse / Auswertung BAG / Abdeckungsgrad der Erhebung  CH: </t>
  </si>
  <si>
    <t>2) Im Jahr 1996/97:  wählbare Jahresfranchisen: 300.-  600.-  1200.-  1500.-</t>
  </si>
  <si>
    <t>3) Diese Auswertung basiert auf der Gesamtheit der Versicherten, für die Alter, Geschlecht, Kanton, Versicherungsform und Franchisehöhe bekannt sind.</t>
  </si>
  <si>
    <r>
      <t xml:space="preserve">T 1.20  Kostenbeteiligung </t>
    </r>
    <r>
      <rPr>
        <b/>
        <vertAlign val="superscript"/>
        <sz val="12"/>
        <rFont val="Arial"/>
        <family val="2"/>
      </rPr>
      <t>1</t>
    </r>
    <r>
      <rPr>
        <b/>
        <sz val="12"/>
        <rFont val="Arial"/>
        <family val="2"/>
      </rPr>
      <t xml:space="preserve"> je versicherte Person in Franken nach Versicherungsform ab 1996</t>
    </r>
  </si>
  <si>
    <r>
      <t xml:space="preserve">Zusätzliche Angaben : nach Altersgruppe ab 1996 </t>
    </r>
    <r>
      <rPr>
        <b/>
        <vertAlign val="superscript"/>
        <sz val="12"/>
        <rFont val="Arial"/>
        <family val="2"/>
      </rPr>
      <t>3</t>
    </r>
  </si>
  <si>
    <r>
      <t xml:space="preserve">1996 </t>
    </r>
    <r>
      <rPr>
        <vertAlign val="superscript"/>
        <sz val="11"/>
        <rFont val="Arial"/>
        <family val="2"/>
      </rPr>
      <t>2</t>
    </r>
  </si>
  <si>
    <r>
      <t xml:space="preserve">1997 </t>
    </r>
    <r>
      <rPr>
        <vertAlign val="superscript"/>
        <sz val="11"/>
        <rFont val="Arial"/>
        <family val="2"/>
      </rPr>
      <t>2</t>
    </r>
  </si>
  <si>
    <t>T 1.19  Kostenbeteiligung der Versicherten in Franken nach Versicherungsform ab 1996</t>
  </si>
  <si>
    <t>Quelle: T 1.28; 1.29; 1.30; 1.31 [32]</t>
  </si>
  <si>
    <t>T 1.13  Leistungen (brutto) in Franken nach Versicherungsform ab 1996</t>
  </si>
  <si>
    <t>Quelle: T 1.39</t>
  </si>
  <si>
    <t>T 1.09  Prämiensoll in Franken nach Versicherungsform ab 1996</t>
  </si>
  <si>
    <t>Quelle: T 1.11</t>
  </si>
  <si>
    <t>T 1.07 Erkrankte, Spitaleinweisungen und Spitaltage ab 1996</t>
  </si>
  <si>
    <t>Einwei-</t>
  </si>
  <si>
    <t>2) Die Zeitreihen der Einweisungen und besonders der Spitaltage sind von beschränkter Aussagekraft;</t>
  </si>
  <si>
    <t>der Grund liegt darin, dass vor 1999 nicht von allen Versicherern die Einweisungen und Tage in Pflegeheime(n) vollständig ausge-</t>
  </si>
  <si>
    <t>schieden werden konnten. So ist insbesondere auch die starke Abnahme der Spitaltage zwischen 1998 und 1999 auf diese</t>
  </si>
  <si>
    <t>"Nicht-mehr-Berücksichtigung" von Pflegeheimtagen durch grosse Versicherer zurückzuführen und darf somit nicht als echte</t>
  </si>
  <si>
    <t>Abnahme der Spitaltage im Spital stationär fehlinterpretiert werden.</t>
  </si>
  <si>
    <t>Quelle: T 1.08</t>
  </si>
  <si>
    <t xml:space="preserve">Beilage G1: </t>
  </si>
  <si>
    <t>Übergangsschlüssel Tabellen * 1996 -&gt; 2004</t>
  </si>
  <si>
    <t>Publikation 1996</t>
  </si>
  <si>
    <t>Publikation 1997</t>
  </si>
  <si>
    <t>Publikation 1998</t>
  </si>
  <si>
    <t>Publikation 1999</t>
  </si>
  <si>
    <t>Publikation 2000</t>
  </si>
  <si>
    <t>Publikation 2001</t>
  </si>
  <si>
    <t>Publikation 2002</t>
  </si>
  <si>
    <t>Publikation 2003</t>
  </si>
  <si>
    <t>Publikation 2004</t>
  </si>
  <si>
    <t>A 01</t>
  </si>
  <si>
    <t>8.01+ 8.02</t>
  </si>
  <si>
    <t>A 02 A</t>
  </si>
  <si>
    <t>A 02 B</t>
  </si>
  <si>
    <t>A 03 A</t>
  </si>
  <si>
    <t>A 03 B</t>
  </si>
  <si>
    <t>A 04 A</t>
  </si>
  <si>
    <t>A 04 B</t>
  </si>
  <si>
    <t>A 05 A</t>
  </si>
  <si>
    <t>A 05 B</t>
  </si>
  <si>
    <t>A 06</t>
  </si>
  <si>
    <t>A 07</t>
  </si>
  <si>
    <t>A 08 A</t>
  </si>
  <si>
    <t>A 08 B</t>
  </si>
  <si>
    <t>A 09 A</t>
  </si>
  <si>
    <t>A 09 B</t>
  </si>
  <si>
    <t>A 10</t>
  </si>
  <si>
    <t>A 11</t>
  </si>
  <si>
    <t>A 12 A</t>
  </si>
  <si>
    <t>A 12 B</t>
  </si>
  <si>
    <t>A 13 B</t>
  </si>
  <si>
    <t>A 13 A</t>
  </si>
  <si>
    <t>B 01</t>
  </si>
  <si>
    <t>B 02</t>
  </si>
  <si>
    <t>B 03 A</t>
  </si>
  <si>
    <t>B 03 B</t>
  </si>
  <si>
    <t>B 04 A</t>
  </si>
  <si>
    <t>B 04 B</t>
  </si>
  <si>
    <t>B 05 A</t>
  </si>
  <si>
    <t>B 05 B</t>
  </si>
  <si>
    <t>B 06 A</t>
  </si>
  <si>
    <t>B 06 B</t>
  </si>
  <si>
    <t>B 07 A</t>
  </si>
  <si>
    <t>B 07 B</t>
  </si>
  <si>
    <t>B 08 A</t>
  </si>
  <si>
    <t>B 08 B</t>
  </si>
  <si>
    <t>B 09 A</t>
  </si>
  <si>
    <t>B 09 B</t>
  </si>
  <si>
    <t>B 10 A</t>
  </si>
  <si>
    <t>B 10 B</t>
  </si>
  <si>
    <t>B 11 A</t>
  </si>
  <si>
    <t>B 11 B</t>
  </si>
  <si>
    <t>B 12 A</t>
  </si>
  <si>
    <t>B 12 B</t>
  </si>
  <si>
    <t>B 13 A</t>
  </si>
  <si>
    <t>B 13 B</t>
  </si>
  <si>
    <t>B 14</t>
  </si>
  <si>
    <t>B 15</t>
  </si>
  <si>
    <t>B 16</t>
  </si>
  <si>
    <t>B 17</t>
  </si>
  <si>
    <t>B 18</t>
  </si>
  <si>
    <t>C 01 A</t>
  </si>
  <si>
    <t>C 01 B</t>
  </si>
  <si>
    <t>C 02 A</t>
  </si>
  <si>
    <t>C 02 B</t>
  </si>
  <si>
    <t>C 03</t>
  </si>
  <si>
    <t>C 04</t>
  </si>
  <si>
    <t>C 05</t>
  </si>
  <si>
    <t>D 01 A</t>
  </si>
  <si>
    <t>D 01 B</t>
  </si>
  <si>
    <t>D 02</t>
  </si>
  <si>
    <t>D 03</t>
  </si>
  <si>
    <t>D 04</t>
  </si>
  <si>
    <t>E 01 A</t>
  </si>
  <si>
    <t>E 01 B</t>
  </si>
  <si>
    <t xml:space="preserve">E 01 </t>
  </si>
  <si>
    <t>E 02</t>
  </si>
  <si>
    <t>E 03</t>
  </si>
  <si>
    <t>E 04</t>
  </si>
  <si>
    <t>E 05</t>
  </si>
  <si>
    <t>E 06</t>
  </si>
  <si>
    <t>E 07</t>
  </si>
  <si>
    <t>E 08</t>
  </si>
  <si>
    <t>E 09</t>
  </si>
  <si>
    <t>E 10</t>
  </si>
  <si>
    <t>E 11</t>
  </si>
  <si>
    <t>F 01</t>
  </si>
  <si>
    <t>F 02</t>
  </si>
  <si>
    <t>F 03</t>
  </si>
  <si>
    <t>F 04</t>
  </si>
  <si>
    <t>F 05</t>
  </si>
  <si>
    <t>G 01</t>
  </si>
  <si>
    <t>H 01</t>
  </si>
  <si>
    <t>G 02 A</t>
  </si>
  <si>
    <t>H 02 A</t>
  </si>
  <si>
    <t>G 02 B</t>
  </si>
  <si>
    <t>H 02 B</t>
  </si>
  <si>
    <t>G 03</t>
  </si>
  <si>
    <t>H 03</t>
  </si>
  <si>
    <t>G 04 A</t>
  </si>
  <si>
    <t>H 04 A</t>
  </si>
  <si>
    <t>G 04 B</t>
  </si>
  <si>
    <t>H 04 B</t>
  </si>
  <si>
    <t>G 05</t>
  </si>
  <si>
    <t>H 05</t>
  </si>
  <si>
    <t xml:space="preserve">G 06 </t>
  </si>
  <si>
    <t xml:space="preserve">H 06 </t>
  </si>
  <si>
    <t>H 06</t>
  </si>
  <si>
    <t>G 07</t>
  </si>
  <si>
    <t>H 07</t>
  </si>
  <si>
    <t>G 08</t>
  </si>
  <si>
    <t>H 08</t>
  </si>
  <si>
    <t>9.10</t>
  </si>
  <si>
    <t>G 09</t>
  </si>
  <si>
    <t>H 09</t>
  </si>
  <si>
    <t>G 01 A</t>
  </si>
  <si>
    <t>2.01 + 2.02</t>
  </si>
  <si>
    <t>10.01 + 10.02</t>
  </si>
  <si>
    <t>G 03 A</t>
  </si>
  <si>
    <t>G 03 B</t>
  </si>
  <si>
    <t>G 04</t>
  </si>
  <si>
    <t>G 06</t>
  </si>
  <si>
    <t>G 10</t>
  </si>
  <si>
    <t>G 11</t>
  </si>
  <si>
    <t>G 12</t>
  </si>
  <si>
    <t>2.10</t>
  </si>
  <si>
    <t xml:space="preserve">* : Teil Tabellen </t>
  </si>
  <si>
    <t xml:space="preserve">Beilage G2: </t>
  </si>
  <si>
    <t>Übergangsschlüssel Tabellen *  2004 -&gt; 1996</t>
  </si>
  <si>
    <t xml:space="preserve">Publikation 2000 </t>
  </si>
  <si>
    <t>F 02 -&gt; F 05</t>
  </si>
  <si>
    <t>F 01 -&gt; F 03</t>
  </si>
  <si>
    <t>3.11</t>
  </si>
  <si>
    <t>3.12</t>
  </si>
  <si>
    <t>3.13</t>
  </si>
  <si>
    <t>5.01 -&gt; 5.03</t>
  </si>
  <si>
    <t>5.00</t>
  </si>
  <si>
    <t>H 06 + H 07</t>
  </si>
  <si>
    <t>G 06 + G 07</t>
  </si>
  <si>
    <t>Beilage I : Index (Tabellen)</t>
  </si>
  <si>
    <t>8: Gesamtgeschäft der vom BAG anerkannten Krankenversicherer</t>
  </si>
  <si>
    <t>Anzahl Versicherer ab 1996</t>
  </si>
  <si>
    <t>Stellen- und Personalbestand der Versicherer ab 1996</t>
  </si>
  <si>
    <t>Ertrag, Aufwand und Ergebnis der Versicherer ab 1996</t>
  </si>
  <si>
    <t>Gesamtbetriebsrechnung: Ertrag der Versicherer</t>
  </si>
  <si>
    <t xml:space="preserve">Gesamtbetriebsrechnung: Aufwand der Versicherer </t>
  </si>
  <si>
    <t>Aktiven und Passiven der Versicherer ab 1996</t>
  </si>
  <si>
    <t xml:space="preserve">Eigenkapital und Eigenkapitalquote der Versicherer ab 1996 </t>
  </si>
  <si>
    <t>Bilanz: Aktiven der Versicherer per 31.12.</t>
  </si>
  <si>
    <t>Bilanz: Passiven der Versicherer per 31.12.</t>
  </si>
  <si>
    <t>Aufstellung über Kapitalanlagen, Grundstücke und Gebäude per 31.12.</t>
  </si>
  <si>
    <t>Ergebnisverteilung per 31.12.</t>
  </si>
  <si>
    <t>7: Andere Versicherungen der vom BAG anerkannten Krankenversicherer</t>
  </si>
  <si>
    <t>Ertrag, Aufwand und Ergebnis der anderen Versicherungen insgesamt ab 1996</t>
  </si>
  <si>
    <t>Indikatoren der Betriebsrechnung der anderen Versicherungen</t>
  </si>
  <si>
    <t>Betriebsrechnung der Zusatzversicherungen VVG</t>
  </si>
  <si>
    <t xml:space="preserve">Betriebsrechnung der Krankenpflegeversicherung Liechtenstein </t>
  </si>
  <si>
    <t>Betriebsrechnung der Zusatzversicherungen Versicherte wohnhaft im Ausland</t>
  </si>
  <si>
    <t>6: Freiwillige Taggeldversicherung KVG</t>
  </si>
  <si>
    <t>Ertrag, Aufwand und Ergebnis ab 1996</t>
  </si>
  <si>
    <t>Versicherer, Versicherte, Prämien und Leistungen nach Einzel- u. Kollektivverträgen</t>
  </si>
  <si>
    <t xml:space="preserve">Betriebsrechnung der Einzel- und Kollektivversicherung insgesamt </t>
  </si>
  <si>
    <t xml:space="preserve">Betriebsrechnung der Einzelversicherung </t>
  </si>
  <si>
    <t>Betriebsrechnung der Kollektivversicherung</t>
  </si>
  <si>
    <t>Kontengruppen</t>
  </si>
  <si>
    <t>Krankheit</t>
  </si>
  <si>
    <t>Unfall</t>
  </si>
  <si>
    <t>Erlösminderungen für Prämien (-)</t>
  </si>
  <si>
    <t>Andere Beitragsanteile</t>
  </si>
  <si>
    <t>60-65</t>
  </si>
  <si>
    <t>Brutto-Prämien</t>
  </si>
  <si>
    <t>Prämienanteile der Rückversicherer (-)</t>
  </si>
  <si>
    <t>60-66</t>
  </si>
  <si>
    <t>Eigene Versicherungsprämien</t>
  </si>
  <si>
    <t>Prämienverbilligung / sonstige Beiträge</t>
  </si>
  <si>
    <t>Prämienermässigung an Versicherte (-)</t>
  </si>
  <si>
    <t>Sonstige Betriebserträge</t>
  </si>
  <si>
    <t>Total Versicherungsertrag</t>
  </si>
  <si>
    <t>Kostenbeteiligung der Versicherten (-)</t>
  </si>
  <si>
    <t>30-33</t>
  </si>
  <si>
    <t>Bezahlte Leistungen</t>
  </si>
  <si>
    <t>Sonstige Aufwendungen für Leistungen</t>
  </si>
  <si>
    <t>Rückstellungen für unerledigte Versicherungsfälle</t>
  </si>
  <si>
    <t>30-35</t>
  </si>
  <si>
    <t>Brutto-Leistungen</t>
  </si>
  <si>
    <t>Leistungsanteile der Rückversicherer (-)</t>
  </si>
  <si>
    <t>Risikoausgleich</t>
  </si>
  <si>
    <t>Total Versicherungsaufwand</t>
  </si>
  <si>
    <t>40-47</t>
  </si>
  <si>
    <t>Verwaltungsaufwand</t>
  </si>
  <si>
    <t>Abschreibungen</t>
  </si>
  <si>
    <t>Sonstige Betriebsaufwendungen</t>
  </si>
  <si>
    <t>Total Betriebsaufwand</t>
  </si>
  <si>
    <t>3/4</t>
  </si>
  <si>
    <t>Total Versicherungs- und Betriebsaufwand</t>
  </si>
  <si>
    <t>Versicherungsbetriebsergebnis</t>
  </si>
  <si>
    <t>Neutraler Aufwand / Ertrag</t>
  </si>
  <si>
    <t>Gesamtbetriebsergebnis</t>
  </si>
  <si>
    <t>Quelle: Formular EF2 [2.1]</t>
  </si>
  <si>
    <r>
      <t>Spitaltage</t>
    </r>
    <r>
      <rPr>
        <vertAlign val="superscript"/>
        <sz val="11"/>
        <rFont val="Arial"/>
        <family val="2"/>
      </rPr>
      <t xml:space="preserve"> 2</t>
    </r>
  </si>
  <si>
    <r>
      <t xml:space="preserve">sungen </t>
    </r>
    <r>
      <rPr>
        <vertAlign val="superscript"/>
        <sz val="11"/>
        <rFont val="Arial"/>
        <family val="2"/>
      </rPr>
      <t>2</t>
    </r>
  </si>
  <si>
    <t>T 1.05 Versichertenbestand per 31.12. nach Versicherungsform ab 1996</t>
  </si>
  <si>
    <t>Quelle: T 1.06</t>
  </si>
  <si>
    <t>1 – 5'000</t>
  </si>
  <si>
    <t>5'001 –</t>
  </si>
  <si>
    <t>10'001 –</t>
  </si>
  <si>
    <t xml:space="preserve">50'001 – </t>
  </si>
  <si>
    <t xml:space="preserve">100'001 – </t>
  </si>
  <si>
    <t>mehr als</t>
  </si>
  <si>
    <t>1) Gemäss Versichertenbestand OKP am Jahresende.</t>
  </si>
  <si>
    <t>Quelle: T 5.01</t>
  </si>
  <si>
    <r>
      <t xml:space="preserve">T 1.01  Anzahl Versicherer OKP nach Grösse </t>
    </r>
    <r>
      <rPr>
        <b/>
        <vertAlign val="superscript"/>
        <sz val="12"/>
        <rFont val="Arial"/>
        <family val="2"/>
      </rPr>
      <t>1</t>
    </r>
    <r>
      <rPr>
        <b/>
        <sz val="12"/>
        <rFont val="Arial"/>
        <family val="2"/>
      </rPr>
      <t xml:space="preserve"> ab 1994</t>
    </r>
  </si>
  <si>
    <t>T 1.14  Leistungen (brutto) in Franken je versicherte Person nach Versicherungsform ab 1996</t>
  </si>
  <si>
    <t>Quelle: T 1.40</t>
  </si>
  <si>
    <t>T 1.26  Gesamtbetriebsergebnis in Franken je versicherte Person nach Versicherungsform ab 1996</t>
  </si>
  <si>
    <t>Quelle: T 1.25 / T 1.05</t>
  </si>
  <si>
    <t>T 1.25  Gesamtbetriebsergebnis in Franken nach Versicherungsform ab 1996</t>
  </si>
  <si>
    <t>Quelle: T 1.28; 1.29; 1.30; 1.31</t>
  </si>
  <si>
    <t>T 1.24 Verwaltungsaufwand / Abschreibungen in Franken je versicherte Person nach Versicherungsform ab 1996</t>
  </si>
  <si>
    <t>Quelle: T 1.23 / T 1.05</t>
  </si>
  <si>
    <t>T 1.23 Verwaltungsaufwand / Abschreibungen in Franken nach Versicherungsform ab 1996</t>
  </si>
  <si>
    <t>In % des</t>
  </si>
  <si>
    <t>Versicherungs-</t>
  </si>
  <si>
    <t>und Betriebsauf-</t>
  </si>
  <si>
    <t>wand</t>
  </si>
  <si>
    <t>wands</t>
  </si>
  <si>
    <t>Quelle: T 1.28; 1.29; 1.30; 1.31 [4] und 1.27 [3/4]</t>
  </si>
  <si>
    <t>1) Bezahlte Leistungen der Versicherer = Leistungen (brutto) der Versicherer minus Kostenbeteiligungen der Versicherten.</t>
  </si>
  <si>
    <t>Quelle: T 1.21 / T 1.05</t>
  </si>
  <si>
    <r>
      <t xml:space="preserve">T 1.22 Bezahlte Leistungen </t>
    </r>
    <r>
      <rPr>
        <b/>
        <vertAlign val="superscript"/>
        <sz val="12"/>
        <rFont val="Arial"/>
        <family val="2"/>
      </rPr>
      <t>1</t>
    </r>
    <r>
      <rPr>
        <b/>
        <sz val="12"/>
        <rFont val="Arial"/>
        <family val="2"/>
      </rPr>
      <t xml:space="preserve">  in Franken je versicherte Person nach Versicherungsform ab 1996</t>
    </r>
  </si>
  <si>
    <t>Quelle: T 1.28; 1.29; 1.30; 1.31 [30-33]</t>
  </si>
  <si>
    <r>
      <t xml:space="preserve">T 1.21  Bezahlte Leistungen </t>
    </r>
    <r>
      <rPr>
        <b/>
        <vertAlign val="superscript"/>
        <sz val="12"/>
        <rFont val="Arial"/>
        <family val="2"/>
      </rPr>
      <t xml:space="preserve">1 </t>
    </r>
    <r>
      <rPr>
        <b/>
        <sz val="12"/>
        <rFont val="Arial"/>
        <family val="2"/>
      </rPr>
      <t xml:space="preserve"> in Franken nach Versicherungsform ab 1996</t>
    </r>
  </si>
  <si>
    <t>1) Durchschnittlicher Versichertenbestand : Stand aller Monate zusammengezählt und geteilt durch 12.</t>
  </si>
  <si>
    <t>2) Vgl. Fussnote 3) von Tabelle 1.02.</t>
  </si>
  <si>
    <t>Quelle: Formular EF1 [1.12]</t>
  </si>
  <si>
    <r>
      <t xml:space="preserve">T 1.42 Durchschnittlicher Versichertenbestand </t>
    </r>
    <r>
      <rPr>
        <b/>
        <vertAlign val="superscript"/>
        <sz val="12"/>
        <rFont val="Arial"/>
        <family val="2"/>
      </rPr>
      <t xml:space="preserve">1  </t>
    </r>
    <r>
      <rPr>
        <b/>
        <sz val="12"/>
        <rFont val="Arial"/>
        <family val="2"/>
      </rPr>
      <t>ab 1996</t>
    </r>
  </si>
  <si>
    <t>T 1.34 Verteilung der Versicherten (Kinder und Erwachsene) nach Versicherungsform ab 1996</t>
  </si>
  <si>
    <t>Quelle: T 1.05</t>
  </si>
  <si>
    <t xml:space="preserve">T 1.33  Stand der Rückstellungen per 31.12. für unerledigte Versicherungsfälle in Franken ab 1996 </t>
  </si>
  <si>
    <t>Stand</t>
  </si>
  <si>
    <t>Stand Rück-</t>
  </si>
  <si>
    <t>Rückstellungen</t>
  </si>
  <si>
    <t>Rück-</t>
  </si>
  <si>
    <t>stellungen pro</t>
  </si>
  <si>
    <t>in % der be-</t>
  </si>
  <si>
    <t>stellungen</t>
  </si>
  <si>
    <t>zahlten Lei-</t>
  </si>
  <si>
    <t>1) Vgl. Tabelle 1.06.</t>
  </si>
  <si>
    <t>2) Vgl. Tabelle 1.21.</t>
  </si>
  <si>
    <t>Quelle: T 8.10 [270]; T 1.06; T 1.21</t>
  </si>
  <si>
    <r>
      <t xml:space="preserve">Person in Fr. </t>
    </r>
    <r>
      <rPr>
        <vertAlign val="superscript"/>
        <sz val="11"/>
        <rFont val="Arial"/>
        <family val="2"/>
      </rPr>
      <t>1</t>
    </r>
  </si>
  <si>
    <r>
      <t xml:space="preserve">stungen </t>
    </r>
    <r>
      <rPr>
        <vertAlign val="superscript"/>
        <sz val="11"/>
        <rFont val="Arial"/>
        <family val="2"/>
      </rPr>
      <t>2</t>
    </r>
  </si>
  <si>
    <t>T 1.32 Stand der Reserven per 31.12. in Franken ab 1996</t>
  </si>
  <si>
    <t>Reserve-</t>
  </si>
  <si>
    <t>pro ver-</t>
  </si>
  <si>
    <t>sicherte Per-</t>
  </si>
  <si>
    <t>2) Reserven in % des Prämiensolls (vgl. Tabelle 1.09).</t>
  </si>
  <si>
    <t>Quelle: T 8.10 [290 + 290.9]; T 1.06; T 1.09</t>
  </si>
  <si>
    <r>
      <t xml:space="preserve">Reserven </t>
    </r>
    <r>
      <rPr>
        <vertAlign val="superscript"/>
        <sz val="11"/>
        <rFont val="Arial"/>
        <family val="2"/>
      </rPr>
      <t>1</t>
    </r>
  </si>
  <si>
    <r>
      <t xml:space="preserve">quote </t>
    </r>
    <r>
      <rPr>
        <vertAlign val="superscript"/>
        <sz val="11"/>
        <rFont val="Arial"/>
        <family val="2"/>
      </rPr>
      <t>2</t>
    </r>
  </si>
  <si>
    <t xml:space="preserve">8.8.05: 1.01, 1.05, 1.07, 1.09, 1.13, 1.14, 1.19, </t>
  </si>
  <si>
    <t>9.8.05: 1.20-1.26, 1.32-1.34, 1.42</t>
  </si>
  <si>
    <t>2) Vorjahresvergleiche sind nur mit Vorbehalt möglich, da jene Zusatzversicherungen VAG, welche auch unternehmensrechtlich</t>
  </si>
  <si>
    <t>vom KVG-Bereich eines Versicherers abgetrennt werden, sich der Sicht der BAG-Krankenversicherungsstatistik entziehen.</t>
  </si>
  <si>
    <t>3) Revidierte Zahlen für 2002 und 2003 (ohne T 7.06).</t>
  </si>
  <si>
    <t>Quelle: T 7.02</t>
  </si>
  <si>
    <r>
      <t xml:space="preserve">T 7.01  Ertrag, Aufwand und Ergebnis der anderen Versicherungen insgesamt </t>
    </r>
    <r>
      <rPr>
        <b/>
        <vertAlign val="superscript"/>
        <sz val="12"/>
        <rFont val="Arial"/>
        <family val="2"/>
      </rPr>
      <t xml:space="preserve">1 </t>
    </r>
    <r>
      <rPr>
        <b/>
        <sz val="12"/>
        <rFont val="Arial"/>
        <family val="2"/>
      </rPr>
      <t xml:space="preserve"> in Franken ab 1996</t>
    </r>
  </si>
  <si>
    <r>
      <t xml:space="preserve">Jahr </t>
    </r>
    <r>
      <rPr>
        <vertAlign val="superscript"/>
        <sz val="11"/>
        <rFont val="Arial"/>
        <family val="2"/>
      </rPr>
      <t>2, 3</t>
    </r>
  </si>
  <si>
    <t>Betrag</t>
  </si>
  <si>
    <t>Gesamtbetriebsrechnung:</t>
  </si>
  <si>
    <t>Vorschlag</t>
  </si>
  <si>
    <t>Rückschlag</t>
  </si>
  <si>
    <t>Zuweisungen</t>
  </si>
  <si>
    <t xml:space="preserve">Entnahmen </t>
  </si>
  <si>
    <t>Fonds:</t>
  </si>
  <si>
    <t>Reglementierte Fonds</t>
  </si>
  <si>
    <t>Immobilien</t>
  </si>
  <si>
    <t>EDV-Projekte</t>
  </si>
  <si>
    <t>Eigenkapital:</t>
  </si>
  <si>
    <t xml:space="preserve">Reserven Oblig. Krankenpflegeversicherung (ohne Kto. 290.5) </t>
  </si>
  <si>
    <t>Reserven Oblig. Krankenpflegeversicherung EG und EFTA (ohne Liechtenstein)</t>
  </si>
  <si>
    <t>Reserven Freiw.Taggeldversicherung KVG</t>
  </si>
  <si>
    <t xml:space="preserve">Reserven Aktive Rückversicherung nach KVG </t>
  </si>
  <si>
    <t>Zusatzversicherung VVG, inkl. Taggeld VVG</t>
  </si>
  <si>
    <t xml:space="preserve">Total </t>
  </si>
  <si>
    <t>Quelle: Formular EF1 [10]</t>
  </si>
  <si>
    <t>T 8.01 Anzahl Versicherer ab 1996</t>
  </si>
  <si>
    <t>Jahr</t>
  </si>
  <si>
    <t xml:space="preserve">      Anzahl Versicherer</t>
  </si>
  <si>
    <t xml:space="preserve">Anzahl </t>
  </si>
  <si>
    <t>Zuwachs</t>
  </si>
  <si>
    <t>Abgang</t>
  </si>
  <si>
    <t>Obligatorische</t>
  </si>
  <si>
    <t>Krankenpflege-</t>
  </si>
  <si>
    <t>Quelle: T 5.01; T 5.03; T 5.04</t>
  </si>
  <si>
    <t>T 8.03  Stellen- und Personalbestand der Versicherer ab 1996</t>
  </si>
  <si>
    <t xml:space="preserve">   Verwaltung / Haupsitz</t>
  </si>
  <si>
    <t xml:space="preserve">       Sektionen / Agenturen</t>
  </si>
  <si>
    <t xml:space="preserve">                          Total</t>
  </si>
  <si>
    <t>Stellen</t>
  </si>
  <si>
    <t>Personen</t>
  </si>
  <si>
    <t>1) Ab 2001, nur obligatorische Grundversicherung OKP.</t>
  </si>
  <si>
    <t>2) Total Personen.</t>
  </si>
  <si>
    <t>Quelle: Formular EF3 [3.10.3]</t>
  </si>
  <si>
    <r>
      <t xml:space="preserve">Jahr </t>
    </r>
    <r>
      <rPr>
        <vertAlign val="superscript"/>
        <sz val="11"/>
        <rFont val="Arial"/>
        <family val="2"/>
      </rPr>
      <t>1</t>
    </r>
  </si>
  <si>
    <r>
      <t xml:space="preserve">Vorjahr </t>
    </r>
    <r>
      <rPr>
        <vertAlign val="superscript"/>
        <sz val="9"/>
        <rFont val="Arial"/>
        <family val="2"/>
      </rPr>
      <t>2</t>
    </r>
  </si>
  <si>
    <t>T 8.04  Ertrag, Aufwand und Ergebnis der Versicherer in Franken ab 1996</t>
  </si>
  <si>
    <t>1) Getrennte Rechnungsführung für die Einzel- und die Kollektivversicherung wird nur bei unterschiedlichen Prämientarifen</t>
  </si>
  <si>
    <t>verlangt (vgl. Art. 75 Abs. 2 KVG).</t>
  </si>
  <si>
    <r>
      <t xml:space="preserve">T 6.06  Betriebsrechnung der Kollektivversicherung </t>
    </r>
    <r>
      <rPr>
        <b/>
        <vertAlign val="superscript"/>
        <sz val="12"/>
        <rFont val="Arial"/>
        <family val="2"/>
      </rPr>
      <t>1</t>
    </r>
  </si>
  <si>
    <t>Quelle: Formular EF2 [2.0]</t>
  </si>
  <si>
    <r>
      <t xml:space="preserve">T 6.05  Betriebsrechnung der Einzelversicherung </t>
    </r>
    <r>
      <rPr>
        <b/>
        <vertAlign val="superscript"/>
        <sz val="12"/>
        <rFont val="Arial"/>
        <family val="2"/>
      </rPr>
      <t>1</t>
    </r>
  </si>
  <si>
    <t xml:space="preserve">T 6.04  Betriebsrechnung der Einzel- und Kollektivversicherung insgesamt </t>
  </si>
  <si>
    <t>Quelle: Formular EF2 [2.0 &amp; 2.1]</t>
  </si>
  <si>
    <t>Anzahl / Betrag</t>
  </si>
  <si>
    <t>Einzel-</t>
  </si>
  <si>
    <t>Kollektiv-</t>
  </si>
  <si>
    <t>versiche-</t>
  </si>
  <si>
    <t>rung</t>
  </si>
  <si>
    <t>1999 alt</t>
  </si>
  <si>
    <t>1999 neu</t>
  </si>
  <si>
    <t>Anzahl Versicherer</t>
  </si>
  <si>
    <t>Versichertenbestand</t>
  </si>
  <si>
    <t>Prämiensoll in Franken</t>
  </si>
  <si>
    <t>Prämiensoll in Franken pro Versicherte(n)</t>
  </si>
  <si>
    <t xml:space="preserve">Leistungen in Franken </t>
  </si>
  <si>
    <t>davon Mutterschaft</t>
  </si>
  <si>
    <t>Leistungen in Franken pro Versicherte(n)</t>
  </si>
  <si>
    <t>Quelle: Formular EF3 [3.9]</t>
  </si>
  <si>
    <r>
      <t xml:space="preserve">T 6.03 Versicherer, Versicherte, Prämien und Leistungen nach Einzel- und Kollektivverträgen </t>
    </r>
    <r>
      <rPr>
        <b/>
        <vertAlign val="superscript"/>
        <sz val="12"/>
        <rFont val="Arial"/>
        <family val="2"/>
      </rPr>
      <t>1</t>
    </r>
  </si>
  <si>
    <t>1) Ohne T 7.04</t>
  </si>
  <si>
    <t>Quelle: Formular EF2 [2.10]</t>
  </si>
  <si>
    <r>
      <t xml:space="preserve">T 7.05  Betriebsrechnung der Zusatzversicherungen Versicherte wohnhaft im Ausland </t>
    </r>
    <r>
      <rPr>
        <b/>
        <vertAlign val="superscript"/>
        <sz val="12"/>
        <rFont val="Arial"/>
        <family val="2"/>
      </rPr>
      <t>1</t>
    </r>
  </si>
  <si>
    <t xml:space="preserve">T 7.04  Betriebsrechnung der Krankenpflegeversicherung Liechtenstein </t>
  </si>
  <si>
    <t>Quelle: Formular EF2 [2.9]</t>
  </si>
  <si>
    <t>davon Taggeldversicherung VVG</t>
  </si>
  <si>
    <t xml:space="preserve">Brutto-Prämien (60-65) </t>
  </si>
  <si>
    <t>-</t>
  </si>
  <si>
    <t xml:space="preserve">Bezahlte Leistungen (30-33) </t>
  </si>
  <si>
    <t>1) Gemäss Art. 13 und 14 KVV, ohne  T 7.04 und 7.05.</t>
  </si>
  <si>
    <t>T 9.14 Indiz der Krankenpflegekosten, der Krankenversicherungsausgaben der Versicherten sowie der Löhne ab 1996</t>
  </si>
  <si>
    <t>OKP-</t>
  </si>
  <si>
    <t>2) Quelle: T 9.05. Entwicklung pro Einwohner. 2004: Schätzung.</t>
  </si>
  <si>
    <t>6) Quelle: T 1.10. Entwicklung pro versicherte Person für alle Versicherungsmodelle.</t>
  </si>
  <si>
    <r>
      <t xml:space="preserve">Index </t>
    </r>
    <r>
      <rPr>
        <vertAlign val="superscript"/>
        <sz val="11"/>
        <rFont val="Arial"/>
        <family val="2"/>
      </rPr>
      <t>6</t>
    </r>
  </si>
  <si>
    <t>11.10.05: 9.01-9.05, 9.12, 9.14</t>
  </si>
  <si>
    <t>– Erhaltene Verwaltungsentschädigung</t>
  </si>
  <si>
    <t>40 – 47</t>
  </si>
  <si>
    <t>Total Verwaltungsaufwand</t>
  </si>
  <si>
    <t>3 / 4</t>
  </si>
  <si>
    <t>Vorschlag Gesamtbetriebsrechnung</t>
  </si>
  <si>
    <t>entziehen sich der Sicht der BAG-Krankenversicherungsstatistik.</t>
  </si>
  <si>
    <t>Quelle: Formular EF1 [6,7]</t>
  </si>
  <si>
    <t>T 8.07 Aktiven und Passiven der Versicherer in Franken ab 1996</t>
  </si>
  <si>
    <t>Aktiven</t>
  </si>
  <si>
    <t>Passiven</t>
  </si>
  <si>
    <t>Bilanz-</t>
  </si>
  <si>
    <t>Umlauf-</t>
  </si>
  <si>
    <t>Anlage-</t>
  </si>
  <si>
    <t>Fremd-</t>
  </si>
  <si>
    <t>Fonds und</t>
  </si>
  <si>
    <t>summe</t>
  </si>
  <si>
    <t>vermögen</t>
  </si>
  <si>
    <t>kapital</t>
  </si>
  <si>
    <t>1) Bestände per Jahresende; Vorjahresvergleiche sind nur mit Vorbehalt möglich, da jene Zusatzversicherungen VAG, welche</t>
  </si>
  <si>
    <t>801-811</t>
  </si>
  <si>
    <t>T 1.46 Totaler Beitrag je versicherte Person (Prämie + Kostenbeteiligung) nach Versicherungsform : Veränderung gegenüber dem Vorjahr ab 1996</t>
  </si>
  <si>
    <t>Quelle: T 1.41</t>
  </si>
  <si>
    <t>Zusätzliche Angaben : nach Altersgruppe ab 1996</t>
  </si>
  <si>
    <t>1) Im Jahr 1996/97:  wählbare Jahresfranchisen: 300.-  600.-  1200.-  1500.-</t>
  </si>
  <si>
    <r>
      <t xml:space="preserve">1996 </t>
    </r>
    <r>
      <rPr>
        <vertAlign val="superscript"/>
        <sz val="11"/>
        <rFont val="Arial"/>
        <family val="2"/>
      </rPr>
      <t>1</t>
    </r>
  </si>
  <si>
    <r>
      <t xml:space="preserve">1997 </t>
    </r>
    <r>
      <rPr>
        <vertAlign val="superscript"/>
        <sz val="11"/>
        <rFont val="Arial"/>
        <family val="2"/>
      </rPr>
      <t>1</t>
    </r>
  </si>
  <si>
    <t>T 1.41 Totaler Beitrag je versicherte Person (Prämie + Kostenbeteiligung) nach Versicherungsform ab 1996</t>
  </si>
  <si>
    <t>Quelle: T 1.10 + 1.20</t>
  </si>
  <si>
    <t>T 1.44 Prämiensoll je versicherte Person nach Versicherungsform : Veränderung gegenüber dem Vorjahr ab 1996</t>
  </si>
  <si>
    <t>Quelle: T 1.10</t>
  </si>
  <si>
    <t>T 1.45 Kostenbeteiligung je versicherte Person nach Versicherungsform : Veränderung gegenüber dem Vorjahr ab 1996</t>
  </si>
  <si>
    <t xml:space="preserve">Quelle: T 1.20 </t>
  </si>
  <si>
    <t>Quelle: T 1.20</t>
  </si>
  <si>
    <t>auch unternehmensrechtlich vom KVG-Bereich eines Versicherers abgetrennt werden, sich der Sicht der BAG-Krankenversi-</t>
  </si>
  <si>
    <t>cherungsstatistik entziehen.</t>
  </si>
  <si>
    <t>Quelle: T 8.09; T 8.10</t>
  </si>
  <si>
    <t>T 8.08  Eigenkapital und Eigenkapitalquote der Versicherer in Franken ab 1996</t>
  </si>
  <si>
    <t xml:space="preserve">Jahr </t>
  </si>
  <si>
    <t>Eigenkapital</t>
  </si>
  <si>
    <t>Eigenkapital-</t>
  </si>
  <si>
    <t xml:space="preserve">1) Eigenkapital in % des Prämiensolls. </t>
  </si>
  <si>
    <t>Quelle: T 8.10 [29]; T 8.05 [60-63]</t>
  </si>
  <si>
    <r>
      <t xml:space="preserve">quote </t>
    </r>
    <r>
      <rPr>
        <vertAlign val="superscript"/>
        <sz val="11"/>
        <rFont val="Arial"/>
        <family val="2"/>
      </rPr>
      <t>1</t>
    </r>
  </si>
  <si>
    <t>T 8.10  Bilanz: Passiven der Versicherer per 31.12.</t>
  </si>
  <si>
    <t>Fremdkapital</t>
  </si>
  <si>
    <t>Verbindlichkeiten aus Versicherungsleistungen</t>
  </si>
  <si>
    <t>Verbindlichkeiten bei Versicherten (ohne Konto.215)</t>
  </si>
  <si>
    <t>Noch zur Verrechnung gelangende Abgabeerträge VOC und HEL</t>
  </si>
  <si>
    <t>Verbindlichkeiten bei Partnern</t>
  </si>
  <si>
    <t>Verbindlichkeiten bei Rückversicherern</t>
  </si>
  <si>
    <t>Verbindlichkeiten bei der Gemeinsamen Einrichtung KVG</t>
  </si>
  <si>
    <t>1) Vorjahresvergleiche sind nur mit Vorbehalt möglich, da jene Zusatzversicherungen VAG, welche auch unternehmensrechtlich</t>
  </si>
  <si>
    <t>die resp. der Entnahme von den Fonds und Reserven.</t>
  </si>
  <si>
    <t>Quelle:  T 8.05 [6/7]; T 8.06 [3/4]; T 8.06 [800-801] - T 8.05 [800-801]</t>
  </si>
  <si>
    <r>
      <t xml:space="preserve">ergebnis </t>
    </r>
    <r>
      <rPr>
        <vertAlign val="superscript"/>
        <sz val="11"/>
        <rFont val="Arial"/>
        <family val="2"/>
      </rPr>
      <t>2</t>
    </r>
  </si>
  <si>
    <r>
      <t xml:space="preserve">2) Jahresergebnis ( = Vorschlag Gesamtbetriebsrechnung minus Rückschlag Gesamtbetriebsrechnung) </t>
    </r>
    <r>
      <rPr>
        <i/>
        <sz val="10"/>
        <rFont val="Arial"/>
        <family val="2"/>
      </rPr>
      <t>vor</t>
    </r>
    <r>
      <rPr>
        <sz val="10"/>
        <rFont val="Arial"/>
        <family val="2"/>
      </rPr>
      <t xml:space="preserve"> der Zuweisung an</t>
    </r>
  </si>
  <si>
    <t xml:space="preserve">T 8.05 Gesamtbetriebsrechnung: Ertrag der Versicherer </t>
  </si>
  <si>
    <t>Anteile</t>
  </si>
  <si>
    <t>– Taggeld</t>
  </si>
  <si>
    <t>– Überschussbeteiligung auf Kollektivversicherung Taggeld</t>
  </si>
  <si>
    <t>60 – 63</t>
  </si>
  <si>
    <t>Prämiensoll</t>
  </si>
  <si>
    <t>Erlösminderungen auf Prämien</t>
  </si>
  <si>
    <t>Andere Prämienanteile</t>
  </si>
  <si>
    <t>60 – 65</t>
  </si>
  <si>
    <t>Prämienanteile der Rückversicherer</t>
  </si>
  <si>
    <t>60 – 66</t>
  </si>
  <si>
    <t>Prämienverbilligung und sonstige Beiträge / Subventionen</t>
  </si>
  <si>
    <t>– Beiträge zur Prämienverbilligung (Art. 65 KVG)</t>
  </si>
  <si>
    <t>– Beiträge anderer Institutionen z.G. der Versicherten</t>
  </si>
  <si>
    <t>– Beiträge z.G. des Versicheres</t>
  </si>
  <si>
    <t>– Beiträge an Insolvenzfonds</t>
  </si>
  <si>
    <t>Prämienermässigung an Versicherte</t>
  </si>
  <si>
    <t>67 – 68</t>
  </si>
  <si>
    <t>Eigene Subventionen und Beiträge</t>
  </si>
  <si>
    <t>Liegenschaftsrechnung</t>
  </si>
  <si>
    <t>– Liegenschaftsergebnis</t>
  </si>
  <si>
    <t>Neutraler Aufwand und Ertrag</t>
  </si>
  <si>
    <t>– Kapitalertrag</t>
  </si>
  <si>
    <t>– Kapitalaufwand</t>
  </si>
  <si>
    <t>– Wertberichtigung auf Wertschriften</t>
  </si>
  <si>
    <t>– Nicht rückzuerstattende Abgabeerträge VOC und HEL</t>
  </si>
  <si>
    <t>– Übriger neutraler Aufwand und Ertrag</t>
  </si>
  <si>
    <t>Prämien, Leistungen, Versichertenbestand und Versichererbestand ab 1996</t>
  </si>
  <si>
    <t>T 6.02 Ertrag, Aufwand und Ergebnis in Franken ab 1996</t>
  </si>
  <si>
    <t xml:space="preserve">aufwand </t>
  </si>
  <si>
    <t>Quelle: T 6.04</t>
  </si>
  <si>
    <t>2) Versichertenbestand am 31.12.</t>
  </si>
  <si>
    <r>
      <t xml:space="preserve">Versichertenbestand </t>
    </r>
    <r>
      <rPr>
        <b/>
        <vertAlign val="superscript"/>
        <sz val="11"/>
        <rFont val="Arial"/>
        <family val="2"/>
      </rPr>
      <t>2</t>
    </r>
  </si>
  <si>
    <t>22.8.05: 9.01-9.05</t>
  </si>
  <si>
    <t>9: Zusatzinformationen zum Gesundheitswesen</t>
  </si>
  <si>
    <t>Kosten des Gesundheitswesens in der Schweiz nach Direktzahler ab 1996</t>
  </si>
  <si>
    <t>Kosten des Gesundheitswesens in der Schweiz nach Leistungserbringer ab 1996</t>
  </si>
  <si>
    <t>5.10.05: 1.15, 1.17, 1.43, 3.01-3.06, 3.11-3.13</t>
  </si>
  <si>
    <t>R1</t>
  </si>
  <si>
    <t>R2</t>
  </si>
  <si>
    <t>R3</t>
  </si>
  <si>
    <t>RU</t>
  </si>
  <si>
    <t>Quelle: Genehmigungsverfahren für Krankenversicherungsprämien, BSV.</t>
  </si>
  <si>
    <t>2) Die Krankenkassen dürfen innerhalb eines Kantons bis zu drei unterschiedliche Regionaltarife anwenden (R1, R2, R3).</t>
  </si>
  <si>
    <t>Einige Kantone haben nur eine Region: die Krankenkassen wenden eine Einheitsprämie an (RU).</t>
  </si>
  <si>
    <r>
      <t xml:space="preserve">T 3.13 Kantonale monatliche Durchschnittsprämien </t>
    </r>
    <r>
      <rPr>
        <b/>
        <vertAlign val="superscript"/>
        <sz val="12"/>
        <rFont val="Arial"/>
        <family val="2"/>
      </rPr>
      <t>1</t>
    </r>
    <r>
      <rPr>
        <b/>
        <sz val="12"/>
        <rFont val="Arial"/>
        <family val="2"/>
      </rPr>
      <t xml:space="preserve"> pro Prämienregion </t>
    </r>
    <r>
      <rPr>
        <b/>
        <vertAlign val="superscript"/>
        <sz val="12"/>
        <rFont val="Arial"/>
        <family val="2"/>
      </rPr>
      <t>2</t>
    </r>
  </si>
  <si>
    <r>
      <t xml:space="preserve">T 3.12  Kantonale monatliche Durchschnittsprämien </t>
    </r>
    <r>
      <rPr>
        <b/>
        <vertAlign val="superscript"/>
        <sz val="12"/>
        <rFont val="Arial"/>
        <family val="2"/>
      </rPr>
      <t>1</t>
    </r>
    <r>
      <rPr>
        <b/>
        <sz val="12"/>
        <rFont val="Arial"/>
        <family val="2"/>
      </rPr>
      <t xml:space="preserve"> pro Prämienregion </t>
    </r>
    <r>
      <rPr>
        <b/>
        <vertAlign val="superscript"/>
        <sz val="12"/>
        <rFont val="Arial"/>
        <family val="2"/>
      </rPr>
      <t>2</t>
    </r>
  </si>
  <si>
    <r>
      <t xml:space="preserve">T 3.11  Kantonale monatliche Durchschnittsprämien </t>
    </r>
    <r>
      <rPr>
        <b/>
        <vertAlign val="superscript"/>
        <sz val="12"/>
        <rFont val="Arial"/>
        <family val="2"/>
      </rPr>
      <t>1</t>
    </r>
    <r>
      <rPr>
        <b/>
        <sz val="12"/>
        <rFont val="Arial"/>
        <family val="2"/>
      </rPr>
      <t xml:space="preserve">  pro Prämienregion </t>
    </r>
    <r>
      <rPr>
        <b/>
        <vertAlign val="superscript"/>
        <sz val="12"/>
        <rFont val="Arial"/>
        <family val="2"/>
      </rPr>
      <t>2</t>
    </r>
  </si>
  <si>
    <t>für Kinder (0 - 18 Jahre) in Franken für 2006</t>
  </si>
  <si>
    <t>für junge Erwachsene (19 -25 Jahre) in Franken für 2006</t>
  </si>
  <si>
    <t>für Erwachsene (26 Jahre und mehr) in Franken für 2006</t>
  </si>
  <si>
    <t>Totaler Beitrag je versicherte Person nach Versicherungsform : Veränderung gegenüber dem Vorjahr ab 1996</t>
  </si>
  <si>
    <t>Durchschnittlicher Versichertenbestand KVG nach Geschlecht</t>
  </si>
  <si>
    <t>Versichertenbestand KVG nach Geschlecht  am 1.1.</t>
  </si>
  <si>
    <t>Versicherteneintritte / Versicherungswechsler KVG nach Geschlecht</t>
  </si>
  <si>
    <t>1.50</t>
  </si>
  <si>
    <t>Betriebsrechnung der obligatorischen Krankenpflegeversicherung Personen mit Wohnsitz in einem EG- bzw. EFTA-Staat</t>
  </si>
  <si>
    <t>Verbindlichkeiten bei anderen Versicherern</t>
  </si>
  <si>
    <t>Übrige Verbindlichkeiten und passive Rechnungsabgrenzung</t>
  </si>
  <si>
    <t>Rückstellung für unerledigte Versicherungsfälle, Risikoausgleich, nicht versicherungstechn. Rückstellungen, Rücklagen aus Fusionen</t>
  </si>
  <si>
    <t xml:space="preserve">Oblig. Krankenpflegevers. (ohne Kto. 270.2 und 270.3)  </t>
  </si>
  <si>
    <t>Nicht versicherungstechnische Rückstellungen KVG</t>
  </si>
  <si>
    <t>Oblig. Krankenpflegevers. (effektive Kosten gemäss Verordnung (EWG) Nr. 574/72 Art. 93)</t>
  </si>
  <si>
    <t>Quelle: T 1.15 / 1.06 ; Schätzungen : Prämiengenehmigungsverfahren BAG.</t>
  </si>
  <si>
    <r>
      <t xml:space="preserve">T 1.17  Leistungen (brutto) in Franken je versicherte Person nach Kostengruppen ab 1996 </t>
    </r>
    <r>
      <rPr>
        <b/>
        <vertAlign val="superscript"/>
        <sz val="12"/>
        <rFont val="Arial"/>
        <family val="2"/>
      </rPr>
      <t>1</t>
    </r>
  </si>
  <si>
    <r>
      <t xml:space="preserve">2005 </t>
    </r>
    <r>
      <rPr>
        <i/>
        <vertAlign val="superscript"/>
        <sz val="11"/>
        <rFont val="Arial"/>
        <family val="2"/>
      </rPr>
      <t>2</t>
    </r>
  </si>
  <si>
    <r>
      <t xml:space="preserve">2006 </t>
    </r>
    <r>
      <rPr>
        <i/>
        <vertAlign val="superscript"/>
        <sz val="11"/>
        <rFont val="Arial"/>
        <family val="2"/>
      </rPr>
      <t>2</t>
    </r>
  </si>
  <si>
    <t>T 1.15  Leistungen (brutto) in Mio. Franken nach Kostengruppen ab 1996</t>
  </si>
  <si>
    <t>1) Als «Intra-muros» Behandlung gelten die Kategorien "Spital stationär", "Pflegeheime" und "übrige Leistungen stationär";</t>
  </si>
  <si>
    <t xml:space="preserve"> als ambulante Kosten gelten alle übrigen Kategorien.</t>
  </si>
  <si>
    <t>2) Werte 1996 - 1997 teilweise geschätzt, Werte 1999 mit Datenstand Oktober 2001 revidiert.</t>
  </si>
  <si>
    <t>3) Schätzungen : alle Kostengruppen sind nicht verfügbar.</t>
  </si>
  <si>
    <r>
      <t xml:space="preserve">Behandlung </t>
    </r>
    <r>
      <rPr>
        <b/>
        <vertAlign val="superscript"/>
        <sz val="11"/>
        <rFont val="Arial"/>
        <family val="2"/>
      </rPr>
      <t>1</t>
    </r>
  </si>
  <si>
    <r>
      <t xml:space="preserve">2005 </t>
    </r>
    <r>
      <rPr>
        <i/>
        <vertAlign val="superscript"/>
        <sz val="11"/>
        <rFont val="Arial"/>
        <family val="2"/>
      </rPr>
      <t>3</t>
    </r>
  </si>
  <si>
    <r>
      <t xml:space="preserve">2006 </t>
    </r>
    <r>
      <rPr>
        <i/>
        <vertAlign val="superscript"/>
        <sz val="11"/>
        <rFont val="Arial"/>
        <family val="2"/>
      </rPr>
      <t>3</t>
    </r>
  </si>
  <si>
    <r>
      <t xml:space="preserve">Quelle : T 1.16 ; </t>
    </r>
    <r>
      <rPr>
        <i/>
        <sz val="10"/>
        <rFont val="Arial"/>
        <family val="2"/>
      </rPr>
      <t>Schätzungen : Prämiengenehmigungsverfahren BAG.</t>
    </r>
  </si>
  <si>
    <t>T 1.43 Obligatorische Krankenpflegeversicherung ab 1996: wichtigste Indikatoren</t>
  </si>
  <si>
    <t>Merkmale</t>
  </si>
  <si>
    <t>Veränderung 2003 - 2004 in %</t>
  </si>
  <si>
    <t>Jahresdurch-schnittliche Veränderung 1996 - 2004 in %</t>
  </si>
  <si>
    <t>– Anzahl Versicherer OKP</t>
  </si>
  <si>
    <t>– Versichertenbestand per 31.12. in 1'000</t>
  </si>
  <si>
    <t>3A</t>
  </si>
  <si>
    <t>– Anzahl Erkrankte in 1'000</t>
  </si>
  <si>
    <t>3B</t>
  </si>
  <si>
    <t>– Anzahl Erkrankte je 100 Versicherte</t>
  </si>
  <si>
    <t>– Anzahl Spitaleinweisungen in 1'000</t>
  </si>
  <si>
    <t>– Anzahl Spitaltage in 1'000</t>
  </si>
  <si>
    <t>– Prämiensoll in Mio. Fr.</t>
  </si>
  <si>
    <t>– Prämiensoll pro Versicherte(n) in Fr.</t>
  </si>
  <si>
    <t>7A</t>
  </si>
  <si>
    <t>7B</t>
  </si>
  <si>
    <t>7C</t>
  </si>
  <si>
    <t>–– davon ambulante Leistungen in Fr.</t>
  </si>
  <si>
    <t>7D</t>
  </si>
  <si>
    <t>–– davon stationäre Leistungen in Fr.</t>
  </si>
  <si>
    <t>– Kostenbeteiligung in Mio. Fr.</t>
  </si>
  <si>
    <t>– Kostenbeteiligung pro Versicherten in Fr.</t>
  </si>
  <si>
    <t>10A</t>
  </si>
  <si>
    <t>– Verwaltungsaufwand / Abschreibungen in Mio. Fr.</t>
  </si>
  <si>
    <t>10B</t>
  </si>
  <si>
    <t>– Verwaltungsaufwand / Abschreibungen pro Versicherten in Fr.</t>
  </si>
  <si>
    <t>– Gesamtbetriebsergebnis in Mio. Fr.</t>
  </si>
  <si>
    <t>12A</t>
  </si>
  <si>
    <t>– Rückstellungen: Stand per 31.12. in Mio. Fr.</t>
  </si>
  <si>
    <t>12B</t>
  </si>
  <si>
    <t>– Rückstellungen per 31.12. pro Versicherten in Fr.</t>
  </si>
  <si>
    <t>12C</t>
  </si>
  <si>
    <t>13A</t>
  </si>
  <si>
    <t>– Reserven: Stand per 31.12. in Mio. Fr.</t>
  </si>
  <si>
    <t>13B</t>
  </si>
  <si>
    <t>– Reserven per 31.12. pro Versicherten in Fr.</t>
  </si>
  <si>
    <t>13C</t>
  </si>
  <si>
    <t>1) Leistungen brutto = Leistungen inkl. Kostenbeteiligung der Versicherten.</t>
  </si>
  <si>
    <t>2) Leistungen netto = Leistungen der Versicherer abzüglich Kostenbeteiligung der Versicherten.</t>
  </si>
  <si>
    <t>3) Rückstellungen in Prozent der bezahlten Leistungen.</t>
  </si>
  <si>
    <t>4) Reserven in Prozent des Prämiensolls.</t>
  </si>
  <si>
    <t>5) Schätzungen. Quelle: Prämiengenehmigungsverfahren BAG.</t>
  </si>
  <si>
    <t>Quelle: T 1.01, 1.02, 1.08, 1.09, 1.10, 1.15, 1.17, 1.19, 1.20, 1.21, 1.22, 1.23, 1.25, 1.32, 1.33 (ohne Schätzungen).</t>
  </si>
  <si>
    <t>oder</t>
  </si>
  <si>
    <t>Formulare EF123:</t>
  </si>
  <si>
    <t>Anzahl Versicherer mit EF 1.12 A Total &gt; 0</t>
  </si>
  <si>
    <t>= [ 8A ] / [ 2 ]</t>
  </si>
  <si>
    <t xml:space="preserve">Bestand EF 3.3 Total  </t>
  </si>
  <si>
    <t>= [ 7A ] - [ 8A ]</t>
  </si>
  <si>
    <t>EF3  T 3.7.1</t>
  </si>
  <si>
    <t>= [ 3A ] / [ 2 ] * 100</t>
  </si>
  <si>
    <t>= [ 7B ] - [ 8B ]</t>
  </si>
  <si>
    <t>EF3  T 3.7.2</t>
  </si>
  <si>
    <t>EF2 Konten 40-47 + 48 K+U Seiten 2.2 -&gt; 2.7</t>
  </si>
  <si>
    <t>= [ 10A ] / [ 2 ]</t>
  </si>
  <si>
    <t>EF3  T 3.4</t>
  </si>
  <si>
    <t xml:space="preserve">EF2 Konto Gesamtbetriebsergebnis Krankheit + Unfall Seiten 2.2 -&gt; 2.7 </t>
  </si>
  <si>
    <t>= [ 6A ] / [ 2 ]</t>
  </si>
  <si>
    <t>EF 1.4 Konto 270</t>
  </si>
  <si>
    <t>EF3  T 3.6</t>
  </si>
  <si>
    <t>= [ 12A ] / [ 2 ]</t>
  </si>
  <si>
    <t>= [ 7A ] / [ 2 ]</t>
  </si>
  <si>
    <t>= [ 12A ] / [ 9A ] * 100 in %</t>
  </si>
  <si>
    <t>EF3  T 3.6 / [ 2 ]</t>
  </si>
  <si>
    <t>EF 1.5 Konten 290 + 290.9</t>
  </si>
  <si>
    <t>Totaler Beitrag je versicherte Person nach Versicherungsform ab 1996</t>
  </si>
  <si>
    <t>T 1.06  Versichertenbestand nach Versicherungsform und Geschlecht / Kinder per 31.12.</t>
  </si>
  <si>
    <t>Versicherungsform</t>
  </si>
  <si>
    <t>Anteil am</t>
  </si>
  <si>
    <t>total in %</t>
  </si>
  <si>
    <t>Ordentliche Jahresfranchise</t>
  </si>
  <si>
    <t>Wählbare Jahresfranchisen</t>
  </si>
  <si>
    <t>BONUS-Versicherung</t>
  </si>
  <si>
    <t>Eingeschränkte Wahl (z.B. HMO)</t>
  </si>
  <si>
    <t>Quelle: Formular EF3 [T3.3]</t>
  </si>
  <si>
    <t>Altersklassen</t>
  </si>
  <si>
    <t>männlich</t>
  </si>
  <si>
    <t>weiblich</t>
  </si>
  <si>
    <t>Anzahl</t>
  </si>
  <si>
    <t xml:space="preserve">  0 - 5</t>
  </si>
  <si>
    <t xml:space="preserve">  6 - 10</t>
  </si>
  <si>
    <t>11 - 15</t>
  </si>
  <si>
    <t>16 - 18</t>
  </si>
  <si>
    <t>Total 0 - 18</t>
  </si>
  <si>
    <t>19 - 20</t>
  </si>
  <si>
    <t>21 - 25</t>
  </si>
  <si>
    <t>Total 19 - 65</t>
  </si>
  <si>
    <t>91 - 95</t>
  </si>
  <si>
    <t>96 - 100</t>
  </si>
  <si>
    <t>&gt; 100</t>
  </si>
  <si>
    <t>Total 66 u. mehr</t>
  </si>
  <si>
    <t>unbekannt</t>
  </si>
  <si>
    <t>1) Vgl. Fussnote 3) von Tabelle 1.02.</t>
  </si>
  <si>
    <t>Quelle: Formular EF3 [T 3.1]</t>
  </si>
  <si>
    <r>
      <t xml:space="preserve">T 1.04  Versichertenbestand </t>
    </r>
    <r>
      <rPr>
        <b/>
        <vertAlign val="superscript"/>
        <sz val="12"/>
        <rFont val="Arial"/>
        <family val="2"/>
      </rPr>
      <t>1</t>
    </r>
    <r>
      <rPr>
        <b/>
        <sz val="12"/>
        <rFont val="Arial"/>
        <family val="2"/>
      </rPr>
      <t xml:space="preserve">  nach Alter und Geschlecht per 31.12.</t>
    </r>
  </si>
  <si>
    <t>T 1.03  Versichertenbestand nach Wohnkanton per 31.12.</t>
  </si>
  <si>
    <t xml:space="preserve">Veränderung </t>
  </si>
  <si>
    <t xml:space="preserve">gegenüber </t>
  </si>
  <si>
    <t>Schweiz</t>
  </si>
  <si>
    <t>1) Personen mit Wohnsitz/Aufenthalt im Ausland gemäss Art. 4 und 5 KVV.</t>
  </si>
  <si>
    <t>Quelle: Formular EF3 [T 3.2]</t>
  </si>
  <si>
    <r>
      <t xml:space="preserve">Ausland </t>
    </r>
    <r>
      <rPr>
        <vertAlign val="superscript"/>
        <sz val="11"/>
        <rFont val="Arial"/>
        <family val="2"/>
      </rPr>
      <t>1)</t>
    </r>
  </si>
  <si>
    <t>T 1.02  Versichertenbestand per 31.12 ab 1996</t>
  </si>
  <si>
    <t>1) Personen, die das 18. Altersjahr noch nicht vollendet haben.</t>
  </si>
  <si>
    <t>2) Bis 2001: Inbegriffen Versicherte mit Wohnsitz oder Aufenthalt im Ausland gemäss Art. 3, 4 und 5 KVV;</t>
  </si>
  <si>
    <t xml:space="preserve">    ab 2002: Mit Personen mit Wohnsitz oder Aufenthalt im Ausland gemäss Art. 4 und 5 KVV aber ohne Versicherte,</t>
  </si>
  <si>
    <t xml:space="preserve">    die dem Versicherungsobligatorium unterstehen und in einem EU- oder EFTA-Staat Wohnsitz haben (EWG).</t>
  </si>
  <si>
    <t>Quelle: T 1.03</t>
  </si>
  <si>
    <r>
      <t xml:space="preserve">Jahr </t>
    </r>
    <r>
      <rPr>
        <vertAlign val="superscript"/>
        <sz val="11"/>
        <rFont val="Arial"/>
        <family val="2"/>
      </rPr>
      <t>2</t>
    </r>
  </si>
  <si>
    <r>
      <t xml:space="preserve">Kinder </t>
    </r>
    <r>
      <rPr>
        <vertAlign val="superscript"/>
        <sz val="11"/>
        <rFont val="Arial"/>
        <family val="2"/>
      </rPr>
      <t>1</t>
    </r>
  </si>
  <si>
    <t>T 1.12  Prämiensoll in Franken je versicherte Person nach Versicherungsform</t>
  </si>
  <si>
    <t>Abweichung</t>
  </si>
  <si>
    <t>vom Gesamt-</t>
  </si>
  <si>
    <t>durchschnitt</t>
  </si>
  <si>
    <t>Quelle: T 1.11 / T 1.06</t>
  </si>
  <si>
    <t xml:space="preserve">T 1.11  Prämiensoll in Franken nach Versicherungsform </t>
  </si>
  <si>
    <t>Quelle: Formular EF3 [T 3.4]</t>
  </si>
  <si>
    <t>T 1.08  Erkrankte, Spitaleinweisungen und Spitaltage</t>
  </si>
  <si>
    <t>Merkmal</t>
  </si>
  <si>
    <t>Erkrankte je 100 Versicherte</t>
  </si>
  <si>
    <t>Einweisungen je 100 Versicherte</t>
  </si>
  <si>
    <t>Spitaltage je 100 Versicherte</t>
  </si>
  <si>
    <t>Spitaltage je Einweisung</t>
  </si>
  <si>
    <t>1) Anzahl versicherte Personen, welche im Berichtsjahr mindestens einmal ambulante oder stationäre Kosten verursacht haben.</t>
  </si>
  <si>
    <t>2) Einweisungen und Spitaltage ins/im Spital stationär.</t>
  </si>
  <si>
    <t>Quelle: Formular EF3 [T 3.7.1 / 3.7.2] + T 1.02</t>
  </si>
  <si>
    <r>
      <t xml:space="preserve">Erkrankte </t>
    </r>
    <r>
      <rPr>
        <vertAlign val="superscript"/>
        <sz val="11"/>
        <rFont val="Arial"/>
        <family val="2"/>
      </rPr>
      <t>1</t>
    </r>
  </si>
  <si>
    <r>
      <t xml:space="preserve">Einweisungen </t>
    </r>
    <r>
      <rPr>
        <vertAlign val="superscript"/>
        <sz val="11"/>
        <rFont val="Arial"/>
        <family val="2"/>
      </rPr>
      <t>2</t>
    </r>
  </si>
  <si>
    <r>
      <t xml:space="preserve">Spitaltage </t>
    </r>
    <r>
      <rPr>
        <vertAlign val="superscript"/>
        <sz val="11"/>
        <rFont val="Arial"/>
        <family val="2"/>
      </rPr>
      <t>2</t>
    </r>
  </si>
  <si>
    <t>Alle Versicherte</t>
  </si>
  <si>
    <t>Ordentliche</t>
  </si>
  <si>
    <t>Wählbare</t>
  </si>
  <si>
    <t>BONUS-</t>
  </si>
  <si>
    <t>Einge-</t>
  </si>
  <si>
    <t xml:space="preserve">  Jahres-</t>
  </si>
  <si>
    <t xml:space="preserve"> Jahres-</t>
  </si>
  <si>
    <t>Versiche-</t>
  </si>
  <si>
    <t>schränk-</t>
  </si>
  <si>
    <t>franchise</t>
  </si>
  <si>
    <t>franchisen</t>
  </si>
  <si>
    <t>te Wahl</t>
  </si>
  <si>
    <t xml:space="preserve"> (z.B. HMO)</t>
  </si>
  <si>
    <t>Quelle: T 1.12</t>
  </si>
  <si>
    <t>F 150</t>
  </si>
  <si>
    <t>F 300</t>
  </si>
  <si>
    <t>F 375</t>
  </si>
  <si>
    <t>Junge Erwachsene</t>
  </si>
  <si>
    <t>F 400</t>
  </si>
  <si>
    <t>F 600</t>
  </si>
  <si>
    <t>F 1200</t>
  </si>
  <si>
    <t>F 1500</t>
  </si>
  <si>
    <t xml:space="preserve">Erwachsene </t>
  </si>
  <si>
    <t>(26 Jahre und mehr)</t>
  </si>
  <si>
    <t>Datenstand: 1997 - 2000 : 16.4.02 ; 2001-2002 : 24.4.03  ; 2003 : 28.4.04 ; 2004 : 4.6.05</t>
  </si>
  <si>
    <t>Quelle: DATENPOOL santésuisse / Auswertung BAG / Abdeckungsgrad der Erhebung  CH :</t>
  </si>
  <si>
    <t>2004: 97,8% / 2003: 94,8% / 2002: 94,7% / 2001: 92,9% / 2000: 92,2% / 1999: 92,8% / 1998: 93% / 1997: 91,2%</t>
  </si>
  <si>
    <t>1) Vgl. Fussnote 1) von Tabelle 1.09.</t>
  </si>
  <si>
    <t>2) Diese Auswertung basiert auf der Gesamtheit der Versicherten, für die Alter, Geschlecht, Kanton, Versicherungsform und Franchisehöhe bekannt sind.</t>
  </si>
  <si>
    <t>3) Im Jahr 1996/97:  wählbare Jahresfranchisen: 300.-  600.-  1200.-  1500.-</t>
  </si>
  <si>
    <r>
      <t xml:space="preserve">1996 </t>
    </r>
    <r>
      <rPr>
        <vertAlign val="superscript"/>
        <sz val="11"/>
        <rFont val="Arial"/>
        <family val="2"/>
      </rPr>
      <t>3</t>
    </r>
  </si>
  <si>
    <r>
      <t xml:space="preserve">1997 </t>
    </r>
    <r>
      <rPr>
        <vertAlign val="superscript"/>
        <sz val="11"/>
        <rFont val="Arial"/>
        <family val="2"/>
      </rPr>
      <t>3</t>
    </r>
  </si>
  <si>
    <t>T 1.18  Leistungen (brutto) in Franken je versicherte Person nach Kostengruppen</t>
  </si>
  <si>
    <t>Kostengruppen</t>
  </si>
  <si>
    <t>Arzt ambulant</t>
  </si>
  <si>
    <t>Spital ambulant</t>
  </si>
  <si>
    <t>Medikamente Arzt</t>
  </si>
  <si>
    <t>Medikamente Apotheke</t>
  </si>
  <si>
    <t>Spitex</t>
  </si>
  <si>
    <t>Physiotherapie</t>
  </si>
  <si>
    <t>Labor</t>
  </si>
  <si>
    <t>Chiropraktik</t>
  </si>
  <si>
    <t>Mittel und Gegenstände</t>
  </si>
  <si>
    <t>Komplementärmedizin</t>
  </si>
  <si>
    <t>Übrige Leistungen ambulant</t>
  </si>
  <si>
    <t>Leistungen Total</t>
  </si>
  <si>
    <t>davon Leistungen Mutterschaft</t>
  </si>
  <si>
    <t>1) Sofern keine Aufteilung nach den anderen aufgeführten Kostengruppen möglich ist.</t>
  </si>
  <si>
    <t>EF3 T 3.6 / [ 2 ]</t>
  </si>
  <si>
    <t>= [ 13A ] / [ 2 ]</t>
  </si>
  <si>
    <t>EF2 Konto 32 K+U Seiten 2.2 -&gt; 2.7</t>
  </si>
  <si>
    <t>= [ 13A ] / [ 6A ] * 100 in %</t>
  </si>
  <si>
    <r>
      <t xml:space="preserve">– Leistungen </t>
    </r>
    <r>
      <rPr>
        <vertAlign val="superscript"/>
        <sz val="11"/>
        <rFont val="Arial"/>
        <family val="2"/>
      </rPr>
      <t>1</t>
    </r>
    <r>
      <rPr>
        <sz val="11"/>
        <rFont val="Arial"/>
        <family val="2"/>
      </rPr>
      <t xml:space="preserve"> in Mio. Fr.</t>
    </r>
  </si>
  <si>
    <r>
      <t xml:space="preserve">– Leistungen </t>
    </r>
    <r>
      <rPr>
        <vertAlign val="superscript"/>
        <sz val="11"/>
        <rFont val="Arial"/>
        <family val="2"/>
      </rPr>
      <t>1</t>
    </r>
    <r>
      <rPr>
        <sz val="11"/>
        <rFont val="Arial"/>
        <family val="2"/>
      </rPr>
      <t xml:space="preserve"> pro Versicherte(n) in Fr.</t>
    </r>
  </si>
  <si>
    <r>
      <t xml:space="preserve">– Bezahlte Leistungen </t>
    </r>
    <r>
      <rPr>
        <vertAlign val="superscript"/>
        <sz val="11"/>
        <rFont val="Arial"/>
        <family val="2"/>
      </rPr>
      <t xml:space="preserve">2  </t>
    </r>
    <r>
      <rPr>
        <sz val="11"/>
        <rFont val="Arial"/>
        <family val="2"/>
      </rPr>
      <t>in Mio. Fr.</t>
    </r>
  </si>
  <si>
    <r>
      <t xml:space="preserve">– Bezahlte Leistungen </t>
    </r>
    <r>
      <rPr>
        <vertAlign val="superscript"/>
        <sz val="11"/>
        <rFont val="Arial"/>
        <family val="2"/>
      </rPr>
      <t>2</t>
    </r>
    <r>
      <rPr>
        <sz val="11"/>
        <rFont val="Arial"/>
        <family val="2"/>
      </rPr>
      <t xml:space="preserve"> pro Versicherten in  Fr.</t>
    </r>
  </si>
  <si>
    <r>
      <t xml:space="preserve">– Rückstellungenquote </t>
    </r>
    <r>
      <rPr>
        <vertAlign val="superscript"/>
        <sz val="11"/>
        <rFont val="Arial"/>
        <family val="2"/>
      </rPr>
      <t>3</t>
    </r>
    <r>
      <rPr>
        <sz val="11"/>
        <rFont val="Arial"/>
        <family val="2"/>
      </rPr>
      <t xml:space="preserve"> per 31.12. in %</t>
    </r>
  </si>
  <si>
    <r>
      <t xml:space="preserve">– Reservequote </t>
    </r>
    <r>
      <rPr>
        <vertAlign val="superscript"/>
        <sz val="11"/>
        <rFont val="Arial"/>
        <family val="2"/>
      </rPr>
      <t>4</t>
    </r>
    <r>
      <rPr>
        <sz val="11"/>
        <rFont val="Arial"/>
        <family val="2"/>
      </rPr>
      <t xml:space="preserve"> per 31.12. in %</t>
    </r>
  </si>
  <si>
    <t>T 9.20  Sozialleistungen für die Gesundheitsversorgung : Internationaler Vergleich in % des BIP ab 1996</t>
  </si>
  <si>
    <t xml:space="preserve">Belgien </t>
  </si>
  <si>
    <t>Griechenland</t>
  </si>
  <si>
    <t>Irland</t>
  </si>
  <si>
    <t>Luxemburg</t>
  </si>
  <si>
    <t>Portugal</t>
  </si>
  <si>
    <t>Vereinigtes Königreich</t>
  </si>
  <si>
    <t>Island</t>
  </si>
  <si>
    <t>Datenstand: 26.9.05</t>
  </si>
  <si>
    <t xml:space="preserve">1) EUR-12: Die Euro-Zone umfasst Belgien, Deutschland, Finnland, Frankreich, Griechenland, Irland, Italien, </t>
  </si>
  <si>
    <t xml:space="preserve">    Luxemburg, Niederlande, Österreich, Portugal und Spanien.</t>
  </si>
  <si>
    <t xml:space="preserve">    EU-15: EUR-12 plus Dänemark, Schweden und das Vereinigte Königreich.</t>
  </si>
  <si>
    <t xml:space="preserve">2) Für die Definition der für die Schweiz ausgewiesenen Leistungen siehe </t>
  </si>
  <si>
    <t>Gesamtrechnung der Sozialen Sichereit: Methoden und Konzepte, BFS, Neuenburg, 2002.</t>
  </si>
  <si>
    <t>Hier ist zu beachten, dass die Kostenbeteiligung der Versicherten (in der Schweiz im Rahmen des KVG obligatorisch)</t>
  </si>
  <si>
    <t>und die Prämienverbilligung in den Zahlen nicht berücksichtigt sind.</t>
  </si>
  <si>
    <t xml:space="preserve">Werte in der Schweiz in 2001 : </t>
  </si>
  <si>
    <t>Kostenbeteiligung der Versicherten = 0,57% des BIP ; Prämienverbilligung = 0,63% des BIP.</t>
  </si>
  <si>
    <t xml:space="preserve">Quelle: Eurostat, European social statistics – Social protection: Expenditure and receipts 1994–2002: C 1.3.1 </t>
  </si>
  <si>
    <r>
      <t xml:space="preserve">UE-15 </t>
    </r>
    <r>
      <rPr>
        <vertAlign val="superscript"/>
        <sz val="11"/>
        <rFont val="Arial"/>
        <family val="2"/>
      </rPr>
      <t>1</t>
    </r>
  </si>
  <si>
    <r>
      <t xml:space="preserve">EUR-12 </t>
    </r>
    <r>
      <rPr>
        <vertAlign val="superscript"/>
        <sz val="11"/>
        <rFont val="Arial"/>
        <family val="2"/>
      </rPr>
      <t>1</t>
    </r>
  </si>
  <si>
    <r>
      <t>Schweiz</t>
    </r>
    <r>
      <rPr>
        <b/>
        <vertAlign val="superscript"/>
        <sz val="11"/>
        <rFont val="Arial"/>
        <family val="2"/>
      </rPr>
      <t xml:space="preserve"> 2</t>
    </r>
  </si>
  <si>
    <t>Daten Vorjahr</t>
  </si>
  <si>
    <t>Ärzte:</t>
  </si>
  <si>
    <t>Dichte der</t>
  </si>
  <si>
    <t>Medika-</t>
  </si>
  <si>
    <t>Apo-</t>
  </si>
  <si>
    <t>Aerzte-</t>
  </si>
  <si>
    <t>Wohn-</t>
  </si>
  <si>
    <t>Allge-</t>
  </si>
  <si>
    <t>Spezial-</t>
  </si>
  <si>
    <t>Ärzte mit</t>
  </si>
  <si>
    <t>Apothe-</t>
  </si>
  <si>
    <t>menten-</t>
  </si>
  <si>
    <t>theken-</t>
  </si>
  <si>
    <t>Anzahl Ärzte (linke Skala)</t>
  </si>
  <si>
    <t>Anzahl Apotheken (rechte Skala)</t>
  </si>
  <si>
    <t>bevölke-</t>
  </si>
  <si>
    <t>mein-</t>
  </si>
  <si>
    <t>ärzte</t>
  </si>
  <si>
    <t>Praxistä-</t>
  </si>
  <si>
    <t>äzte</t>
  </si>
  <si>
    <t>ken</t>
  </si>
  <si>
    <t>praktiker</t>
  </si>
  <si>
    <t>FMH</t>
  </si>
  <si>
    <t>tigkeit</t>
  </si>
  <si>
    <t>Datenstand: 30.9.2005</t>
  </si>
  <si>
    <t>1) Quellen: BFS, Bevölkerungsentwicklung; FMH, Ärztestatistik (Ärzte mit Praxistätigkeit), Schweizerischerer Apothekerverein.</t>
  </si>
  <si>
    <t xml:space="preserve">1) Quelle: T 4.13. </t>
  </si>
  <si>
    <t>2) Anzahl Einwohner pro Arzt mit Praxistätigkeit resp. Anzahl Einwohner pro Apotheke (Öffentliche Apotheken).</t>
  </si>
  <si>
    <t>2) Summe der Ärzte (mit Praxistätigkeit) mit Facharzttitel in Allgemeinmedizin und der Ärzte (mit Praxistätigkeit) ohne Facharzttitel.</t>
  </si>
  <si>
    <t>3) Inklusiv Fachärzte für innere Medizin, die als Grundversorger tätig sind.</t>
  </si>
  <si>
    <t>4) Quelle: FMH, Ärztestatistik;</t>
  </si>
  <si>
    <t>5) Anzahl Ärzte mit Praxistätigkeit pro 1'000 Einwohner.</t>
  </si>
  <si>
    <t>6) Veränderung der Dichte.</t>
  </si>
  <si>
    <t>7) Quelle: Schweizerischer Apothekerverein SAV.</t>
  </si>
  <si>
    <t>8) Anzahl Apotheken (Öffentliche Apotheken) pro 10'000 Einwohner.</t>
  </si>
  <si>
    <t>9) Selbstdispensation (Medikamentenverkauf durch Ärzte) : 1 flächendeckend im Kanton / 2 Mischformen /  3 reines Rezeptursystem.</t>
  </si>
  <si>
    <t xml:space="preserve">    Quelle : Managed Care 6/04 S. 33-36.</t>
  </si>
  <si>
    <r>
      <t xml:space="preserve">T 9.09  Wohnbevölkerung, Ärzte mit Praxistätigkeit </t>
    </r>
    <r>
      <rPr>
        <b/>
        <sz val="12"/>
        <rFont val="Arial"/>
        <family val="2"/>
      </rPr>
      <t xml:space="preserve">und Apotheken nach Kantonen </t>
    </r>
  </si>
  <si>
    <r>
      <t xml:space="preserve">Veränd. </t>
    </r>
    <r>
      <rPr>
        <vertAlign val="superscript"/>
        <sz val="11"/>
        <rFont val="Arial"/>
        <family val="2"/>
      </rPr>
      <t>6</t>
    </r>
  </si>
  <si>
    <r>
      <t xml:space="preserve">Ärzte </t>
    </r>
    <r>
      <rPr>
        <vertAlign val="superscript"/>
        <sz val="11"/>
        <rFont val="Arial"/>
        <family val="2"/>
      </rPr>
      <t>5</t>
    </r>
  </si>
  <si>
    <r>
      <t xml:space="preserve">dichte </t>
    </r>
    <r>
      <rPr>
        <vertAlign val="superscript"/>
        <sz val="11"/>
        <rFont val="Arial"/>
        <family val="2"/>
      </rPr>
      <t>2)</t>
    </r>
  </si>
  <si>
    <r>
      <t>ken</t>
    </r>
    <r>
      <rPr>
        <vertAlign val="superscript"/>
        <sz val="11"/>
        <rFont val="Arial"/>
        <family val="2"/>
      </rPr>
      <t xml:space="preserve"> 7</t>
    </r>
  </si>
  <si>
    <r>
      <t xml:space="preserve">verkauf </t>
    </r>
    <r>
      <rPr>
        <vertAlign val="superscript"/>
        <sz val="11"/>
        <rFont val="Arial"/>
        <family val="2"/>
      </rPr>
      <t>9</t>
    </r>
  </si>
  <si>
    <r>
      <t xml:space="preserve">dichte </t>
    </r>
    <r>
      <rPr>
        <vertAlign val="superscript"/>
        <sz val="11"/>
        <rFont val="Arial"/>
        <family val="2"/>
      </rPr>
      <t>8</t>
    </r>
  </si>
  <si>
    <r>
      <t xml:space="preserve">rung </t>
    </r>
    <r>
      <rPr>
        <vertAlign val="superscript"/>
        <sz val="11"/>
        <rFont val="Arial"/>
        <family val="2"/>
      </rPr>
      <t>1</t>
    </r>
  </si>
  <si>
    <r>
      <t xml:space="preserve">praktiker </t>
    </r>
    <r>
      <rPr>
        <vertAlign val="superscript"/>
        <sz val="11"/>
        <rFont val="Arial"/>
        <family val="2"/>
      </rPr>
      <t>2</t>
    </r>
  </si>
  <si>
    <r>
      <t xml:space="preserve">FMH </t>
    </r>
    <r>
      <rPr>
        <vertAlign val="superscript"/>
        <sz val="11"/>
        <rFont val="Arial"/>
        <family val="2"/>
      </rPr>
      <t>3</t>
    </r>
  </si>
  <si>
    <r>
      <t xml:space="preserve">tigkeit </t>
    </r>
    <r>
      <rPr>
        <vertAlign val="superscript"/>
        <sz val="11"/>
        <rFont val="Arial"/>
        <family val="2"/>
      </rPr>
      <t>4</t>
    </r>
  </si>
  <si>
    <t>Pflege-</t>
  </si>
  <si>
    <t>Gesundheits-</t>
  </si>
  <si>
    <t>Krankenver-</t>
  </si>
  <si>
    <t>Kosten-</t>
  </si>
  <si>
    <t>BFS-Lohn-</t>
  </si>
  <si>
    <t>kosten-</t>
  </si>
  <si>
    <t>wesen Kosten-</t>
  </si>
  <si>
    <t>sicherung-</t>
  </si>
  <si>
    <t>beteiligung</t>
  </si>
  <si>
    <t>index</t>
  </si>
  <si>
    <t>ausgaben</t>
  </si>
  <si>
    <t>OKP</t>
  </si>
  <si>
    <t>(nominal)</t>
  </si>
  <si>
    <t>Pflegekostenindex OKP</t>
  </si>
  <si>
    <t>BFS–Lohnindex</t>
  </si>
  <si>
    <t>1) Quelle: T 1.14. Entwicklung der Leistungen pro Versicherte(n) (erfasst mit der Kostenbeteiligung der Versicherten).</t>
  </si>
  <si>
    <t>3) Quelle: T 1.41. OKP Ausgaben = Prämien + Kostenbeteiligung.</t>
  </si>
  <si>
    <t>4) Quelle: T 1.20.</t>
  </si>
  <si>
    <t>5) Quelle: BFS, Sektion Löhne und Arbeitsbedingungen.</t>
  </si>
  <si>
    <r>
      <t xml:space="preserve">index </t>
    </r>
    <r>
      <rPr>
        <vertAlign val="superscript"/>
        <sz val="11"/>
        <rFont val="Arial"/>
        <family val="2"/>
      </rPr>
      <t>5</t>
    </r>
  </si>
  <si>
    <r>
      <t xml:space="preserve">index </t>
    </r>
    <r>
      <rPr>
        <vertAlign val="superscript"/>
        <sz val="11"/>
        <rFont val="Arial"/>
        <family val="2"/>
      </rPr>
      <t>2</t>
    </r>
  </si>
  <si>
    <r>
      <t xml:space="preserve">OKP </t>
    </r>
    <r>
      <rPr>
        <vertAlign val="superscript"/>
        <sz val="11"/>
        <rFont val="Arial"/>
        <family val="2"/>
      </rPr>
      <t>1</t>
    </r>
  </si>
  <si>
    <r>
      <t xml:space="preserve">OKP Index </t>
    </r>
    <r>
      <rPr>
        <vertAlign val="superscript"/>
        <sz val="11"/>
        <rFont val="Arial"/>
        <family val="2"/>
      </rPr>
      <t>3</t>
    </r>
  </si>
  <si>
    <r>
      <t xml:space="preserve">Index </t>
    </r>
    <r>
      <rPr>
        <vertAlign val="superscript"/>
        <sz val="11"/>
        <rFont val="Arial"/>
        <family val="2"/>
      </rPr>
      <t>4</t>
    </r>
  </si>
  <si>
    <t>Ärztliche Leistungen</t>
  </si>
  <si>
    <t>Zahnärztliche Leistungen</t>
  </si>
  <si>
    <t>Spital-leistungen</t>
  </si>
  <si>
    <t>Medizinische Apparate</t>
  </si>
  <si>
    <t>Parame- dizinische Leistungen</t>
  </si>
  <si>
    <t>Gesundheits-pflege (Total)</t>
  </si>
  <si>
    <t>Allgemeiner Kostenindex (LIK)</t>
  </si>
  <si>
    <t>1) Basis des Indexes der Konsumentenpreise: Mai 2000 = 100. Indizes auf der Basis Jahresdurchschnitt 1996 = 100.</t>
  </si>
  <si>
    <t>Methode zur Ermittlung des Index  "Gesundheitspflege":</t>
  </si>
  <si>
    <t>- Gesundheitskosten: Gewichtung nach den 6 in der Folge aufgeführten Teilindizes:</t>
  </si>
  <si>
    <t xml:space="preserve"> - Medikamente: Kostenermittlung bei rund 200 Medikamenten in den 10 umsatzstärksten Behandlungskategorien</t>
  </si>
  <si>
    <t xml:space="preserve"> - Ärztliche Leistungen: Gewichtung nach 26 kantonalen Indizes; </t>
  </si>
  <si>
    <t xml:space="preserve">   für jeden Kanton werden die 30 umsatzstärksten Tarifpositionen ermittelt </t>
  </si>
  <si>
    <t xml:space="preserve"> - Zahnärztliche Leistungen: Kostenermittlung von 11 typischen Leistungsarten in 16 Gemeinden, bei ca. 50 Zahnärzten</t>
  </si>
  <si>
    <t xml:space="preserve"> - Spitalleistungen: Gewichtung nach 26 kantonalen Indizes unter Berücksichtigung der Tarife für stationäre und ambulante Dienste.</t>
  </si>
  <si>
    <t xml:space="preserve">   Betrachtet wurden öffentliche und private Akutspitäler und Psychiatrieeinrichtungen.</t>
  </si>
  <si>
    <t xml:space="preserve"> - Medizinische Geräte: Kostenermittlung nach den typischen Leistungen in den Bereichen Augenoptik (Brillen und </t>
  </si>
  <si>
    <t xml:space="preserve">  und andere medizinische Geräte (z.B. Gehhilfen, Stützen usw.)</t>
  </si>
  <si>
    <t xml:space="preserve"> - Paramedizinische Leistungen: Kostenermittlung nach den typischen Leistungen in den Bereichen Physiotherapie, Labor und Spitex. </t>
  </si>
  <si>
    <t>Quelle: BFS, Sektion Preise und Verbrauch.</t>
  </si>
  <si>
    <r>
      <t xml:space="preserve">T 9.12  Entwicklung der Preisindizes für Gesundheitspflege ab 1996 </t>
    </r>
    <r>
      <rPr>
        <b/>
        <vertAlign val="superscript"/>
        <sz val="12"/>
        <rFont val="Arial"/>
        <family val="2"/>
      </rPr>
      <t>1</t>
    </r>
  </si>
  <si>
    <r>
      <t xml:space="preserve">T 9.10  Entwicklung der Wohnbevölkerung, der Ärzte mit Praxistätigkeit </t>
    </r>
    <r>
      <rPr>
        <b/>
        <sz val="12"/>
        <rFont val="Arial"/>
        <family val="2"/>
      </rPr>
      <t>und der Apotheken ab 1996</t>
    </r>
  </si>
  <si>
    <t>Ärzte</t>
  </si>
  <si>
    <t>Apo</t>
  </si>
  <si>
    <t>theken</t>
  </si>
  <si>
    <t>1) Quelle: T 9.09.</t>
  </si>
  <si>
    <t>2) Anzahl Ärzte mit Praxistätigkeit pro 1'000 Einwohner.</t>
  </si>
  <si>
    <t>3) Veränderung der Dichte.</t>
  </si>
  <si>
    <t>4) Anzahl Apotheken (Öffentliche Apotheken) pro 10'000 Einwohner.</t>
  </si>
  <si>
    <r>
      <t xml:space="preserve">Veränd. </t>
    </r>
    <r>
      <rPr>
        <vertAlign val="superscript"/>
        <sz val="11"/>
        <rFont val="Arial"/>
        <family val="2"/>
      </rPr>
      <t>3</t>
    </r>
  </si>
  <si>
    <r>
      <t xml:space="preserve">Ärzte </t>
    </r>
    <r>
      <rPr>
        <vertAlign val="superscript"/>
        <sz val="11"/>
        <rFont val="Arial"/>
        <family val="2"/>
      </rPr>
      <t>1</t>
    </r>
  </si>
  <si>
    <r>
      <t xml:space="preserve">dichte </t>
    </r>
    <r>
      <rPr>
        <vertAlign val="superscript"/>
        <sz val="11"/>
        <rFont val="Arial"/>
        <family val="2"/>
      </rPr>
      <t>2</t>
    </r>
  </si>
  <si>
    <r>
      <t xml:space="preserve">ken </t>
    </r>
    <r>
      <rPr>
        <vertAlign val="superscript"/>
        <sz val="11"/>
        <rFont val="Arial"/>
        <family val="2"/>
      </rPr>
      <t>1</t>
    </r>
  </si>
  <si>
    <r>
      <t xml:space="preserve">dichte </t>
    </r>
    <r>
      <rPr>
        <vertAlign val="superscript"/>
        <sz val="11"/>
        <rFont val="Arial"/>
        <family val="2"/>
      </rPr>
      <t>4</t>
    </r>
  </si>
  <si>
    <t>Datenstand: 3.10.05</t>
  </si>
  <si>
    <t>Gesamtbetriebsergebnis  je versicherte Person nach Versicherungsform ab 1996</t>
  </si>
  <si>
    <t xml:space="preserve">Betriebsrechnung der obligatorischen Krankenpflegeversicherung KVG insgesamt </t>
  </si>
  <si>
    <t>29.7.05: 1.02-1.04, 1.06, 1.08, 1.10-1.12,1.16,1.18</t>
  </si>
  <si>
    <t>Betriebsrechnung der Versicherung mit ordentlicher Franchise</t>
  </si>
  <si>
    <t xml:space="preserve">Betriebsrechnung der Versicherungen mit wählbarer Franchise </t>
  </si>
  <si>
    <t xml:space="preserve">Betriebsrechnung der BONUS-Versicherung </t>
  </si>
  <si>
    <t xml:space="preserve">Betriebsrechnung der Versicherungen mit eingeschränkter Wahl des Leistungserbringers </t>
  </si>
  <si>
    <t>Aufteilung der Versicherten (Kinder und Erwachsene) nach Versicherungsform ab 1996</t>
  </si>
  <si>
    <t>Verteilung der Versicherungsformen in % nach Kanton - Versicherte ab 19 Jahren</t>
  </si>
  <si>
    <t xml:space="preserve">Verteilung der Versicherungsformen in % nach Kanton - Versicherte 0-18 Jahre </t>
  </si>
  <si>
    <t xml:space="preserve">Leistungen (brutto) in Fr. nach Versicherungsform </t>
  </si>
  <si>
    <t xml:space="preserve">Leistungen (brutto) in Fr. je versicherte Person nach Versicherungsform </t>
  </si>
  <si>
    <t>Durchschnittlicher Versichertenbestand ab 1996</t>
  </si>
  <si>
    <t>Obligatorische Krankenpflegeversicherung ab 1996: wichtigste Indikatoren</t>
  </si>
  <si>
    <t>Prämiensoll je versicherte Person nach Versicherungsform ab 1996: Veränderung gegenüber dem Vorjahr</t>
  </si>
  <si>
    <t>Kostenbeteiligung je versicherte Person nach Versicherungsform : Veränderung gegenüber dem Vorjahr ab 1996</t>
  </si>
  <si>
    <t xml:space="preserve">1) Maximaler Subventionsbetrag von Bund und Kantonen gemäss KVG-Verteilmodell: </t>
  </si>
  <si>
    <t xml:space="preserve">   Art. 106 KVG &amp; Bundesbeschlüsse über die Bundesbeiträge in der Krankenversicherung.</t>
  </si>
  <si>
    <t>2) Vgl. Art. 66 Abs. 5 KVG: "Der Kanton darf den (...) von ihm zu übernehmenden Betrag um maximal 50 Prozent kürzen, wenn</t>
  </si>
  <si>
    <t>die Prämienverbilligung für Versicherte in bescheidenen wirtschaftlichen Verhältnissen trotzdem sichergestellt ist. Der Beitrag</t>
  </si>
  <si>
    <t>des Bundes an diesen Kanton wird im gleichen Verhältnis gekürzt".</t>
  </si>
  <si>
    <t>3) Subventionsbudget = maximaler Subventionsbetrag abzüglich der Kürzungsbeträge von Kantonen und Bund (vgl. Fussnote 2).</t>
  </si>
  <si>
    <t>4) Effektiv im Berichtsjahr an die Haushalte/BezügerInnen ausbezahlte Prämienverbilligungen nach KVG.</t>
  </si>
  <si>
    <r>
      <t xml:space="preserve">tionsziel </t>
    </r>
    <r>
      <rPr>
        <vertAlign val="superscript"/>
        <sz val="11"/>
        <rFont val="Arial"/>
        <family val="2"/>
      </rPr>
      <t>1</t>
    </r>
  </si>
  <si>
    <r>
      <t xml:space="preserve">faktor </t>
    </r>
    <r>
      <rPr>
        <vertAlign val="superscript"/>
        <sz val="11"/>
        <rFont val="Arial"/>
        <family val="2"/>
      </rPr>
      <t>2</t>
    </r>
    <r>
      <rPr>
        <sz val="11"/>
        <rFont val="Arial"/>
        <family val="2"/>
      </rPr>
      <t xml:space="preserve"> :</t>
    </r>
  </si>
  <si>
    <r>
      <t xml:space="preserve">Kürzungen </t>
    </r>
    <r>
      <rPr>
        <vertAlign val="superscript"/>
        <sz val="11"/>
        <rFont val="Arial"/>
        <family val="2"/>
      </rPr>
      <t>3</t>
    </r>
  </si>
  <si>
    <r>
      <t xml:space="preserve">nach KVG </t>
    </r>
    <r>
      <rPr>
        <vertAlign val="superscript"/>
        <sz val="11"/>
        <rFont val="Arial"/>
        <family val="2"/>
      </rPr>
      <t>4</t>
    </r>
  </si>
  <si>
    <t>1996-2004</t>
  </si>
  <si>
    <t>1996 - 2004</t>
  </si>
  <si>
    <t>für 2004</t>
  </si>
  <si>
    <t>für 2003</t>
  </si>
  <si>
    <t>KVG-Verteilmodell 2004</t>
  </si>
  <si>
    <t>2004/05</t>
  </si>
  <si>
    <t>– Forderungen bei Partnern brutto</t>
  </si>
  <si>
    <t>– Wertberichtigung / Delkredere</t>
  </si>
  <si>
    <t>Forderungen bei Rückversicherern</t>
  </si>
  <si>
    <t>Forderungen von Subventionen, Prämienverbilligung, Risikoausgleich und anderen Beiträgen</t>
  </si>
  <si>
    <t>Vorausbezahlte Versicherungsleistungen, Regress und Rückerstattungsansprüche</t>
  </si>
  <si>
    <t>Übrige Forderungen und aktive Rechnungsabgrenzung</t>
  </si>
  <si>
    <t>Anlagevermögen</t>
  </si>
  <si>
    <t>Kapitalanlagen</t>
  </si>
  <si>
    <t>– Kapitalanlagen brutto</t>
  </si>
  <si>
    <t xml:space="preserve">– Wertberichtigung </t>
  </si>
  <si>
    <t>– Grundstücke und Gebäude brutto</t>
  </si>
  <si>
    <t>– Wertberichtigung</t>
  </si>
  <si>
    <t>Betriebseinrichtungen und Fahrzeuge</t>
  </si>
  <si>
    <t>– Betriebseinrichtungen und Fahrzeuge brutto</t>
  </si>
  <si>
    <t>Total Aktiven</t>
  </si>
  <si>
    <t>Quelle: Formular EF1 [3]</t>
  </si>
  <si>
    <t>1: Versicherte und Finanzen in der obligatorischen Krankenpflegeversicherung (OKP)</t>
  </si>
  <si>
    <t>Anzahl Versicherer OKP nach Grösse ab 1996</t>
  </si>
  <si>
    <t>Versichertenbestand ab 1996 per 31.12.</t>
  </si>
  <si>
    <t>Versichertenbestand nach Wohnkanton per 31.12.</t>
  </si>
  <si>
    <t>Versichertenbestand nach Alter und Geschlecht per 31.12.</t>
  </si>
  <si>
    <t>Versichertenbestand per 31.12 nach Versicherungsform ab 1996</t>
  </si>
  <si>
    <t>Versichertenbestand nach Versicherungsform per 31.12.</t>
  </si>
  <si>
    <t>Erkrankte, Spitaleinweisungen und Spitaltage ab 1996</t>
  </si>
  <si>
    <t xml:space="preserve">Erkrankte, Spitaleinweisungen und Spitaltage </t>
  </si>
  <si>
    <t>Prämiensoll nach Versicherungsform ab 1996</t>
  </si>
  <si>
    <t xml:space="preserve">T 9.19  Gesundheitskosten ausgewählter OECD–Länder in % des BIP ab 1960 </t>
  </si>
  <si>
    <t>Land</t>
  </si>
  <si>
    <t>Australien</t>
  </si>
  <si>
    <t>Belgien</t>
  </si>
  <si>
    <t>Dänemark</t>
  </si>
  <si>
    <t>Deutschland</t>
  </si>
  <si>
    <t>Finnland</t>
  </si>
  <si>
    <t>Frankreich</t>
  </si>
  <si>
    <t>Grossbritannien</t>
  </si>
  <si>
    <t>Italien</t>
  </si>
  <si>
    <t>Japan</t>
  </si>
  <si>
    <t>Niederlande</t>
  </si>
  <si>
    <t>Norwegen</t>
  </si>
  <si>
    <t>Österreich</t>
  </si>
  <si>
    <t>Schweden</t>
  </si>
  <si>
    <t>Spanien</t>
  </si>
  <si>
    <t>USA</t>
  </si>
  <si>
    <t>Datenstand: 8.6.2005</t>
  </si>
  <si>
    <t>Quelle: www.oecd.org/home/   Topics &gt; Health &gt; OECD Health Data 2005 - Frequently Requested Data &gt; Table 6:</t>
  </si>
  <si>
    <t xml:space="preserve">Total expenditure on health, % gross domestic product </t>
  </si>
  <si>
    <t>20.9.05: 9.19</t>
  </si>
  <si>
    <t>Prämiensoll je versicherte Person nach Versicherungsform ab 1996</t>
  </si>
  <si>
    <t xml:space="preserve">Prämiensoll nach Versicherungsform </t>
  </si>
  <si>
    <t>Leistungen (brutto)  nach Versicherungsform ab 1996</t>
  </si>
  <si>
    <t>Leistungen (brutto)  je versicherte Person nach Versicherungsform ab 1996</t>
  </si>
  <si>
    <t>Leistungen (brutto)  nach Kostengruppen ab 1996</t>
  </si>
  <si>
    <t xml:space="preserve">Leistungen (brutto) nach Kostengruppen </t>
  </si>
  <si>
    <t xml:space="preserve">Leistungen (brutto) je versicherte Person nach Kostengruppen ab 1996 </t>
  </si>
  <si>
    <t>Leistungen (brutto)  je versicherte Person nach Kostengruppen</t>
  </si>
  <si>
    <t xml:space="preserve">Kostenbeteiligung der Versicherten in Fr. nach Versicherungsform ab 1996 </t>
  </si>
  <si>
    <t xml:space="preserve">Kostenbeteiligung je versicherte Person in Fr. nach Versicherungsform ab 1996 </t>
  </si>
  <si>
    <t>Bezahlte Leistungen nach Versicherungsform ab 1996</t>
  </si>
  <si>
    <t>Bezahlte Leistungen je versicherte Person nach Versicherungsform ab 1996</t>
  </si>
  <si>
    <t>Verwaltungsaufwand / Abschreibungen  nach Versicherungsform ab 1996</t>
  </si>
  <si>
    <t>18.10.05: 9.06-9.08, 9.21</t>
  </si>
  <si>
    <t>11.10.05: 9.11, 9.16-9.18</t>
  </si>
  <si>
    <t>vollständig (140 T.)</t>
  </si>
  <si>
    <t>T 9.06 Kosten des Gesundheitswesens in der Schweiz aus der Sicht der Krankenversicherung-Prämien in Millionen Franken ab 1996</t>
  </si>
  <si>
    <t>Finanzierungsträger</t>
  </si>
  <si>
    <t>Durchschnittl.</t>
  </si>
  <si>
    <t>Schätzung</t>
  </si>
  <si>
    <t>des Gesundheitswesens</t>
  </si>
  <si>
    <t>jährl.</t>
  </si>
  <si>
    <t>Bund</t>
  </si>
  <si>
    <t>Kantone</t>
  </si>
  <si>
    <t>Gemeinden</t>
  </si>
  <si>
    <t>Unfallversicherung UVG</t>
  </si>
  <si>
    <t>Militärversicherung</t>
  </si>
  <si>
    <t>Obligatorische Krankenpflegeversicherung KVG</t>
  </si>
  <si>
    <t>Übrige Systeme der sozialen Sicherheit</t>
  </si>
  <si>
    <t>Kantone (inkl. Gemeinden)</t>
  </si>
  <si>
    <t xml:space="preserve">  Krankenversicherungsprämien </t>
  </si>
  <si>
    <t xml:space="preserve">Zusatzversicherungen VVG der KVG-Versicherer </t>
  </si>
  <si>
    <t>1) Subventionen oder direkte Leistungen an das Gesundheitswesen (an die Leistungserbringer (Spitäler), an die</t>
  </si>
  <si>
    <t xml:space="preserve">   sozialmedizinischen Institutionen, an die Spitex- und Rettungsdienste) und die Öffentliche Gesundheit, Verwaltung und Prävention.</t>
  </si>
  <si>
    <t xml:space="preserve">   Quelle: Kosten des Gesundheitswesens [nach Direktzahlern], BFS. Schätzungen: BFS [Medienmitteilung 3/05].</t>
  </si>
  <si>
    <t>2) Leistungen/Zahlungen nur an das Gesundheitswesen.</t>
  </si>
  <si>
    <t xml:space="preserve">   Quelle: Kosten des Gesundheitswesens [aus der Sicht der sozialen Sicherheit], BFS. Schätzungen: BAG: Entwicklung gemäss durchschnittl. jährl. Veränderung 1996-2003.</t>
  </si>
  <si>
    <t>3) Individuelle Sachleistungen und Subventionen an die IV-Institutionen; von der AHV bezahlte Hilfsmittel.</t>
  </si>
  <si>
    <t>4) Quelle: T 9.08.</t>
  </si>
  <si>
    <t>5) Ohne Prämien für Taggelder KVG oder VVG. Quelle: T 9.08.</t>
  </si>
  <si>
    <t>6) Ohne Prämien für Taggelder für Verdienstausfall nach VVG. Quelle: T 9.08.</t>
  </si>
  <si>
    <t>7) Quelle: Kosten des Gesundheitswesens [aus der Sicht der sozialen Sicherheit], BFS.</t>
  </si>
  <si>
    <t xml:space="preserve">     Schätzungen: BAG: Sozialhilfe: Werte 2003; Ergänzungsleistungen und Hilflosenentschädigungen: Entwicklung gemäss durchnittl. jährl. Veränderung 1996-2003.</t>
  </si>
  <si>
    <t xml:space="preserve">8) Zahnpflege, Pensionskosten in Pflegeheimen, Spitexdienste und rezeptfreie Medikamente </t>
  </si>
  <si>
    <t xml:space="preserve">    ("over the counter") bilden die Hauptkosten zur vollen oder teilweisen Last der Haushalte.</t>
  </si>
  <si>
    <t xml:space="preserve">   Wert berechnet wie das Total der Kosten des Gesundheitswesens - Summe der anderen Positionen.</t>
  </si>
  <si>
    <t>9) Spenden und Legate an Organisationen ohne Erwerbszweck wie Pflegeheime für Betagte, Institutionen für Behinderte, Spitexorganisationen, Gesundheitsligen.</t>
  </si>
  <si>
    <t xml:space="preserve">     Quelle: Kosten des Gesundheitswesens [nach Direktzahlern], BFS. Schätzungen: BFS [Medienmitteilung 3/05].</t>
  </si>
  <si>
    <t>11) Quelle: T 9.08.</t>
  </si>
  <si>
    <t>12) Quelle: Kosten des Gesundheitswesens [nach Direktzahlern], BFS. Schätzungen: BFS [Medienmitteilung 3/05].</t>
  </si>
  <si>
    <t>13) Quelle: T 4.07. Schätzungen: BAG: T 4.09 &amp; 4.07 &amp; Entwicklung gemäss jährl. Veränderung 2002-2003.</t>
  </si>
  <si>
    <r>
      <t xml:space="preserve">Staat </t>
    </r>
    <r>
      <rPr>
        <b/>
        <vertAlign val="superscript"/>
        <sz val="10"/>
        <rFont val="Arial"/>
        <family val="2"/>
      </rPr>
      <t>1</t>
    </r>
  </si>
  <si>
    <r>
      <t xml:space="preserve">Sozialversicherungen </t>
    </r>
    <r>
      <rPr>
        <b/>
        <vertAlign val="superscript"/>
        <sz val="10"/>
        <rFont val="Arial"/>
        <family val="2"/>
      </rPr>
      <t>2</t>
    </r>
  </si>
  <si>
    <r>
      <t xml:space="preserve">AHV / IV </t>
    </r>
    <r>
      <rPr>
        <b/>
        <vertAlign val="superscript"/>
        <sz val="10"/>
        <rFont val="Arial"/>
        <family val="2"/>
      </rPr>
      <t>3</t>
    </r>
  </si>
  <si>
    <r>
      <t xml:space="preserve">Finanzierungssaldo für die Krankenversicherung </t>
    </r>
    <r>
      <rPr>
        <b/>
        <vertAlign val="superscript"/>
        <sz val="10"/>
        <rFont val="Arial"/>
        <family val="2"/>
      </rPr>
      <t>4</t>
    </r>
  </si>
  <si>
    <r>
      <t xml:space="preserve">Zusatzversicherungen VVG der KVG-Versicherer </t>
    </r>
    <r>
      <rPr>
        <b/>
        <vertAlign val="superscript"/>
        <sz val="9"/>
        <rFont val="Arial"/>
        <family val="2"/>
      </rPr>
      <t>5</t>
    </r>
  </si>
  <si>
    <r>
      <t xml:space="preserve">Zusatzversicherungen VVG der Privatversicherer </t>
    </r>
    <r>
      <rPr>
        <b/>
        <vertAlign val="superscript"/>
        <sz val="9"/>
        <rFont val="Arial"/>
        <family val="2"/>
      </rPr>
      <t>6</t>
    </r>
  </si>
  <si>
    <r>
      <t xml:space="preserve">  Prämienverbilligung KVG </t>
    </r>
    <r>
      <rPr>
        <b/>
        <vertAlign val="superscript"/>
        <sz val="10"/>
        <rFont val="Arial"/>
        <family val="2"/>
      </rPr>
      <t>13</t>
    </r>
  </si>
  <si>
    <r>
      <t xml:space="preserve">  Ergänzungsleistungen </t>
    </r>
    <r>
      <rPr>
        <b/>
        <vertAlign val="superscript"/>
        <sz val="10"/>
        <rFont val="Arial"/>
        <family val="2"/>
      </rPr>
      <t>7</t>
    </r>
  </si>
  <si>
    <r>
      <t xml:space="preserve">  Sozialhilfe </t>
    </r>
    <r>
      <rPr>
        <b/>
        <vertAlign val="superscript"/>
        <sz val="10"/>
        <rFont val="Arial"/>
        <family val="2"/>
      </rPr>
      <t>7</t>
    </r>
  </si>
  <si>
    <r>
      <t xml:space="preserve">  Hilflosenentschädigungen </t>
    </r>
    <r>
      <rPr>
        <b/>
        <vertAlign val="superscript"/>
        <sz val="10"/>
        <rFont val="Arial"/>
        <family val="2"/>
      </rPr>
      <t>7</t>
    </r>
  </si>
  <si>
    <r>
      <t xml:space="preserve">Netto Prämien der obligatorischen Krankenpflegeversicherung KVG </t>
    </r>
    <r>
      <rPr>
        <b/>
        <vertAlign val="superscript"/>
        <sz val="8"/>
        <rFont val="Arial"/>
        <family val="2"/>
      </rPr>
      <t>10</t>
    </r>
  </si>
  <si>
    <r>
      <t xml:space="preserve">Zusatzversicherungen VVG der KVG-Versicherer </t>
    </r>
    <r>
      <rPr>
        <b/>
        <vertAlign val="superscript"/>
        <sz val="8"/>
        <rFont val="Arial"/>
        <family val="2"/>
      </rPr>
      <t>5</t>
    </r>
  </si>
  <si>
    <r>
      <t xml:space="preserve">Zusatzversicherungen VVG der Privatversicherer </t>
    </r>
    <r>
      <rPr>
        <b/>
        <vertAlign val="superscript"/>
        <sz val="8"/>
        <rFont val="Arial"/>
        <family val="2"/>
      </rPr>
      <t>6</t>
    </r>
  </si>
  <si>
    <r>
      <t xml:space="preserve">  Kostenbeteiligung </t>
    </r>
    <r>
      <rPr>
        <b/>
        <vertAlign val="superscript"/>
        <sz val="10"/>
        <rFont val="Arial"/>
        <family val="2"/>
      </rPr>
      <t>11</t>
    </r>
  </si>
  <si>
    <r>
      <t xml:space="preserve">  Out of pocket </t>
    </r>
    <r>
      <rPr>
        <b/>
        <vertAlign val="superscript"/>
        <sz val="10"/>
        <rFont val="Arial"/>
        <family val="2"/>
      </rPr>
      <t>8</t>
    </r>
  </si>
  <si>
    <r>
      <t xml:space="preserve">Übrige private Finanzierung </t>
    </r>
    <r>
      <rPr>
        <b/>
        <vertAlign val="superscript"/>
        <sz val="10"/>
        <rFont val="Arial"/>
        <family val="2"/>
      </rPr>
      <t>9</t>
    </r>
  </si>
  <si>
    <r>
      <t xml:space="preserve">Total Kosten des Gesundheitswesens </t>
    </r>
    <r>
      <rPr>
        <b/>
        <vertAlign val="superscript"/>
        <sz val="10"/>
        <rFont val="Arial"/>
        <family val="2"/>
      </rPr>
      <t>12</t>
    </r>
  </si>
  <si>
    <r>
      <t xml:space="preserve">Werte 2004-2005-2006: Schätzungen </t>
    </r>
    <r>
      <rPr>
        <b/>
        <i/>
        <sz val="10"/>
        <rFont val="Arial"/>
        <family val="2"/>
      </rPr>
      <t>(kursiv)</t>
    </r>
    <r>
      <rPr>
        <b/>
        <sz val="10"/>
        <rFont val="Arial"/>
        <family val="2"/>
      </rPr>
      <t xml:space="preserve"> [BFS &amp; BAG]</t>
    </r>
    <r>
      <rPr>
        <b/>
        <i/>
        <sz val="10"/>
        <rFont val="Arial"/>
        <family val="2"/>
      </rPr>
      <t>.</t>
    </r>
  </si>
  <si>
    <r>
      <t xml:space="preserve">10) NettoPrämien der Haushalte = Bruttoprämien obligatorische Krankenpflegeversicherung (T 9.08 </t>
    </r>
    <r>
      <rPr>
        <vertAlign val="superscript"/>
        <sz val="10"/>
        <rFont val="Arial"/>
        <family val="2"/>
      </rPr>
      <t>h</t>
    </r>
    <r>
      <rPr>
        <sz val="10"/>
        <rFont val="Arial"/>
        <family val="2"/>
      </rPr>
      <t xml:space="preserve"> ) - Prämienverbilligung KVG an Versicherte (T 9.06 </t>
    </r>
    <r>
      <rPr>
        <vertAlign val="superscript"/>
        <sz val="10"/>
        <rFont val="Arial"/>
        <family val="2"/>
      </rPr>
      <t>13</t>
    </r>
    <r>
      <rPr>
        <sz val="10"/>
        <rFont val="Arial"/>
        <family val="2"/>
      </rPr>
      <t xml:space="preserve"> ).</t>
    </r>
  </si>
  <si>
    <t>T 9.21 Kosten des Gesundheitswesens in der Schweiz aus der Sicht der Krankenversicherung-Leistungen in Millionen Franken ab 1996</t>
  </si>
  <si>
    <t xml:space="preserve"> Übriger Aufwand</t>
  </si>
  <si>
    <t xml:space="preserve"> Verwaltungskosten (inkl. Prävention) </t>
  </si>
  <si>
    <t>1) - 13) Vgl. Fussnoten von Tabelle 9.06.</t>
  </si>
  <si>
    <t>14) Ohne Prämienverbilligung KVG (in den Bruttoprämien der obligatorischen Krankenpflegeversicherung enthalten).</t>
  </si>
  <si>
    <t>15) Leistungen I der Krankenversicherer [T 9.08 a) ] + Kostenbeteiligung [T 9.08 f) ].</t>
  </si>
  <si>
    <t>16) Siehe T 9.08 : b) Übriger Aufwand und d) Verwaltungskosten (inkl. Prävention).</t>
  </si>
  <si>
    <t>Quelle: T 9.06 &amp; T 9.08</t>
  </si>
  <si>
    <r>
      <t xml:space="preserve">     Ergänzungsleistungen </t>
    </r>
    <r>
      <rPr>
        <b/>
        <vertAlign val="superscript"/>
        <sz val="9"/>
        <rFont val="Arial"/>
        <family val="2"/>
      </rPr>
      <t>7</t>
    </r>
  </si>
  <si>
    <r>
      <t xml:space="preserve">     Sozialhilfe </t>
    </r>
    <r>
      <rPr>
        <b/>
        <vertAlign val="superscript"/>
        <sz val="9"/>
        <rFont val="Arial"/>
        <family val="2"/>
      </rPr>
      <t>7</t>
    </r>
  </si>
  <si>
    <r>
      <t xml:space="preserve">     Hilflosenentschädigungen </t>
    </r>
    <r>
      <rPr>
        <b/>
        <vertAlign val="superscript"/>
        <sz val="9"/>
        <rFont val="Arial"/>
        <family val="2"/>
      </rPr>
      <t>7</t>
    </r>
  </si>
  <si>
    <r>
      <t xml:space="preserve">Brutto Krankenversicherungleistungen </t>
    </r>
    <r>
      <rPr>
        <b/>
        <vertAlign val="superscript"/>
        <sz val="10"/>
        <rFont val="Arial"/>
        <family val="2"/>
      </rPr>
      <t>15</t>
    </r>
    <r>
      <rPr>
        <b/>
        <sz val="10"/>
        <rFont val="Arial"/>
        <family val="2"/>
      </rPr>
      <t xml:space="preserve"> </t>
    </r>
  </si>
  <si>
    <r>
      <t xml:space="preserve">       davon Kostenbeteiligung </t>
    </r>
    <r>
      <rPr>
        <b/>
        <vertAlign val="superscript"/>
        <sz val="8"/>
        <rFont val="Arial"/>
        <family val="2"/>
      </rPr>
      <t>11</t>
    </r>
  </si>
  <si>
    <r>
      <t xml:space="preserve">      davon Prämienverbilligung KVG </t>
    </r>
    <r>
      <rPr>
        <b/>
        <vertAlign val="superscript"/>
        <sz val="8"/>
        <rFont val="Arial"/>
        <family val="2"/>
      </rPr>
      <t>13</t>
    </r>
  </si>
  <si>
    <r>
      <t xml:space="preserve">Zusatzversicherungen VVG der KVG-Versicherer </t>
    </r>
    <r>
      <rPr>
        <vertAlign val="superscript"/>
        <sz val="9"/>
        <rFont val="Arial"/>
        <family val="2"/>
      </rPr>
      <t>5</t>
    </r>
  </si>
  <si>
    <r>
      <t xml:space="preserve">      davon Kostenbeteiligung </t>
    </r>
    <r>
      <rPr>
        <b/>
        <vertAlign val="superscript"/>
        <sz val="8"/>
        <rFont val="Arial"/>
        <family val="2"/>
      </rPr>
      <t>11</t>
    </r>
  </si>
  <si>
    <r>
      <t xml:space="preserve">Zusatzversicherungen VVG der Privatversicherer </t>
    </r>
    <r>
      <rPr>
        <vertAlign val="superscript"/>
        <sz val="9"/>
        <rFont val="Arial"/>
        <family val="2"/>
      </rPr>
      <t>6</t>
    </r>
  </si>
  <si>
    <r>
      <t xml:space="preserve">Andere </t>
    </r>
    <r>
      <rPr>
        <b/>
        <vertAlign val="superscript"/>
        <sz val="10"/>
        <rFont val="Arial"/>
        <family val="2"/>
      </rPr>
      <t>16</t>
    </r>
  </si>
  <si>
    <r>
      <t xml:space="preserve">Out of pocket (Haushalte) </t>
    </r>
    <r>
      <rPr>
        <b/>
        <vertAlign val="superscript"/>
        <sz val="10"/>
        <rFont val="Arial"/>
        <family val="2"/>
      </rPr>
      <t>8</t>
    </r>
  </si>
  <si>
    <r>
      <t xml:space="preserve">Werte 2004-2005-2006: Schätzungen </t>
    </r>
    <r>
      <rPr>
        <b/>
        <i/>
        <sz val="9"/>
        <rFont val="Arial"/>
        <family val="2"/>
      </rPr>
      <t>(kursiv)</t>
    </r>
    <r>
      <rPr>
        <b/>
        <sz val="9"/>
        <rFont val="Arial"/>
        <family val="2"/>
      </rPr>
      <t xml:space="preserve"> [BFS &amp; BAG]</t>
    </r>
    <r>
      <rPr>
        <b/>
        <i/>
        <sz val="9"/>
        <rFont val="Arial"/>
        <family val="2"/>
      </rPr>
      <t>.</t>
    </r>
  </si>
  <si>
    <t>T 9.08 Details des Finanzierungssaldos in Millionen Franken ab 1996</t>
  </si>
  <si>
    <t xml:space="preserve">Durchschnittl. </t>
  </si>
  <si>
    <t>2002-2003</t>
  </si>
  <si>
    <t>1996-2003</t>
  </si>
  <si>
    <t>Krankenversicherer</t>
  </si>
  <si>
    <t xml:space="preserve">  a) Leistungen der Krankenversicherer I </t>
  </si>
  <si>
    <t>Zusatzversicherungen VVG der Privatversicherer</t>
  </si>
  <si>
    <t xml:space="preserve">  b) Übriger Aufwand (=c-a)</t>
  </si>
  <si>
    <t xml:space="preserve">Zusatzversicherungen VVG der Privatversicherer </t>
  </si>
  <si>
    <t xml:space="preserve">  c) Leistungen II (=a+b oder e-d)</t>
  </si>
  <si>
    <t xml:space="preserve">  d) Verwaltungskosten (inkl. Prävention) </t>
  </si>
  <si>
    <t xml:space="preserve">  e) Leistungen III (=c+d)</t>
  </si>
  <si>
    <t xml:space="preserve">  f) Kostenbeteiligung</t>
  </si>
  <si>
    <t xml:space="preserve">  g) Gesamtleistungen IV (=e+f)</t>
  </si>
  <si>
    <t xml:space="preserve">  h) Prämien der Haushalte </t>
  </si>
  <si>
    <t xml:space="preserve">  i) Gesamtbeitrag (=h+f)</t>
  </si>
  <si>
    <t>j) Finanzierungssaldo (=e-h oder g-i)</t>
  </si>
  <si>
    <t>a) Quelle T 9.18. Schätzungen : OKP : T 1.43 ; Zusatzversicherungen: Entwicklung gemäss durchschnittl. jährl. Veränderung 1996-2003: T 9.18.</t>
  </si>
  <si>
    <t>b) Übriger Versicherungsaufwand gemäss Kosten des Gesundheitswesens, BFS. Quelle: T 1.27 [34]  und T 7.03 [34] + Schätzungskorrekturen.</t>
  </si>
  <si>
    <t>d) Quelle: Kosten des Gesundheitswesens [nach Leistungserbringern und Direktzahlern], BFS. Schätzungen [BAG]: basierend auf dem 2002 festgestellten Verhältnis [d) / a)].</t>
  </si>
  <si>
    <t>e) Schätzungen: basierend auf dem 2003 festgestellten Verhältnis [e) / a)].</t>
  </si>
  <si>
    <t>f) Quelle: T 1.27 [32]; T 7.03 [32], keine Informationen für Privatversicherer.</t>
  </si>
  <si>
    <t>Schätzungen: OKP: basierend auf T 1.43; Zusatzversicherungen: Verhältnis [f) / a)] aus dem Jahr 2004.</t>
  </si>
  <si>
    <t>h) Quelle: T 9.18. Schätzungen: Zusatzversicherungen: Entwicklung gemäss durchschnittl. Jahresveränderung 1996-2003.</t>
  </si>
  <si>
    <t>j) Finanzierungssaldo: Differenz zwischen den Leistungen III der Versicherer an das Gesundheitswesen und den Prämieneinzahlungen der Haushalte.</t>
  </si>
  <si>
    <t xml:space="preserve">    Aus der Sicht des Finanzgleichgewichts handelt es sich um die Kapitaleinkommen, die ausserordentlichen Einkommen, die Gewinne und die Veränderungen von Reserven.</t>
  </si>
  <si>
    <t xml:space="preserve">    Ein positiver Saldo bedeutet grundsätzlich einen Abbau, ein negativer Saldo eine Erhöhung der Reserven.</t>
  </si>
  <si>
    <t>1) Ohne Taggelder (für Verdienstausfall) KVG oder VVG.</t>
  </si>
  <si>
    <t>2) ~ 20% der Leistungen der Privatversicherer (Quelle BPV), basierend auf dem 1998-99 festgestellten Verhältnis "Verwaltungskosten + Prävention / Leistungen" für die Zusatzversicherungen der KVG-Versicherer.</t>
  </si>
  <si>
    <t xml:space="preserve">3) Bruttoprämien [60-65] inklusive Prämienverbilligung KVG. Quelle: T 9.18. Schätzungen basierend auf T 1.43 - 65 Mio. Franken (Differenz zwischen Konto [61] und [60-65]). </t>
  </si>
  <si>
    <r>
      <t xml:space="preserve">Krankenversicherung </t>
    </r>
    <r>
      <rPr>
        <b/>
        <i/>
        <vertAlign val="superscript"/>
        <sz val="10"/>
        <rFont val="Arial"/>
        <family val="2"/>
      </rPr>
      <t>1</t>
    </r>
  </si>
  <si>
    <r>
      <t xml:space="preserve">Zusatzversicherungen VVG der Privatversicherer </t>
    </r>
    <r>
      <rPr>
        <vertAlign val="superscript"/>
        <sz val="8"/>
        <rFont val="Arial"/>
        <family val="2"/>
      </rPr>
      <t>2</t>
    </r>
  </si>
  <si>
    <r>
      <t xml:space="preserve">Obligatorische Krankenpflegeversicherung KVG </t>
    </r>
    <r>
      <rPr>
        <vertAlign val="superscript"/>
        <sz val="8"/>
        <rFont val="Arial"/>
        <family val="2"/>
      </rPr>
      <t>3</t>
    </r>
  </si>
  <si>
    <r>
      <t xml:space="preserve">Werte 2004-2005-2006: Schätzungen </t>
    </r>
    <r>
      <rPr>
        <b/>
        <i/>
        <sz val="10"/>
        <rFont val="Arial"/>
        <family val="2"/>
      </rPr>
      <t xml:space="preserve">(kursiv) </t>
    </r>
    <r>
      <rPr>
        <b/>
        <sz val="10"/>
        <rFont val="Arial"/>
        <family val="2"/>
      </rPr>
      <t>[BAG]</t>
    </r>
    <r>
      <rPr>
        <b/>
        <i/>
        <sz val="10"/>
        <rFont val="Arial"/>
        <family val="2"/>
      </rPr>
      <t>.</t>
    </r>
  </si>
  <si>
    <t>T 9.07 Kosten des Gesundheitswesens in der Schweiz aus der Sicht der Krankenversicherung-Prämien in % des Totals der Kosten des Gesundheitswesens</t>
  </si>
  <si>
    <t>Quelle: T 9.06.</t>
  </si>
  <si>
    <t xml:space="preserve">  Der Beitrag des Bundes an diesen Kanton wird im gleichen Verhältnis gekürzt".  Wert gerundet.</t>
  </si>
  <si>
    <t>2) Budget. Wert in einigen Kantonen gerundet.</t>
  </si>
  <si>
    <t>3) Benutzter Kantonsbeitrag in Prozent des maximalen Gesamtbeitrages.</t>
  </si>
  <si>
    <t>4) Der Reduktionsfaktor bezieht sich auf das Total der Prämienverbilligung.</t>
  </si>
  <si>
    <r>
      <t xml:space="preserve">faktor </t>
    </r>
    <r>
      <rPr>
        <vertAlign val="superscript"/>
        <sz val="11"/>
        <rFont val="Arial"/>
        <family val="2"/>
      </rPr>
      <t>1</t>
    </r>
  </si>
  <si>
    <r>
      <t xml:space="preserve">in Fr. </t>
    </r>
    <r>
      <rPr>
        <vertAlign val="superscript"/>
        <sz val="11"/>
        <rFont val="Arial"/>
        <family val="2"/>
      </rPr>
      <t>2</t>
    </r>
  </si>
  <si>
    <r>
      <t xml:space="preserve">in Fr. </t>
    </r>
    <r>
      <rPr>
        <b/>
        <vertAlign val="superscript"/>
        <sz val="11"/>
        <rFont val="Arial"/>
        <family val="2"/>
      </rPr>
      <t>2</t>
    </r>
  </si>
  <si>
    <r>
      <t xml:space="preserve">duktion </t>
    </r>
    <r>
      <rPr>
        <vertAlign val="superscript"/>
        <sz val="11"/>
        <rFont val="Arial"/>
        <family val="2"/>
      </rPr>
      <t>3</t>
    </r>
  </si>
  <si>
    <r>
      <t xml:space="preserve">CH </t>
    </r>
    <r>
      <rPr>
        <b/>
        <vertAlign val="superscript"/>
        <sz val="11"/>
        <rFont val="Arial"/>
        <family val="2"/>
      </rPr>
      <t>4</t>
    </r>
  </si>
  <si>
    <t>Mittlere</t>
  </si>
  <si>
    <t>Index der</t>
  </si>
  <si>
    <t>Wohnbe-</t>
  </si>
  <si>
    <t>Finanz-</t>
  </si>
  <si>
    <t>kraft</t>
  </si>
  <si>
    <t>beiträge</t>
  </si>
  <si>
    <t>Beiträge</t>
  </si>
  <si>
    <t>in Fr. :</t>
  </si>
  <si>
    <t>Quelle: EFV - Bundes- und Kantonsbeiträge : Verteilungsmodell für das Jahr 2004.</t>
  </si>
  <si>
    <t>1) vgl. Art. 66 Abs. 3 KVG: "Der Bundesrat setzt die Anteile der einzelnen Kantone am Bundesbeitrag nach deren Wohnbevöl-</t>
  </si>
  <si>
    <t>kerung und deren Finanzkraft fest. Er kann die durchschnittlichen Prämien der obligatorischen Krankenpflegeversicherung in</t>
  </si>
  <si>
    <t>den einzelnen Kantonen berücksichtigen".</t>
  </si>
  <si>
    <t>2) inklusive versicherte Grenzgänger und deren Familienangehörige.</t>
  </si>
  <si>
    <t>3) Prämien-Index ist seit 2002 nicht mehr berücksichtigt.</t>
  </si>
  <si>
    <t>4)  Relativer Anteil des Kantonsbeitrages am Bundesbeitrag (vgl. Fussnote 1).</t>
  </si>
  <si>
    <t>5) Maximaler Subventionsbetrag von Bund und Kantonen gemäss KVG-Verteilmodell (vgl. Art. 106 KVG).</t>
  </si>
  <si>
    <r>
      <t xml:space="preserve">T 4.08 KVG-Verteilmodell </t>
    </r>
    <r>
      <rPr>
        <b/>
        <vertAlign val="superscript"/>
        <sz val="12"/>
        <rFont val="Arial"/>
        <family val="2"/>
      </rPr>
      <t>1</t>
    </r>
    <r>
      <rPr>
        <b/>
        <sz val="12"/>
        <rFont val="Arial"/>
        <family val="2"/>
      </rPr>
      <t xml:space="preserve"> : Berechnungsbasis sowie Bundes- und Kantonsbeiträge </t>
    </r>
  </si>
  <si>
    <r>
      <t xml:space="preserve">index KV </t>
    </r>
    <r>
      <rPr>
        <vertAlign val="superscript"/>
        <sz val="11"/>
        <rFont val="Arial"/>
        <family val="2"/>
      </rPr>
      <t>3</t>
    </r>
  </si>
  <si>
    <r>
      <t xml:space="preserve">völkerung </t>
    </r>
    <r>
      <rPr>
        <vertAlign val="superscript"/>
        <sz val="11"/>
        <rFont val="Arial"/>
        <family val="2"/>
      </rPr>
      <t>2</t>
    </r>
  </si>
  <si>
    <r>
      <t xml:space="preserve">Ziel </t>
    </r>
    <r>
      <rPr>
        <b/>
        <vertAlign val="superscript"/>
        <sz val="11"/>
        <rFont val="Arial"/>
        <family val="2"/>
      </rPr>
      <t>5</t>
    </r>
  </si>
  <si>
    <r>
      <t xml:space="preserve">beiträge </t>
    </r>
    <r>
      <rPr>
        <vertAlign val="superscript"/>
        <sz val="11"/>
        <rFont val="Arial"/>
        <family val="2"/>
      </rPr>
      <t>4</t>
    </r>
  </si>
  <si>
    <t xml:space="preserve">T 4.07 Maximale, budgetierte und ausbezahlte Subventionen ab 1996 </t>
  </si>
  <si>
    <t>Subven-</t>
  </si>
  <si>
    <t>Reduktions-</t>
  </si>
  <si>
    <t>Ausbezahlte</t>
  </si>
  <si>
    <t>budget nach</t>
  </si>
  <si>
    <t>Subventionen</t>
  </si>
  <si>
    <t>Durchschnitt</t>
  </si>
  <si>
    <t>CH in %</t>
  </si>
  <si>
    <t xml:space="preserve">Datenstand: 31.8.05 </t>
  </si>
  <si>
    <t>Quelle: Fussnote 1) &amp; T 4.09 &amp; T 4.10</t>
  </si>
  <si>
    <t>Quelle: ab 1997: DATENPOOL santésuisse / Auswertung BAG / Abdeckungsgrad der Erhebung  CH : siehe T 1.10 / 1996: T 2.08.</t>
  </si>
  <si>
    <t>1) Für alle Versicherten für alle Versicherungsformen.</t>
  </si>
  <si>
    <r>
      <t xml:space="preserve">T 1.51 Kantonale bezahlte Leistungen </t>
    </r>
    <r>
      <rPr>
        <b/>
        <vertAlign val="superscript"/>
        <sz val="12"/>
        <rFont val="Arial"/>
        <family val="2"/>
      </rPr>
      <t xml:space="preserve">1 </t>
    </r>
    <r>
      <rPr>
        <b/>
        <sz val="12"/>
        <rFont val="Arial"/>
        <family val="2"/>
      </rPr>
      <t xml:space="preserve"> pro Versicherten pro Jahr in Franken ab 1996</t>
    </r>
  </si>
  <si>
    <r>
      <t xml:space="preserve">    Bezahlte Leistungen der Versicherer = Leistungen der Versicherer </t>
    </r>
    <r>
      <rPr>
        <b/>
        <sz val="10"/>
        <rFont val="Arial"/>
        <family val="2"/>
      </rPr>
      <t>ohne</t>
    </r>
    <r>
      <rPr>
        <sz val="10"/>
        <rFont val="Arial"/>
        <family val="2"/>
      </rPr>
      <t xml:space="preserve"> Kostenbeteiligungen der Versicherten.</t>
    </r>
  </si>
  <si>
    <t>Kantonale bezahlte Leistungen pro Versicherten pro Jahr in Franken ab 1996</t>
  </si>
  <si>
    <t>Quelle: ab 1997: DATENPOOL santésuisse / Auswertung BAG / Abdeckungsgrad der Erhebung  CH : siehe T 1.10 / 1996: T 1.10.</t>
  </si>
  <si>
    <r>
      <t xml:space="preserve">T 3.10 Kantonale Durchschnittsprämien </t>
    </r>
    <r>
      <rPr>
        <b/>
        <vertAlign val="superscript"/>
        <sz val="12"/>
        <rFont val="Arial"/>
        <family val="2"/>
      </rPr>
      <t xml:space="preserve">1 </t>
    </r>
    <r>
      <rPr>
        <b/>
        <sz val="12"/>
        <rFont val="Arial"/>
        <family val="2"/>
      </rPr>
      <t xml:space="preserve"> pro Versicherten pro Jahr in Franken ab 1996</t>
    </r>
  </si>
  <si>
    <t>Kantonale Durchschnittsprämien pro Versicherten pro Jahr ab 1996</t>
  </si>
  <si>
    <t>7.10.05: 1.51, 3.07-3.10</t>
  </si>
  <si>
    <t>der Versicherten sind unterhalb dieser Prämie</t>
  </si>
  <si>
    <t>der Versicherten sind unterhalb und oberhalb dieser Prämie</t>
  </si>
  <si>
    <t>der Versicherten sind oberhalb dieser Prämie</t>
  </si>
  <si>
    <t>Schätzung basierend auf den Prämien 2006 und der Aufteilung der Versicherten 2004.</t>
  </si>
  <si>
    <r>
      <t xml:space="preserve">T 3.07  Verteilung der kantonalen monatlichen Durchschnittsprämien </t>
    </r>
    <r>
      <rPr>
        <b/>
        <vertAlign val="superscript"/>
        <sz val="12"/>
        <rFont val="Arial"/>
        <family val="2"/>
      </rPr>
      <t>1</t>
    </r>
  </si>
  <si>
    <r>
      <t xml:space="preserve">T 3.08  Verteilung der kantonalen monatlichen Durchschnittsprämien </t>
    </r>
    <r>
      <rPr>
        <b/>
        <vertAlign val="superscript"/>
        <sz val="12"/>
        <rFont val="Arial"/>
        <family val="2"/>
      </rPr>
      <t>1</t>
    </r>
  </si>
  <si>
    <r>
      <t>T 3.09  Verteilung der kantonalen monatlichen Durchschnittsprämien</t>
    </r>
    <r>
      <rPr>
        <b/>
        <vertAlign val="superscript"/>
        <sz val="12"/>
        <rFont val="Arial"/>
        <family val="2"/>
      </rPr>
      <t xml:space="preserve"> 1</t>
    </r>
  </si>
  <si>
    <t>für junge Erwachsene (19 - 25 Jahre) in Franken für 2006</t>
  </si>
  <si>
    <t>welche von den Versicherern mit unterdurchschnittlich kostenverursachenden Versicherten (Männer, jüngere Personen) finanziert werden.</t>
  </si>
  <si>
    <t>Sicherheits- und Schwankungsreserven = Mittel, die dem Versicherer zur Sicherstellung der langfristigen eigenen Zahlungsfähigkeit dienen.</t>
  </si>
  <si>
    <t>Sektion Statistik und Mathematik</t>
  </si>
  <si>
    <t>© Bundesamt für Gesundheit (BAG)</t>
  </si>
  <si>
    <t>Auszugsweiser Abdruck – ausser für kommerzielle Nutzung –  unter</t>
  </si>
  <si>
    <t>laufende Aufdatierung</t>
  </si>
  <si>
    <t>www.bag.admin.ch/kv/statistik/d/index.htm</t>
  </si>
  <si>
    <t>(0 - 100%)</t>
  </si>
  <si>
    <t>Gesamtgeschäft der vom BAG anerkannten Krankenversicherer</t>
  </si>
  <si>
    <t>Name des Versicherers</t>
  </si>
  <si>
    <t>Datum</t>
  </si>
  <si>
    <t>nicht mehr</t>
  </si>
  <si>
    <t>Neuer</t>
  </si>
  <si>
    <t>Neue</t>
  </si>
  <si>
    <t>Neues</t>
  </si>
  <si>
    <t>Zusammenschluss oder Transfer mit</t>
  </si>
  <si>
    <t>Nr.</t>
  </si>
  <si>
    <t>in der</t>
  </si>
  <si>
    <t>Versicherer</t>
  </si>
  <si>
    <t>Namen</t>
  </si>
  <si>
    <t>Tätikeits-</t>
  </si>
  <si>
    <t>gebiet</t>
  </si>
  <si>
    <t>x</t>
  </si>
  <si>
    <r>
      <t>B</t>
    </r>
    <r>
      <rPr>
        <b/>
        <i/>
        <sz val="12"/>
        <rFont val="55 Helvetica Roman"/>
      </rPr>
      <t xml:space="preserve">     Bundesamt für Gesundheit</t>
    </r>
  </si>
  <si>
    <t>BAG-</t>
  </si>
  <si>
    <t>22.11.2005: 8.01</t>
  </si>
  <si>
    <t>Datenstand: 22.11.05</t>
  </si>
  <si>
    <t>AR</t>
  </si>
  <si>
    <t>AI</t>
  </si>
  <si>
    <t>SG</t>
  </si>
  <si>
    <t>GR</t>
  </si>
  <si>
    <t>AG</t>
  </si>
  <si>
    <t>TG</t>
  </si>
  <si>
    <t>TI</t>
  </si>
  <si>
    <t>VD</t>
  </si>
  <si>
    <t>VS</t>
  </si>
  <si>
    <t>NE</t>
  </si>
  <si>
    <t>GE</t>
  </si>
  <si>
    <t>JU</t>
  </si>
  <si>
    <t>CH</t>
  </si>
  <si>
    <t>1) Berücksichtigt nur die bei dem Versicherer eingereichten Rechnungen</t>
  </si>
  <si>
    <r>
      <t xml:space="preserve">T 2.13 Kostenbeteiligung  </t>
    </r>
    <r>
      <rPr>
        <b/>
        <vertAlign val="superscript"/>
        <sz val="12"/>
        <rFont val="Arial"/>
        <family val="2"/>
      </rPr>
      <t>1</t>
    </r>
    <r>
      <rPr>
        <b/>
        <sz val="12"/>
        <rFont val="Arial"/>
        <family val="2"/>
      </rPr>
      <t xml:space="preserve">  pro Versicherten pro Jahr nach Kantonen und Altersgruppen</t>
    </r>
  </si>
  <si>
    <t>T 2.12 Effektive Kosten pro Versicherten pro Versicherungsmonat nach Kantonen und Altersgruppen</t>
  </si>
  <si>
    <t>Männer</t>
  </si>
  <si>
    <t>Frauen</t>
  </si>
  <si>
    <t>Erwach-</t>
  </si>
  <si>
    <t>Kinder und</t>
  </si>
  <si>
    <t>sene</t>
  </si>
  <si>
    <t>Quelle: T 2.04 / T 2.03</t>
  </si>
  <si>
    <r>
      <t xml:space="preserve">T 2.05  Bruttokosten </t>
    </r>
    <r>
      <rPr>
        <b/>
        <vertAlign val="superscript"/>
        <sz val="12"/>
        <rFont val="Arial"/>
        <family val="2"/>
      </rPr>
      <t xml:space="preserve">1 </t>
    </r>
    <r>
      <rPr>
        <b/>
        <sz val="12"/>
        <rFont val="Arial"/>
        <family val="2"/>
      </rPr>
      <t xml:space="preserve"> in Fr. pro Versicherten pro Versicherungsmonat nach Kantonen</t>
    </r>
  </si>
  <si>
    <r>
      <t xml:space="preserve">1) Bruttokosten = Leistungen (brutto) der Versicherer in der OKP </t>
    </r>
    <r>
      <rPr>
        <b/>
        <sz val="10"/>
        <rFont val="Arial"/>
        <family val="2"/>
      </rPr>
      <t>mit</t>
    </r>
    <r>
      <rPr>
        <sz val="10"/>
        <rFont val="Arial"/>
        <family val="2"/>
      </rPr>
      <t xml:space="preserve"> Kostenbeteiligung durch die Versicherten.</t>
    </r>
  </si>
  <si>
    <t>(vgl. hierzu auch Tabellen 1.13, 1.15 und 1.16).</t>
  </si>
  <si>
    <r>
      <t xml:space="preserve">T 2.04  Bruttokosten </t>
    </r>
    <r>
      <rPr>
        <b/>
        <vertAlign val="superscript"/>
        <sz val="12"/>
        <rFont val="Arial"/>
        <family val="2"/>
      </rPr>
      <t>1</t>
    </r>
    <r>
      <rPr>
        <b/>
        <sz val="12"/>
        <rFont val="Arial"/>
        <family val="2"/>
      </rPr>
      <t xml:space="preserve">  in Fr. nach Kantonen</t>
    </r>
  </si>
  <si>
    <r>
      <t xml:space="preserve">1) Bruttokosten = Leistungen (brutto) der Versicherer in der OKP </t>
    </r>
    <r>
      <rPr>
        <b/>
        <sz val="10"/>
        <rFont val="Arial"/>
        <family val="2"/>
      </rPr>
      <t>mit</t>
    </r>
    <r>
      <rPr>
        <sz val="10"/>
        <rFont val="Arial"/>
        <family val="2"/>
      </rPr>
      <t xml:space="preserve"> Kostenbeteiligung durch die Versicherten;</t>
    </r>
  </si>
  <si>
    <t>1) Durchschnittlicher Versichertenbestand = Anzahl Versicherungsmonate dividiert durch 12.</t>
  </si>
  <si>
    <t>2) Vgl. Fussnote 2) von Tabelle 2.01.</t>
  </si>
  <si>
    <r>
      <t xml:space="preserve">T 2.03  Durchschnittlicher Versichertenbestand </t>
    </r>
    <r>
      <rPr>
        <b/>
        <vertAlign val="superscript"/>
        <sz val="12"/>
        <rFont val="Arial"/>
        <family val="2"/>
      </rPr>
      <t>1, 2</t>
    </r>
    <r>
      <rPr>
        <b/>
        <sz val="12"/>
        <rFont val="Arial"/>
        <family val="2"/>
      </rPr>
      <t xml:space="preserve">  nach Kantonen</t>
    </r>
  </si>
  <si>
    <t>in %</t>
  </si>
  <si>
    <t>des Totals</t>
  </si>
  <si>
    <r>
      <t xml:space="preserve">T 2.02 Durchschnittlicher Versichertenbestand </t>
    </r>
    <r>
      <rPr>
        <b/>
        <vertAlign val="superscript"/>
        <sz val="12"/>
        <rFont val="Arial"/>
        <family val="2"/>
      </rPr>
      <t>1, 2</t>
    </r>
    <r>
      <rPr>
        <b/>
        <sz val="12"/>
        <rFont val="Arial"/>
        <family val="2"/>
      </rPr>
      <t xml:space="preserve">  nach Altersgruppen und Geschlecht</t>
    </r>
  </si>
  <si>
    <t xml:space="preserve">2) Mit dem In-Kraft-Treten des Personenfreizügigkeitsabkommens mit den EG-Staaten bzw. dem revidierten EFTA-Abkommen </t>
  </si>
  <si>
    <t>per 1. Juni 2002 wurde die Versicherungspflicht auf einzelne Personengruppen ausgedehnt, welche Wohnsitz in einem EG-Staat haben:</t>
  </si>
  <si>
    <t xml:space="preserve">- Im Risikoausgleich zu berücksichtigen sind: </t>
  </si>
  <si>
    <t>Versicherte mit Arbeitsort in der Schweiz (Grenzgänger) sowie ihre nicht erwerbstätigen Familienangehörigen.</t>
  </si>
  <si>
    <t>- Im Risikoausgleich nicht zu berücksichtigen sind:</t>
  </si>
  <si>
    <t>Empfänger einer schweizerischen Rente und ihre nicht erwerbstätigen Familienangehörigen;</t>
  </si>
  <si>
    <t>Empfänger einer Leistung der schweizerischen Arbeitslosenversicherung und ihre nicht erwerbstätigen Familienangehörigen.</t>
  </si>
  <si>
    <t>Nicht erwerbstätige Familienangehörige von in der Schweiz erwerbstätigen und wohnenden Personen.</t>
  </si>
  <si>
    <t xml:space="preserve">Aufgrund unterschiedlicher Definitionen kommt es zu Differenzen beim Versichertenbestand und bei den Kosten  </t>
  </si>
  <si>
    <t>und denselben Angaben im Formular EF 123 der Versicherer (siehe Definition Versicherte in Tabelle 1.02, Fussnote 3).</t>
  </si>
  <si>
    <t>0 – 5</t>
  </si>
  <si>
    <t>6 – 10</t>
  </si>
  <si>
    <t>11 – 15</t>
  </si>
  <si>
    <t>16 – 18</t>
  </si>
  <si>
    <t>19 – 20</t>
  </si>
  <si>
    <t>21 – 25</t>
  </si>
  <si>
    <t>91 – 95</t>
  </si>
  <si>
    <t>96 – 100</t>
  </si>
  <si>
    <t>101 – 105</t>
  </si>
  <si>
    <t>2) Diese Auswertung basiert auf der Gesamtheit der Versicherten, für die Alter, Geschlecht, Kanton, Versicherungsform und</t>
  </si>
  <si>
    <t xml:space="preserve"> Franchisehöhe bekannt sind.</t>
  </si>
  <si>
    <r>
      <t xml:space="preserve">T 2.09  Effektive Kosten </t>
    </r>
    <r>
      <rPr>
        <b/>
        <vertAlign val="superscript"/>
        <sz val="12"/>
        <rFont val="Arial"/>
        <family val="2"/>
      </rPr>
      <t>1</t>
    </r>
    <r>
      <rPr>
        <b/>
        <sz val="12"/>
        <rFont val="Arial"/>
        <family val="2"/>
      </rPr>
      <t xml:space="preserve">  in Fr. pro Versicherten pro Versicherungsmonat nach Altersgruppen und Geschlecht</t>
    </r>
  </si>
  <si>
    <r>
      <t xml:space="preserve">Zusätzliche Altersgruppen </t>
    </r>
    <r>
      <rPr>
        <b/>
        <vertAlign val="superscript"/>
        <sz val="12"/>
        <rFont val="Arial"/>
        <family val="2"/>
      </rPr>
      <t>2</t>
    </r>
    <r>
      <rPr>
        <b/>
        <sz val="12"/>
        <rFont val="Arial"/>
        <family val="2"/>
      </rPr>
      <t xml:space="preserve"> :</t>
    </r>
  </si>
  <si>
    <t xml:space="preserve">Datenstand: 4.6.2005 </t>
  </si>
  <si>
    <t xml:space="preserve">Quelle: DATENPOOL santésuisse / Auswertung BAG / Abdeckungsgrad der Erhebung CH 2004: 97,8% </t>
  </si>
  <si>
    <r>
      <t xml:space="preserve">T 2.06  Bruttokosten </t>
    </r>
    <r>
      <rPr>
        <b/>
        <vertAlign val="superscript"/>
        <sz val="12"/>
        <rFont val="Arial"/>
        <family val="2"/>
      </rPr>
      <t>1</t>
    </r>
    <r>
      <rPr>
        <b/>
        <sz val="12"/>
        <rFont val="Arial"/>
        <family val="2"/>
      </rPr>
      <t xml:space="preserve">  in Fr. pro Versicherten pro Versicherungsmonat nach Altersgruppen und Geschlecht</t>
    </r>
  </si>
  <si>
    <t>Quelle: T 2.06 - T 2.09</t>
  </si>
  <si>
    <t>Zusätzliche Altersgruppen:</t>
  </si>
  <si>
    <t>Datenstand: 20.9.2005</t>
  </si>
  <si>
    <t>20.9.05: 10.01</t>
  </si>
  <si>
    <r>
      <t xml:space="preserve">T 2.11  Kostenbeteiligung </t>
    </r>
    <r>
      <rPr>
        <b/>
        <vertAlign val="superscript"/>
        <sz val="12"/>
        <rFont val="Arial"/>
        <family val="2"/>
      </rPr>
      <t>1</t>
    </r>
    <r>
      <rPr>
        <b/>
        <sz val="12"/>
        <rFont val="Arial"/>
        <family val="2"/>
      </rPr>
      <t xml:space="preserve">  in Fr. pro Versicherten pro Jahr nach Altersgruppen und Geschlecht</t>
    </r>
  </si>
  <si>
    <r>
      <t xml:space="preserve">T 2.01  Durchschnittlicher Versichertenbestand </t>
    </r>
    <r>
      <rPr>
        <b/>
        <vertAlign val="superscript"/>
        <sz val="12"/>
        <rFont val="Arial"/>
        <family val="2"/>
      </rPr>
      <t>1, 2</t>
    </r>
    <r>
      <rPr>
        <b/>
        <sz val="12"/>
        <rFont val="Arial"/>
        <family val="2"/>
      </rPr>
      <t xml:space="preserve">  nach Kantonen und Altergruppen</t>
    </r>
  </si>
  <si>
    <t xml:space="preserve">  (vgl. hierzu auch Tabelle 1.21).</t>
  </si>
  <si>
    <r>
      <t xml:space="preserve">T 2.07  Effektive Kosten </t>
    </r>
    <r>
      <rPr>
        <b/>
        <vertAlign val="superscript"/>
        <sz val="12"/>
        <rFont val="Arial"/>
        <family val="2"/>
      </rPr>
      <t xml:space="preserve">1 </t>
    </r>
    <r>
      <rPr>
        <b/>
        <sz val="12"/>
        <rFont val="Arial"/>
        <family val="2"/>
      </rPr>
      <t xml:space="preserve"> in Fr. nach Kantonen </t>
    </r>
  </si>
  <si>
    <r>
      <t xml:space="preserve">1) Effektive Kosten = (bezahlte) Leistungen der Versicherer in der OKP </t>
    </r>
    <r>
      <rPr>
        <b/>
        <sz val="10"/>
        <rFont val="Arial"/>
        <family val="2"/>
      </rPr>
      <t>ohne</t>
    </r>
    <r>
      <rPr>
        <sz val="10"/>
        <rFont val="Arial"/>
        <family val="2"/>
      </rPr>
      <t xml:space="preserve"> Kostenbeteiligung durch die Versicherten;</t>
    </r>
  </si>
  <si>
    <t>–</t>
  </si>
  <si>
    <t>Quelle: T 2.07 / T 2.03</t>
  </si>
  <si>
    <r>
      <t xml:space="preserve">T 2.08  Effektive Kosten </t>
    </r>
    <r>
      <rPr>
        <b/>
        <vertAlign val="superscript"/>
        <sz val="12"/>
        <rFont val="Arial"/>
        <family val="2"/>
      </rPr>
      <t>1</t>
    </r>
    <r>
      <rPr>
        <b/>
        <sz val="12"/>
        <rFont val="Arial"/>
        <family val="2"/>
      </rPr>
      <t xml:space="preserve">  in Fr. pro Versicherten pro Versicherungsmonat nach Kantonen</t>
    </r>
  </si>
  <si>
    <r>
      <t xml:space="preserve">1) Effektive Kosten = (bezahlte) Leistungen der Versicherer in der OKP </t>
    </r>
    <r>
      <rPr>
        <b/>
        <sz val="10"/>
        <rFont val="Arial"/>
        <family val="2"/>
      </rPr>
      <t>ohne</t>
    </r>
    <r>
      <rPr>
        <sz val="10"/>
        <rFont val="Arial"/>
        <family val="2"/>
      </rPr>
      <t xml:space="preserve"> Kostenbeteiligung durch die Versicherten.</t>
    </r>
  </si>
  <si>
    <t>Quelle: T 2.05 - T 2.08</t>
  </si>
  <si>
    <t>1) Berücksichtigt nur die bei dem Versicherer eingereichten Rechnungen.</t>
  </si>
  <si>
    <r>
      <t xml:space="preserve">T 2.10  Kostenbeteiligung </t>
    </r>
    <r>
      <rPr>
        <b/>
        <vertAlign val="superscript"/>
        <sz val="12"/>
        <rFont val="Arial"/>
        <family val="2"/>
      </rPr>
      <t>1</t>
    </r>
    <r>
      <rPr>
        <b/>
        <sz val="12"/>
        <rFont val="Arial"/>
        <family val="2"/>
      </rPr>
      <t xml:space="preserve">  pro Versicherten pro Jahr in Fr. nach Kantonen</t>
    </r>
  </si>
  <si>
    <t>T 5.03 KVG Versicherer: Daten zur freiwilligen Taggeldversicherung</t>
  </si>
  <si>
    <t>Letzter vollständiger Bericht auf deutsch im PDF-Format auf der Internet-Adresse</t>
  </si>
  <si>
    <t>T 5.04  Mutationen bei den Krankenversicherern</t>
  </si>
  <si>
    <t>* wenn EF2 Seite 2.8 VVG Konto 63 Krankheit + Unfall &gt; 0</t>
  </si>
  <si>
    <t>201-213</t>
  </si>
  <si>
    <t>andere Teile folgen später</t>
  </si>
  <si>
    <t>501-504</t>
  </si>
  <si>
    <t>301-313</t>
  </si>
  <si>
    <t>401-413</t>
  </si>
  <si>
    <t>Statistik der obligatorischen Krankenversicherung 2004</t>
  </si>
  <si>
    <t>Datenstand: 6.7.2005</t>
  </si>
  <si>
    <t>Teil 10</t>
  </si>
  <si>
    <t>1001-1003</t>
  </si>
  <si>
    <t>Risikoausgleich in der OKP</t>
  </si>
  <si>
    <t>Übergangsschlüssel Tabellen  1996 -&gt; 2004</t>
  </si>
  <si>
    <t>Übergangsschlüssel Tabellen  2004 -&gt; 1996</t>
  </si>
  <si>
    <r>
      <t xml:space="preserve">Teil  Tabellen </t>
    </r>
    <r>
      <rPr>
        <b/>
        <sz val="14"/>
        <rFont val="55 Helvetica Roman"/>
      </rPr>
      <t>(Excel Format)</t>
    </r>
  </si>
  <si>
    <t>ÖKK Luzern</t>
  </si>
  <si>
    <t>XUNDHEIT Gesundheitskasse</t>
  </si>
  <si>
    <t>Carena</t>
  </si>
  <si>
    <t>AG, AI, AR, BL, BE, BS, GL, GR, LU, NW, OW, SH, SO, SG, SZ, TG, UR, ZG, ZH</t>
  </si>
  <si>
    <t>AUXILIA</t>
  </si>
  <si>
    <t>FR, GE, JU, NE, VD, VS</t>
  </si>
  <si>
    <t>ÖKK Winterthur</t>
  </si>
  <si>
    <t>TG, SH, ZH</t>
  </si>
  <si>
    <t>Krankenkasse Stoffel</t>
  </si>
  <si>
    <t>GL, GR, ZH</t>
  </si>
  <si>
    <t>Krankenkasse Simplon</t>
  </si>
  <si>
    <t>Brig (VS)</t>
  </si>
  <si>
    <t>Mutuelle Valaisanne</t>
  </si>
  <si>
    <t>Accorda</t>
  </si>
  <si>
    <t>Soladis Krankenversicherer</t>
  </si>
  <si>
    <t>1) Nach dem Entzug der Anerkennung als Krankenversicherer wurden die Leistungen durch den Insolvenzfonds (Gemeinsame Einrichtung) erbracht.</t>
  </si>
  <si>
    <t>2) Keine statistische Daten für 2004 geliefert.</t>
  </si>
  <si>
    <t>Quelle: Bulletin RKUV BAG</t>
  </si>
  <si>
    <r>
      <t xml:space="preserve">BAG-Liste </t>
    </r>
    <r>
      <rPr>
        <vertAlign val="superscript"/>
        <sz val="10"/>
        <rFont val="Arial"/>
        <family val="2"/>
      </rPr>
      <t>1)</t>
    </r>
  </si>
  <si>
    <r>
      <t xml:space="preserve">Krankenkasse KBV </t>
    </r>
    <r>
      <rPr>
        <vertAlign val="superscript"/>
        <sz val="10"/>
        <rFont val="Arial"/>
        <family val="2"/>
      </rPr>
      <t>2)</t>
    </r>
  </si>
  <si>
    <t>Versicherer: Durchschnittsbestand = Mittelwert aller Monate / Total: Bestand am 31.12.</t>
  </si>
  <si>
    <t>4A + 4B + 4C) Risikoausgleich (in Mio. Fr., pro versicherte Person in Fr., und in % der Einnahmen)</t>
  </si>
  <si>
    <t>5A + 5B) Leistungen der Versicherer (in Mio. Fr. und pro versicherte Person in Fr.)</t>
  </si>
  <si>
    <t>8A + 8B) Rückstellungen (in Mio. Fr. und pro versicherte Person in Fr.)</t>
  </si>
  <si>
    <t>9A + 9B + 9C) Reserven (in Mio. Fr., pro versicherte Person in Fr., in % des Prämiensolls)</t>
  </si>
  <si>
    <t>&lt; 50'000</t>
  </si>
  <si>
    <t>&lt;= 250'000</t>
  </si>
  <si>
    <t>&gt; 250'000</t>
  </si>
  <si>
    <t>**</t>
  </si>
  <si>
    <t>*) Gilt ab Jahr 2004.</t>
  </si>
  <si>
    <t>**) Versicherer mit weniger als 50 000 Versicherten sind verpflichtet, eine Rückversicherung abzuschliessen.</t>
  </si>
  <si>
    <t>11A + 11B + 11C) Gesetzlich vorgeschriebene Reserve</t>
  </si>
  <si>
    <t>(in Millionen Fanken, Höher als die gesetzliche vorgeschriebene Reserve, Tiefer als die gesetzliche vorgeschriebene Reserve)</t>
  </si>
  <si>
    <t>Siehe auch 9A.</t>
  </si>
  <si>
    <t>Versicherer: EF1.12A Total wenn &gt; 0 / Total: Bestand am 31.12.</t>
  </si>
  <si>
    <t>4A</t>
  </si>
  <si>
    <t>EF2 Konto 37 Krankheit + Unfall Seiten 2.2 -&gt; 2.7</t>
  </si>
  <si>
    <t>4B</t>
  </si>
  <si>
    <t>(EF2 Konto 37 Krankheit + Unfall Seiten 2.2 -&gt; 2.7) / [ 1 ]</t>
  </si>
  <si>
    <t>4C</t>
  </si>
  <si>
    <t>5A</t>
  </si>
  <si>
    <t>5B</t>
  </si>
  <si>
    <t>= ( [ 5A ] / [ 1 ] )</t>
  </si>
  <si>
    <t>6A</t>
  </si>
  <si>
    <t>6B</t>
  </si>
  <si>
    <t>8A</t>
  </si>
  <si>
    <t>8B</t>
  </si>
  <si>
    <t>=( [ 8A ] / [ 1 ] ) in %</t>
  </si>
  <si>
    <t>9A</t>
  </si>
  <si>
    <t>9B</t>
  </si>
  <si>
    <t>= ( [ 9A ] / [ 1 ] ) in %</t>
  </si>
  <si>
    <t>9C</t>
  </si>
  <si>
    <t>= ( [ 9A ] / [ 3 ] ) in %</t>
  </si>
  <si>
    <t>11A</t>
  </si>
  <si>
    <t xml:space="preserve">wenn [1] &gt;= 250'000 : 15% von [3] ; wenn [1] &lt; 250'000 : 20% von [3] </t>
  </si>
  <si>
    <t>11B</t>
  </si>
  <si>
    <t xml:space="preserve">wenn [9A] &gt;= [11A] : [9A] - [11A] </t>
  </si>
  <si>
    <t>11C</t>
  </si>
  <si>
    <t xml:space="preserve">wenn [9A] &lt; [11A] : [9A] - [11A] </t>
  </si>
  <si>
    <t>Rückstellungen für unerledigte Versicherungsfälle, welche am Ende des Jahres für diejenigen Leistungen gebildet werden müssen, welche von den Versicherten bereits in Anspruch genommen worden sind, für die sie aber noch keine Rechnungen erhalten haben.</t>
  </si>
  <si>
    <t>Es handelt sich hierbei um geschuldete Leistungen, welche die Versicherer im folgenden Jahr noch zu erbringen haben; sie stellen somit keine Reserven dar.</t>
  </si>
  <si>
    <t xml:space="preserve">Über den Risikoausgleich erhalten Versicherer mit überdurchschnittlich kostenverursachenden Versicherten (Frauen, ältere Personen) Beiträge, </t>
  </si>
  <si>
    <t>29.9.05: 9.09, 9.10, 9.12, 9.14, 9.20</t>
  </si>
  <si>
    <t>Index der Krankenversicherungsprämien nach Versicherungsart ab 1996</t>
  </si>
  <si>
    <t>3: Prämientarife in der OKP</t>
  </si>
  <si>
    <t>Kantonale Durchschnittsprämien für Erwachsene (26 Jahre und älter) ab 1996</t>
  </si>
  <si>
    <t>Kantonale Durchschnittsprämien für Erwachsene: Vorjahresveränderungen ab 1996</t>
  </si>
  <si>
    <t>Kantonale Durchschnittsprämien für junge Erwachsene (19 – 25 Jahre) ab 1996</t>
  </si>
  <si>
    <t>Kantonale Durchschnittsprämien für junge Erwachsene: Vorjahresveränderungen ab 1996</t>
  </si>
  <si>
    <t>Kantonale Durchschnittsprämien für Kinder (0 – 18 Jahre) ab 1996</t>
  </si>
  <si>
    <t>Kantonale Durchschnittsprämien für Kinder: Vorjahresveränderungen ab 1996</t>
  </si>
  <si>
    <t>Verteilung der kantonalen Durchschnittsprämien für Erwachsene</t>
  </si>
  <si>
    <t>Verteilung der kantonalen Durchschnittsprämien für junge Erwachsene</t>
  </si>
  <si>
    <t>Verteilung der kantonalen Durchschnittsprämien für Kinder</t>
  </si>
  <si>
    <t>3.10</t>
  </si>
  <si>
    <t>Kantonale Durchschnittsprämien für Erwachsene pro Prämienregion</t>
  </si>
  <si>
    <t>Kantonale Durchschnittsprämien für junge Erwachsene pro Prämienregion</t>
  </si>
  <si>
    <t>Kantonale Durchschnittsprämien für Kinder pro Prämienregion</t>
  </si>
  <si>
    <t>Verän-</t>
  </si>
  <si>
    <t>derung</t>
  </si>
  <si>
    <t>1997 / 98</t>
  </si>
  <si>
    <t>1998 / 99</t>
  </si>
  <si>
    <t>1999 / 00</t>
  </si>
  <si>
    <t>2000 / 01</t>
  </si>
  <si>
    <t>2001 / 02</t>
  </si>
  <si>
    <t>2002 / 03</t>
  </si>
  <si>
    <t>2003 / 04</t>
  </si>
  <si>
    <t>2004 / 05</t>
  </si>
  <si>
    <t>2005 / 06</t>
  </si>
  <si>
    <t>1996 - 2006</t>
  </si>
  <si>
    <t>Quelle: T 3.05</t>
  </si>
  <si>
    <t>1) Vgl. Fussnote 1) von Tabelle 3.01.</t>
  </si>
  <si>
    <t>2) Schätzung: Veränderungen 1996 / 97 der Durchschnittsprämien der Erwachsenen. Die Werte für 1996 / 97 wurden revidiert.</t>
  </si>
  <si>
    <r>
      <t xml:space="preserve">T 3.06 Kantonale Durchschnittsprämien </t>
    </r>
    <r>
      <rPr>
        <b/>
        <vertAlign val="superscript"/>
        <sz val="12"/>
        <rFont val="Arial"/>
        <family val="2"/>
      </rPr>
      <t xml:space="preserve">1 </t>
    </r>
    <r>
      <rPr>
        <b/>
        <sz val="12"/>
        <rFont val="Arial"/>
        <family val="2"/>
      </rPr>
      <t xml:space="preserve"> für Kinder: Vorjahresveränderungen in % ab 1996</t>
    </r>
  </si>
  <si>
    <r>
      <t>1996</t>
    </r>
    <r>
      <rPr>
        <vertAlign val="superscript"/>
        <sz val="11"/>
        <rFont val="Arial"/>
        <family val="2"/>
      </rPr>
      <t xml:space="preserve">2) </t>
    </r>
    <r>
      <rPr>
        <sz val="11"/>
        <rFont val="Arial"/>
        <family val="2"/>
      </rPr>
      <t>/ 97</t>
    </r>
  </si>
  <si>
    <r>
      <t xml:space="preserve">1996 / 97 </t>
    </r>
    <r>
      <rPr>
        <vertAlign val="superscript"/>
        <sz val="11"/>
        <rFont val="Arial"/>
        <family val="2"/>
      </rPr>
      <t>2</t>
    </r>
  </si>
  <si>
    <t>Quelle: T 3.03</t>
  </si>
  <si>
    <t>1) Vgl. Fussnote 1) von Tabelle 3.01 sowie Fussnote 2) von Tabelle 3.03.</t>
  </si>
  <si>
    <r>
      <t xml:space="preserve">T 3.04 Kantonale Durchschnittsprämien </t>
    </r>
    <r>
      <rPr>
        <b/>
        <vertAlign val="superscript"/>
        <sz val="12"/>
        <rFont val="Arial"/>
        <family val="2"/>
      </rPr>
      <t xml:space="preserve">1 </t>
    </r>
    <r>
      <rPr>
        <b/>
        <sz val="12"/>
        <rFont val="Arial"/>
        <family val="2"/>
      </rPr>
      <t xml:space="preserve"> für junge Erwachsene: Vorjahresveränderungen in % ab 1996</t>
    </r>
  </si>
  <si>
    <t>Quelle: T 3.01</t>
  </si>
  <si>
    <t>2) Die Werte für 1996 / 97 wurden revidiert. Diese Werte sind infolge teilweise unvollständiger Daten mit Zurückhaltung zu interpretieren.</t>
  </si>
  <si>
    <t xml:space="preserve">     </t>
  </si>
  <si>
    <r>
      <t xml:space="preserve">T 3.02 Kantonale Durchschnittsprämien </t>
    </r>
    <r>
      <rPr>
        <b/>
        <vertAlign val="superscript"/>
        <sz val="12"/>
        <rFont val="Arial"/>
        <family val="2"/>
      </rPr>
      <t xml:space="preserve">1 </t>
    </r>
    <r>
      <rPr>
        <b/>
        <sz val="12"/>
        <rFont val="Arial"/>
        <family val="2"/>
      </rPr>
      <t xml:space="preserve"> für Erwachsene: Vorjahresveränderungen in % ab 1996</t>
    </r>
  </si>
  <si>
    <t>Quelle: Genehmigungsverfahren für Krankenversicherungsprämien, BAG.</t>
  </si>
  <si>
    <t>2) Die Werte für 1996 wurden revidiert. Sie wurden mittels der Veränderungen 1996/97 der Durchschnittsprämien der Erwachsenen geschätzt.</t>
  </si>
  <si>
    <r>
      <t xml:space="preserve">T 3.05 Kantonale monatliche Durchschnittsprämien </t>
    </r>
    <r>
      <rPr>
        <b/>
        <vertAlign val="superscript"/>
        <sz val="12"/>
        <rFont val="Arial"/>
        <family val="2"/>
      </rPr>
      <t xml:space="preserve">1 </t>
    </r>
    <r>
      <rPr>
        <b/>
        <sz val="12"/>
        <rFont val="Arial"/>
        <family val="2"/>
      </rPr>
      <t xml:space="preserve"> für Kinder (0 – 18 Jahre) in Franken ab 1996</t>
    </r>
  </si>
  <si>
    <t>2) Bis zum Jahr 2000 gab es nur reduzierte Prämien für junge Erwachsene, welche noch in Ausbildung waren. Mit dem Weglassen</t>
  </si>
  <si>
    <t>der Bedingung "in Ausbildung" in 2001 kamen deutlich mehr Personen, welche vorher eine Erwachsenenprämie bezahlen mussten,</t>
  </si>
  <si>
    <t>in den Genuss einer reduzierten Prämie. Als Folge hiervon musste die reduzierte Prämie relativ stark auf 2001 hin erhöht werden.</t>
  </si>
  <si>
    <t>3) Die Werte für 1996 wurden revidiert. Sie wurden mittels der Veränderungen 1996/97 der Erwachsenenprämie geschätzt.</t>
  </si>
  <si>
    <r>
      <t xml:space="preserve">T 3.03 Kantonale monatliche Durchschnittsprämien </t>
    </r>
    <r>
      <rPr>
        <b/>
        <vertAlign val="superscript"/>
        <sz val="12"/>
        <rFont val="Arial"/>
        <family val="2"/>
      </rPr>
      <t xml:space="preserve">1 </t>
    </r>
    <r>
      <rPr>
        <b/>
        <sz val="12"/>
        <rFont val="Arial"/>
        <family val="2"/>
      </rPr>
      <t xml:space="preserve"> für junge Erwachsene </t>
    </r>
    <r>
      <rPr>
        <b/>
        <vertAlign val="superscript"/>
        <sz val="12"/>
        <rFont val="Arial"/>
        <family val="2"/>
      </rPr>
      <t xml:space="preserve">2 </t>
    </r>
    <r>
      <rPr>
        <b/>
        <sz val="12"/>
        <rFont val="Arial"/>
        <family val="2"/>
      </rPr>
      <t xml:space="preserve"> (19 – 25 Jahre) in Franken ab 1996</t>
    </r>
  </si>
  <si>
    <t>1) Ausgewiesen wird die geschätzte monatliche Durchschnittsprämie in Franken; die Berechnungen beruhen auf den Prämientarifen</t>
  </si>
  <si>
    <t xml:space="preserve"> (Abstufung der Prämien). Die Tarife der Versicherungsmodelle mit wählbarer Franchise, Bonus oder eingeschränkter Wahl des</t>
  </si>
  <si>
    <t xml:space="preserve">Leistungserbringers wurden hier nicht berücksichtigt. </t>
  </si>
  <si>
    <t>Zusätzliche Angaben für andere Versicherungsmodelle : siehe T 1.10, 1.44, 3.10, 9.15.</t>
  </si>
  <si>
    <t>2)  Die Werte für 1996 wurden revidiert. Diese Werte beziehen sich auf das KVG-Einführungsjahr</t>
  </si>
  <si>
    <t>und sind infolge teilweise unvollständiger Daten mit Zurückhaltung zu interpretieren.</t>
  </si>
  <si>
    <r>
      <t xml:space="preserve">T 3.01 Kantonale monatliche Durchschnittsprämien </t>
    </r>
    <r>
      <rPr>
        <b/>
        <vertAlign val="superscript"/>
        <sz val="12"/>
        <rFont val="Arial"/>
        <family val="2"/>
      </rPr>
      <t xml:space="preserve">1 </t>
    </r>
    <r>
      <rPr>
        <b/>
        <sz val="12"/>
        <rFont val="Arial"/>
        <family val="2"/>
      </rPr>
      <t xml:space="preserve"> für Erwachsene (26 J. und älter) in Franken ab 1996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</si>
</sst>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82" formatCode="0.0"/>
    <numFmt numFmtId="183" formatCode="#,##0.0"/>
    <numFmt numFmtId="184" formatCode="0.0%"/>
  </numFmts>
  <fonts count="96">
    <font>
      <sz val="10"/>
      <name val="55 Helvetica Roman"/>
    </font>
    <font>
      <sz val="10"/>
      <name val="Geneva"/>
      <family val="2"/>
    </font>
    <font>
      <sz val="12"/>
      <name val="Arial"/>
      <family val="2"/>
    </font>
    <font>
      <b/>
      <sz val="12"/>
      <name val="Arial"/>
      <family val="2"/>
    </font>
    <font>
      <sz val="11"/>
      <name val="Arial"/>
      <family val="2"/>
    </font>
    <font>
      <sz val="10"/>
      <name val="Arial"/>
      <family val="2"/>
    </font>
    <font>
      <b/>
      <sz val="11"/>
      <name val="Arial"/>
      <family val="2"/>
    </font>
    <font>
      <b/>
      <i/>
      <sz val="22"/>
      <name val="Arial"/>
      <family val="2"/>
    </font>
    <font>
      <b/>
      <i/>
      <sz val="18"/>
      <name val="Arial"/>
      <family val="2"/>
    </font>
    <font>
      <b/>
      <sz val="10"/>
      <name val="Arial"/>
      <family val="2"/>
    </font>
    <font>
      <i/>
      <sz val="12"/>
      <name val="55 Helvetica Roman"/>
    </font>
    <font>
      <sz val="12"/>
      <name val="55 Helvetica Roman"/>
    </font>
    <font>
      <b/>
      <sz val="10"/>
      <color indexed="9"/>
      <name val="55 Helvetica Roman"/>
    </font>
    <font>
      <b/>
      <sz val="20"/>
      <name val="55 Helvetica Roman"/>
    </font>
    <font>
      <b/>
      <sz val="10"/>
      <name val="55 Helvetica Roman"/>
    </font>
    <font>
      <b/>
      <sz val="12"/>
      <color indexed="10"/>
      <name val="55 Helvetica Roman"/>
    </font>
    <font>
      <i/>
      <sz val="11"/>
      <name val="55 Helvetica Roman"/>
    </font>
    <font>
      <sz val="12"/>
      <color indexed="8"/>
      <name val="Arial"/>
      <family val="2"/>
    </font>
    <font>
      <b/>
      <sz val="14"/>
      <name val="55 Helvetica Roman"/>
    </font>
    <font>
      <sz val="9"/>
      <name val="Arial"/>
      <family val="2"/>
    </font>
    <font>
      <b/>
      <i/>
      <sz val="24"/>
      <name val="Logo BAG"/>
      <family val="1"/>
    </font>
    <font>
      <b/>
      <i/>
      <sz val="12"/>
      <name val="55 Helvetica Roman"/>
    </font>
    <font>
      <b/>
      <sz val="11"/>
      <color indexed="10"/>
      <name val="55 Helvetica Roman"/>
    </font>
    <font>
      <b/>
      <sz val="11"/>
      <color indexed="9"/>
      <name val="55 Helvetica Roman"/>
    </font>
    <font>
      <b/>
      <sz val="12"/>
      <color indexed="8"/>
      <name val="Arial"/>
      <family val="2"/>
    </font>
    <font>
      <b/>
      <sz val="12"/>
      <name val="55 Helvetica Roman"/>
    </font>
    <font>
      <b/>
      <sz val="10"/>
      <color indexed="8"/>
      <name val="Arial"/>
      <family val="2"/>
    </font>
    <font>
      <sz val="10"/>
      <color indexed="8"/>
      <name val="Arial"/>
      <family val="2"/>
    </font>
    <font>
      <b/>
      <i/>
      <u/>
      <sz val="11"/>
      <name val="Arial"/>
      <family val="2"/>
    </font>
    <font>
      <vertAlign val="superscript"/>
      <sz val="10"/>
      <name val="Arial"/>
      <family val="2"/>
    </font>
    <font>
      <sz val="8"/>
      <name val="Arial"/>
      <family val="2"/>
    </font>
    <font>
      <sz val="9"/>
      <name val="Geneva"/>
      <family val="2"/>
    </font>
    <font>
      <b/>
      <vertAlign val="superscript"/>
      <sz val="10"/>
      <color indexed="8"/>
      <name val="Arial"/>
      <family val="2"/>
    </font>
    <font>
      <i/>
      <sz val="10"/>
      <name val="55 Helvetica Roman"/>
    </font>
    <font>
      <i/>
      <sz val="10"/>
      <name val="Arial"/>
      <family val="2"/>
    </font>
    <font>
      <sz val="10"/>
      <color indexed="10"/>
      <name val="55 Helvetica Roman"/>
    </font>
    <font>
      <b/>
      <sz val="9"/>
      <name val="55 Helvetica Roman"/>
    </font>
    <font>
      <sz val="9"/>
      <name val="55 Helvetica Roman"/>
    </font>
    <font>
      <sz val="9"/>
      <color indexed="10"/>
      <name val="55 Helvetica Roman"/>
    </font>
    <font>
      <sz val="10"/>
      <name val="Arial"/>
      <family val="2"/>
    </font>
    <font>
      <b/>
      <vertAlign val="superscript"/>
      <sz val="12"/>
      <name val="Arial"/>
      <family val="2"/>
    </font>
    <font>
      <vertAlign val="superscript"/>
      <sz val="11"/>
      <name val="Arial"/>
      <family val="2"/>
    </font>
    <font>
      <b/>
      <sz val="8"/>
      <color indexed="81"/>
      <name val="Tahoma"/>
      <family val="2"/>
    </font>
    <font>
      <sz val="8"/>
      <color indexed="81"/>
      <name val="Tahoma"/>
      <family val="2"/>
    </font>
    <font>
      <b/>
      <i/>
      <sz val="11"/>
      <name val="Arial"/>
      <family val="2"/>
    </font>
    <font>
      <vertAlign val="superscript"/>
      <sz val="9"/>
      <name val="Arial"/>
      <family val="2"/>
    </font>
    <font>
      <i/>
      <sz val="11"/>
      <name val="Arial"/>
      <family val="2"/>
    </font>
    <font>
      <i/>
      <vertAlign val="superscript"/>
      <sz val="11"/>
      <name val="Arial"/>
      <family val="2"/>
    </font>
    <font>
      <i/>
      <sz val="12"/>
      <name val="Arial"/>
      <family val="2"/>
    </font>
    <font>
      <b/>
      <vertAlign val="superscript"/>
      <sz val="12"/>
      <name val="55 Helvetica Roman"/>
    </font>
    <font>
      <sz val="11"/>
      <name val="55 Helvetica Roman"/>
    </font>
    <font>
      <b/>
      <sz val="9"/>
      <color indexed="10"/>
      <name val="Arial"/>
      <family val="2"/>
    </font>
    <font>
      <b/>
      <vertAlign val="superscript"/>
      <sz val="11"/>
      <name val="Arial"/>
      <family val="2"/>
    </font>
    <font>
      <b/>
      <i/>
      <sz val="10"/>
      <name val="Arial"/>
      <family val="2"/>
    </font>
    <font>
      <sz val="11"/>
      <color indexed="10"/>
      <name val="Arial"/>
      <family val="2"/>
    </font>
    <font>
      <b/>
      <sz val="11"/>
      <color indexed="10"/>
      <name val="Arial"/>
      <family val="2"/>
    </font>
    <font>
      <i/>
      <sz val="9"/>
      <name val="Arial"/>
      <family val="2"/>
    </font>
    <font>
      <sz val="10"/>
      <name val="55 Helvetica Roman"/>
    </font>
    <font>
      <b/>
      <sz val="14"/>
      <name val="Arial"/>
      <family val="2"/>
    </font>
    <font>
      <b/>
      <sz val="8"/>
      <name val="Arial"/>
      <family val="2"/>
    </font>
    <font>
      <b/>
      <i/>
      <vertAlign val="superscript"/>
      <sz val="10"/>
      <name val="Arial"/>
      <family val="2"/>
    </font>
    <font>
      <b/>
      <sz val="9"/>
      <name val="Arial"/>
      <family val="2"/>
    </font>
    <font>
      <i/>
      <sz val="10"/>
      <name val="Times New Roman"/>
      <family val="1"/>
    </font>
    <font>
      <sz val="10"/>
      <name val="Times New Roman"/>
      <family val="1"/>
    </font>
    <font>
      <i/>
      <vertAlign val="superscript"/>
      <sz val="9"/>
      <name val="Arial"/>
      <family val="2"/>
    </font>
    <font>
      <u/>
      <sz val="10"/>
      <name val="Arial"/>
      <family val="2"/>
    </font>
    <font>
      <sz val="10"/>
      <color indexed="9"/>
      <name val="Arial"/>
      <family val="2"/>
    </font>
    <font>
      <sz val="11"/>
      <color indexed="42"/>
      <name val="Arial"/>
      <family val="2"/>
    </font>
    <font>
      <sz val="10"/>
      <color indexed="42"/>
      <name val="Arial"/>
      <family val="2"/>
    </font>
    <font>
      <sz val="10"/>
      <name val="Tms Rmn"/>
    </font>
    <font>
      <sz val="8"/>
      <name val="Tms Rmn"/>
    </font>
    <font>
      <b/>
      <sz val="10"/>
      <name val="Tms Rmn"/>
    </font>
    <font>
      <b/>
      <vertAlign val="superscript"/>
      <sz val="10"/>
      <name val="Arial"/>
      <family val="2"/>
    </font>
    <font>
      <sz val="8"/>
      <color indexed="10"/>
      <name val="Arial"/>
      <family val="2"/>
    </font>
    <font>
      <b/>
      <vertAlign val="superscript"/>
      <sz val="9"/>
      <name val="Arial"/>
      <family val="2"/>
    </font>
    <font>
      <i/>
      <sz val="8"/>
      <name val="Arial"/>
      <family val="2"/>
    </font>
    <font>
      <b/>
      <vertAlign val="superscript"/>
      <sz val="8"/>
      <name val="Arial"/>
      <family val="2"/>
    </font>
    <font>
      <sz val="9"/>
      <name val="Tms Rmn"/>
    </font>
    <font>
      <b/>
      <i/>
      <sz val="9"/>
      <name val="Arial"/>
      <family val="2"/>
    </font>
    <font>
      <b/>
      <sz val="12"/>
      <name val="Times New Roman"/>
      <family val="1"/>
    </font>
    <font>
      <vertAlign val="superscript"/>
      <sz val="8"/>
      <name val="Arial"/>
      <family val="2"/>
    </font>
    <font>
      <b/>
      <i/>
      <sz val="8"/>
      <name val="Arial"/>
      <family val="2"/>
    </font>
    <font>
      <sz val="10"/>
      <color indexed="10"/>
      <name val="Arial"/>
      <family val="2"/>
    </font>
    <font>
      <b/>
      <sz val="10"/>
      <color indexed="56"/>
      <name val="Arial"/>
      <family val="2"/>
    </font>
    <font>
      <b/>
      <sz val="10"/>
      <color indexed="50"/>
      <name val="Arial"/>
      <family val="2"/>
    </font>
    <font>
      <sz val="10"/>
      <color indexed="14"/>
      <name val="Arial"/>
      <family val="2"/>
    </font>
    <font>
      <i/>
      <sz val="10"/>
      <name val="Tms Rmn"/>
    </font>
    <font>
      <sz val="10"/>
      <color indexed="56"/>
      <name val="Tms Rmn"/>
    </font>
    <font>
      <b/>
      <sz val="10"/>
      <color indexed="56"/>
      <name val="Tms Rmn"/>
    </font>
    <font>
      <b/>
      <sz val="10"/>
      <color indexed="17"/>
      <name val="Tms Rmn"/>
    </font>
    <font>
      <b/>
      <sz val="10"/>
      <color indexed="52"/>
      <name val="Tms Rmn"/>
    </font>
    <font>
      <sz val="10"/>
      <color indexed="20"/>
      <name val="Tms Rmn"/>
    </font>
    <font>
      <b/>
      <sz val="7"/>
      <name val="Arial"/>
      <family val="2"/>
    </font>
    <font>
      <sz val="7"/>
      <name val="Arial"/>
      <family val="2"/>
    </font>
    <font>
      <i/>
      <sz val="7"/>
      <name val="Arial"/>
      <family val="2"/>
    </font>
    <font>
      <sz val="8"/>
      <name val="Arial"/>
      <family val="2"/>
    </font>
  </fonts>
  <fills count="10">
    <fill>
      <patternFill patternType="none"/>
    </fill>
    <fill>
      <patternFill patternType="gray125"/>
    </fill>
    <fill>
      <patternFill patternType="solid">
        <fgColor indexed="42"/>
        <bgColor indexed="64"/>
      </patternFill>
    </fill>
    <fill>
      <patternFill patternType="solid">
        <fgColor indexed="22"/>
        <bgColor indexed="64"/>
      </patternFill>
    </fill>
    <fill>
      <patternFill patternType="solid">
        <fgColor indexed="44"/>
        <bgColor indexed="64"/>
      </patternFill>
    </fill>
    <fill>
      <patternFill patternType="solid">
        <fgColor indexed="47"/>
        <bgColor indexed="64"/>
      </patternFill>
    </fill>
    <fill>
      <patternFill patternType="solid">
        <fgColor indexed="43"/>
        <bgColor indexed="64"/>
      </patternFill>
    </fill>
    <fill>
      <patternFill patternType="solid">
        <fgColor indexed="9"/>
        <bgColor indexed="64"/>
      </patternFill>
    </fill>
    <fill>
      <patternFill patternType="lightGray">
        <fgColor indexed="22"/>
        <bgColor indexed="22"/>
      </patternFill>
    </fill>
    <fill>
      <patternFill patternType="solid">
        <fgColor indexed="47"/>
        <bgColor indexed="47"/>
      </patternFill>
    </fill>
  </fills>
  <borders count="35">
    <border>
      <left/>
      <right/>
      <top/>
      <bottom/>
      <diagonal/>
    </border>
    <border>
      <left/>
      <right/>
      <top style="thin">
        <color indexed="64"/>
      </top>
      <bottom/>
      <diagonal/>
    </border>
    <border>
      <left/>
      <right/>
      <top/>
      <bottom style="thin">
        <color indexed="64"/>
      </bottom>
      <diagonal/>
    </border>
    <border>
      <left/>
      <right/>
      <top/>
      <bottom style="medium">
        <color indexed="9"/>
      </bottom>
      <diagonal/>
    </border>
    <border>
      <left/>
      <right/>
      <top style="medium">
        <color indexed="9"/>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style="thin">
        <color indexed="64"/>
      </top>
      <bottom style="medium">
        <color indexed="9"/>
      </bottom>
      <diagonal/>
    </border>
    <border>
      <left/>
      <right/>
      <top style="medium">
        <color indexed="9"/>
      </top>
      <bottom style="medium">
        <color indexed="9"/>
      </bottom>
      <diagonal/>
    </border>
    <border>
      <left/>
      <right/>
      <top style="medium">
        <color indexed="64"/>
      </top>
      <bottom/>
      <diagonal/>
    </border>
    <border>
      <left/>
      <right/>
      <top style="medium">
        <color indexed="9"/>
      </top>
      <bottom/>
      <diagonal/>
    </border>
    <border>
      <left/>
      <right/>
      <top/>
      <bottom style="medium">
        <color indexed="64"/>
      </bottom>
      <diagonal/>
    </border>
    <border>
      <left/>
      <right/>
      <top style="thin">
        <color indexed="64"/>
      </top>
      <bottom style="medium">
        <color indexed="64"/>
      </bottom>
      <diagonal/>
    </border>
    <border>
      <left style="thin">
        <color indexed="64"/>
      </left>
      <right/>
      <top/>
      <bottom/>
      <diagonal/>
    </border>
    <border>
      <left style="thin">
        <color indexed="64"/>
      </left>
      <right/>
      <top style="thin">
        <color indexed="64"/>
      </top>
      <bottom style="medium">
        <color indexed="9"/>
      </bottom>
      <diagonal/>
    </border>
    <border>
      <left style="thin">
        <color indexed="64"/>
      </left>
      <right/>
      <top style="medium">
        <color indexed="9"/>
      </top>
      <bottom style="medium">
        <color indexed="9"/>
      </bottom>
      <diagonal/>
    </border>
    <border>
      <left style="thin">
        <color indexed="64"/>
      </left>
      <right/>
      <top style="medium">
        <color indexed="9"/>
      </top>
      <bottom style="medium">
        <color indexed="64"/>
      </bottom>
      <diagonal/>
    </border>
    <border>
      <left/>
      <right/>
      <top style="thin">
        <color indexed="64"/>
      </top>
      <bottom style="thin">
        <color indexed="64"/>
      </bottom>
      <diagonal/>
    </border>
    <border>
      <left/>
      <right/>
      <top style="hair">
        <color indexed="64"/>
      </top>
      <bottom style="hair">
        <color indexed="64"/>
      </bottom>
      <diagonal/>
    </border>
    <border>
      <left/>
      <right/>
      <top style="hair">
        <color indexed="8"/>
      </top>
      <bottom style="hair">
        <color indexed="8"/>
      </bottom>
      <diagonal/>
    </border>
    <border>
      <left/>
      <right/>
      <top style="thin">
        <color indexed="8"/>
      </top>
      <bottom style="medium">
        <color indexed="9"/>
      </bottom>
      <diagonal/>
    </border>
    <border>
      <left style="medium">
        <color indexed="64"/>
      </left>
      <right/>
      <top style="thin">
        <color indexed="64"/>
      </top>
      <bottom/>
      <diagonal/>
    </border>
    <border>
      <left style="medium">
        <color indexed="64"/>
      </left>
      <right/>
      <top/>
      <bottom/>
      <diagonal/>
    </border>
    <border>
      <left style="medium">
        <color indexed="64"/>
      </left>
      <right/>
      <top style="thin">
        <color indexed="64"/>
      </top>
      <bottom style="medium">
        <color indexed="9"/>
      </bottom>
      <diagonal/>
    </border>
    <border>
      <left style="medium">
        <color indexed="64"/>
      </left>
      <right/>
      <top style="medium">
        <color indexed="9"/>
      </top>
      <bottom style="medium">
        <color indexed="9"/>
      </bottom>
      <diagonal/>
    </border>
    <border>
      <left style="medium">
        <color indexed="64"/>
      </left>
      <right/>
      <top/>
      <bottom style="medium">
        <color indexed="9"/>
      </bottom>
      <diagonal/>
    </border>
    <border>
      <left style="medium">
        <color indexed="64"/>
      </left>
      <right/>
      <top style="medium">
        <color indexed="9"/>
      </top>
      <bottom/>
      <diagonal/>
    </border>
    <border>
      <left style="medium">
        <color indexed="64"/>
      </left>
      <right/>
      <top style="medium">
        <color indexed="9"/>
      </top>
      <bottom style="medium">
        <color indexed="64"/>
      </bottom>
      <diagonal/>
    </border>
    <border>
      <left style="medium">
        <color indexed="64"/>
      </left>
      <right/>
      <top/>
      <bottom style="thin">
        <color indexed="64"/>
      </bottom>
      <diagonal/>
    </border>
    <border>
      <left style="medium">
        <color indexed="64"/>
      </left>
      <right/>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8"/>
      </top>
      <bottom style="medium">
        <color indexed="9"/>
      </bottom>
      <diagonal/>
    </border>
    <border>
      <left style="medium">
        <color indexed="64"/>
      </left>
      <right/>
      <top style="thin">
        <color indexed="8"/>
      </top>
      <bottom style="medium">
        <color indexed="64"/>
      </bottom>
      <diagonal/>
    </border>
  </borders>
  <cellStyleXfs count="21">
    <xf numFmtId="0" fontId="0"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57" fillId="0" borderId="0"/>
    <xf numFmtId="0" fontId="69" fillId="0" borderId="0"/>
    <xf numFmtId="0" fontId="69" fillId="0" borderId="0"/>
    <xf numFmtId="0" fontId="69" fillId="0" borderId="0"/>
    <xf numFmtId="0" fontId="69" fillId="0" borderId="0"/>
    <xf numFmtId="0" fontId="39" fillId="0" borderId="0"/>
    <xf numFmtId="9" fontId="1" fillId="0" borderId="0" applyFont="0" applyFill="0" applyBorder="0" applyAlignment="0" applyProtection="0"/>
  </cellStyleXfs>
  <cellXfs count="1744">
    <xf numFmtId="0" fontId="0" fillId="0" borderId="0" xfId="0"/>
    <xf numFmtId="0" fontId="2" fillId="0" borderId="0" xfId="0" applyFont="1"/>
    <xf numFmtId="0" fontId="5" fillId="0" borderId="0" xfId="0" applyFont="1"/>
    <xf numFmtId="1" fontId="5" fillId="0" borderId="0" xfId="0" applyNumberFormat="1" applyFont="1"/>
    <xf numFmtId="0" fontId="5" fillId="0" borderId="0" xfId="0" applyFont="1" applyBorder="1"/>
    <xf numFmtId="0" fontId="5" fillId="0" borderId="0" xfId="0" applyFont="1" applyFill="1"/>
    <xf numFmtId="0" fontId="7" fillId="0" borderId="0" xfId="0" applyFont="1" applyAlignment="1">
      <alignment horizontal="left"/>
    </xf>
    <xf numFmtId="0" fontId="8" fillId="0" borderId="0" xfId="0" applyFont="1" applyAlignment="1">
      <alignment horizontal="left"/>
    </xf>
    <xf numFmtId="0" fontId="10" fillId="0" borderId="0" xfId="0" applyFont="1" applyAlignment="1">
      <alignment horizontal="left"/>
    </xf>
    <xf numFmtId="3" fontId="5" fillId="0" borderId="0" xfId="0" applyNumberFormat="1" applyFont="1"/>
    <xf numFmtId="3" fontId="4" fillId="0" borderId="0" xfId="0" applyNumberFormat="1" applyFont="1" applyBorder="1" applyAlignment="1">
      <alignment horizontal="right"/>
    </xf>
    <xf numFmtId="0" fontId="13" fillId="2" borderId="0" xfId="0" applyFont="1" applyFill="1"/>
    <xf numFmtId="0" fontId="0" fillId="2" borderId="0" xfId="0" applyFill="1"/>
    <xf numFmtId="0" fontId="5" fillId="2" borderId="0" xfId="0" applyFont="1" applyFill="1"/>
    <xf numFmtId="0" fontId="14" fillId="2" borderId="0" xfId="0" applyFont="1" applyFill="1"/>
    <xf numFmtId="0" fontId="11" fillId="0" borderId="0" xfId="0" applyFont="1"/>
    <xf numFmtId="2" fontId="3" fillId="0" borderId="0" xfId="0" applyNumberFormat="1" applyFont="1"/>
    <xf numFmtId="2" fontId="11" fillId="0" borderId="0" xfId="0" applyNumberFormat="1" applyFont="1"/>
    <xf numFmtId="0" fontId="17" fillId="2" borderId="0" xfId="0" applyFont="1" applyFill="1" applyAlignment="1"/>
    <xf numFmtId="0" fontId="5" fillId="3" borderId="0" xfId="0" applyFont="1" applyFill="1"/>
    <xf numFmtId="0" fontId="3" fillId="0" borderId="0" xfId="0" applyFont="1"/>
    <xf numFmtId="0" fontId="3" fillId="0" borderId="0" xfId="0" applyFont="1" applyBorder="1" applyAlignment="1">
      <alignment vertical="top"/>
    </xf>
    <xf numFmtId="0" fontId="5" fillId="0" borderId="0" xfId="0" applyFont="1" applyAlignment="1">
      <alignment horizontal="left"/>
    </xf>
    <xf numFmtId="0" fontId="5" fillId="0" borderId="0" xfId="0" applyFont="1" applyAlignment="1">
      <alignment horizontal="center"/>
    </xf>
    <xf numFmtId="0" fontId="6" fillId="2" borderId="0" xfId="0" applyFont="1" applyFill="1"/>
    <xf numFmtId="0" fontId="12" fillId="4" borderId="0" xfId="0" applyFont="1" applyFill="1"/>
    <xf numFmtId="0" fontId="6" fillId="4" borderId="0" xfId="0" applyFont="1" applyFill="1"/>
    <xf numFmtId="0" fontId="2" fillId="0" borderId="0" xfId="0" applyFont="1" applyFill="1"/>
    <xf numFmtId="0" fontId="2" fillId="0" borderId="0" xfId="0" applyFont="1" applyFill="1" applyAlignment="1">
      <alignment horizontal="center"/>
    </xf>
    <xf numFmtId="3" fontId="2" fillId="0" borderId="0" xfId="0" applyNumberFormat="1" applyFont="1" applyFill="1"/>
    <xf numFmtId="0" fontId="2" fillId="0" borderId="0" xfId="0" applyNumberFormat="1" applyFont="1" applyFill="1"/>
    <xf numFmtId="0" fontId="3" fillId="0" borderId="0" xfId="0" applyFont="1" applyFill="1"/>
    <xf numFmtId="0" fontId="5" fillId="3" borderId="1" xfId="0" applyFont="1" applyFill="1" applyBorder="1" applyAlignment="1">
      <alignment horizontal="left"/>
    </xf>
    <xf numFmtId="0" fontId="5" fillId="5" borderId="1" xfId="0" applyFont="1" applyFill="1" applyBorder="1" applyAlignment="1">
      <alignment horizontal="center"/>
    </xf>
    <xf numFmtId="0" fontId="5" fillId="3" borderId="1" xfId="0" applyFont="1" applyFill="1" applyBorder="1" applyAlignment="1">
      <alignment horizontal="center"/>
    </xf>
    <xf numFmtId="3" fontId="5" fillId="5" borderId="1" xfId="0" applyNumberFormat="1" applyFont="1" applyFill="1" applyBorder="1" applyAlignment="1">
      <alignment horizontal="center"/>
    </xf>
    <xf numFmtId="3" fontId="5" fillId="3" borderId="1" xfId="0" applyNumberFormat="1" applyFont="1" applyFill="1" applyBorder="1" applyAlignment="1">
      <alignment horizontal="center"/>
    </xf>
    <xf numFmtId="0" fontId="5" fillId="3" borderId="1" xfId="0" applyNumberFormat="1" applyFont="1" applyFill="1" applyBorder="1" applyAlignment="1">
      <alignment horizontal="left"/>
    </xf>
    <xf numFmtId="0" fontId="5" fillId="3" borderId="0" xfId="0" applyFont="1" applyFill="1" applyBorder="1" applyAlignment="1">
      <alignment horizontal="left"/>
    </xf>
    <xf numFmtId="0" fontId="5" fillId="5" borderId="0" xfId="0" applyFont="1" applyFill="1" applyBorder="1" applyAlignment="1">
      <alignment horizontal="center"/>
    </xf>
    <xf numFmtId="0" fontId="5" fillId="3" borderId="0" xfId="0" applyFont="1" applyFill="1" applyBorder="1" applyAlignment="1">
      <alignment horizontal="center"/>
    </xf>
    <xf numFmtId="3" fontId="5" fillId="5" borderId="0" xfId="0" applyNumberFormat="1" applyFont="1" applyFill="1" applyBorder="1" applyAlignment="1">
      <alignment horizontal="center"/>
    </xf>
    <xf numFmtId="3" fontId="5" fillId="3" borderId="0" xfId="0" applyNumberFormat="1" applyFont="1" applyFill="1" applyBorder="1" applyAlignment="1">
      <alignment horizontal="center"/>
    </xf>
    <xf numFmtId="0" fontId="5" fillId="3" borderId="0" xfId="0" applyNumberFormat="1" applyFont="1" applyFill="1" applyBorder="1" applyAlignment="1">
      <alignment horizontal="left"/>
    </xf>
    <xf numFmtId="0" fontId="5" fillId="3" borderId="0" xfId="0" applyNumberFormat="1" applyFont="1" applyFill="1" applyBorder="1" applyAlignment="1">
      <alignment horizontal="center"/>
    </xf>
    <xf numFmtId="0" fontId="5" fillId="3" borderId="2" xfId="0" applyFont="1" applyFill="1" applyBorder="1" applyAlignment="1">
      <alignment horizontal="left"/>
    </xf>
    <xf numFmtId="0" fontId="5" fillId="3" borderId="2" xfId="0" applyFont="1" applyFill="1" applyBorder="1" applyAlignment="1">
      <alignment horizontal="center"/>
    </xf>
    <xf numFmtId="0" fontId="5" fillId="5" borderId="2" xfId="0" applyFont="1" applyFill="1" applyBorder="1" applyAlignment="1">
      <alignment horizontal="center" vertical="top"/>
    </xf>
    <xf numFmtId="0" fontId="5" fillId="3" borderId="2" xfId="0" applyFont="1" applyFill="1" applyBorder="1" applyAlignment="1">
      <alignment horizontal="center" vertical="top"/>
    </xf>
    <xf numFmtId="3" fontId="5" fillId="5" borderId="2" xfId="0" applyNumberFormat="1" applyFont="1" applyFill="1" applyBorder="1" applyAlignment="1">
      <alignment horizontal="center" vertical="top"/>
    </xf>
    <xf numFmtId="3" fontId="5" fillId="3" borderId="2" xfId="0" applyNumberFormat="1" applyFont="1" applyFill="1" applyBorder="1" applyAlignment="1">
      <alignment horizontal="center" vertical="top"/>
    </xf>
    <xf numFmtId="0" fontId="5" fillId="3" borderId="2" xfId="0" applyNumberFormat="1" applyFont="1" applyFill="1" applyBorder="1" applyAlignment="1">
      <alignment horizontal="center" vertical="top"/>
    </xf>
    <xf numFmtId="1" fontId="5" fillId="3" borderId="3" xfId="0" applyNumberFormat="1" applyFont="1" applyFill="1" applyBorder="1" applyAlignment="1">
      <alignment horizontal="center" vertical="center"/>
    </xf>
    <xf numFmtId="1" fontId="5" fillId="3" borderId="3" xfId="0" applyNumberFormat="1" applyFont="1" applyFill="1" applyBorder="1" applyAlignment="1">
      <alignment horizontal="left" vertical="center"/>
    </xf>
    <xf numFmtId="14" fontId="5" fillId="5" borderId="3" xfId="0" applyNumberFormat="1" applyFont="1" applyFill="1" applyBorder="1" applyAlignment="1">
      <alignment horizontal="center" vertical="center"/>
    </xf>
    <xf numFmtId="183" fontId="5" fillId="3" borderId="3" xfId="0" applyNumberFormat="1" applyFont="1" applyFill="1" applyBorder="1" applyAlignment="1">
      <alignment horizontal="center" vertical="center" wrapText="1"/>
    </xf>
    <xf numFmtId="183" fontId="5" fillId="5" borderId="3" xfId="0" applyNumberFormat="1" applyFont="1" applyFill="1" applyBorder="1" applyAlignment="1">
      <alignment horizontal="center" vertical="center" wrapText="1"/>
    </xf>
    <xf numFmtId="0" fontId="5" fillId="3" borderId="3" xfId="0" applyNumberFormat="1" applyFont="1" applyFill="1" applyBorder="1" applyAlignment="1">
      <alignment horizontal="center" vertical="center" wrapText="1"/>
    </xf>
    <xf numFmtId="0" fontId="9" fillId="3" borderId="4" xfId="0" applyNumberFormat="1" applyFont="1" applyFill="1" applyBorder="1" applyAlignment="1">
      <alignment horizontal="center" vertical="center"/>
    </xf>
    <xf numFmtId="0" fontId="9" fillId="3" borderId="4" xfId="0" applyNumberFormat="1" applyFont="1" applyFill="1" applyBorder="1" applyAlignment="1">
      <alignment horizontal="left" vertical="center"/>
    </xf>
    <xf numFmtId="0" fontId="9" fillId="5" borderId="4" xfId="0" applyNumberFormat="1" applyFont="1" applyFill="1" applyBorder="1" applyAlignment="1">
      <alignment horizontal="center" vertical="center"/>
    </xf>
    <xf numFmtId="0" fontId="9" fillId="3" borderId="4" xfId="0" applyNumberFormat="1" applyFont="1" applyFill="1" applyBorder="1" applyAlignment="1">
      <alignment horizontal="center" vertical="center" wrapText="1"/>
    </xf>
    <xf numFmtId="0" fontId="9" fillId="0" borderId="0" xfId="0" applyNumberFormat="1" applyFont="1" applyAlignment="1">
      <alignment horizontal="center"/>
    </xf>
    <xf numFmtId="0" fontId="5" fillId="0" borderId="0" xfId="0" applyFont="1" applyFill="1" applyAlignment="1">
      <alignment horizontal="center"/>
    </xf>
    <xf numFmtId="0" fontId="5" fillId="0" borderId="0" xfId="0" applyNumberFormat="1" applyFont="1"/>
    <xf numFmtId="1" fontId="5" fillId="0" borderId="0" xfId="0" applyNumberFormat="1" applyFont="1" applyAlignment="1">
      <alignment horizontal="left"/>
    </xf>
    <xf numFmtId="1" fontId="5" fillId="0" borderId="0" xfId="0" applyNumberFormat="1" applyFont="1" applyFill="1" applyAlignment="1">
      <alignment horizontal="left"/>
    </xf>
    <xf numFmtId="0" fontId="5" fillId="0" borderId="0" xfId="0" applyFont="1" applyFill="1" applyAlignment="1">
      <alignment horizontal="left"/>
    </xf>
    <xf numFmtId="0" fontId="20" fillId="0" borderId="0" xfId="0" applyFont="1"/>
    <xf numFmtId="0" fontId="22" fillId="6" borderId="0" xfId="0" applyFont="1" applyFill="1"/>
    <xf numFmtId="0" fontId="5" fillId="6" borderId="0" xfId="0" applyFont="1" applyFill="1"/>
    <xf numFmtId="0" fontId="15" fillId="0" borderId="0" xfId="0" applyFont="1" applyFill="1"/>
    <xf numFmtId="14" fontId="5" fillId="6" borderId="0" xfId="0" applyNumberFormat="1" applyFont="1" applyFill="1"/>
    <xf numFmtId="0" fontId="0" fillId="0" borderId="0" xfId="0" applyAlignment="1">
      <alignment vertical="top"/>
    </xf>
    <xf numFmtId="0" fontId="25" fillId="0" borderId="0" xfId="0" applyFont="1" applyAlignment="1">
      <alignment vertical="top"/>
    </xf>
    <xf numFmtId="0" fontId="24" fillId="0" borderId="0" xfId="0" applyFont="1" applyAlignment="1"/>
    <xf numFmtId="0" fontId="26" fillId="0" borderId="0" xfId="0" applyFont="1" applyAlignment="1"/>
    <xf numFmtId="0" fontId="27" fillId="0" borderId="0" xfId="0" applyFont="1" applyAlignment="1"/>
    <xf numFmtId="0" fontId="26" fillId="0" borderId="5" xfId="0" applyFont="1" applyBorder="1" applyAlignment="1">
      <alignment vertical="top" wrapText="1"/>
    </xf>
    <xf numFmtId="0" fontId="26" fillId="0" borderId="6" xfId="0" applyFont="1" applyBorder="1" applyAlignment="1">
      <alignment vertical="top" wrapText="1"/>
    </xf>
    <xf numFmtId="0" fontId="5" fillId="0" borderId="0" xfId="0" applyFont="1" applyAlignment="1"/>
    <xf numFmtId="1" fontId="28" fillId="0" borderId="0" xfId="0" applyNumberFormat="1" applyFont="1" applyFill="1" applyBorder="1" applyAlignment="1"/>
    <xf numFmtId="0" fontId="9" fillId="0" borderId="0" xfId="0" applyFont="1" applyFill="1" applyBorder="1" applyAlignment="1">
      <alignment horizontal="center"/>
    </xf>
    <xf numFmtId="0" fontId="19" fillId="0" borderId="0" xfId="0" applyFont="1" applyFill="1" applyBorder="1"/>
    <xf numFmtId="16" fontId="9" fillId="0" borderId="0" xfId="0" quotePrefix="1" applyNumberFormat="1" applyFont="1" applyFill="1" applyBorder="1" applyAlignment="1">
      <alignment horizontal="center"/>
    </xf>
    <xf numFmtId="0" fontId="19" fillId="0" borderId="0" xfId="0" quotePrefix="1" applyFont="1" applyFill="1" applyBorder="1"/>
    <xf numFmtId="18" fontId="9" fillId="0" borderId="0" xfId="0" quotePrefix="1" applyNumberFormat="1" applyFont="1" applyFill="1" applyBorder="1" applyAlignment="1">
      <alignment horizontal="center"/>
    </xf>
    <xf numFmtId="0" fontId="9" fillId="0" borderId="0" xfId="0" quotePrefix="1" applyFont="1" applyFill="1" applyBorder="1" applyAlignment="1">
      <alignment horizontal="center"/>
    </xf>
    <xf numFmtId="0" fontId="9" fillId="0" borderId="0" xfId="0" applyFont="1" applyBorder="1" applyAlignment="1">
      <alignment horizontal="center"/>
    </xf>
    <xf numFmtId="0" fontId="19" fillId="0" borderId="0" xfId="0" applyFont="1" applyBorder="1"/>
    <xf numFmtId="1" fontId="5" fillId="0" borderId="0" xfId="0" applyNumberFormat="1" applyFont="1" applyBorder="1" applyAlignment="1">
      <alignment horizontal="left"/>
    </xf>
    <xf numFmtId="0" fontId="5" fillId="0" borderId="0" xfId="0" applyFont="1" applyBorder="1" applyAlignment="1">
      <alignment horizontal="left"/>
    </xf>
    <xf numFmtId="0" fontId="27" fillId="0" borderId="0" xfId="0" applyFont="1"/>
    <xf numFmtId="0" fontId="26" fillId="0" borderId="0" xfId="0" applyFont="1"/>
    <xf numFmtId="0" fontId="0" fillId="0" borderId="0" xfId="0" applyFill="1"/>
    <xf numFmtId="9" fontId="34" fillId="0" borderId="0" xfId="0" applyNumberFormat="1" applyFont="1" applyFill="1" applyAlignment="1">
      <alignment horizontal="right"/>
    </xf>
    <xf numFmtId="2" fontId="5" fillId="6" borderId="0" xfId="0" applyNumberFormat="1" applyFont="1" applyFill="1" applyAlignment="1">
      <alignment horizontal="left"/>
    </xf>
    <xf numFmtId="0" fontId="33" fillId="2" borderId="0" xfId="0" applyFont="1" applyFill="1"/>
    <xf numFmtId="0" fontId="13" fillId="0" borderId="0" xfId="0" applyFont="1" applyFill="1"/>
    <xf numFmtId="0" fontId="14" fillId="0" borderId="0" xfId="0" applyFont="1" applyFill="1"/>
    <xf numFmtId="0" fontId="36" fillId="2" borderId="0" xfId="0" applyFont="1" applyFill="1"/>
    <xf numFmtId="0" fontId="37" fillId="2" borderId="0" xfId="0" applyFont="1" applyFill="1"/>
    <xf numFmtId="0" fontId="19" fillId="2" borderId="0" xfId="0" applyFont="1" applyFill="1"/>
    <xf numFmtId="0" fontId="35" fillId="0" borderId="0" xfId="0" applyFont="1" applyFill="1"/>
    <xf numFmtId="2" fontId="30" fillId="0" borderId="0" xfId="0" applyNumberFormat="1" applyFont="1" applyFill="1" applyAlignment="1">
      <alignment horizontal="left"/>
    </xf>
    <xf numFmtId="14" fontId="5" fillId="0" borderId="0" xfId="0" applyNumberFormat="1" applyFont="1" applyFill="1"/>
    <xf numFmtId="2" fontId="5" fillId="0" borderId="0" xfId="0" applyNumberFormat="1" applyFont="1" applyFill="1" applyAlignment="1">
      <alignment horizontal="left"/>
    </xf>
    <xf numFmtId="1" fontId="5" fillId="3" borderId="3" xfId="0" applyNumberFormat="1" applyFont="1" applyFill="1" applyBorder="1" applyAlignment="1">
      <alignment horizontal="left" vertical="center" wrapText="1"/>
    </xf>
    <xf numFmtId="0" fontId="9" fillId="5" borderId="4" xfId="0" quotePrefix="1" applyNumberFormat="1" applyFont="1" applyFill="1" applyBorder="1" applyAlignment="1">
      <alignment horizontal="center" vertical="center"/>
    </xf>
    <xf numFmtId="0" fontId="27" fillId="0" borderId="7" xfId="0" applyFont="1" applyBorder="1" applyAlignment="1">
      <alignment horizontal="center" vertical="top" wrapText="1"/>
    </xf>
    <xf numFmtId="0" fontId="27" fillId="0" borderId="8" xfId="0" applyFont="1" applyBorder="1" applyAlignment="1">
      <alignment horizontal="center" vertical="top" wrapText="1"/>
    </xf>
    <xf numFmtId="9" fontId="27" fillId="0" borderId="8" xfId="0" applyNumberFormat="1" applyFont="1" applyBorder="1" applyAlignment="1">
      <alignment horizontal="center" vertical="top" wrapText="1"/>
    </xf>
    <xf numFmtId="14" fontId="38" fillId="2" borderId="0" xfId="0" applyNumberFormat="1" applyFont="1" applyFill="1"/>
    <xf numFmtId="2" fontId="16" fillId="2" borderId="0" xfId="0" applyNumberFormat="1" applyFont="1" applyFill="1" applyAlignment="1">
      <alignment horizontal="center"/>
    </xf>
    <xf numFmtId="0" fontId="16" fillId="2" borderId="0" xfId="0" applyNumberFormat="1" applyFont="1" applyFill="1" applyAlignment="1">
      <alignment horizontal="center"/>
    </xf>
    <xf numFmtId="0" fontId="3" fillId="0" borderId="0" xfId="2" applyFont="1"/>
    <xf numFmtId="0" fontId="39" fillId="0" borderId="0" xfId="2"/>
    <xf numFmtId="0" fontId="19" fillId="0" borderId="0" xfId="2" quotePrefix="1" applyFont="1" applyAlignment="1"/>
    <xf numFmtId="0" fontId="19" fillId="0" borderId="0" xfId="2" applyFont="1" applyAlignment="1"/>
    <xf numFmtId="0" fontId="39" fillId="0" borderId="0" xfId="2" applyAlignment="1"/>
    <xf numFmtId="2" fontId="19" fillId="0" borderId="0" xfId="2" quotePrefix="1" applyNumberFormat="1" applyFont="1"/>
    <xf numFmtId="0" fontId="19" fillId="0" borderId="0" xfId="2" applyFont="1"/>
    <xf numFmtId="0" fontId="30" fillId="0" borderId="0" xfId="2" applyFont="1"/>
    <xf numFmtId="0" fontId="3" fillId="0" borderId="0" xfId="3" applyFont="1"/>
    <xf numFmtId="0" fontId="39" fillId="0" borderId="0" xfId="3"/>
    <xf numFmtId="0" fontId="19" fillId="0" borderId="0" xfId="3" applyFont="1" applyAlignment="1"/>
    <xf numFmtId="0" fontId="39" fillId="0" borderId="0" xfId="3" applyAlignment="1"/>
    <xf numFmtId="2" fontId="19" fillId="0" borderId="0" xfId="3" quotePrefix="1" applyNumberFormat="1" applyFont="1"/>
    <xf numFmtId="0" fontId="19" fillId="0" borderId="0" xfId="3" applyFont="1"/>
    <xf numFmtId="0" fontId="30" fillId="0" borderId="0" xfId="3" applyFont="1"/>
    <xf numFmtId="0" fontId="3" fillId="0" borderId="0" xfId="6" applyFont="1"/>
    <xf numFmtId="0" fontId="39" fillId="0" borderId="0" xfId="6"/>
    <xf numFmtId="0" fontId="5" fillId="0" borderId="0" xfId="6" applyFont="1"/>
    <xf numFmtId="0" fontId="30" fillId="0" borderId="0" xfId="6" applyFont="1"/>
    <xf numFmtId="0" fontId="3" fillId="0" borderId="0" xfId="0" applyFont="1" applyAlignment="1">
      <alignment vertical="center"/>
    </xf>
    <xf numFmtId="3" fontId="3" fillId="0" borderId="0" xfId="0" applyNumberFormat="1" applyFont="1" applyAlignment="1">
      <alignment horizontal="left" vertical="center"/>
    </xf>
    <xf numFmtId="0" fontId="2" fillId="0" borderId="0" xfId="0" applyFont="1" applyAlignment="1">
      <alignment horizontal="right" vertical="center"/>
    </xf>
    <xf numFmtId="3" fontId="2" fillId="0" borderId="0" xfId="0" applyNumberFormat="1" applyFont="1" applyAlignment="1">
      <alignment horizontal="right" vertical="center"/>
    </xf>
    <xf numFmtId="0" fontId="3" fillId="0" borderId="0" xfId="0" applyFont="1" applyAlignment="1">
      <alignment horizontal="right" vertical="top"/>
    </xf>
    <xf numFmtId="0" fontId="4" fillId="3" borderId="1" xfId="0" applyFont="1" applyFill="1" applyBorder="1" applyAlignment="1">
      <alignment horizontal="left"/>
    </xf>
    <xf numFmtId="3" fontId="4" fillId="5" borderId="1" xfId="0" applyNumberFormat="1" applyFont="1" applyFill="1" applyBorder="1" applyAlignment="1">
      <alignment horizontal="right"/>
    </xf>
    <xf numFmtId="0" fontId="4" fillId="3" borderId="1" xfId="0" applyFont="1" applyFill="1" applyBorder="1" applyAlignment="1">
      <alignment horizontal="right"/>
    </xf>
    <xf numFmtId="0" fontId="4" fillId="3" borderId="0" xfId="0" applyFont="1" applyFill="1" applyBorder="1" applyAlignment="1">
      <alignment horizontal="center"/>
    </xf>
    <xf numFmtId="3" fontId="4" fillId="5" borderId="0" xfId="0" applyNumberFormat="1" applyFont="1" applyFill="1" applyBorder="1" applyAlignment="1">
      <alignment horizontal="right"/>
    </xf>
    <xf numFmtId="0" fontId="4" fillId="3" borderId="0" xfId="0" applyFont="1" applyFill="1" applyBorder="1" applyAlignment="1">
      <alignment horizontal="right"/>
    </xf>
    <xf numFmtId="0" fontId="4" fillId="3" borderId="2" xfId="0" applyFont="1" applyFill="1" applyBorder="1" applyAlignment="1">
      <alignment horizontal="center" vertical="top"/>
    </xf>
    <xf numFmtId="3" fontId="4" fillId="5" borderId="2" xfId="0" applyNumberFormat="1" applyFont="1" applyFill="1" applyBorder="1" applyAlignment="1">
      <alignment horizontal="right" vertical="top"/>
    </xf>
    <xf numFmtId="0" fontId="4" fillId="3" borderId="2" xfId="0" applyFont="1" applyFill="1" applyBorder="1" applyAlignment="1">
      <alignment horizontal="right" vertical="top"/>
    </xf>
    <xf numFmtId="0" fontId="4" fillId="3" borderId="9" xfId="0" applyFont="1" applyFill="1" applyBorder="1" applyAlignment="1">
      <alignment horizontal="left"/>
    </xf>
    <xf numFmtId="3" fontId="4" fillId="5" borderId="3" xfId="0" applyNumberFormat="1" applyFont="1" applyFill="1" applyBorder="1" applyAlignment="1">
      <alignment horizontal="right"/>
    </xf>
    <xf numFmtId="184" fontId="4" fillId="3" borderId="3" xfId="0" applyNumberFormat="1" applyFont="1" applyFill="1" applyBorder="1" applyAlignment="1">
      <alignment horizontal="right"/>
    </xf>
    <xf numFmtId="2" fontId="5" fillId="0" borderId="0" xfId="0" applyNumberFormat="1" applyFont="1"/>
    <xf numFmtId="0" fontId="4" fillId="3" borderId="10" xfId="0" applyFont="1" applyFill="1" applyBorder="1" applyAlignment="1">
      <alignment horizontal="left"/>
    </xf>
    <xf numFmtId="3" fontId="4" fillId="5" borderId="10" xfId="0" applyNumberFormat="1" applyFont="1" applyFill="1" applyBorder="1" applyAlignment="1">
      <alignment horizontal="right"/>
    </xf>
    <xf numFmtId="184" fontId="4" fillId="3" borderId="10" xfId="0" applyNumberFormat="1" applyFont="1" applyFill="1" applyBorder="1" applyAlignment="1">
      <alignment horizontal="right"/>
    </xf>
    <xf numFmtId="0" fontId="5" fillId="0" borderId="11" xfId="0" applyFont="1" applyBorder="1"/>
    <xf numFmtId="3" fontId="5" fillId="0" borderId="11" xfId="0" applyNumberFormat="1" applyFont="1" applyBorder="1" applyAlignment="1">
      <alignment horizontal="right"/>
    </xf>
    <xf numFmtId="0" fontId="5" fillId="0" borderId="11" xfId="0" applyFont="1" applyBorder="1" applyAlignment="1">
      <alignment horizontal="right"/>
    </xf>
    <xf numFmtId="3" fontId="5" fillId="0" borderId="0" xfId="0" applyNumberFormat="1" applyFont="1" applyBorder="1" applyAlignment="1">
      <alignment horizontal="right"/>
    </xf>
    <xf numFmtId="0" fontId="5" fillId="0" borderId="0" xfId="0" applyFont="1" applyBorder="1" applyAlignment="1">
      <alignment horizontal="right"/>
    </xf>
    <xf numFmtId="0" fontId="5" fillId="0" borderId="0" xfId="0" applyFont="1" applyBorder="1" applyAlignment="1">
      <alignment vertical="top"/>
    </xf>
    <xf numFmtId="3" fontId="5" fillId="0" borderId="0" xfId="0" applyNumberFormat="1" applyFont="1" applyAlignment="1">
      <alignment horizontal="right"/>
    </xf>
    <xf numFmtId="0" fontId="5" fillId="0" borderId="0" xfId="0" applyFont="1" applyAlignment="1">
      <alignment horizontal="right"/>
    </xf>
    <xf numFmtId="0" fontId="4" fillId="5" borderId="1" xfId="0" applyFont="1" applyFill="1" applyBorder="1" applyAlignment="1">
      <alignment horizontal="left"/>
    </xf>
    <xf numFmtId="0" fontId="4" fillId="5" borderId="1" xfId="0" applyFont="1" applyFill="1" applyBorder="1" applyAlignment="1">
      <alignment horizontal="right"/>
    </xf>
    <xf numFmtId="0" fontId="4" fillId="3" borderId="0" xfId="0" applyFont="1" applyFill="1" applyBorder="1" applyAlignment="1">
      <alignment horizontal="left"/>
    </xf>
    <xf numFmtId="0" fontId="4" fillId="5" borderId="0" xfId="0" applyFont="1" applyFill="1" applyBorder="1" applyAlignment="1">
      <alignment horizontal="right"/>
    </xf>
    <xf numFmtId="0" fontId="4" fillId="3" borderId="2" xfId="0" applyFont="1" applyFill="1" applyBorder="1" applyAlignment="1">
      <alignment horizontal="left" vertical="top"/>
    </xf>
    <xf numFmtId="0" fontId="4" fillId="5" borderId="2" xfId="0" applyFont="1" applyFill="1" applyBorder="1" applyAlignment="1">
      <alignment horizontal="right" vertical="top"/>
    </xf>
    <xf numFmtId="0" fontId="4" fillId="3" borderId="3" xfId="0" quotePrefix="1" applyFont="1" applyFill="1" applyBorder="1" applyAlignment="1">
      <alignment horizontal="left"/>
    </xf>
    <xf numFmtId="183" fontId="4" fillId="3" borderId="3" xfId="0" applyNumberFormat="1" applyFont="1" applyFill="1" applyBorder="1" applyAlignment="1">
      <alignment horizontal="right"/>
    </xf>
    <xf numFmtId="0" fontId="4" fillId="3" borderId="10" xfId="0" quotePrefix="1" applyFont="1" applyFill="1" applyBorder="1" applyAlignment="1">
      <alignment horizontal="left"/>
    </xf>
    <xf numFmtId="0" fontId="6" fillId="3" borderId="10" xfId="0" quotePrefix="1" applyFont="1" applyFill="1" applyBorder="1" applyAlignment="1">
      <alignment horizontal="left"/>
    </xf>
    <xf numFmtId="3" fontId="6" fillId="5" borderId="10" xfId="0" applyNumberFormat="1" applyFont="1" applyFill="1" applyBorder="1" applyAlignment="1">
      <alignment horizontal="right"/>
    </xf>
    <xf numFmtId="184" fontId="6" fillId="3" borderId="10" xfId="0" applyNumberFormat="1" applyFont="1" applyFill="1" applyBorder="1" applyAlignment="1">
      <alignment horizontal="right"/>
    </xf>
    <xf numFmtId="3" fontId="4" fillId="5" borderId="3" xfId="0" applyNumberFormat="1" applyFont="1" applyFill="1" applyBorder="1"/>
    <xf numFmtId="3" fontId="4" fillId="5" borderId="10" xfId="0" applyNumberFormat="1" applyFont="1" applyFill="1" applyBorder="1"/>
    <xf numFmtId="3" fontId="6" fillId="5" borderId="10" xfId="0" applyNumberFormat="1" applyFont="1" applyFill="1" applyBorder="1"/>
    <xf numFmtId="0" fontId="3" fillId="0" borderId="0" xfId="0" applyFont="1" applyAlignment="1">
      <alignment vertical="top"/>
    </xf>
    <xf numFmtId="0" fontId="4" fillId="5" borderId="0" xfId="0" applyFont="1" applyFill="1" applyBorder="1" applyAlignment="1">
      <alignment horizontal="center"/>
    </xf>
    <xf numFmtId="0" fontId="4" fillId="5" borderId="2" xfId="0" applyFont="1" applyFill="1" applyBorder="1" applyAlignment="1">
      <alignment horizontal="center" vertical="top"/>
    </xf>
    <xf numFmtId="0" fontId="4" fillId="0" borderId="0" xfId="0" applyFont="1"/>
    <xf numFmtId="3" fontId="4" fillId="5" borderId="9" xfId="0" applyNumberFormat="1" applyFont="1" applyFill="1" applyBorder="1"/>
    <xf numFmtId="3" fontId="4" fillId="3" borderId="9" xfId="0" applyNumberFormat="1" applyFont="1" applyFill="1" applyBorder="1"/>
    <xf numFmtId="184" fontId="4" fillId="5" borderId="9" xfId="0" applyNumberFormat="1" applyFont="1" applyFill="1" applyBorder="1" applyAlignment="1">
      <alignment horizontal="center"/>
    </xf>
    <xf numFmtId="3" fontId="4" fillId="0" borderId="0" xfId="0" applyNumberFormat="1" applyFont="1"/>
    <xf numFmtId="0" fontId="4" fillId="3" borderId="10" xfId="0" applyFont="1" applyFill="1" applyBorder="1" applyAlignment="1">
      <alignment horizontal="left" vertical="center"/>
    </xf>
    <xf numFmtId="0" fontId="6" fillId="3" borderId="0" xfId="0" applyFont="1" applyFill="1" applyBorder="1" applyAlignment="1">
      <alignment horizontal="left" vertical="center"/>
    </xf>
    <xf numFmtId="3" fontId="6" fillId="5" borderId="9" xfId="0" applyNumberFormat="1" applyFont="1" applyFill="1" applyBorder="1" applyAlignment="1">
      <alignment vertical="center"/>
    </xf>
    <xf numFmtId="3" fontId="6" fillId="3" borderId="9" xfId="0" applyNumberFormat="1" applyFont="1" applyFill="1" applyBorder="1" applyAlignment="1">
      <alignment vertical="center"/>
    </xf>
    <xf numFmtId="184" fontId="6" fillId="5" borderId="9" xfId="0" applyNumberFormat="1" applyFont="1" applyFill="1" applyBorder="1" applyAlignment="1">
      <alignment horizontal="center" vertical="center"/>
    </xf>
    <xf numFmtId="0" fontId="5" fillId="0" borderId="0" xfId="0" applyFont="1" applyFill="1" applyBorder="1" applyAlignment="1">
      <alignment vertical="top"/>
    </xf>
    <xf numFmtId="3" fontId="2" fillId="0" borderId="0" xfId="0" applyNumberFormat="1" applyFont="1"/>
    <xf numFmtId="0" fontId="2" fillId="0" borderId="0" xfId="0" applyFont="1" applyAlignment="1">
      <alignment horizontal="right"/>
    </xf>
    <xf numFmtId="3" fontId="4" fillId="3" borderId="1" xfId="0" applyNumberFormat="1" applyFont="1" applyFill="1" applyBorder="1" applyAlignment="1">
      <alignment horizontal="right"/>
    </xf>
    <xf numFmtId="3" fontId="4" fillId="3" borderId="0" xfId="0" applyNumberFormat="1" applyFont="1" applyFill="1" applyBorder="1" applyAlignment="1">
      <alignment horizontal="center"/>
    </xf>
    <xf numFmtId="3" fontId="4" fillId="5" borderId="0" xfId="0" applyNumberFormat="1" applyFont="1" applyFill="1" applyBorder="1" applyAlignment="1">
      <alignment horizontal="center"/>
    </xf>
    <xf numFmtId="3" fontId="4" fillId="3" borderId="0" xfId="0" applyNumberFormat="1" applyFont="1" applyFill="1" applyBorder="1" applyAlignment="1">
      <alignment horizontal="right"/>
    </xf>
    <xf numFmtId="3" fontId="4" fillId="5" borderId="2" xfId="0" applyNumberFormat="1" applyFont="1" applyFill="1" applyBorder="1" applyAlignment="1">
      <alignment horizontal="center" vertical="top"/>
    </xf>
    <xf numFmtId="3" fontId="4" fillId="3" borderId="2" xfId="0" applyNumberFormat="1" applyFont="1" applyFill="1" applyBorder="1" applyAlignment="1">
      <alignment horizontal="center" vertical="top"/>
    </xf>
    <xf numFmtId="3" fontId="4" fillId="3" borderId="2" xfId="0" applyNumberFormat="1" applyFont="1" applyFill="1" applyBorder="1" applyAlignment="1">
      <alignment horizontal="right" vertical="top"/>
    </xf>
    <xf numFmtId="3" fontId="4" fillId="3" borderId="3" xfId="0" applyNumberFormat="1" applyFont="1" applyFill="1" applyBorder="1"/>
    <xf numFmtId="3" fontId="6" fillId="5" borderId="3" xfId="0" applyNumberFormat="1" applyFont="1" applyFill="1" applyBorder="1" applyAlignment="1">
      <alignment vertical="center"/>
    </xf>
    <xf numFmtId="3" fontId="6" fillId="3" borderId="3" xfId="0" applyNumberFormat="1" applyFont="1" applyFill="1" applyBorder="1" applyAlignment="1">
      <alignment vertical="center"/>
    </xf>
    <xf numFmtId="184" fontId="6" fillId="3" borderId="10" xfId="0" applyNumberFormat="1" applyFont="1" applyFill="1" applyBorder="1" applyAlignment="1">
      <alignment horizontal="right" vertical="center"/>
    </xf>
    <xf numFmtId="0" fontId="9" fillId="0" borderId="0" xfId="0" applyFont="1" applyAlignment="1">
      <alignment vertical="center"/>
    </xf>
    <xf numFmtId="3" fontId="6" fillId="0" borderId="0" xfId="0" applyNumberFormat="1" applyFont="1" applyAlignment="1">
      <alignment vertical="center"/>
    </xf>
    <xf numFmtId="3" fontId="5" fillId="0" borderId="11" xfId="0" applyNumberFormat="1" applyFont="1" applyBorder="1"/>
    <xf numFmtId="3" fontId="5" fillId="0" borderId="0" xfId="0" applyNumberFormat="1" applyFont="1" applyBorder="1"/>
    <xf numFmtId="0" fontId="2" fillId="0" borderId="0" xfId="0" applyFont="1" applyAlignment="1">
      <alignment horizontal="center"/>
    </xf>
    <xf numFmtId="0" fontId="4" fillId="3" borderId="1" xfId="0" applyFont="1" applyFill="1" applyBorder="1" applyAlignment="1">
      <alignment horizontal="center"/>
    </xf>
    <xf numFmtId="184" fontId="4" fillId="3" borderId="9" xfId="0" applyNumberFormat="1" applyFont="1" applyFill="1" applyBorder="1" applyAlignment="1">
      <alignment horizontal="center"/>
    </xf>
    <xf numFmtId="184" fontId="6" fillId="3" borderId="9" xfId="0" applyNumberFormat="1" applyFont="1" applyFill="1" applyBorder="1" applyAlignment="1">
      <alignment horizontal="center" vertical="center"/>
    </xf>
    <xf numFmtId="0" fontId="5" fillId="0" borderId="11" xfId="0" applyFont="1" applyBorder="1" applyAlignment="1">
      <alignment horizontal="center"/>
    </xf>
    <xf numFmtId="0" fontId="5" fillId="0" borderId="0" xfId="0" applyFont="1" applyBorder="1" applyAlignment="1">
      <alignment horizontal="center"/>
    </xf>
    <xf numFmtId="0" fontId="5" fillId="7" borderId="0" xfId="0" applyFont="1" applyFill="1" applyBorder="1" applyProtection="1"/>
    <xf numFmtId="3" fontId="2" fillId="0" borderId="0" xfId="0" applyNumberFormat="1" applyFont="1" applyAlignment="1">
      <alignment horizontal="right"/>
    </xf>
    <xf numFmtId="0" fontId="3" fillId="7" borderId="0" xfId="0" applyFont="1" applyFill="1" applyAlignment="1">
      <alignment horizontal="right" vertical="top"/>
    </xf>
    <xf numFmtId="3" fontId="6" fillId="5" borderId="10" xfId="0" applyNumberFormat="1" applyFont="1" applyFill="1" applyBorder="1" applyAlignment="1">
      <alignment horizontal="right" vertical="center"/>
    </xf>
    <xf numFmtId="0" fontId="9" fillId="0" borderId="0" xfId="0" applyFont="1"/>
    <xf numFmtId="1" fontId="9" fillId="0" borderId="0" xfId="0" applyNumberFormat="1" applyFont="1"/>
    <xf numFmtId="0" fontId="3" fillId="7" borderId="0" xfId="0" applyFont="1" applyFill="1" applyAlignment="1">
      <alignment vertical="center"/>
    </xf>
    <xf numFmtId="3" fontId="4" fillId="3" borderId="10" xfId="0" applyNumberFormat="1" applyFont="1" applyFill="1" applyBorder="1"/>
    <xf numFmtId="3" fontId="6" fillId="5" borderId="10" xfId="0" applyNumberFormat="1" applyFont="1" applyFill="1" applyBorder="1" applyAlignment="1">
      <alignment vertical="center"/>
    </xf>
    <xf numFmtId="3" fontId="6" fillId="3" borderId="10" xfId="0" applyNumberFormat="1" applyFont="1" applyFill="1" applyBorder="1" applyAlignment="1">
      <alignment vertical="center"/>
    </xf>
    <xf numFmtId="3" fontId="4" fillId="3" borderId="3" xfId="0" applyNumberFormat="1" applyFont="1" applyFill="1" applyBorder="1" applyAlignment="1">
      <alignment horizontal="right"/>
    </xf>
    <xf numFmtId="3" fontId="6" fillId="5" borderId="3" xfId="0" applyNumberFormat="1" applyFont="1" applyFill="1" applyBorder="1" applyAlignment="1">
      <alignment horizontal="right" vertical="center"/>
    </xf>
    <xf numFmtId="3" fontId="6" fillId="3" borderId="3" xfId="0" applyNumberFormat="1" applyFont="1" applyFill="1" applyBorder="1" applyAlignment="1">
      <alignment horizontal="right" vertical="center"/>
    </xf>
    <xf numFmtId="3" fontId="4" fillId="3" borderId="10" xfId="0" applyNumberFormat="1" applyFont="1" applyFill="1" applyBorder="1" applyAlignment="1">
      <alignment horizontal="right"/>
    </xf>
    <xf numFmtId="3" fontId="6" fillId="3" borderId="10" xfId="0" applyNumberFormat="1" applyFont="1" applyFill="1" applyBorder="1" applyAlignment="1">
      <alignment horizontal="right" vertical="center"/>
    </xf>
    <xf numFmtId="0" fontId="0" fillId="0" borderId="0" xfId="0" applyBorder="1"/>
    <xf numFmtId="0" fontId="5" fillId="0" borderId="0" xfId="0" applyFont="1" applyFill="1" applyBorder="1"/>
    <xf numFmtId="3" fontId="5" fillId="0" borderId="0" xfId="0" applyNumberFormat="1" applyFont="1" applyFill="1" applyBorder="1" applyAlignment="1">
      <alignment horizontal="right"/>
    </xf>
    <xf numFmtId="0" fontId="0" fillId="0" borderId="2" xfId="0" applyBorder="1" applyAlignment="1">
      <alignment wrapText="1"/>
    </xf>
    <xf numFmtId="0" fontId="0" fillId="0" borderId="0" xfId="0" applyAlignment="1">
      <alignment wrapText="1"/>
    </xf>
    <xf numFmtId="0" fontId="3" fillId="0" borderId="0" xfId="0" applyFont="1" applyFill="1" applyAlignment="1">
      <alignment vertical="top"/>
    </xf>
    <xf numFmtId="1" fontId="5" fillId="3" borderId="9" xfId="0" applyNumberFormat="1" applyFont="1" applyFill="1" applyBorder="1" applyAlignment="1">
      <alignment horizontal="center" vertical="center"/>
    </xf>
    <xf numFmtId="0" fontId="5" fillId="3" borderId="9" xfId="0" applyFont="1" applyFill="1" applyBorder="1" applyAlignment="1">
      <alignment horizontal="left" vertical="center"/>
    </xf>
    <xf numFmtId="3" fontId="5" fillId="5" borderId="3" xfId="0" applyNumberFormat="1" applyFont="1" applyFill="1" applyBorder="1" applyAlignment="1">
      <alignment horizontal="center" vertical="center"/>
    </xf>
    <xf numFmtId="183" fontId="5" fillId="3" borderId="9" xfId="0" applyNumberFormat="1" applyFont="1" applyFill="1" applyBorder="1" applyAlignment="1">
      <alignment horizontal="right" vertical="center"/>
    </xf>
    <xf numFmtId="183" fontId="5" fillId="5" borderId="9" xfId="0" applyNumberFormat="1" applyFont="1" applyFill="1" applyBorder="1" applyAlignment="1">
      <alignment horizontal="right" vertical="center"/>
    </xf>
    <xf numFmtId="183" fontId="5" fillId="5" borderId="9" xfId="0" applyNumberFormat="1" applyFont="1" applyFill="1" applyBorder="1" applyAlignment="1">
      <alignment vertical="center"/>
    </xf>
    <xf numFmtId="1" fontId="5" fillId="3" borderId="10" xfId="0" applyNumberFormat="1" applyFont="1" applyFill="1" applyBorder="1" applyAlignment="1">
      <alignment horizontal="center" vertical="center"/>
    </xf>
    <xf numFmtId="0" fontId="5" fillId="3" borderId="10" xfId="0" applyFont="1" applyFill="1" applyBorder="1" applyAlignment="1">
      <alignment horizontal="left" vertical="center"/>
    </xf>
    <xf numFmtId="3" fontId="5" fillId="5" borderId="10" xfId="0" applyNumberFormat="1" applyFont="1" applyFill="1" applyBorder="1" applyAlignment="1">
      <alignment horizontal="center" vertical="center"/>
    </xf>
    <xf numFmtId="183" fontId="5" fillId="3" borderId="10" xfId="0" applyNumberFormat="1" applyFont="1" applyFill="1" applyBorder="1" applyAlignment="1">
      <alignment horizontal="right" vertical="center"/>
    </xf>
    <xf numFmtId="183" fontId="5" fillId="5" borderId="10" xfId="0" applyNumberFormat="1" applyFont="1" applyFill="1" applyBorder="1" applyAlignment="1">
      <alignment horizontal="right" vertical="center"/>
    </xf>
    <xf numFmtId="183" fontId="5" fillId="5" borderId="10" xfId="0" applyNumberFormat="1" applyFont="1" applyFill="1" applyBorder="1" applyAlignment="1">
      <alignment vertical="center"/>
    </xf>
    <xf numFmtId="1" fontId="5" fillId="3" borderId="12" xfId="0" applyNumberFormat="1" applyFont="1" applyFill="1" applyBorder="1" applyAlignment="1">
      <alignment horizontal="center" vertical="center"/>
    </xf>
    <xf numFmtId="0" fontId="5" fillId="3" borderId="12" xfId="0" applyFont="1" applyFill="1" applyBorder="1" applyAlignment="1">
      <alignment horizontal="left" vertical="center"/>
    </xf>
    <xf numFmtId="3" fontId="5" fillId="5" borderId="12" xfId="0" applyNumberFormat="1" applyFont="1" applyFill="1" applyBorder="1" applyAlignment="1">
      <alignment horizontal="center" vertical="center"/>
    </xf>
    <xf numFmtId="183" fontId="5" fillId="3" borderId="12" xfId="0" applyNumberFormat="1" applyFont="1" applyFill="1" applyBorder="1" applyAlignment="1">
      <alignment horizontal="right" vertical="center"/>
    </xf>
    <xf numFmtId="183" fontId="5" fillId="5" borderId="12" xfId="0" applyNumberFormat="1" applyFont="1" applyFill="1" applyBorder="1" applyAlignment="1">
      <alignment horizontal="right" vertical="center"/>
    </xf>
    <xf numFmtId="183" fontId="5" fillId="5" borderId="12" xfId="0" applyNumberFormat="1" applyFont="1" applyFill="1" applyBorder="1" applyAlignment="1">
      <alignment vertical="center"/>
    </xf>
    <xf numFmtId="0" fontId="5" fillId="3" borderId="3" xfId="0" applyFont="1" applyFill="1" applyBorder="1" applyAlignment="1">
      <alignment horizontal="left" vertical="center"/>
    </xf>
    <xf numFmtId="183" fontId="5" fillId="3" borderId="3" xfId="0" applyNumberFormat="1" applyFont="1" applyFill="1" applyBorder="1" applyAlignment="1">
      <alignment horizontal="right" vertical="center"/>
    </xf>
    <xf numFmtId="183" fontId="5" fillId="5" borderId="3" xfId="0" applyNumberFormat="1" applyFont="1" applyFill="1" applyBorder="1" applyAlignment="1">
      <alignment horizontal="right" vertical="center"/>
    </xf>
    <xf numFmtId="183" fontId="5" fillId="5" borderId="3" xfId="0" applyNumberFormat="1" applyFont="1" applyFill="1" applyBorder="1" applyAlignment="1">
      <alignment vertical="center"/>
    </xf>
    <xf numFmtId="1" fontId="9" fillId="3" borderId="4" xfId="0" applyNumberFormat="1" applyFont="1" applyFill="1" applyBorder="1" applyAlignment="1">
      <alignment horizontal="right" vertical="center"/>
    </xf>
    <xf numFmtId="0" fontId="9" fillId="3" borderId="4" xfId="0" applyFont="1" applyFill="1" applyBorder="1" applyAlignment="1">
      <alignment horizontal="left" vertical="center"/>
    </xf>
    <xf numFmtId="3" fontId="9" fillId="5" borderId="4" xfId="0" applyNumberFormat="1" applyFont="1" applyFill="1" applyBorder="1" applyAlignment="1">
      <alignment horizontal="center" vertical="center"/>
    </xf>
    <xf numFmtId="183" fontId="9" fillId="3" borderId="4" xfId="0" applyNumberFormat="1" applyFont="1" applyFill="1" applyBorder="1" applyAlignment="1">
      <alignment horizontal="right" vertical="center"/>
    </xf>
    <xf numFmtId="183" fontId="9" fillId="5" borderId="4" xfId="0" applyNumberFormat="1" applyFont="1" applyFill="1" applyBorder="1" applyAlignment="1">
      <alignment horizontal="right" vertical="center"/>
    </xf>
    <xf numFmtId="183" fontId="9" fillId="5" borderId="4" xfId="0" applyNumberFormat="1" applyFont="1" applyFill="1" applyBorder="1" applyAlignment="1">
      <alignment vertical="center"/>
    </xf>
    <xf numFmtId="3" fontId="5" fillId="0" borderId="10" xfId="0" applyNumberFormat="1" applyFont="1" applyFill="1" applyBorder="1" applyAlignment="1">
      <alignment horizontal="center"/>
    </xf>
    <xf numFmtId="183" fontId="5" fillId="0" borderId="10" xfId="0" applyNumberFormat="1" applyFont="1" applyFill="1" applyBorder="1" applyAlignment="1">
      <alignment horizontal="right"/>
    </xf>
    <xf numFmtId="184" fontId="5" fillId="0" borderId="10" xfId="0" applyNumberFormat="1" applyFont="1" applyFill="1" applyBorder="1" applyAlignment="1">
      <alignment horizontal="right"/>
    </xf>
    <xf numFmtId="3" fontId="5" fillId="0" borderId="10" xfId="0" applyNumberFormat="1" applyFont="1" applyFill="1" applyBorder="1" applyAlignment="1">
      <alignment horizontal="left"/>
    </xf>
    <xf numFmtId="184" fontId="5" fillId="0" borderId="10" xfId="0" applyNumberFormat="1" applyFont="1" applyFill="1" applyBorder="1" applyAlignment="1"/>
    <xf numFmtId="0" fontId="2" fillId="0" borderId="0" xfId="0" applyNumberFormat="1" applyFont="1" applyAlignment="1">
      <alignment horizontal="center"/>
    </xf>
    <xf numFmtId="0" fontId="3" fillId="0" borderId="0" xfId="0" applyNumberFormat="1" applyFont="1" applyAlignment="1">
      <alignment horizontal="right"/>
    </xf>
    <xf numFmtId="0" fontId="19" fillId="5" borderId="0" xfId="0" applyFont="1" applyFill="1" applyBorder="1" applyAlignment="1">
      <alignment horizontal="center"/>
    </xf>
    <xf numFmtId="3" fontId="5" fillId="5" borderId="3" xfId="0" applyNumberFormat="1" applyFont="1" applyFill="1" applyBorder="1" applyAlignment="1">
      <alignment vertical="center"/>
    </xf>
    <xf numFmtId="3" fontId="5" fillId="3" borderId="3" xfId="0" applyNumberFormat="1" applyFont="1" applyFill="1" applyBorder="1" applyAlignment="1">
      <alignment horizontal="right" vertical="center"/>
    </xf>
    <xf numFmtId="184" fontId="5" fillId="3" borderId="3" xfId="0" applyNumberFormat="1" applyFont="1" applyFill="1" applyBorder="1" applyAlignment="1">
      <alignment horizontal="right" vertical="center"/>
    </xf>
    <xf numFmtId="3" fontId="5" fillId="5" borderId="3" xfId="0" applyNumberFormat="1" applyFont="1" applyFill="1" applyBorder="1" applyAlignment="1">
      <alignment horizontal="right" vertical="center"/>
    </xf>
    <xf numFmtId="184" fontId="5" fillId="3" borderId="3" xfId="0" applyNumberFormat="1" applyFont="1" applyFill="1" applyBorder="1" applyAlignment="1">
      <alignment vertical="center"/>
    </xf>
    <xf numFmtId="1" fontId="9" fillId="3" borderId="4" xfId="0" applyNumberFormat="1" applyFont="1" applyFill="1" applyBorder="1" applyAlignment="1">
      <alignment horizontal="center" vertical="center"/>
    </xf>
    <xf numFmtId="3" fontId="9" fillId="5" borderId="4" xfId="0" applyNumberFormat="1" applyFont="1" applyFill="1" applyBorder="1" applyAlignment="1">
      <alignment vertical="center"/>
    </xf>
    <xf numFmtId="3" fontId="9" fillId="3" borderId="4" xfId="0" applyNumberFormat="1" applyFont="1" applyFill="1" applyBorder="1" applyAlignment="1">
      <alignment horizontal="right" vertical="center"/>
    </xf>
    <xf numFmtId="184" fontId="9" fillId="3" borderId="4" xfId="0" quotePrefix="1" applyNumberFormat="1" applyFont="1" applyFill="1" applyBorder="1" applyAlignment="1">
      <alignment horizontal="right" vertical="center"/>
    </xf>
    <xf numFmtId="3" fontId="9" fillId="5" borderId="4" xfId="0" applyNumberFormat="1" applyFont="1" applyFill="1" applyBorder="1" applyAlignment="1">
      <alignment horizontal="right" vertical="center"/>
    </xf>
    <xf numFmtId="184" fontId="9" fillId="3" borderId="4" xfId="0" applyNumberFormat="1" applyFont="1" applyFill="1" applyBorder="1" applyAlignment="1">
      <alignment vertical="center"/>
    </xf>
    <xf numFmtId="184" fontId="9" fillId="3" borderId="4" xfId="0" applyNumberFormat="1" applyFont="1" applyFill="1" applyBorder="1" applyAlignment="1">
      <alignment horizontal="right" vertical="center"/>
    </xf>
    <xf numFmtId="3" fontId="5" fillId="0" borderId="10" xfId="0" applyNumberFormat="1" applyFont="1" applyFill="1" applyBorder="1" applyAlignment="1"/>
    <xf numFmtId="3" fontId="5" fillId="0" borderId="10" xfId="0" applyNumberFormat="1" applyFont="1" applyFill="1" applyBorder="1" applyAlignment="1">
      <alignment horizontal="right"/>
    </xf>
    <xf numFmtId="0" fontId="5" fillId="0" borderId="0" xfId="0" applyNumberFormat="1" applyFont="1" applyAlignment="1">
      <alignment horizontal="center"/>
    </xf>
    <xf numFmtId="0" fontId="3" fillId="0" borderId="0" xfId="9" applyFont="1"/>
    <xf numFmtId="0" fontId="39" fillId="0" borderId="0" xfId="9"/>
    <xf numFmtId="2" fontId="19" fillId="0" borderId="0" xfId="9" applyNumberFormat="1" applyFont="1"/>
    <xf numFmtId="0" fontId="19" fillId="0" borderId="0" xfId="9" applyFont="1" applyAlignment="1"/>
    <xf numFmtId="0" fontId="19" fillId="0" borderId="0" xfId="9" applyFont="1"/>
    <xf numFmtId="0" fontId="19" fillId="0" borderId="0" xfId="9" applyFont="1" applyFill="1" applyBorder="1"/>
    <xf numFmtId="0" fontId="25" fillId="0" borderId="0" xfId="8" applyFont="1"/>
    <xf numFmtId="0" fontId="39" fillId="0" borderId="0" xfId="8"/>
    <xf numFmtId="0" fontId="3" fillId="0" borderId="0" xfId="8" applyFont="1"/>
    <xf numFmtId="0" fontId="5" fillId="0" borderId="0" xfId="8" applyFont="1"/>
    <xf numFmtId="0" fontId="5" fillId="0" borderId="0" xfId="8" applyFont="1" applyAlignment="1"/>
    <xf numFmtId="0" fontId="19" fillId="0" borderId="0" xfId="8" applyFont="1"/>
    <xf numFmtId="0" fontId="25" fillId="0" borderId="0" xfId="7" applyFont="1"/>
    <xf numFmtId="0" fontId="39" fillId="0" borderId="0" xfId="7"/>
    <xf numFmtId="0" fontId="3" fillId="0" borderId="0" xfId="7" applyFont="1"/>
    <xf numFmtId="0" fontId="5" fillId="0" borderId="0" xfId="7" applyFont="1" applyAlignment="1"/>
    <xf numFmtId="0" fontId="19" fillId="0" borderId="0" xfId="7" applyFont="1"/>
    <xf numFmtId="3" fontId="3" fillId="0" borderId="0" xfId="0" applyNumberFormat="1" applyFont="1"/>
    <xf numFmtId="3" fontId="6" fillId="5" borderId="1" xfId="0" applyNumberFormat="1" applyFont="1" applyFill="1" applyBorder="1" applyAlignment="1">
      <alignment horizontal="right"/>
    </xf>
    <xf numFmtId="0" fontId="4" fillId="3" borderId="2" xfId="0" applyFont="1" applyFill="1" applyBorder="1" applyAlignment="1">
      <alignment horizontal="left"/>
    </xf>
    <xf numFmtId="0" fontId="4" fillId="3" borderId="2" xfId="0" applyFont="1" applyFill="1" applyBorder="1" applyAlignment="1">
      <alignment horizontal="center"/>
    </xf>
    <xf numFmtId="3" fontId="6" fillId="5" borderId="2" xfId="0" applyNumberFormat="1" applyFont="1" applyFill="1" applyBorder="1" applyAlignment="1">
      <alignment horizontal="right" vertical="top"/>
    </xf>
    <xf numFmtId="0" fontId="4" fillId="3" borderId="9" xfId="0" applyFont="1" applyFill="1" applyBorder="1" applyAlignment="1">
      <alignment horizontal="left" vertical="center"/>
    </xf>
    <xf numFmtId="3" fontId="4" fillId="5" borderId="3" xfId="0" applyNumberFormat="1" applyFont="1" applyFill="1" applyBorder="1" applyAlignment="1">
      <alignment horizontal="right" vertical="center"/>
    </xf>
    <xf numFmtId="3" fontId="4" fillId="3" borderId="3" xfId="0" applyNumberFormat="1" applyFont="1" applyFill="1" applyBorder="1" applyAlignment="1">
      <alignment horizontal="right" vertical="center"/>
    </xf>
    <xf numFmtId="0" fontId="4" fillId="3" borderId="0" xfId="0" applyFont="1" applyFill="1" applyBorder="1" applyAlignment="1">
      <alignment horizontal="left" vertical="center"/>
    </xf>
    <xf numFmtId="3" fontId="9" fillId="0" borderId="11" xfId="0" applyNumberFormat="1" applyFont="1" applyBorder="1"/>
    <xf numFmtId="3" fontId="9" fillId="0" borderId="0" xfId="0" applyNumberFormat="1" applyFont="1" applyBorder="1"/>
    <xf numFmtId="3" fontId="9" fillId="0" borderId="0" xfId="0" applyNumberFormat="1" applyFont="1"/>
    <xf numFmtId="0" fontId="6" fillId="3" borderId="1" xfId="0" applyFont="1" applyFill="1" applyBorder="1" applyAlignment="1">
      <alignment horizontal="left"/>
    </xf>
    <xf numFmtId="3" fontId="4" fillId="5" borderId="10" xfId="0" applyNumberFormat="1" applyFont="1" applyFill="1" applyBorder="1" applyAlignment="1">
      <alignment horizontal="right" vertical="center"/>
    </xf>
    <xf numFmtId="3" fontId="4" fillId="3" borderId="10" xfId="0" applyNumberFormat="1" applyFont="1" applyFill="1" applyBorder="1" applyAlignment="1">
      <alignment horizontal="right" vertical="center"/>
    </xf>
    <xf numFmtId="3" fontId="6" fillId="5" borderId="3" xfId="0" applyNumberFormat="1" applyFont="1" applyFill="1" applyBorder="1" applyAlignment="1">
      <alignment horizontal="right"/>
    </xf>
    <xf numFmtId="184" fontId="2" fillId="0" borderId="0" xfId="0" applyNumberFormat="1" applyFont="1" applyAlignment="1">
      <alignment horizontal="center"/>
    </xf>
    <xf numFmtId="0" fontId="6" fillId="5" borderId="1" xfId="0" applyFont="1" applyFill="1" applyBorder="1" applyAlignment="1">
      <alignment horizontal="right"/>
    </xf>
    <xf numFmtId="184" fontId="4" fillId="3" borderId="1" xfId="0" applyNumberFormat="1" applyFont="1" applyFill="1" applyBorder="1" applyAlignment="1">
      <alignment horizontal="center"/>
    </xf>
    <xf numFmtId="0" fontId="6" fillId="5" borderId="0" xfId="0" applyFont="1" applyFill="1" applyBorder="1" applyAlignment="1">
      <alignment horizontal="right"/>
    </xf>
    <xf numFmtId="184" fontId="4" fillId="3" borderId="0" xfId="0" applyNumberFormat="1" applyFont="1" applyFill="1" applyBorder="1" applyAlignment="1">
      <alignment horizontal="center"/>
    </xf>
    <xf numFmtId="0" fontId="6" fillId="5" borderId="2" xfId="0" applyFont="1" applyFill="1" applyBorder="1" applyAlignment="1">
      <alignment horizontal="right" vertical="top"/>
    </xf>
    <xf numFmtId="184" fontId="4" fillId="3" borderId="2" xfId="0" applyNumberFormat="1" applyFont="1" applyFill="1" applyBorder="1" applyAlignment="1">
      <alignment horizontal="center" vertical="top"/>
    </xf>
    <xf numFmtId="0" fontId="4" fillId="0" borderId="0" xfId="0" applyFont="1" applyAlignment="1">
      <alignment horizontal="right"/>
    </xf>
    <xf numFmtId="0" fontId="6" fillId="3" borderId="9" xfId="0" quotePrefix="1" applyFont="1" applyFill="1" applyBorder="1" applyAlignment="1"/>
    <xf numFmtId="184" fontId="4" fillId="3" borderId="3" xfId="0" applyNumberFormat="1" applyFont="1" applyFill="1" applyBorder="1" applyAlignment="1">
      <alignment horizontal="center"/>
    </xf>
    <xf numFmtId="3" fontId="4" fillId="5" borderId="9" xfId="0" applyNumberFormat="1" applyFont="1" applyFill="1" applyBorder="1" applyAlignment="1">
      <alignment horizontal="right"/>
    </xf>
    <xf numFmtId="184" fontId="4" fillId="3" borderId="10" xfId="0" applyNumberFormat="1" applyFont="1" applyFill="1" applyBorder="1" applyAlignment="1">
      <alignment horizontal="center"/>
    </xf>
    <xf numFmtId="3" fontId="4" fillId="3" borderId="10" xfId="0" applyNumberFormat="1" applyFont="1" applyFill="1" applyBorder="1" applyAlignment="1"/>
    <xf numFmtId="0" fontId="6" fillId="3" borderId="10" xfId="0" quotePrefix="1" applyFont="1" applyFill="1" applyBorder="1" applyAlignment="1"/>
    <xf numFmtId="3" fontId="4" fillId="3" borderId="10" xfId="0" applyNumberFormat="1" applyFont="1" applyFill="1" applyBorder="1" applyAlignment="1">
      <alignment vertical="center"/>
    </xf>
    <xf numFmtId="0" fontId="4" fillId="3" borderId="0" xfId="0" quotePrefix="1" applyFont="1" applyFill="1" applyBorder="1" applyAlignment="1">
      <alignment vertical="center"/>
    </xf>
    <xf numFmtId="184" fontId="4" fillId="3" borderId="10" xfId="0" applyNumberFormat="1" applyFont="1" applyFill="1" applyBorder="1" applyAlignment="1">
      <alignment horizontal="center" vertical="center"/>
    </xf>
    <xf numFmtId="3" fontId="4" fillId="5" borderId="0" xfId="0" applyNumberFormat="1" applyFont="1" applyFill="1" applyBorder="1" applyAlignment="1">
      <alignment horizontal="right" vertical="center"/>
    </xf>
    <xf numFmtId="0" fontId="9" fillId="0" borderId="11" xfId="0" applyFont="1" applyBorder="1"/>
    <xf numFmtId="184" fontId="5" fillId="0" borderId="11" xfId="0" applyNumberFormat="1" applyFont="1" applyBorder="1" applyAlignment="1">
      <alignment horizontal="center"/>
    </xf>
    <xf numFmtId="0" fontId="9" fillId="0" borderId="0" xfId="0" applyFont="1" applyBorder="1"/>
    <xf numFmtId="184" fontId="5" fillId="0" borderId="0" xfId="0" applyNumberFormat="1" applyFont="1" applyBorder="1" applyAlignment="1">
      <alignment horizontal="center"/>
    </xf>
    <xf numFmtId="184" fontId="5" fillId="0" borderId="0" xfId="0" applyNumberFormat="1" applyFont="1" applyAlignment="1">
      <alignment horizontal="center"/>
    </xf>
    <xf numFmtId="0" fontId="3" fillId="0" borderId="0" xfId="0" applyFont="1" applyBorder="1" applyAlignment="1">
      <alignment vertical="top" wrapText="1"/>
    </xf>
    <xf numFmtId="3" fontId="5" fillId="0" borderId="0" xfId="0" applyNumberFormat="1" applyFont="1" applyFill="1" applyAlignment="1">
      <alignment horizontal="center"/>
    </xf>
    <xf numFmtId="3" fontId="5" fillId="0" borderId="0" xfId="0" applyNumberFormat="1" applyFont="1" applyFill="1"/>
    <xf numFmtId="0" fontId="5" fillId="0" borderId="0" xfId="0" quotePrefix="1" applyFont="1" applyFill="1" applyAlignment="1">
      <alignment horizontal="center"/>
    </xf>
    <xf numFmtId="0" fontId="19" fillId="7" borderId="0" xfId="0" applyFont="1" applyFill="1" applyBorder="1"/>
    <xf numFmtId="0" fontId="30" fillId="7" borderId="0" xfId="0" applyFont="1" applyFill="1" applyBorder="1"/>
    <xf numFmtId="0" fontId="4" fillId="3" borderId="4" xfId="0" applyFont="1" applyFill="1" applyBorder="1" applyAlignment="1">
      <alignment horizontal="left" vertical="center"/>
    </xf>
    <xf numFmtId="3" fontId="4" fillId="5" borderId="4" xfId="0" applyNumberFormat="1" applyFont="1" applyFill="1" applyBorder="1" applyAlignment="1">
      <alignment horizontal="right"/>
    </xf>
    <xf numFmtId="3" fontId="4" fillId="3" borderId="4" xfId="0" applyNumberFormat="1" applyFont="1" applyFill="1" applyBorder="1" applyAlignment="1">
      <alignment horizontal="right"/>
    </xf>
    <xf numFmtId="3" fontId="6" fillId="5" borderId="4" xfId="0" applyNumberFormat="1" applyFont="1" applyFill="1" applyBorder="1" applyAlignment="1">
      <alignment horizontal="right"/>
    </xf>
    <xf numFmtId="0" fontId="4" fillId="0" borderId="0" xfId="0" applyFont="1" applyFill="1" applyBorder="1" applyAlignment="1">
      <alignment horizontal="left" vertical="center"/>
    </xf>
    <xf numFmtId="3" fontId="4" fillId="0" borderId="0" xfId="0" applyNumberFormat="1" applyFont="1" applyFill="1" applyBorder="1" applyAlignment="1">
      <alignment horizontal="right" vertical="center"/>
    </xf>
    <xf numFmtId="3" fontId="6" fillId="0" borderId="0" xfId="0" applyNumberFormat="1" applyFont="1" applyFill="1" applyBorder="1" applyAlignment="1">
      <alignment horizontal="right" vertical="center"/>
    </xf>
    <xf numFmtId="0" fontId="3" fillId="0" borderId="2" xfId="0" applyFont="1" applyBorder="1" applyAlignment="1">
      <alignment vertical="center"/>
    </xf>
    <xf numFmtId="0" fontId="0" fillId="0" borderId="2" xfId="0" applyBorder="1" applyAlignment="1">
      <alignment vertical="center"/>
    </xf>
    <xf numFmtId="0" fontId="4" fillId="3" borderId="3" xfId="0" applyFont="1" applyFill="1" applyBorder="1" applyAlignment="1">
      <alignment horizontal="left" vertical="center"/>
    </xf>
    <xf numFmtId="0" fontId="6" fillId="3" borderId="1" xfId="0" applyFont="1" applyFill="1" applyBorder="1" applyAlignment="1">
      <alignment horizontal="right"/>
    </xf>
    <xf numFmtId="0" fontId="4" fillId="5" borderId="1" xfId="0" applyFont="1" applyFill="1" applyBorder="1" applyAlignment="1">
      <alignment horizontal="center"/>
    </xf>
    <xf numFmtId="0" fontId="6" fillId="3" borderId="0" xfId="0" applyFont="1" applyFill="1" applyBorder="1" applyAlignment="1">
      <alignment horizontal="right"/>
    </xf>
    <xf numFmtId="0" fontId="41" fillId="5" borderId="0" xfId="0" applyFont="1" applyFill="1" applyBorder="1" applyAlignment="1">
      <alignment horizontal="center"/>
    </xf>
    <xf numFmtId="0" fontId="4" fillId="5" borderId="0" xfId="0" applyFont="1" applyFill="1" applyBorder="1" applyAlignment="1">
      <alignment horizontal="right" vertical="top"/>
    </xf>
    <xf numFmtId="0" fontId="6" fillId="3" borderId="2" xfId="0" applyFont="1" applyFill="1" applyBorder="1" applyAlignment="1">
      <alignment horizontal="right" vertical="top"/>
    </xf>
    <xf numFmtId="0" fontId="4" fillId="3" borderId="9" xfId="0" quotePrefix="1" applyFont="1" applyFill="1" applyBorder="1" applyAlignment="1">
      <alignment horizontal="left" vertical="center"/>
    </xf>
    <xf numFmtId="184" fontId="4" fillId="5" borderId="3" xfId="0" applyNumberFormat="1" applyFont="1" applyFill="1" applyBorder="1" applyAlignment="1">
      <alignment horizontal="center" vertical="center"/>
    </xf>
    <xf numFmtId="184" fontId="4" fillId="5" borderId="10" xfId="0" applyNumberFormat="1" applyFont="1" applyFill="1" applyBorder="1" applyAlignment="1">
      <alignment horizontal="center" vertical="center"/>
    </xf>
    <xf numFmtId="0" fontId="4" fillId="3" borderId="0" xfId="0" quotePrefix="1" applyFont="1" applyFill="1" applyBorder="1" applyAlignment="1">
      <alignment horizontal="left" vertical="center"/>
    </xf>
    <xf numFmtId="0" fontId="6" fillId="3" borderId="10" xfId="0" quotePrefix="1" applyFont="1" applyFill="1" applyBorder="1" applyAlignment="1">
      <alignment horizontal="left" vertical="center"/>
    </xf>
    <xf numFmtId="0" fontId="3" fillId="0" borderId="0" xfId="0" applyFont="1" applyFill="1" applyAlignment="1">
      <alignment horizontal="right" vertical="top"/>
    </xf>
    <xf numFmtId="3" fontId="4" fillId="5" borderId="1" xfId="0" applyNumberFormat="1" applyFont="1" applyFill="1" applyBorder="1" applyAlignment="1">
      <alignment horizontal="center"/>
    </xf>
    <xf numFmtId="0" fontId="44" fillId="3" borderId="9" xfId="0" applyFont="1" applyFill="1" applyBorder="1" applyAlignment="1">
      <alignment horizontal="left"/>
    </xf>
    <xf numFmtId="3" fontId="6" fillId="5" borderId="9" xfId="0" applyNumberFormat="1" applyFont="1" applyFill="1" applyBorder="1" applyAlignment="1">
      <alignment horizontal="left"/>
    </xf>
    <xf numFmtId="184" fontId="6" fillId="3" borderId="9" xfId="0" applyNumberFormat="1" applyFont="1" applyFill="1" applyBorder="1" applyAlignment="1">
      <alignment horizontal="center"/>
    </xf>
    <xf numFmtId="0" fontId="4" fillId="3" borderId="10" xfId="0" applyFont="1" applyFill="1" applyBorder="1" applyAlignment="1">
      <alignment horizontal="center"/>
    </xf>
    <xf numFmtId="3" fontId="4" fillId="3" borderId="9" xfId="0" applyNumberFormat="1" applyFont="1" applyFill="1" applyBorder="1" applyAlignment="1">
      <alignment horizontal="center"/>
    </xf>
    <xf numFmtId="0" fontId="4" fillId="3" borderId="10" xfId="0" applyFont="1" applyFill="1" applyBorder="1" applyAlignment="1">
      <alignment horizontal="left" wrapText="1"/>
    </xf>
    <xf numFmtId="3" fontId="28" fillId="5" borderId="10" xfId="0" applyNumberFormat="1" applyFont="1" applyFill="1" applyBorder="1" applyAlignment="1">
      <alignment horizontal="center" wrapText="1"/>
    </xf>
    <xf numFmtId="184" fontId="28" fillId="3" borderId="9" xfId="0" applyNumberFormat="1" applyFont="1" applyFill="1" applyBorder="1" applyAlignment="1">
      <alignment horizontal="center" wrapText="1"/>
    </xf>
    <xf numFmtId="0" fontId="44" fillId="3" borderId="10" xfId="0" applyFont="1" applyFill="1" applyBorder="1" applyAlignment="1">
      <alignment horizontal="left"/>
    </xf>
    <xf numFmtId="3" fontId="4" fillId="3" borderId="9" xfId="0" applyNumberFormat="1" applyFont="1" applyFill="1" applyBorder="1" applyAlignment="1">
      <alignment horizontal="right"/>
    </xf>
    <xf numFmtId="0" fontId="4" fillId="3" borderId="10" xfId="0" applyFont="1" applyFill="1" applyBorder="1" applyAlignment="1">
      <alignment horizontal="center" wrapText="1"/>
    </xf>
    <xf numFmtId="0" fontId="44" fillId="3" borderId="10" xfId="0" applyFont="1" applyFill="1" applyBorder="1" applyAlignment="1">
      <alignment horizontal="left" wrapText="1"/>
    </xf>
    <xf numFmtId="0" fontId="5" fillId="0" borderId="0" xfId="0" applyFont="1" applyAlignment="1">
      <alignment wrapText="1"/>
    </xf>
    <xf numFmtId="0" fontId="6" fillId="3" borderId="10" xfId="0" applyFont="1" applyFill="1" applyBorder="1" applyAlignment="1">
      <alignment horizontal="center"/>
    </xf>
    <xf numFmtId="0" fontId="6" fillId="3" borderId="10" xfId="0" applyFont="1" applyFill="1" applyBorder="1" applyAlignment="1">
      <alignment horizontal="left"/>
    </xf>
    <xf numFmtId="3" fontId="6" fillId="3" borderId="9" xfId="0" applyNumberFormat="1" applyFont="1" applyFill="1" applyBorder="1" applyAlignment="1">
      <alignment horizontal="right"/>
    </xf>
    <xf numFmtId="0" fontId="6" fillId="3" borderId="10" xfId="0" applyFont="1" applyFill="1" applyBorder="1" applyAlignment="1">
      <alignment horizontal="left" vertical="center"/>
    </xf>
    <xf numFmtId="0" fontId="6" fillId="3" borderId="10" xfId="0" applyFont="1" applyFill="1" applyBorder="1" applyAlignment="1">
      <alignment horizontal="left" vertical="center" wrapText="1"/>
    </xf>
    <xf numFmtId="0" fontId="4" fillId="5" borderId="0" xfId="0" applyFont="1" applyFill="1" applyBorder="1" applyAlignment="1">
      <alignment horizontal="left"/>
    </xf>
    <xf numFmtId="0" fontId="4" fillId="3" borderId="3" xfId="0" applyFont="1" applyFill="1" applyBorder="1" applyAlignment="1">
      <alignment horizontal="left"/>
    </xf>
    <xf numFmtId="3" fontId="6" fillId="5" borderId="0" xfId="0" applyNumberFormat="1" applyFont="1" applyFill="1" applyBorder="1" applyAlignment="1">
      <alignment horizontal="right" vertical="center"/>
    </xf>
    <xf numFmtId="3" fontId="6" fillId="3" borderId="0" xfId="0" applyNumberFormat="1" applyFont="1" applyFill="1" applyBorder="1" applyAlignment="1">
      <alignment horizontal="right" vertical="center"/>
    </xf>
    <xf numFmtId="0" fontId="5" fillId="7" borderId="0" xfId="0" applyFont="1" applyFill="1"/>
    <xf numFmtId="0" fontId="19" fillId="5" borderId="1" xfId="0" applyFont="1" applyFill="1" applyBorder="1" applyAlignment="1">
      <alignment horizontal="left"/>
    </xf>
    <xf numFmtId="0" fontId="19" fillId="3" borderId="1" xfId="0" applyFont="1" applyFill="1" applyBorder="1" applyAlignment="1">
      <alignment horizontal="right"/>
    </xf>
    <xf numFmtId="0" fontId="19" fillId="5" borderId="1" xfId="0" applyFont="1" applyFill="1" applyBorder="1" applyAlignment="1">
      <alignment horizontal="center"/>
    </xf>
    <xf numFmtId="184" fontId="19" fillId="5" borderId="1" xfId="0" applyNumberFormat="1" applyFont="1" applyFill="1" applyBorder="1" applyAlignment="1">
      <alignment horizontal="center"/>
    </xf>
    <xf numFmtId="0" fontId="19" fillId="3" borderId="0" xfId="0" applyFont="1" applyFill="1" applyBorder="1" applyAlignment="1">
      <alignment horizontal="center"/>
    </xf>
    <xf numFmtId="184" fontId="19" fillId="5" borderId="0" xfId="0" applyNumberFormat="1" applyFont="1" applyFill="1" applyBorder="1" applyAlignment="1">
      <alignment horizontal="center"/>
    </xf>
    <xf numFmtId="0" fontId="19" fillId="5" borderId="0" xfId="0" applyFont="1" applyFill="1" applyBorder="1" applyAlignment="1">
      <alignment horizontal="left"/>
    </xf>
    <xf numFmtId="0" fontId="19" fillId="3" borderId="0" xfId="0" applyFont="1" applyFill="1" applyBorder="1" applyAlignment="1">
      <alignment horizontal="right"/>
    </xf>
    <xf numFmtId="0" fontId="19" fillId="5" borderId="0" xfId="0" applyFont="1" applyFill="1" applyBorder="1" applyAlignment="1">
      <alignment horizontal="right"/>
    </xf>
    <xf numFmtId="0" fontId="4" fillId="5" borderId="2" xfId="0" applyFont="1" applyFill="1" applyBorder="1" applyAlignment="1">
      <alignment horizontal="left" vertical="top"/>
    </xf>
    <xf numFmtId="184" fontId="4" fillId="5" borderId="2" xfId="0" applyNumberFormat="1" applyFont="1" applyFill="1" applyBorder="1" applyAlignment="1">
      <alignment horizontal="center" vertical="top"/>
    </xf>
    <xf numFmtId="3" fontId="4" fillId="5" borderId="3" xfId="0" quotePrefix="1" applyNumberFormat="1" applyFont="1" applyFill="1" applyBorder="1" applyAlignment="1">
      <alignment horizontal="right"/>
    </xf>
    <xf numFmtId="184" fontId="4" fillId="5" borderId="3" xfId="0" applyNumberFormat="1" applyFont="1" applyFill="1" applyBorder="1" applyAlignment="1">
      <alignment horizontal="center"/>
    </xf>
    <xf numFmtId="3" fontId="4" fillId="5" borderId="10" xfId="0" quotePrefix="1" applyNumberFormat="1" applyFont="1" applyFill="1" applyBorder="1" applyAlignment="1">
      <alignment horizontal="right"/>
    </xf>
    <xf numFmtId="184" fontId="4" fillId="5" borderId="10" xfId="0" applyNumberFormat="1" applyFont="1" applyFill="1" applyBorder="1" applyAlignment="1">
      <alignment horizontal="center"/>
    </xf>
    <xf numFmtId="3" fontId="6" fillId="5" borderId="10" xfId="0" quotePrefix="1" applyNumberFormat="1" applyFont="1" applyFill="1" applyBorder="1" applyAlignment="1">
      <alignment horizontal="right" vertical="center"/>
    </xf>
    <xf numFmtId="184" fontId="6" fillId="5" borderId="10" xfId="0" applyNumberFormat="1" applyFont="1" applyFill="1" applyBorder="1" applyAlignment="1">
      <alignment horizontal="center" vertical="center"/>
    </xf>
    <xf numFmtId="0" fontId="5" fillId="0" borderId="0" xfId="0" applyFont="1" applyAlignment="1">
      <alignment vertical="center"/>
    </xf>
    <xf numFmtId="184" fontId="6" fillId="3" borderId="10" xfId="0" applyNumberFormat="1" applyFont="1" applyFill="1" applyBorder="1" applyAlignment="1">
      <alignment horizontal="center" vertical="center"/>
    </xf>
    <xf numFmtId="3" fontId="5" fillId="0" borderId="0" xfId="0" applyNumberFormat="1" applyFont="1" applyAlignment="1">
      <alignment vertical="center"/>
    </xf>
    <xf numFmtId="184" fontId="6" fillId="3" borderId="10" xfId="0" applyNumberFormat="1" applyFont="1" applyFill="1" applyBorder="1" applyAlignment="1">
      <alignment horizontal="center"/>
    </xf>
    <xf numFmtId="3" fontId="2" fillId="0" borderId="0" xfId="0" applyNumberFormat="1" applyFont="1" applyAlignment="1">
      <alignment horizontal="center"/>
    </xf>
    <xf numFmtId="3" fontId="4" fillId="3" borderId="1" xfId="0" applyNumberFormat="1" applyFont="1" applyFill="1" applyBorder="1" applyAlignment="1">
      <alignment horizontal="center"/>
    </xf>
    <xf numFmtId="0" fontId="4" fillId="3" borderId="10" xfId="0" applyFont="1" applyFill="1" applyBorder="1" applyAlignment="1">
      <alignment horizontal="left" vertical="center" wrapText="1"/>
    </xf>
    <xf numFmtId="184" fontId="4" fillId="3" borderId="3" xfId="0" applyNumberFormat="1" applyFont="1" applyFill="1" applyBorder="1" applyAlignment="1">
      <alignment horizontal="center" vertical="center"/>
    </xf>
    <xf numFmtId="184" fontId="6" fillId="3" borderId="3" xfId="0" applyNumberFormat="1" applyFont="1" applyFill="1" applyBorder="1" applyAlignment="1">
      <alignment horizontal="center"/>
    </xf>
    <xf numFmtId="183" fontId="4" fillId="3" borderId="10" xfId="0" applyNumberFormat="1" applyFont="1" applyFill="1" applyBorder="1" applyAlignment="1">
      <alignment horizontal="center" vertical="center"/>
    </xf>
    <xf numFmtId="183" fontId="4" fillId="3" borderId="0" xfId="0" applyNumberFormat="1" applyFont="1" applyFill="1" applyBorder="1" applyAlignment="1">
      <alignment horizontal="center" vertical="center"/>
    </xf>
    <xf numFmtId="3" fontId="5" fillId="0" borderId="11" xfId="0" applyNumberFormat="1" applyFont="1" applyBorder="1" applyAlignment="1">
      <alignment horizontal="center"/>
    </xf>
    <xf numFmtId="3" fontId="5" fillId="0" borderId="0" xfId="0" applyNumberFormat="1" applyFont="1" applyBorder="1" applyAlignment="1">
      <alignment horizontal="center"/>
    </xf>
    <xf numFmtId="3" fontId="5" fillId="0" borderId="0" xfId="0" applyNumberFormat="1" applyFont="1" applyAlignment="1">
      <alignment horizontal="center"/>
    </xf>
    <xf numFmtId="184" fontId="4" fillId="5" borderId="1" xfId="0" applyNumberFormat="1" applyFont="1" applyFill="1" applyBorder="1" applyAlignment="1">
      <alignment horizontal="center"/>
    </xf>
    <xf numFmtId="184" fontId="4" fillId="5" borderId="0" xfId="0" applyNumberFormat="1" applyFont="1" applyFill="1" applyBorder="1" applyAlignment="1">
      <alignment horizontal="center"/>
    </xf>
    <xf numFmtId="0" fontId="6" fillId="3" borderId="9" xfId="0" applyFont="1" applyFill="1" applyBorder="1" applyAlignment="1">
      <alignment horizontal="left"/>
    </xf>
    <xf numFmtId="0" fontId="46" fillId="3" borderId="10" xfId="0" applyFont="1" applyFill="1" applyBorder="1" applyAlignment="1">
      <alignment horizontal="center" wrapText="1"/>
    </xf>
    <xf numFmtId="0" fontId="46" fillId="3" borderId="10" xfId="0" applyFont="1" applyFill="1" applyBorder="1" applyAlignment="1">
      <alignment horizontal="left" wrapText="1"/>
    </xf>
    <xf numFmtId="0" fontId="46" fillId="3" borderId="10" xfId="0" applyFont="1" applyFill="1" applyBorder="1" applyAlignment="1">
      <alignment horizontal="center"/>
    </xf>
    <xf numFmtId="0" fontId="46" fillId="3" borderId="10" xfId="0" applyFont="1" applyFill="1" applyBorder="1" applyAlignment="1">
      <alignment horizontal="left"/>
    </xf>
    <xf numFmtId="184" fontId="6" fillId="3" borderId="3" xfId="0" applyNumberFormat="1" applyFont="1" applyFill="1" applyBorder="1" applyAlignment="1">
      <alignment horizontal="center" vertical="center"/>
    </xf>
    <xf numFmtId="0" fontId="44" fillId="3" borderId="9" xfId="0" applyFont="1" applyFill="1" applyBorder="1" applyAlignment="1">
      <alignment horizontal="left" wrapText="1"/>
    </xf>
    <xf numFmtId="3" fontId="4" fillId="5" borderId="10" xfId="0" applyNumberFormat="1" applyFont="1" applyFill="1" applyBorder="1" applyAlignment="1">
      <alignment horizontal="right" wrapText="1"/>
    </xf>
    <xf numFmtId="3" fontId="46" fillId="5" borderId="3" xfId="0" applyNumberFormat="1" applyFont="1" applyFill="1" applyBorder="1" applyAlignment="1">
      <alignment horizontal="right"/>
    </xf>
    <xf numFmtId="0" fontId="46" fillId="3" borderId="10" xfId="0" applyFont="1" applyFill="1" applyBorder="1" applyAlignment="1">
      <alignment horizontal="left" vertical="center"/>
    </xf>
    <xf numFmtId="0" fontId="3" fillId="0" borderId="0" xfId="1" applyFont="1"/>
    <xf numFmtId="0" fontId="39" fillId="0" borderId="0" xfId="1"/>
    <xf numFmtId="2" fontId="39" fillId="0" borderId="0" xfId="1" applyNumberFormat="1"/>
    <xf numFmtId="0" fontId="5" fillId="0" borderId="0" xfId="1" quotePrefix="1" applyFont="1" applyAlignment="1">
      <alignment horizontal="right"/>
    </xf>
    <xf numFmtId="0" fontId="5" fillId="0" borderId="0" xfId="1" applyFont="1" applyAlignment="1"/>
    <xf numFmtId="0" fontId="30" fillId="0" borderId="0" xfId="1" applyFont="1"/>
    <xf numFmtId="0" fontId="2" fillId="0" borderId="0" xfId="0" applyFont="1" applyBorder="1"/>
    <xf numFmtId="0" fontId="3" fillId="0" borderId="2" xfId="0" applyFont="1" applyBorder="1" applyAlignment="1">
      <alignment vertical="top"/>
    </xf>
    <xf numFmtId="0" fontId="4" fillId="5" borderId="2" xfId="0" applyFont="1" applyFill="1" applyBorder="1" applyAlignment="1">
      <alignment horizontal="right"/>
    </xf>
    <xf numFmtId="0" fontId="4" fillId="3" borderId="2" xfId="0" applyFont="1" applyFill="1" applyBorder="1" applyAlignment="1">
      <alignment horizontal="right"/>
    </xf>
    <xf numFmtId="0" fontId="4" fillId="3" borderId="3" xfId="0" applyFont="1" applyFill="1" applyBorder="1" applyAlignment="1">
      <alignment vertical="top" wrapText="1"/>
    </xf>
    <xf numFmtId="184" fontId="4" fillId="5" borderId="3" xfId="0" applyNumberFormat="1" applyFont="1" applyFill="1" applyBorder="1"/>
    <xf numFmtId="184" fontId="4" fillId="3" borderId="3" xfId="0" applyNumberFormat="1" applyFont="1" applyFill="1" applyBorder="1"/>
    <xf numFmtId="0" fontId="4" fillId="3" borderId="12" xfId="0" applyFont="1" applyFill="1" applyBorder="1" applyAlignment="1">
      <alignment vertical="top"/>
    </xf>
    <xf numFmtId="3" fontId="4" fillId="5" borderId="12" xfId="0" applyNumberFormat="1" applyFont="1" applyFill="1" applyBorder="1"/>
    <xf numFmtId="3" fontId="4" fillId="3" borderId="12" xfId="0" applyNumberFormat="1" applyFont="1" applyFill="1" applyBorder="1"/>
    <xf numFmtId="184" fontId="4" fillId="5" borderId="12" xfId="0" applyNumberFormat="1" applyFont="1" applyFill="1" applyBorder="1"/>
    <xf numFmtId="184" fontId="4" fillId="3" borderId="12" xfId="0" applyNumberFormat="1" applyFont="1" applyFill="1" applyBorder="1"/>
    <xf numFmtId="0" fontId="4" fillId="3" borderId="0" xfId="0" applyFont="1" applyFill="1" applyBorder="1" applyAlignment="1">
      <alignment vertical="center"/>
    </xf>
    <xf numFmtId="3" fontId="6" fillId="5" borderId="0" xfId="0" applyNumberFormat="1" applyFont="1" applyFill="1" applyBorder="1" applyAlignment="1">
      <alignment vertical="center"/>
    </xf>
    <xf numFmtId="3" fontId="6" fillId="3" borderId="0" xfId="0" applyNumberFormat="1" applyFont="1" applyFill="1" applyBorder="1" applyAlignment="1">
      <alignment vertical="center"/>
    </xf>
    <xf numFmtId="184" fontId="6" fillId="5" borderId="3" xfId="0" applyNumberFormat="1" applyFont="1" applyFill="1" applyBorder="1" applyAlignment="1">
      <alignment vertical="center"/>
    </xf>
    <xf numFmtId="184" fontId="6" fillId="3" borderId="3" xfId="0" applyNumberFormat="1" applyFont="1" applyFill="1" applyBorder="1" applyAlignment="1">
      <alignment vertical="center"/>
    </xf>
    <xf numFmtId="0" fontId="4" fillId="3" borderId="1" xfId="0" applyFont="1" applyFill="1" applyBorder="1" applyAlignment="1">
      <alignment horizontal="left" vertical="center"/>
    </xf>
    <xf numFmtId="0" fontId="4" fillId="5" borderId="1" xfId="0" applyFont="1" applyFill="1" applyBorder="1" applyAlignment="1">
      <alignment horizontal="right" vertical="center"/>
    </xf>
    <xf numFmtId="0" fontId="4" fillId="3" borderId="1" xfId="0" applyFont="1" applyFill="1" applyBorder="1" applyAlignment="1">
      <alignment horizontal="right" vertical="center"/>
    </xf>
    <xf numFmtId="0" fontId="4" fillId="5" borderId="0" xfId="0" applyFont="1" applyFill="1" applyBorder="1" applyAlignment="1">
      <alignment horizontal="right" vertical="center"/>
    </xf>
    <xf numFmtId="0" fontId="4" fillId="3" borderId="0" xfId="0" applyFont="1" applyFill="1" applyBorder="1" applyAlignment="1">
      <alignment horizontal="right" vertical="center"/>
    </xf>
    <xf numFmtId="184" fontId="4" fillId="3" borderId="9" xfId="0" applyNumberFormat="1" applyFont="1" applyFill="1" applyBorder="1"/>
    <xf numFmtId="16" fontId="4" fillId="3" borderId="10" xfId="0" applyNumberFormat="1" applyFont="1" applyFill="1" applyBorder="1" applyAlignment="1">
      <alignment horizontal="left"/>
    </xf>
    <xf numFmtId="3" fontId="4" fillId="5" borderId="10" xfId="0" applyNumberFormat="1" applyFont="1" applyFill="1" applyBorder="1" applyAlignment="1">
      <alignment vertical="center"/>
    </xf>
    <xf numFmtId="184" fontId="4" fillId="3" borderId="9" xfId="0" applyNumberFormat="1" applyFont="1" applyFill="1" applyBorder="1" applyAlignment="1">
      <alignment vertical="center"/>
    </xf>
    <xf numFmtId="0" fontId="6" fillId="3" borderId="13" xfId="0" applyFont="1" applyFill="1" applyBorder="1" applyAlignment="1">
      <alignment horizontal="left" vertical="center"/>
    </xf>
    <xf numFmtId="3" fontId="6" fillId="5" borderId="4" xfId="0" applyNumberFormat="1" applyFont="1" applyFill="1" applyBorder="1" applyAlignment="1">
      <alignment vertical="center"/>
    </xf>
    <xf numFmtId="184" fontId="6" fillId="3" borderId="4" xfId="0" applyNumberFormat="1" applyFont="1" applyFill="1" applyBorder="1" applyAlignment="1">
      <alignment vertical="center"/>
    </xf>
    <xf numFmtId="0" fontId="19" fillId="7" borderId="0" xfId="0" applyFont="1" applyFill="1" applyBorder="1" applyProtection="1"/>
    <xf numFmtId="184" fontId="2" fillId="0" borderId="0" xfId="0" applyNumberFormat="1" applyFont="1"/>
    <xf numFmtId="184" fontId="4" fillId="5" borderId="1" xfId="0" applyNumberFormat="1" applyFont="1" applyFill="1" applyBorder="1" applyAlignment="1">
      <alignment horizontal="right"/>
    </xf>
    <xf numFmtId="184" fontId="4" fillId="5" borderId="0" xfId="0" applyNumberFormat="1" applyFont="1" applyFill="1" applyBorder="1" applyAlignment="1">
      <alignment horizontal="right"/>
    </xf>
    <xf numFmtId="184" fontId="4" fillId="5" borderId="2" xfId="0" applyNumberFormat="1" applyFont="1" applyFill="1" applyBorder="1" applyAlignment="1">
      <alignment horizontal="right" vertical="top"/>
    </xf>
    <xf numFmtId="184" fontId="4" fillId="5" borderId="9" xfId="0" applyNumberFormat="1" applyFont="1" applyFill="1" applyBorder="1"/>
    <xf numFmtId="184" fontId="4" fillId="5" borderId="10" xfId="0" applyNumberFormat="1" applyFont="1" applyFill="1" applyBorder="1"/>
    <xf numFmtId="184" fontId="4" fillId="5" borderId="10" xfId="0" applyNumberFormat="1" applyFont="1" applyFill="1" applyBorder="1" applyAlignment="1">
      <alignment vertical="center"/>
    </xf>
    <xf numFmtId="184" fontId="4" fillId="5" borderId="10" xfId="0" applyNumberFormat="1" applyFont="1" applyFill="1" applyBorder="1" applyAlignment="1">
      <alignment horizontal="right" vertical="center"/>
    </xf>
    <xf numFmtId="0" fontId="6" fillId="3" borderId="4" xfId="0" applyFont="1" applyFill="1" applyBorder="1" applyAlignment="1">
      <alignment horizontal="left" vertical="center"/>
    </xf>
    <xf numFmtId="3" fontId="6" fillId="5" borderId="4" xfId="0" applyNumberFormat="1" applyFont="1" applyFill="1" applyBorder="1" applyAlignment="1">
      <alignment horizontal="right" vertical="center"/>
    </xf>
    <xf numFmtId="3" fontId="6" fillId="3" borderId="4" xfId="0" applyNumberFormat="1" applyFont="1" applyFill="1" applyBorder="1" applyAlignment="1">
      <alignment horizontal="right" vertical="center"/>
    </xf>
    <xf numFmtId="3" fontId="6" fillId="3" borderId="4" xfId="0" applyNumberFormat="1" applyFont="1" applyFill="1" applyBorder="1" applyAlignment="1">
      <alignment vertical="center"/>
    </xf>
    <xf numFmtId="184" fontId="6" fillId="5" borderId="4" xfId="0" applyNumberFormat="1" applyFont="1" applyFill="1" applyBorder="1" applyAlignment="1">
      <alignment horizontal="right" vertical="center"/>
    </xf>
    <xf numFmtId="184" fontId="5" fillId="0" borderId="0" xfId="0" applyNumberFormat="1" applyFont="1"/>
    <xf numFmtId="0" fontId="6" fillId="3" borderId="0" xfId="0" quotePrefix="1" applyFont="1" applyFill="1" applyBorder="1" applyAlignment="1">
      <alignment horizontal="left" vertical="center"/>
    </xf>
    <xf numFmtId="3" fontId="4" fillId="0" borderId="11" xfId="0" applyNumberFormat="1" applyFont="1" applyBorder="1" applyAlignment="1">
      <alignment horizontal="right" vertical="top"/>
    </xf>
    <xf numFmtId="182" fontId="4" fillId="0" borderId="11" xfId="0" applyNumberFormat="1" applyFont="1" applyBorder="1" applyAlignment="1">
      <alignment horizontal="right" vertical="top"/>
    </xf>
    <xf numFmtId="3" fontId="4" fillId="0" borderId="0" xfId="0" applyNumberFormat="1" applyFont="1" applyBorder="1" applyAlignment="1">
      <alignment horizontal="right" vertical="top"/>
    </xf>
    <xf numFmtId="182" fontId="4" fillId="0" borderId="0" xfId="0" applyNumberFormat="1" applyFont="1" applyBorder="1" applyAlignment="1">
      <alignment horizontal="right" vertical="top"/>
    </xf>
    <xf numFmtId="0" fontId="5" fillId="7" borderId="0" xfId="0" applyFont="1" applyFill="1" applyBorder="1"/>
    <xf numFmtId="0" fontId="6" fillId="3" borderId="0" xfId="0" applyFont="1" applyFill="1" applyBorder="1" applyAlignment="1">
      <alignment vertical="center"/>
    </xf>
    <xf numFmtId="184" fontId="6" fillId="3" borderId="0" xfId="0" applyNumberFormat="1" applyFont="1" applyFill="1" applyBorder="1" applyAlignment="1">
      <alignment vertical="center"/>
    </xf>
    <xf numFmtId="3" fontId="4" fillId="3" borderId="0" xfId="0" applyNumberFormat="1" applyFont="1" applyFill="1" applyBorder="1"/>
    <xf numFmtId="184" fontId="6" fillId="5" borderId="0" xfId="0" applyNumberFormat="1" applyFont="1" applyFill="1" applyBorder="1" applyAlignment="1">
      <alignment vertical="center"/>
    </xf>
    <xf numFmtId="3" fontId="4" fillId="3" borderId="0" xfId="0" applyNumberFormat="1" applyFont="1" applyFill="1" applyBorder="1" applyAlignment="1">
      <alignment vertical="center"/>
    </xf>
    <xf numFmtId="0" fontId="4" fillId="3" borderId="1" xfId="0" applyFont="1" applyFill="1" applyBorder="1"/>
    <xf numFmtId="0" fontId="4" fillId="3" borderId="0" xfId="0" applyFont="1" applyFill="1" applyBorder="1"/>
    <xf numFmtId="0" fontId="4" fillId="3" borderId="2" xfId="0" applyFont="1" applyFill="1" applyBorder="1"/>
    <xf numFmtId="3" fontId="4" fillId="5" borderId="2" xfId="0" applyNumberFormat="1" applyFont="1" applyFill="1" applyBorder="1" applyAlignment="1">
      <alignment horizontal="right"/>
    </xf>
    <xf numFmtId="3" fontId="4" fillId="3" borderId="2" xfId="0" applyNumberFormat="1" applyFont="1" applyFill="1" applyBorder="1" applyAlignment="1">
      <alignment horizontal="right"/>
    </xf>
    <xf numFmtId="0" fontId="4" fillId="3" borderId="9" xfId="0" applyFont="1" applyFill="1" applyBorder="1"/>
    <xf numFmtId="3" fontId="6" fillId="5" borderId="9" xfId="0" applyNumberFormat="1" applyFont="1" applyFill="1" applyBorder="1" applyAlignment="1">
      <alignment horizontal="right"/>
    </xf>
    <xf numFmtId="0" fontId="4" fillId="3" borderId="10" xfId="0" applyFont="1" applyFill="1" applyBorder="1"/>
    <xf numFmtId="183" fontId="4" fillId="5" borderId="10" xfId="0" applyNumberFormat="1" applyFont="1" applyFill="1" applyBorder="1" applyAlignment="1">
      <alignment horizontal="right"/>
    </xf>
    <xf numFmtId="183" fontId="4" fillId="3" borderId="10" xfId="0" applyNumberFormat="1" applyFont="1" applyFill="1" applyBorder="1" applyAlignment="1">
      <alignment horizontal="right"/>
    </xf>
    <xf numFmtId="183" fontId="6" fillId="5" borderId="10" xfId="0" applyNumberFormat="1" applyFont="1" applyFill="1" applyBorder="1" applyAlignment="1">
      <alignment horizontal="right"/>
    </xf>
    <xf numFmtId="0" fontId="5" fillId="3" borderId="10" xfId="0" applyFont="1" applyFill="1" applyBorder="1"/>
    <xf numFmtId="182" fontId="4" fillId="5" borderId="10" xfId="0" applyNumberFormat="1" applyFont="1" applyFill="1" applyBorder="1" applyAlignment="1">
      <alignment horizontal="right"/>
    </xf>
    <xf numFmtId="183" fontId="4" fillId="5" borderId="0" xfId="0" applyNumberFormat="1" applyFont="1" applyFill="1" applyBorder="1" applyAlignment="1">
      <alignment horizontal="right" vertical="center"/>
    </xf>
    <xf numFmtId="183" fontId="4" fillId="3" borderId="0" xfId="0" applyNumberFormat="1" applyFont="1" applyFill="1" applyBorder="1" applyAlignment="1">
      <alignment horizontal="right" vertical="center"/>
    </xf>
    <xf numFmtId="183" fontId="6" fillId="5" borderId="0" xfId="0" applyNumberFormat="1" applyFont="1" applyFill="1" applyBorder="1" applyAlignment="1">
      <alignment horizontal="right" vertical="center"/>
    </xf>
    <xf numFmtId="0" fontId="3" fillId="0" borderId="0" xfId="0" applyFont="1" applyFill="1" applyBorder="1" applyAlignment="1">
      <alignment vertical="center"/>
    </xf>
    <xf numFmtId="0" fontId="6" fillId="3" borderId="0" xfId="0" applyFont="1" applyFill="1" applyBorder="1" applyAlignment="1">
      <alignment horizontal="left"/>
    </xf>
    <xf numFmtId="0" fontId="6" fillId="3" borderId="4" xfId="0" quotePrefix="1" applyFont="1" applyFill="1" applyBorder="1" applyAlignment="1">
      <alignment horizontal="left" vertical="center"/>
    </xf>
    <xf numFmtId="0" fontId="9" fillId="0" borderId="0" xfId="0" applyFont="1" applyAlignment="1">
      <alignment horizontal="center"/>
    </xf>
    <xf numFmtId="0" fontId="0" fillId="0" borderId="2" xfId="0" applyBorder="1" applyAlignment="1"/>
    <xf numFmtId="3" fontId="6" fillId="3" borderId="0" xfId="0" applyNumberFormat="1" applyFont="1" applyFill="1" applyBorder="1" applyAlignment="1">
      <alignment horizontal="right"/>
    </xf>
    <xf numFmtId="3" fontId="6" fillId="3" borderId="2" xfId="0" applyNumberFormat="1" applyFont="1" applyFill="1" applyBorder="1" applyAlignment="1">
      <alignment horizontal="right" vertical="top"/>
    </xf>
    <xf numFmtId="0" fontId="4" fillId="3" borderId="9" xfId="0" quotePrefix="1" applyFont="1" applyFill="1" applyBorder="1" applyAlignment="1">
      <alignment horizontal="left"/>
    </xf>
    <xf numFmtId="184" fontId="4" fillId="5" borderId="9" xfId="0" applyNumberFormat="1" applyFont="1" applyFill="1" applyBorder="1" applyAlignment="1">
      <alignment horizontal="right"/>
    </xf>
    <xf numFmtId="3" fontId="6" fillId="3" borderId="10" xfId="0" applyNumberFormat="1" applyFont="1" applyFill="1" applyBorder="1" applyAlignment="1">
      <alignment horizontal="right"/>
    </xf>
    <xf numFmtId="0" fontId="4" fillId="3" borderId="4" xfId="0" quotePrefix="1" applyFont="1" applyFill="1" applyBorder="1" applyAlignment="1">
      <alignment horizontal="left" vertical="center"/>
    </xf>
    <xf numFmtId="3" fontId="4" fillId="5" borderId="4" xfId="0" applyNumberFormat="1" applyFont="1" applyFill="1" applyBorder="1" applyAlignment="1">
      <alignment horizontal="right" vertical="center"/>
    </xf>
    <xf numFmtId="3" fontId="4" fillId="3" borderId="4" xfId="0" applyNumberFormat="1" applyFont="1" applyFill="1" applyBorder="1" applyAlignment="1">
      <alignment horizontal="right" vertical="center"/>
    </xf>
    <xf numFmtId="184" fontId="4" fillId="5" borderId="4" xfId="0" applyNumberFormat="1" applyFont="1" applyFill="1" applyBorder="1" applyAlignment="1">
      <alignment horizontal="right" vertical="center"/>
    </xf>
    <xf numFmtId="0" fontId="4" fillId="0" borderId="0" xfId="0" quotePrefix="1" applyFont="1" applyFill="1" applyBorder="1" applyAlignment="1">
      <alignment horizontal="left" vertical="center"/>
    </xf>
    <xf numFmtId="184" fontId="4" fillId="0" borderId="0" xfId="0" applyNumberFormat="1" applyFont="1" applyFill="1" applyBorder="1" applyAlignment="1">
      <alignment horizontal="right" vertical="center"/>
    </xf>
    <xf numFmtId="0" fontId="46" fillId="3" borderId="9" xfId="0" quotePrefix="1" applyFont="1" applyFill="1" applyBorder="1" applyAlignment="1">
      <alignment horizontal="left" vertical="center"/>
    </xf>
    <xf numFmtId="3" fontId="46" fillId="5" borderId="9" xfId="0" applyNumberFormat="1" applyFont="1" applyFill="1" applyBorder="1" applyAlignment="1">
      <alignment horizontal="right" vertical="center"/>
    </xf>
    <xf numFmtId="3" fontId="46" fillId="3" borderId="9" xfId="0" applyNumberFormat="1" applyFont="1" applyFill="1" applyBorder="1" applyAlignment="1">
      <alignment horizontal="right" vertical="center"/>
    </xf>
    <xf numFmtId="3" fontId="44" fillId="3" borderId="9" xfId="0" applyNumberFormat="1" applyFont="1" applyFill="1" applyBorder="1" applyAlignment="1">
      <alignment horizontal="right" vertical="center"/>
    </xf>
    <xf numFmtId="184" fontId="46" fillId="5" borderId="9" xfId="0" applyNumberFormat="1" applyFont="1" applyFill="1" applyBorder="1" applyAlignment="1">
      <alignment horizontal="right" vertical="center"/>
    </xf>
    <xf numFmtId="0" fontId="46" fillId="3" borderId="13" xfId="0" quotePrefix="1" applyFont="1" applyFill="1" applyBorder="1" applyAlignment="1">
      <alignment horizontal="left" vertical="center" wrapText="1"/>
    </xf>
    <xf numFmtId="3" fontId="46" fillId="5" borderId="13" xfId="0" applyNumberFormat="1" applyFont="1" applyFill="1" applyBorder="1" applyAlignment="1">
      <alignment horizontal="right" vertical="center"/>
    </xf>
    <xf numFmtId="3" fontId="46" fillId="3" borderId="13" xfId="0" applyNumberFormat="1" applyFont="1" applyFill="1" applyBorder="1" applyAlignment="1">
      <alignment horizontal="right" vertical="center"/>
    </xf>
    <xf numFmtId="3" fontId="44" fillId="3" borderId="13" xfId="0" applyNumberFormat="1" applyFont="1" applyFill="1" applyBorder="1" applyAlignment="1">
      <alignment horizontal="right" vertical="center"/>
    </xf>
    <xf numFmtId="184" fontId="46" fillId="5" borderId="13" xfId="0" applyNumberFormat="1" applyFont="1" applyFill="1" applyBorder="1" applyAlignment="1">
      <alignment horizontal="right" vertical="center"/>
    </xf>
    <xf numFmtId="3" fontId="6" fillId="0" borderId="11" xfId="0" applyNumberFormat="1" applyFont="1" applyBorder="1" applyAlignment="1">
      <alignment horizontal="right" vertical="top"/>
    </xf>
    <xf numFmtId="3" fontId="6" fillId="0" borderId="0" xfId="0" applyNumberFormat="1" applyFont="1" applyBorder="1" applyAlignment="1">
      <alignment horizontal="right" vertical="top"/>
    </xf>
    <xf numFmtId="0" fontId="48" fillId="0" borderId="0" xfId="0" applyFont="1"/>
    <xf numFmtId="184" fontId="4" fillId="5" borderId="10" xfId="0" applyNumberFormat="1" applyFont="1" applyFill="1" applyBorder="1" applyAlignment="1">
      <alignment horizontal="right"/>
    </xf>
    <xf numFmtId="0" fontId="34" fillId="0" borderId="0" xfId="0" applyFont="1"/>
    <xf numFmtId="0" fontId="4" fillId="0" borderId="0" xfId="0" applyFont="1" applyFill="1" applyBorder="1" applyAlignment="1">
      <alignment horizontal="left"/>
    </xf>
    <xf numFmtId="0" fontId="4" fillId="3" borderId="13" xfId="0" applyFont="1" applyFill="1" applyBorder="1" applyAlignment="1">
      <alignment horizontal="left" vertical="center"/>
    </xf>
    <xf numFmtId="3" fontId="4" fillId="5" borderId="13" xfId="0" applyNumberFormat="1" applyFont="1" applyFill="1" applyBorder="1" applyAlignment="1">
      <alignment horizontal="right" vertical="center"/>
    </xf>
    <xf numFmtId="3" fontId="4" fillId="3" borderId="13" xfId="0" applyNumberFormat="1" applyFont="1" applyFill="1" applyBorder="1" applyAlignment="1">
      <alignment horizontal="right" vertical="center"/>
    </xf>
    <xf numFmtId="3" fontId="6" fillId="5" borderId="13" xfId="0" applyNumberFormat="1" applyFont="1" applyFill="1" applyBorder="1" applyAlignment="1">
      <alignment horizontal="right" vertical="center"/>
    </xf>
    <xf numFmtId="0" fontId="4" fillId="3" borderId="3" xfId="0" applyFont="1" applyFill="1" applyBorder="1" applyAlignment="1">
      <alignment vertical="center" wrapText="1"/>
    </xf>
    <xf numFmtId="0" fontId="19" fillId="0" borderId="0" xfId="19" applyFont="1"/>
    <xf numFmtId="0" fontId="25" fillId="0" borderId="2" xfId="0" applyFont="1" applyBorder="1" applyAlignment="1"/>
    <xf numFmtId="0" fontId="0" fillId="0" borderId="0" xfId="0" applyBorder="1" applyAlignment="1">
      <alignment wrapText="1"/>
    </xf>
    <xf numFmtId="184" fontId="4" fillId="3" borderId="1" xfId="0" applyNumberFormat="1" applyFont="1" applyFill="1" applyBorder="1" applyAlignment="1">
      <alignment horizontal="right"/>
    </xf>
    <xf numFmtId="184" fontId="4" fillId="3" borderId="0" xfId="0" applyNumberFormat="1" applyFont="1" applyFill="1" applyBorder="1" applyAlignment="1">
      <alignment horizontal="right"/>
    </xf>
    <xf numFmtId="184" fontId="4" fillId="3" borderId="2" xfId="0" applyNumberFormat="1" applyFont="1" applyFill="1" applyBorder="1" applyAlignment="1">
      <alignment horizontal="right" vertical="top"/>
    </xf>
    <xf numFmtId="3" fontId="4" fillId="5" borderId="3" xfId="0" applyNumberFormat="1" applyFont="1" applyFill="1" applyBorder="1" applyAlignment="1">
      <alignment vertical="center"/>
    </xf>
    <xf numFmtId="3" fontId="4" fillId="3" borderId="3" xfId="0" applyNumberFormat="1" applyFont="1" applyFill="1" applyBorder="1" applyAlignment="1">
      <alignment vertical="center"/>
    </xf>
    <xf numFmtId="184" fontId="4" fillId="3" borderId="3" xfId="0" applyNumberFormat="1" applyFont="1" applyFill="1" applyBorder="1" applyAlignment="1">
      <alignment vertical="center"/>
    </xf>
    <xf numFmtId="184" fontId="4" fillId="5" borderId="3" xfId="0" applyNumberFormat="1" applyFont="1" applyFill="1" applyBorder="1" applyAlignment="1">
      <alignment vertical="center"/>
    </xf>
    <xf numFmtId="0" fontId="6" fillId="3" borderId="4" xfId="0" applyFont="1" applyFill="1" applyBorder="1" applyAlignment="1">
      <alignment vertical="center"/>
    </xf>
    <xf numFmtId="184" fontId="6" fillId="5" borderId="4" xfId="0" applyNumberFormat="1" applyFont="1" applyFill="1" applyBorder="1" applyAlignment="1">
      <alignment vertical="center"/>
    </xf>
    <xf numFmtId="184" fontId="5" fillId="0" borderId="11" xfId="0" applyNumberFormat="1" applyFont="1" applyBorder="1"/>
    <xf numFmtId="184" fontId="5" fillId="0" borderId="0" xfId="0" applyNumberFormat="1" applyFont="1" applyBorder="1"/>
    <xf numFmtId="0" fontId="46" fillId="3" borderId="14" xfId="0" applyFont="1" applyFill="1" applyBorder="1" applyAlignment="1">
      <alignment vertical="center"/>
    </xf>
    <xf numFmtId="3" fontId="46" fillId="5" borderId="14" xfId="0" applyNumberFormat="1" applyFont="1" applyFill="1" applyBorder="1" applyAlignment="1">
      <alignment vertical="center"/>
    </xf>
    <xf numFmtId="3" fontId="46" fillId="3" borderId="14" xfId="0" applyNumberFormat="1" applyFont="1" applyFill="1" applyBorder="1" applyAlignment="1">
      <alignment vertical="center"/>
    </xf>
    <xf numFmtId="184" fontId="46" fillId="3" borderId="14" xfId="0" applyNumberFormat="1" applyFont="1" applyFill="1" applyBorder="1" applyAlignment="1">
      <alignment vertical="center"/>
    </xf>
    <xf numFmtId="184" fontId="46" fillId="5" borderId="14" xfId="0" applyNumberFormat="1" applyFont="1" applyFill="1" applyBorder="1" applyAlignment="1">
      <alignment vertical="center"/>
    </xf>
    <xf numFmtId="0" fontId="0" fillId="0" borderId="0" xfId="0" applyAlignment="1"/>
    <xf numFmtId="0" fontId="3" fillId="0" borderId="0" xfId="0" applyFont="1" applyAlignment="1">
      <alignment wrapText="1"/>
    </xf>
    <xf numFmtId="0" fontId="6" fillId="3" borderId="1" xfId="0" applyFont="1" applyFill="1" applyBorder="1" applyAlignment="1">
      <alignment horizontal="left" vertical="center"/>
    </xf>
    <xf numFmtId="0" fontId="6" fillId="5" borderId="1" xfId="0" applyFont="1" applyFill="1" applyBorder="1" applyAlignment="1">
      <alignment horizontal="right" vertical="center"/>
    </xf>
    <xf numFmtId="0" fontId="6" fillId="3" borderId="1" xfId="0" applyFont="1" applyFill="1" applyBorder="1" applyAlignment="1">
      <alignment horizontal="right" vertical="center"/>
    </xf>
    <xf numFmtId="0" fontId="6" fillId="3" borderId="14" xfId="0" applyFont="1" applyFill="1" applyBorder="1" applyAlignment="1">
      <alignment vertical="center"/>
    </xf>
    <xf numFmtId="3" fontId="4" fillId="5" borderId="14" xfId="0" applyNumberFormat="1" applyFont="1" applyFill="1" applyBorder="1" applyAlignment="1">
      <alignment vertical="center"/>
    </xf>
    <xf numFmtId="3" fontId="4" fillId="3" borderId="14" xfId="0" applyNumberFormat="1" applyFont="1" applyFill="1" applyBorder="1" applyAlignment="1">
      <alignment vertical="center"/>
    </xf>
    <xf numFmtId="3" fontId="6" fillId="3" borderId="14" xfId="0" applyNumberFormat="1" applyFont="1" applyFill="1" applyBorder="1" applyAlignment="1">
      <alignment vertical="center"/>
    </xf>
    <xf numFmtId="0" fontId="0" fillId="0" borderId="0" xfId="0" applyFont="1"/>
    <xf numFmtId="0" fontId="5" fillId="0" borderId="15" xfId="0" applyFont="1" applyBorder="1"/>
    <xf numFmtId="0" fontId="25" fillId="0" borderId="0" xfId="0" applyFont="1" applyFill="1"/>
    <xf numFmtId="0" fontId="50" fillId="2" borderId="0" xfId="0" applyFont="1" applyFill="1" applyAlignment="1">
      <alignment horizontal="left"/>
    </xf>
    <xf numFmtId="0" fontId="38" fillId="2" borderId="0" xfId="0" applyFont="1" applyFill="1"/>
    <xf numFmtId="3" fontId="6" fillId="3" borderId="12" xfId="0" applyNumberFormat="1" applyFont="1" applyFill="1" applyBorder="1" applyAlignment="1">
      <alignment horizontal="right" vertical="center"/>
    </xf>
    <xf numFmtId="0" fontId="51" fillId="2" borderId="0" xfId="0" applyFont="1" applyFill="1"/>
    <xf numFmtId="0" fontId="51" fillId="0" borderId="0" xfId="0" applyFont="1" applyFill="1"/>
    <xf numFmtId="0" fontId="37" fillId="0" borderId="0" xfId="0" applyFont="1" applyFill="1"/>
    <xf numFmtId="14" fontId="38" fillId="2" borderId="0" xfId="0" quotePrefix="1" applyNumberFormat="1" applyFont="1" applyFill="1"/>
    <xf numFmtId="0" fontId="19" fillId="0" borderId="0" xfId="0" applyFont="1" applyFill="1"/>
    <xf numFmtId="0" fontId="2" fillId="7" borderId="0" xfId="0" applyFont="1" applyFill="1"/>
    <xf numFmtId="0" fontId="3" fillId="7" borderId="0" xfId="0" applyFont="1" applyFill="1" applyAlignment="1">
      <alignment vertical="top"/>
    </xf>
    <xf numFmtId="0" fontId="5" fillId="7" borderId="11" xfId="0" applyFont="1" applyFill="1" applyBorder="1"/>
    <xf numFmtId="0" fontId="6" fillId="3" borderId="12" xfId="0" quotePrefix="1" applyFont="1" applyFill="1" applyBorder="1" applyAlignment="1">
      <alignment horizontal="left" vertical="center"/>
    </xf>
    <xf numFmtId="3" fontId="6" fillId="5" borderId="12" xfId="0" applyNumberFormat="1" applyFont="1" applyFill="1" applyBorder="1" applyAlignment="1">
      <alignment horizontal="right" vertical="center"/>
    </xf>
    <xf numFmtId="0" fontId="4" fillId="8" borderId="1" xfId="0" applyFont="1" applyFill="1" applyBorder="1" applyAlignment="1">
      <alignment horizontal="left"/>
    </xf>
    <xf numFmtId="0" fontId="4" fillId="9" borderId="1" xfId="0" applyFont="1" applyFill="1" applyBorder="1" applyAlignment="1">
      <alignment horizontal="right"/>
    </xf>
    <xf numFmtId="0" fontId="4" fillId="8" borderId="1" xfId="0" applyFont="1" applyFill="1" applyBorder="1" applyAlignment="1">
      <alignment horizontal="right"/>
    </xf>
    <xf numFmtId="0" fontId="4" fillId="8" borderId="0" xfId="0" applyFont="1" applyFill="1" applyBorder="1" applyAlignment="1">
      <alignment horizontal="left"/>
    </xf>
    <xf numFmtId="0" fontId="4" fillId="9" borderId="0" xfId="0" applyFont="1" applyFill="1" applyBorder="1" applyAlignment="1">
      <alignment horizontal="right"/>
    </xf>
    <xf numFmtId="3" fontId="4" fillId="8" borderId="0" xfId="0" applyNumberFormat="1" applyFont="1" applyFill="1" applyBorder="1" applyAlignment="1">
      <alignment horizontal="right"/>
    </xf>
    <xf numFmtId="0" fontId="4" fillId="8" borderId="0" xfId="0" applyFont="1" applyFill="1" applyBorder="1" applyAlignment="1">
      <alignment horizontal="right"/>
    </xf>
    <xf numFmtId="0" fontId="4" fillId="8" borderId="2" xfId="0" applyFont="1" applyFill="1" applyBorder="1" applyAlignment="1">
      <alignment horizontal="left" vertical="top"/>
    </xf>
    <xf numFmtId="0" fontId="4" fillId="9" borderId="2" xfId="0" applyFont="1" applyFill="1" applyBorder="1" applyAlignment="1">
      <alignment horizontal="right" vertical="top"/>
    </xf>
    <xf numFmtId="0" fontId="4" fillId="8" borderId="2" xfId="0" applyFont="1" applyFill="1" applyBorder="1" applyAlignment="1">
      <alignment horizontal="right" vertical="top"/>
    </xf>
    <xf numFmtId="0" fontId="4" fillId="8" borderId="3" xfId="0" quotePrefix="1" applyFont="1" applyFill="1" applyBorder="1" applyAlignment="1">
      <alignment horizontal="left"/>
    </xf>
    <xf numFmtId="3" fontId="4" fillId="9" borderId="3" xfId="0" applyNumberFormat="1" applyFont="1" applyFill="1" applyBorder="1" applyAlignment="1">
      <alignment horizontal="right"/>
    </xf>
    <xf numFmtId="0" fontId="4" fillId="8" borderId="3" xfId="0" quotePrefix="1" applyFont="1" applyFill="1" applyBorder="1" applyAlignment="1">
      <alignment horizontal="right"/>
    </xf>
    <xf numFmtId="184" fontId="4" fillId="8" borderId="3" xfId="0" quotePrefix="1" applyNumberFormat="1" applyFont="1" applyFill="1" applyBorder="1" applyAlignment="1">
      <alignment horizontal="right"/>
    </xf>
    <xf numFmtId="0" fontId="4" fillId="8" borderId="10" xfId="0" quotePrefix="1" applyFont="1" applyFill="1" applyBorder="1" applyAlignment="1">
      <alignment horizontal="left"/>
    </xf>
    <xf numFmtId="3" fontId="4" fillId="9" borderId="10" xfId="0" applyNumberFormat="1" applyFont="1" applyFill="1" applyBorder="1" applyAlignment="1">
      <alignment horizontal="right"/>
    </xf>
    <xf numFmtId="0" fontId="4" fillId="8" borderId="10" xfId="0" quotePrefix="1" applyFont="1" applyFill="1" applyBorder="1" applyAlignment="1">
      <alignment horizontal="right"/>
    </xf>
    <xf numFmtId="184" fontId="4" fillId="8" borderId="10" xfId="0" quotePrefix="1" applyNumberFormat="1" applyFont="1" applyFill="1" applyBorder="1" applyAlignment="1">
      <alignment horizontal="right"/>
    </xf>
    <xf numFmtId="0" fontId="6" fillId="8" borderId="0" xfId="0" quotePrefix="1" applyFont="1" applyFill="1" applyBorder="1" applyAlignment="1">
      <alignment horizontal="left" vertical="center"/>
    </xf>
    <xf numFmtId="3" fontId="6" fillId="9" borderId="0" xfId="0" applyNumberFormat="1" applyFont="1" applyFill="1" applyBorder="1" applyAlignment="1">
      <alignment horizontal="right" vertical="center"/>
    </xf>
    <xf numFmtId="0" fontId="6" fillId="8" borderId="0" xfId="0" quotePrefix="1" applyFont="1" applyFill="1" applyBorder="1" applyAlignment="1">
      <alignment horizontal="right" vertical="center"/>
    </xf>
    <xf numFmtId="184" fontId="6" fillId="8" borderId="10" xfId="0" quotePrefix="1" applyNumberFormat="1" applyFont="1" applyFill="1" applyBorder="1" applyAlignment="1">
      <alignment horizontal="right" vertical="center"/>
    </xf>
    <xf numFmtId="182" fontId="5" fillId="0" borderId="0" xfId="0" applyNumberFormat="1" applyFont="1" applyFill="1"/>
    <xf numFmtId="182" fontId="5" fillId="0" borderId="0" xfId="0" applyNumberFormat="1" applyFont="1"/>
    <xf numFmtId="0" fontId="5" fillId="0" borderId="0" xfId="0" applyFont="1" applyAlignment="1">
      <alignment vertical="top"/>
    </xf>
    <xf numFmtId="0" fontId="3" fillId="0" borderId="2" xfId="0" applyFont="1" applyFill="1" applyBorder="1" applyAlignment="1">
      <alignment horizontal="right" vertical="top"/>
    </xf>
    <xf numFmtId="0" fontId="4" fillId="5" borderId="0" xfId="0" applyFont="1" applyFill="1" applyBorder="1" applyAlignment="1">
      <alignment horizontal="right" wrapText="1"/>
    </xf>
    <xf numFmtId="0" fontId="4" fillId="3" borderId="0" xfId="0" applyFont="1" applyFill="1" applyBorder="1" applyAlignment="1">
      <alignment horizontal="right" wrapText="1"/>
    </xf>
    <xf numFmtId="1" fontId="4" fillId="3" borderId="3" xfId="0" applyNumberFormat="1" applyFont="1" applyFill="1" applyBorder="1" applyAlignment="1">
      <alignment horizontal="left"/>
    </xf>
    <xf numFmtId="1" fontId="4" fillId="3" borderId="10" xfId="0" applyNumberFormat="1" applyFont="1" applyFill="1" applyBorder="1" applyAlignment="1">
      <alignment horizontal="left"/>
    </xf>
    <xf numFmtId="184" fontId="4" fillId="3" borderId="9" xfId="0" applyNumberFormat="1" applyFont="1" applyFill="1" applyBorder="1" applyAlignment="1">
      <alignment horizontal="right"/>
    </xf>
    <xf numFmtId="1" fontId="6" fillId="3" borderId="0" xfId="0" applyNumberFormat="1" applyFont="1" applyFill="1" applyBorder="1" applyAlignment="1">
      <alignment horizontal="left" vertical="center"/>
    </xf>
    <xf numFmtId="184" fontId="6" fillId="3" borderId="9" xfId="0" applyNumberFormat="1" applyFont="1" applyFill="1" applyBorder="1" applyAlignment="1">
      <alignment horizontal="right" vertical="center"/>
    </xf>
    <xf numFmtId="3" fontId="0" fillId="0" borderId="0" xfId="0" applyNumberFormat="1"/>
    <xf numFmtId="0" fontId="6" fillId="0" borderId="0" xfId="0" applyFont="1" applyFill="1"/>
    <xf numFmtId="3" fontId="6" fillId="0" borderId="0" xfId="0" applyNumberFormat="1" applyFont="1" applyFill="1"/>
    <xf numFmtId="0" fontId="5" fillId="0" borderId="0" xfId="0" applyFont="1" applyBorder="1" applyAlignment="1"/>
    <xf numFmtId="184" fontId="4" fillId="5" borderId="3" xfId="0" applyNumberFormat="1" applyFont="1" applyFill="1" applyBorder="1" applyAlignment="1">
      <alignment horizontal="right"/>
    </xf>
    <xf numFmtId="184" fontId="6" fillId="5" borderId="0" xfId="0" applyNumberFormat="1" applyFont="1" applyFill="1" applyBorder="1" applyAlignment="1">
      <alignment horizontal="right" vertical="center"/>
    </xf>
    <xf numFmtId="184" fontId="6" fillId="3" borderId="0" xfId="0" applyNumberFormat="1" applyFont="1" applyFill="1" applyBorder="1" applyAlignment="1">
      <alignment horizontal="right" vertical="center"/>
    </xf>
    <xf numFmtId="183" fontId="4" fillId="5" borderId="3" xfId="0" applyNumberFormat="1" applyFont="1" applyFill="1" applyBorder="1" applyAlignment="1"/>
    <xf numFmtId="3" fontId="4" fillId="3" borderId="3" xfId="0" applyNumberFormat="1" applyFont="1" applyFill="1" applyBorder="1" applyAlignment="1"/>
    <xf numFmtId="3" fontId="4" fillId="5" borderId="3" xfId="0" applyNumberFormat="1" applyFont="1" applyFill="1" applyBorder="1" applyAlignment="1"/>
    <xf numFmtId="0" fontId="4" fillId="3" borderId="3" xfId="0" applyNumberFormat="1" applyFont="1" applyFill="1" applyBorder="1" applyAlignment="1">
      <alignment horizontal="center"/>
    </xf>
    <xf numFmtId="183" fontId="4" fillId="5" borderId="10" xfId="0" applyNumberFormat="1" applyFont="1" applyFill="1" applyBorder="1" applyAlignment="1"/>
    <xf numFmtId="3" fontId="4" fillId="5" borderId="10" xfId="0" applyNumberFormat="1" applyFont="1" applyFill="1" applyBorder="1" applyAlignment="1"/>
    <xf numFmtId="0" fontId="4" fillId="3" borderId="10" xfId="0" applyNumberFormat="1" applyFont="1" applyFill="1" applyBorder="1" applyAlignment="1">
      <alignment horizontal="center"/>
    </xf>
    <xf numFmtId="183" fontId="6" fillId="5" borderId="10" xfId="0" applyNumberFormat="1" applyFont="1" applyFill="1" applyBorder="1" applyAlignment="1">
      <alignment vertical="center"/>
    </xf>
    <xf numFmtId="0" fontId="6" fillId="3" borderId="10" xfId="0" applyNumberFormat="1" applyFont="1" applyFill="1" applyBorder="1" applyAlignment="1">
      <alignment horizontal="center" vertical="center"/>
    </xf>
    <xf numFmtId="3" fontId="5" fillId="0" borderId="2" xfId="0" applyNumberFormat="1" applyFont="1" applyFill="1" applyBorder="1" applyAlignment="1">
      <alignment horizontal="right"/>
    </xf>
    <xf numFmtId="0" fontId="5" fillId="0" borderId="2" xfId="0" applyFont="1" applyFill="1" applyBorder="1" applyAlignment="1">
      <alignment horizontal="right"/>
    </xf>
    <xf numFmtId="0" fontId="4" fillId="3" borderId="4" xfId="0" applyFont="1" applyFill="1" applyBorder="1" applyAlignment="1">
      <alignment horizontal="left"/>
    </xf>
    <xf numFmtId="184" fontId="4" fillId="3" borderId="4" xfId="0" applyNumberFormat="1" applyFont="1" applyFill="1" applyBorder="1" applyAlignment="1">
      <alignment horizontal="right"/>
    </xf>
    <xf numFmtId="0" fontId="3" fillId="7" borderId="0" xfId="0" applyFont="1" applyFill="1"/>
    <xf numFmtId="0" fontId="3" fillId="7" borderId="0" xfId="0" applyFont="1" applyFill="1" applyAlignment="1">
      <alignment horizontal="center"/>
    </xf>
    <xf numFmtId="0" fontId="2" fillId="0" borderId="0" xfId="0" applyFont="1" applyAlignment="1">
      <alignment vertical="center"/>
    </xf>
    <xf numFmtId="0" fontId="3" fillId="0" borderId="2" xfId="0" applyFont="1" applyBorder="1" applyAlignment="1">
      <alignment vertical="top" wrapText="1"/>
    </xf>
    <xf numFmtId="0" fontId="3" fillId="0" borderId="0" xfId="0" applyFont="1" applyAlignment="1">
      <alignment horizontal="center"/>
    </xf>
    <xf numFmtId="0" fontId="6" fillId="3" borderId="0" xfId="0" applyFont="1" applyFill="1" applyBorder="1" applyAlignment="1">
      <alignment horizontal="center"/>
    </xf>
    <xf numFmtId="0" fontId="6" fillId="3" borderId="2" xfId="0" applyFont="1" applyFill="1" applyBorder="1" applyAlignment="1">
      <alignment horizontal="center" vertical="top"/>
    </xf>
    <xf numFmtId="184" fontId="6" fillId="5" borderId="9" xfId="0" applyNumberFormat="1" applyFont="1" applyFill="1" applyBorder="1" applyAlignment="1">
      <alignment horizontal="right"/>
    </xf>
    <xf numFmtId="184" fontId="6" fillId="3" borderId="9" xfId="0" applyNumberFormat="1" applyFont="1" applyFill="1" applyBorder="1" applyAlignment="1">
      <alignment horizontal="right"/>
    </xf>
    <xf numFmtId="184" fontId="6" fillId="5" borderId="9" xfId="0" applyNumberFormat="1" applyFont="1" applyFill="1" applyBorder="1" applyAlignment="1">
      <alignment horizontal="right" vertical="center"/>
    </xf>
    <xf numFmtId="184" fontId="6" fillId="3" borderId="4" xfId="0" applyNumberFormat="1" applyFont="1" applyFill="1" applyBorder="1" applyAlignment="1">
      <alignment horizontal="right" vertical="center"/>
    </xf>
    <xf numFmtId="0" fontId="9" fillId="0" borderId="11" xfId="0" applyFont="1" applyBorder="1" applyAlignment="1">
      <alignment horizontal="center"/>
    </xf>
    <xf numFmtId="0" fontId="3" fillId="7" borderId="2" xfId="0" applyFont="1" applyFill="1" applyBorder="1"/>
    <xf numFmtId="0" fontId="3" fillId="7" borderId="2" xfId="0" applyFont="1" applyFill="1" applyBorder="1" applyAlignment="1">
      <alignment horizontal="center"/>
    </xf>
    <xf numFmtId="0" fontId="9" fillId="7" borderId="11" xfId="0" applyFont="1" applyFill="1" applyBorder="1"/>
    <xf numFmtId="0" fontId="9" fillId="7" borderId="11" xfId="0" applyFont="1" applyFill="1" applyBorder="1" applyAlignment="1">
      <alignment horizontal="center"/>
    </xf>
    <xf numFmtId="0" fontId="9" fillId="7" borderId="0" xfId="0" applyFont="1" applyFill="1"/>
    <xf numFmtId="0" fontId="9" fillId="7" borderId="0" xfId="0" applyFont="1" applyFill="1" applyAlignment="1">
      <alignment horizontal="center"/>
    </xf>
    <xf numFmtId="184" fontId="6" fillId="5" borderId="3" xfId="0" applyNumberFormat="1" applyFont="1" applyFill="1" applyBorder="1" applyAlignment="1">
      <alignment horizontal="right"/>
    </xf>
    <xf numFmtId="184" fontId="6" fillId="5" borderId="10" xfId="0" applyNumberFormat="1" applyFont="1" applyFill="1" applyBorder="1" applyAlignment="1">
      <alignment horizontal="right"/>
    </xf>
    <xf numFmtId="0" fontId="6" fillId="3" borderId="4" xfId="0" quotePrefix="1" applyFont="1" applyFill="1" applyBorder="1" applyAlignment="1">
      <alignment horizontal="left"/>
    </xf>
    <xf numFmtId="184" fontId="6" fillId="5" borderId="4" xfId="0" applyNumberFormat="1" applyFont="1" applyFill="1" applyBorder="1" applyAlignment="1">
      <alignment horizontal="right"/>
    </xf>
    <xf numFmtId="184" fontId="6" fillId="3" borderId="4" xfId="0" applyNumberFormat="1" applyFont="1" applyFill="1" applyBorder="1" applyAlignment="1">
      <alignment horizontal="right"/>
    </xf>
    <xf numFmtId="0" fontId="3" fillId="0" borderId="0" xfId="5" applyFont="1"/>
    <xf numFmtId="0" fontId="39" fillId="0" borderId="0" xfId="5"/>
    <xf numFmtId="0" fontId="19" fillId="0" borderId="0" xfId="5" applyFont="1" applyAlignment="1"/>
    <xf numFmtId="2" fontId="39" fillId="0" borderId="0" xfId="5" applyNumberFormat="1"/>
    <xf numFmtId="0" fontId="19" fillId="0" borderId="0" xfId="5" applyFont="1"/>
    <xf numFmtId="0" fontId="30" fillId="0" borderId="0" xfId="5" applyFont="1"/>
    <xf numFmtId="3" fontId="4" fillId="5" borderId="0" xfId="0" applyNumberFormat="1" applyFont="1" applyFill="1" applyBorder="1" applyAlignment="1">
      <alignment horizontal="left"/>
    </xf>
    <xf numFmtId="182" fontId="4" fillId="3" borderId="3" xfId="0" applyNumberFormat="1" applyFont="1" applyFill="1" applyBorder="1" applyAlignment="1">
      <alignment horizontal="left"/>
    </xf>
    <xf numFmtId="3" fontId="4" fillId="5" borderId="16" xfId="0" applyNumberFormat="1" applyFont="1" applyFill="1" applyBorder="1"/>
    <xf numFmtId="182" fontId="4" fillId="3" borderId="10" xfId="0" applyNumberFormat="1" applyFont="1" applyFill="1" applyBorder="1" applyAlignment="1">
      <alignment horizontal="left"/>
    </xf>
    <xf numFmtId="3" fontId="4" fillId="5" borderId="17" xfId="0" applyNumberFormat="1" applyFont="1" applyFill="1" applyBorder="1"/>
    <xf numFmtId="3" fontId="4" fillId="5" borderId="17" xfId="0" applyNumberFormat="1" applyFont="1" applyFill="1" applyBorder="1" applyAlignment="1">
      <alignment horizontal="right"/>
    </xf>
    <xf numFmtId="182" fontId="4" fillId="3" borderId="4" xfId="0" applyNumberFormat="1" applyFont="1" applyFill="1" applyBorder="1" applyAlignment="1">
      <alignment horizontal="left"/>
    </xf>
    <xf numFmtId="3" fontId="4" fillId="5" borderId="4" xfId="0" applyNumberFormat="1" applyFont="1" applyFill="1" applyBorder="1"/>
    <xf numFmtId="3" fontId="4" fillId="3" borderId="4" xfId="0" applyNumberFormat="1" applyFont="1" applyFill="1" applyBorder="1"/>
    <xf numFmtId="3" fontId="4" fillId="5" borderId="18" xfId="0" applyNumberFormat="1" applyFont="1" applyFill="1" applyBorder="1"/>
    <xf numFmtId="2" fontId="5" fillId="0" borderId="0" xfId="0" applyNumberFormat="1" applyFont="1" applyBorder="1"/>
    <xf numFmtId="182" fontId="4" fillId="3" borderId="9" xfId="0" applyNumberFormat="1" applyFont="1" applyFill="1" applyBorder="1" applyAlignment="1">
      <alignment horizontal="left"/>
    </xf>
    <xf numFmtId="3" fontId="6" fillId="3" borderId="9" xfId="0" applyNumberFormat="1" applyFont="1" applyFill="1" applyBorder="1"/>
    <xf numFmtId="3" fontId="6" fillId="3" borderId="10" xfId="0" applyNumberFormat="1" applyFont="1" applyFill="1" applyBorder="1"/>
    <xf numFmtId="2" fontId="5" fillId="0" borderId="11" xfId="0" applyNumberFormat="1" applyFont="1" applyBorder="1"/>
    <xf numFmtId="184" fontId="6" fillId="3" borderId="9" xfId="0" applyNumberFormat="1" applyFont="1" applyFill="1" applyBorder="1" applyAlignment="1">
      <alignment vertical="center"/>
    </xf>
    <xf numFmtId="0" fontId="0" fillId="3" borderId="1" xfId="0" applyFill="1" applyBorder="1" applyAlignment="1">
      <alignment horizontal="right"/>
    </xf>
    <xf numFmtId="182" fontId="6" fillId="3" borderId="0" xfId="0" applyNumberFormat="1" applyFont="1" applyFill="1" applyBorder="1" applyAlignment="1">
      <alignment horizontal="left" vertical="center"/>
    </xf>
    <xf numFmtId="3" fontId="6" fillId="5" borderId="9" xfId="0" applyNumberFormat="1" applyFont="1" applyFill="1" applyBorder="1" applyAlignment="1">
      <alignment horizontal="right" vertical="center"/>
    </xf>
    <xf numFmtId="3" fontId="6" fillId="3" borderId="9" xfId="0" applyNumberFormat="1" applyFont="1" applyFill="1" applyBorder="1" applyAlignment="1">
      <alignment horizontal="right" vertical="center"/>
    </xf>
    <xf numFmtId="0" fontId="25" fillId="0" borderId="0" xfId="10" applyFont="1"/>
    <xf numFmtId="0" fontId="39" fillId="0" borderId="0" xfId="10"/>
    <xf numFmtId="0" fontId="3" fillId="0" borderId="0" xfId="10" applyFont="1"/>
    <xf numFmtId="2" fontId="39" fillId="0" borderId="0" xfId="10" applyNumberFormat="1"/>
    <xf numFmtId="0" fontId="5" fillId="0" borderId="0" xfId="10" applyFont="1" applyAlignment="1"/>
    <xf numFmtId="0" fontId="19" fillId="0" borderId="0" xfId="10" applyFont="1" applyAlignment="1"/>
    <xf numFmtId="0" fontId="30" fillId="0" borderId="0" xfId="10" applyFont="1"/>
    <xf numFmtId="0" fontId="2" fillId="7" borderId="0" xfId="0" applyFont="1" applyFill="1" applyAlignment="1">
      <alignment horizontal="right"/>
    </xf>
    <xf numFmtId="0" fontId="4" fillId="3" borderId="0" xfId="0" applyFont="1" applyFill="1" applyBorder="1" applyAlignment="1">
      <alignment horizontal="right" vertical="top"/>
    </xf>
    <xf numFmtId="0" fontId="4" fillId="3" borderId="3" xfId="0" applyNumberFormat="1" applyFont="1" applyFill="1" applyBorder="1" applyAlignment="1">
      <alignment horizontal="left"/>
    </xf>
    <xf numFmtId="183" fontId="4" fillId="5" borderId="3" xfId="0" applyNumberFormat="1" applyFont="1" applyFill="1" applyBorder="1" applyAlignment="1">
      <alignment horizontal="right"/>
    </xf>
    <xf numFmtId="0" fontId="4" fillId="3" borderId="10" xfId="0" applyNumberFormat="1" applyFont="1" applyFill="1" applyBorder="1" applyAlignment="1">
      <alignment horizontal="left"/>
    </xf>
    <xf numFmtId="183" fontId="6" fillId="3" borderId="0" xfId="0" applyNumberFormat="1" applyFont="1" applyFill="1" applyBorder="1" applyAlignment="1">
      <alignment horizontal="right" vertical="center"/>
    </xf>
    <xf numFmtId="1" fontId="5" fillId="0" borderId="11" xfId="0" applyNumberFormat="1" applyFont="1" applyFill="1" applyBorder="1" applyAlignment="1">
      <alignment horizontal="left"/>
    </xf>
    <xf numFmtId="183" fontId="4" fillId="0" borderId="11" xfId="0" applyNumberFormat="1" applyFont="1" applyFill="1" applyBorder="1" applyAlignment="1">
      <alignment horizontal="right"/>
    </xf>
    <xf numFmtId="1" fontId="5" fillId="0" borderId="0" xfId="0" applyNumberFormat="1" applyFont="1" applyFill="1" applyBorder="1" applyAlignment="1">
      <alignment horizontal="left"/>
    </xf>
    <xf numFmtId="183" fontId="4" fillId="0" borderId="0" xfId="0" applyNumberFormat="1" applyFont="1" applyFill="1" applyBorder="1" applyAlignment="1">
      <alignment horizontal="right"/>
    </xf>
    <xf numFmtId="0" fontId="5" fillId="0" borderId="0" xfId="0" applyFont="1" applyFill="1" applyAlignment="1">
      <alignment horizontal="right"/>
    </xf>
    <xf numFmtId="0" fontId="3" fillId="0" borderId="0" xfId="0" applyFont="1" applyFill="1" applyAlignment="1">
      <alignment vertical="center"/>
    </xf>
    <xf numFmtId="0" fontId="5" fillId="7" borderId="0" xfId="0" applyFont="1" applyFill="1" applyAlignment="1">
      <alignment horizontal="right"/>
    </xf>
    <xf numFmtId="1" fontId="5" fillId="7" borderId="11" xfId="0" applyNumberFormat="1" applyFont="1" applyFill="1" applyBorder="1" applyAlignment="1">
      <alignment horizontal="left"/>
    </xf>
    <xf numFmtId="183" fontId="4" fillId="7" borderId="11" xfId="0" applyNumberFormat="1" applyFont="1" applyFill="1" applyBorder="1" applyAlignment="1">
      <alignment horizontal="right"/>
    </xf>
    <xf numFmtId="0" fontId="4" fillId="0" borderId="0" xfId="0" applyFont="1" applyFill="1" applyBorder="1" applyAlignment="1">
      <alignment horizontal="right" vertical="top"/>
    </xf>
    <xf numFmtId="0" fontId="53" fillId="0" borderId="0" xfId="0" applyFont="1" applyAlignment="1">
      <alignment vertical="center"/>
    </xf>
    <xf numFmtId="1" fontId="5" fillId="7" borderId="0" xfId="0" applyNumberFormat="1" applyFont="1" applyFill="1" applyBorder="1" applyAlignment="1">
      <alignment horizontal="left"/>
    </xf>
    <xf numFmtId="183" fontId="4" fillId="7" borderId="0" xfId="0" applyNumberFormat="1" applyFont="1" applyFill="1" applyBorder="1" applyAlignment="1">
      <alignment horizontal="right"/>
    </xf>
    <xf numFmtId="0" fontId="4" fillId="3" borderId="10" xfId="0" quotePrefix="1" applyFont="1" applyFill="1" applyBorder="1" applyAlignment="1">
      <alignment horizontal="left" vertical="center"/>
    </xf>
    <xf numFmtId="184" fontId="4" fillId="3" borderId="10" xfId="0" applyNumberFormat="1" applyFont="1" applyFill="1" applyBorder="1" applyAlignment="1">
      <alignment horizontal="right" vertical="center"/>
    </xf>
    <xf numFmtId="184" fontId="6" fillId="3" borderId="3" xfId="0" applyNumberFormat="1" applyFont="1" applyFill="1" applyBorder="1" applyAlignment="1">
      <alignment horizontal="right" vertical="center"/>
    </xf>
    <xf numFmtId="184" fontId="6" fillId="5" borderId="3" xfId="0" applyNumberFormat="1" applyFont="1" applyFill="1" applyBorder="1" applyAlignment="1">
      <alignment horizontal="right" vertical="center"/>
    </xf>
    <xf numFmtId="0" fontId="2" fillId="0" borderId="0" xfId="0" applyFont="1" applyAlignment="1"/>
    <xf numFmtId="0" fontId="2" fillId="0" borderId="2" xfId="0" applyFont="1" applyBorder="1"/>
    <xf numFmtId="0" fontId="4" fillId="5" borderId="0" xfId="0" applyFont="1" applyFill="1" applyAlignment="1">
      <alignment horizontal="center"/>
    </xf>
    <xf numFmtId="0" fontId="4" fillId="3" borderId="0" xfId="0" applyFont="1" applyFill="1" applyAlignment="1">
      <alignment horizontal="center"/>
    </xf>
    <xf numFmtId="1" fontId="4" fillId="5" borderId="0" xfId="0" applyNumberFormat="1" applyFont="1" applyFill="1" applyBorder="1" applyAlignment="1">
      <alignment horizontal="center"/>
    </xf>
    <xf numFmtId="9" fontId="4" fillId="3" borderId="9" xfId="0" applyNumberFormat="1" applyFont="1" applyFill="1" applyBorder="1" applyAlignment="1">
      <alignment horizontal="center"/>
    </xf>
    <xf numFmtId="184" fontId="6" fillId="5" borderId="9" xfId="0" applyNumberFormat="1" applyFont="1" applyFill="1" applyBorder="1" applyAlignment="1">
      <alignment vertical="center"/>
    </xf>
    <xf numFmtId="9" fontId="6" fillId="3" borderId="4" xfId="0" applyNumberFormat="1" applyFont="1" applyFill="1" applyBorder="1" applyAlignment="1">
      <alignment horizontal="center" vertical="center"/>
    </xf>
    <xf numFmtId="0" fontId="5" fillId="0" borderId="0" xfId="0" quotePrefix="1" applyFont="1"/>
    <xf numFmtId="184" fontId="6" fillId="3" borderId="4" xfId="0" applyNumberFormat="1" applyFont="1" applyFill="1" applyBorder="1" applyAlignment="1">
      <alignment horizontal="center" vertical="center"/>
    </xf>
    <xf numFmtId="183" fontId="4" fillId="5" borderId="9" xfId="0" applyNumberFormat="1" applyFont="1" applyFill="1" applyBorder="1"/>
    <xf numFmtId="183" fontId="4" fillId="3" borderId="9" xfId="0" applyNumberFormat="1" applyFont="1" applyFill="1" applyBorder="1"/>
    <xf numFmtId="183" fontId="6" fillId="5" borderId="9" xfId="0" applyNumberFormat="1" applyFont="1" applyFill="1" applyBorder="1" applyAlignment="1">
      <alignment vertical="center"/>
    </xf>
    <xf numFmtId="183" fontId="6" fillId="3" borderId="9" xfId="0" applyNumberFormat="1" applyFont="1" applyFill="1" applyBorder="1" applyAlignment="1">
      <alignment vertical="center"/>
    </xf>
    <xf numFmtId="183" fontId="6" fillId="5" borderId="4" xfId="0" applyNumberFormat="1" applyFont="1" applyFill="1" applyBorder="1" applyAlignment="1">
      <alignment vertical="center"/>
    </xf>
    <xf numFmtId="3" fontId="4" fillId="0" borderId="11" xfId="0" applyNumberFormat="1" applyFont="1" applyBorder="1" applyAlignment="1">
      <alignment horizontal="center" vertical="top"/>
    </xf>
    <xf numFmtId="3" fontId="4" fillId="0" borderId="0" xfId="0" applyNumberFormat="1" applyFont="1" applyBorder="1" applyAlignment="1">
      <alignment horizontal="center" vertical="top"/>
    </xf>
    <xf numFmtId="3" fontId="6" fillId="5" borderId="0" xfId="0" applyNumberFormat="1" applyFont="1" applyFill="1" applyBorder="1" applyAlignment="1">
      <alignment horizontal="right"/>
    </xf>
    <xf numFmtId="3" fontId="6" fillId="5" borderId="9" xfId="0" applyNumberFormat="1" applyFont="1" applyFill="1" applyBorder="1"/>
    <xf numFmtId="3" fontId="4" fillId="5" borderId="9" xfId="0" applyNumberFormat="1" applyFont="1" applyFill="1" applyBorder="1" applyAlignment="1">
      <alignment horizontal="center"/>
    </xf>
    <xf numFmtId="3" fontId="4" fillId="5" borderId="10" xfId="0" applyNumberFormat="1" applyFont="1" applyFill="1" applyBorder="1" applyAlignment="1">
      <alignment horizontal="center"/>
    </xf>
    <xf numFmtId="3" fontId="6" fillId="5" borderId="0" xfId="0" applyNumberFormat="1" applyFont="1" applyFill="1" applyBorder="1" applyAlignment="1">
      <alignment horizontal="center" vertical="center"/>
    </xf>
    <xf numFmtId="3" fontId="6" fillId="3" borderId="9" xfId="0" applyNumberFormat="1" applyFont="1" applyFill="1" applyBorder="1" applyAlignment="1">
      <alignment horizontal="center" vertical="center"/>
    </xf>
    <xf numFmtId="184" fontId="6" fillId="5" borderId="0" xfId="0" applyNumberFormat="1" applyFont="1" applyFill="1" applyBorder="1" applyAlignment="1">
      <alignment horizontal="center" vertical="center"/>
    </xf>
    <xf numFmtId="184" fontId="6" fillId="5" borderId="4" xfId="0" applyNumberFormat="1" applyFont="1" applyFill="1" applyBorder="1" applyAlignment="1">
      <alignment horizontal="center" vertical="center"/>
    </xf>
    <xf numFmtId="0" fontId="9" fillId="0" borderId="0" xfId="0" applyFont="1" applyBorder="1" applyAlignment="1">
      <alignment vertical="center"/>
    </xf>
    <xf numFmtId="184" fontId="6" fillId="3" borderId="0" xfId="0" applyNumberFormat="1" applyFont="1" applyFill="1" applyBorder="1" applyAlignment="1">
      <alignment horizontal="center" vertical="center"/>
    </xf>
    <xf numFmtId="182" fontId="5" fillId="0" borderId="0" xfId="0" applyNumberFormat="1" applyFont="1" applyBorder="1"/>
    <xf numFmtId="183" fontId="4" fillId="5" borderId="9" xfId="0" quotePrefix="1" applyNumberFormat="1" applyFont="1" applyFill="1" applyBorder="1" applyAlignment="1">
      <alignment horizontal="right"/>
    </xf>
    <xf numFmtId="183" fontId="4" fillId="3" borderId="9" xfId="0" applyNumberFormat="1" applyFont="1" applyFill="1" applyBorder="1" applyAlignment="1">
      <alignment horizontal="right"/>
    </xf>
    <xf numFmtId="183" fontId="4" fillId="5" borderId="9" xfId="0" applyNumberFormat="1" applyFont="1" applyFill="1" applyBorder="1" applyAlignment="1">
      <alignment horizontal="right"/>
    </xf>
    <xf numFmtId="183" fontId="4" fillId="5" borderId="10" xfId="0" quotePrefix="1" applyNumberFormat="1" applyFont="1" applyFill="1" applyBorder="1" applyAlignment="1">
      <alignment horizontal="right"/>
    </xf>
    <xf numFmtId="183" fontId="6" fillId="5" borderId="10" xfId="0" quotePrefix="1" applyNumberFormat="1" applyFont="1" applyFill="1" applyBorder="1" applyAlignment="1">
      <alignment horizontal="right"/>
    </xf>
    <xf numFmtId="183" fontId="6" fillId="3" borderId="10" xfId="0" applyNumberFormat="1" applyFont="1" applyFill="1" applyBorder="1" applyAlignment="1">
      <alignment horizontal="right"/>
    </xf>
    <xf numFmtId="183" fontId="4" fillId="5" borderId="0" xfId="0" quotePrefix="1" applyNumberFormat="1" applyFont="1" applyFill="1" applyBorder="1" applyAlignment="1">
      <alignment horizontal="right" vertical="center"/>
    </xf>
    <xf numFmtId="184" fontId="4" fillId="5" borderId="0" xfId="0" applyNumberFormat="1" applyFont="1" applyFill="1" applyBorder="1" applyAlignment="1">
      <alignment horizontal="right" vertical="center"/>
    </xf>
    <xf numFmtId="184" fontId="4" fillId="5" borderId="0" xfId="20" applyNumberFormat="1" applyFont="1" applyFill="1" applyBorder="1" applyAlignment="1">
      <alignment horizontal="right" vertical="center"/>
    </xf>
    <xf numFmtId="182" fontId="5" fillId="0" borderId="11" xfId="0" applyNumberFormat="1" applyFont="1" applyBorder="1"/>
    <xf numFmtId="1" fontId="6" fillId="3" borderId="4" xfId="0" applyNumberFormat="1" applyFont="1" applyFill="1" applyBorder="1" applyAlignment="1">
      <alignment horizontal="left" vertical="center"/>
    </xf>
    <xf numFmtId="1" fontId="4" fillId="0" borderId="0" xfId="0" applyNumberFormat="1" applyFont="1" applyFill="1" applyBorder="1" applyAlignment="1">
      <alignment horizontal="left"/>
    </xf>
    <xf numFmtId="0" fontId="4" fillId="0" borderId="0" xfId="0" applyFont="1" applyFill="1" applyBorder="1"/>
    <xf numFmtId="0" fontId="5" fillId="0" borderId="0" xfId="0" applyFont="1" applyFill="1" applyBorder="1" applyAlignment="1">
      <alignment horizontal="right"/>
    </xf>
    <xf numFmtId="0" fontId="2" fillId="0" borderId="0" xfId="0" applyFont="1" applyFill="1" applyBorder="1"/>
    <xf numFmtId="0" fontId="54" fillId="3" borderId="10" xfId="0" quotePrefix="1" applyFont="1" applyFill="1" applyBorder="1" applyAlignment="1">
      <alignment horizontal="left"/>
    </xf>
    <xf numFmtId="0" fontId="55" fillId="3" borderId="10" xfId="0" quotePrefix="1" applyFont="1" applyFill="1" applyBorder="1" applyAlignment="1">
      <alignment horizontal="left"/>
    </xf>
    <xf numFmtId="0" fontId="4" fillId="3" borderId="19" xfId="0" applyFont="1" applyFill="1" applyBorder="1" applyAlignment="1">
      <alignment horizontal="left" vertical="center"/>
    </xf>
    <xf numFmtId="0" fontId="4" fillId="5" borderId="19" xfId="0" applyFont="1" applyFill="1" applyBorder="1" applyAlignment="1">
      <alignment horizontal="right" vertical="center"/>
    </xf>
    <xf numFmtId="0" fontId="4" fillId="3" borderId="19" xfId="0" applyFont="1" applyFill="1" applyBorder="1" applyAlignment="1">
      <alignment vertical="center"/>
    </xf>
    <xf numFmtId="0" fontId="4" fillId="5" borderId="19" xfId="0" applyFont="1" applyFill="1" applyBorder="1" applyAlignment="1">
      <alignment vertical="center"/>
    </xf>
    <xf numFmtId="1" fontId="4" fillId="3" borderId="9" xfId="0" applyNumberFormat="1" applyFont="1" applyFill="1" applyBorder="1" applyAlignment="1">
      <alignment horizontal="left"/>
    </xf>
    <xf numFmtId="184" fontId="2" fillId="7" borderId="0" xfId="0" applyNumberFormat="1" applyFont="1" applyFill="1"/>
    <xf numFmtId="0" fontId="30" fillId="0" borderId="0" xfId="0" applyFont="1" applyAlignment="1">
      <alignment horizontal="left" wrapText="1"/>
    </xf>
    <xf numFmtId="0" fontId="34" fillId="5" borderId="0" xfId="0" applyFont="1" applyFill="1" applyBorder="1" applyAlignment="1">
      <alignment horizontal="right"/>
    </xf>
    <xf numFmtId="184" fontId="34" fillId="3" borderId="0" xfId="0" applyNumberFormat="1" applyFont="1" applyFill="1" applyBorder="1" applyAlignment="1">
      <alignment horizontal="right"/>
    </xf>
    <xf numFmtId="0" fontId="4" fillId="3" borderId="0" xfId="0" applyFont="1" applyFill="1" applyBorder="1" applyAlignment="1">
      <alignment horizontal="left" vertical="top"/>
    </xf>
    <xf numFmtId="184" fontId="4" fillId="3" borderId="0" xfId="0" applyNumberFormat="1" applyFont="1" applyFill="1" applyBorder="1" applyAlignment="1">
      <alignment horizontal="right" vertical="top"/>
    </xf>
    <xf numFmtId="0" fontId="34" fillId="5" borderId="0" xfId="0" applyFont="1" applyFill="1" applyBorder="1" applyAlignment="1">
      <alignment horizontal="right" vertical="top"/>
    </xf>
    <xf numFmtId="184" fontId="34" fillId="3" borderId="0" xfId="0" applyNumberFormat="1" applyFont="1" applyFill="1" applyBorder="1" applyAlignment="1">
      <alignment horizontal="right" vertical="top"/>
    </xf>
    <xf numFmtId="184" fontId="6" fillId="3" borderId="12" xfId="0" applyNumberFormat="1" applyFont="1" applyFill="1" applyBorder="1" applyAlignment="1">
      <alignment horizontal="right" vertical="center"/>
    </xf>
    <xf numFmtId="0" fontId="5" fillId="0" borderId="0" xfId="0" applyFont="1" applyFill="1" applyAlignment="1">
      <alignment vertical="center"/>
    </xf>
    <xf numFmtId="0" fontId="9" fillId="0" borderId="0" xfId="0" applyFont="1" applyFill="1" applyAlignment="1">
      <alignment vertical="center"/>
    </xf>
    <xf numFmtId="3" fontId="4" fillId="0" borderId="0" xfId="0" applyNumberFormat="1" applyFont="1" applyFill="1" applyBorder="1" applyAlignment="1">
      <alignment horizontal="right" vertical="top"/>
    </xf>
    <xf numFmtId="184" fontId="4" fillId="0" borderId="0" xfId="0" applyNumberFormat="1" applyFont="1" applyFill="1" applyBorder="1" applyAlignment="1">
      <alignment horizontal="right" vertical="top"/>
    </xf>
    <xf numFmtId="3" fontId="46" fillId="5" borderId="10" xfId="0" applyNumberFormat="1" applyFont="1" applyFill="1" applyBorder="1" applyAlignment="1">
      <alignment horizontal="right"/>
    </xf>
    <xf numFmtId="184" fontId="46" fillId="3" borderId="10" xfId="0" applyNumberFormat="1" applyFont="1" applyFill="1" applyBorder="1" applyAlignment="1">
      <alignment horizontal="right"/>
    </xf>
    <xf numFmtId="3" fontId="46" fillId="3" borderId="10" xfId="0" applyNumberFormat="1" applyFont="1" applyFill="1" applyBorder="1" applyAlignment="1">
      <alignment horizontal="right"/>
    </xf>
    <xf numFmtId="0" fontId="46" fillId="3" borderId="4" xfId="0" applyFont="1" applyFill="1" applyBorder="1" applyAlignment="1">
      <alignment horizontal="left" vertical="center"/>
    </xf>
    <xf numFmtId="184" fontId="46" fillId="3" borderId="4" xfId="0" applyNumberFormat="1" applyFont="1" applyFill="1" applyBorder="1" applyAlignment="1">
      <alignment horizontal="right" vertical="center"/>
    </xf>
    <xf numFmtId="3" fontId="46" fillId="3" borderId="4" xfId="0" applyNumberFormat="1" applyFont="1" applyFill="1" applyBorder="1" applyAlignment="1">
      <alignment horizontal="right" vertical="center"/>
    </xf>
    <xf numFmtId="3" fontId="46" fillId="5" borderId="4" xfId="0" applyNumberFormat="1" applyFont="1" applyFill="1" applyBorder="1" applyAlignment="1">
      <alignment horizontal="right" vertical="center"/>
    </xf>
    <xf numFmtId="3" fontId="4" fillId="0" borderId="2" xfId="0" applyNumberFormat="1" applyFont="1" applyFill="1" applyBorder="1" applyAlignment="1">
      <alignment horizontal="right" vertical="top"/>
    </xf>
    <xf numFmtId="0" fontId="34" fillId="5" borderId="0" xfId="0" applyFont="1" applyFill="1" applyBorder="1" applyAlignment="1">
      <alignment horizontal="right" vertical="center"/>
    </xf>
    <xf numFmtId="184" fontId="34" fillId="3" borderId="0" xfId="0" applyNumberFormat="1" applyFont="1" applyFill="1" applyBorder="1" applyAlignment="1">
      <alignment horizontal="right" vertical="center"/>
    </xf>
    <xf numFmtId="0" fontId="56" fillId="5" borderId="0" xfId="0" applyFont="1" applyFill="1" applyBorder="1" applyAlignment="1">
      <alignment horizontal="right" vertical="top"/>
    </xf>
    <xf numFmtId="184" fontId="56" fillId="3" borderId="0" xfId="0" applyNumberFormat="1" applyFont="1" applyFill="1" applyBorder="1" applyAlignment="1">
      <alignment horizontal="right" vertical="top"/>
    </xf>
    <xf numFmtId="0" fontId="33" fillId="0" borderId="0" xfId="0" applyFont="1"/>
    <xf numFmtId="184" fontId="5" fillId="0" borderId="0" xfId="0" applyNumberFormat="1" applyFont="1" applyFill="1"/>
    <xf numFmtId="0" fontId="58" fillId="7" borderId="0" xfId="0" applyFont="1" applyFill="1" applyAlignment="1">
      <alignment vertical="top"/>
    </xf>
    <xf numFmtId="0" fontId="19" fillId="7" borderId="0" xfId="0" applyFont="1" applyFill="1"/>
    <xf numFmtId="0" fontId="58" fillId="7" borderId="2" xfId="0" applyFont="1" applyFill="1" applyBorder="1" applyAlignment="1">
      <alignment vertical="top"/>
    </xf>
    <xf numFmtId="0" fontId="19" fillId="7" borderId="2" xfId="0" applyFont="1" applyFill="1" applyBorder="1" applyAlignment="1">
      <alignment vertical="center"/>
    </xf>
    <xf numFmtId="0" fontId="5" fillId="7" borderId="2" xfId="0" applyFont="1" applyFill="1" applyBorder="1" applyAlignment="1">
      <alignment vertical="center"/>
    </xf>
    <xf numFmtId="0" fontId="9" fillId="7" borderId="2" xfId="0" applyFont="1" applyFill="1" applyBorder="1" applyAlignment="1">
      <alignment vertical="center"/>
    </xf>
    <xf numFmtId="0" fontId="5" fillId="0" borderId="2" xfId="0" applyFont="1" applyBorder="1"/>
    <xf numFmtId="0" fontId="59" fillId="5" borderId="0" xfId="0" applyFont="1" applyFill="1" applyBorder="1" applyAlignment="1">
      <alignment horizontal="center"/>
    </xf>
    <xf numFmtId="0" fontId="6" fillId="5" borderId="0" xfId="0" applyFont="1" applyFill="1" applyBorder="1"/>
    <xf numFmtId="0" fontId="6" fillId="3" borderId="0" xfId="0" applyFont="1" applyFill="1" applyBorder="1"/>
    <xf numFmtId="0" fontId="6" fillId="0" borderId="0" xfId="0" applyFont="1" applyFill="1" applyBorder="1" applyAlignment="1">
      <alignment horizontal="right"/>
    </xf>
    <xf numFmtId="0" fontId="19" fillId="5" borderId="0" xfId="0" applyFont="1" applyFill="1" applyBorder="1" applyAlignment="1">
      <alignment horizontal="right" wrapText="1"/>
    </xf>
    <xf numFmtId="0" fontId="19" fillId="3" borderId="0" xfId="0" applyFont="1" applyFill="1" applyBorder="1" applyAlignment="1">
      <alignment horizontal="right" wrapText="1"/>
    </xf>
    <xf numFmtId="0" fontId="19" fillId="0" borderId="0" xfId="0" applyFont="1" applyFill="1" applyBorder="1" applyAlignment="1">
      <alignment horizontal="right" wrapText="1"/>
    </xf>
    <xf numFmtId="0" fontId="53" fillId="5" borderId="0" xfId="0" applyFont="1" applyFill="1" applyBorder="1" applyAlignment="1">
      <alignment horizontal="right" wrapText="1"/>
    </xf>
    <xf numFmtId="0" fontId="53" fillId="3" borderId="0" xfId="0" applyFont="1" applyFill="1" applyBorder="1" applyAlignment="1">
      <alignment horizontal="right" wrapText="1"/>
    </xf>
    <xf numFmtId="0" fontId="56" fillId="5" borderId="0" xfId="0" applyFont="1" applyFill="1" applyBorder="1" applyAlignment="1">
      <alignment horizontal="right" wrapText="1"/>
    </xf>
    <xf numFmtId="0" fontId="61" fillId="3" borderId="0" xfId="0" applyFont="1" applyFill="1" applyBorder="1"/>
    <xf numFmtId="0" fontId="6" fillId="0" borderId="0" xfId="0" applyFont="1" applyFill="1" applyBorder="1"/>
    <xf numFmtId="0" fontId="44" fillId="5" borderId="0" xfId="0" applyFont="1" applyFill="1" applyBorder="1"/>
    <xf numFmtId="0" fontId="59" fillId="5" borderId="2" xfId="0" applyFont="1" applyFill="1" applyBorder="1" applyAlignment="1">
      <alignment horizontal="center"/>
    </xf>
    <xf numFmtId="0" fontId="6" fillId="5" borderId="2" xfId="0" applyFont="1" applyFill="1" applyBorder="1" applyAlignment="1">
      <alignment vertical="top"/>
    </xf>
    <xf numFmtId="0" fontId="6" fillId="3" borderId="2" xfId="0" applyFont="1" applyFill="1" applyBorder="1" applyAlignment="1">
      <alignment vertical="top"/>
    </xf>
    <xf numFmtId="0" fontId="6" fillId="3" borderId="2" xfId="0" applyFont="1" applyFill="1" applyBorder="1"/>
    <xf numFmtId="0" fontId="6" fillId="0" borderId="2" xfId="0" applyFont="1" applyFill="1" applyBorder="1" applyAlignment="1">
      <alignment horizontal="right" vertical="top"/>
    </xf>
    <xf numFmtId="0" fontId="6" fillId="5" borderId="2" xfId="0" applyFont="1" applyFill="1" applyBorder="1"/>
    <xf numFmtId="0" fontId="6" fillId="0" borderId="2" xfId="0" applyFont="1" applyFill="1" applyBorder="1"/>
    <xf numFmtId="0" fontId="44" fillId="5" borderId="2" xfId="0" applyFont="1" applyFill="1" applyBorder="1"/>
    <xf numFmtId="0" fontId="30" fillId="5" borderId="3" xfId="0" applyFont="1" applyFill="1" applyBorder="1" applyAlignment="1">
      <alignment horizontal="center"/>
    </xf>
    <xf numFmtId="0" fontId="4" fillId="5" borderId="3" xfId="0" applyFont="1" applyFill="1" applyBorder="1" applyAlignment="1"/>
    <xf numFmtId="3" fontId="6" fillId="3" borderId="3" xfId="0" applyNumberFormat="1" applyFont="1" applyFill="1" applyBorder="1" applyAlignment="1"/>
    <xf numFmtId="3" fontId="4" fillId="0" borderId="3" xfId="0" applyNumberFormat="1" applyFont="1" applyFill="1" applyBorder="1" applyAlignment="1"/>
    <xf numFmtId="184" fontId="5" fillId="5" borderId="3" xfId="0" applyNumberFormat="1" applyFont="1" applyFill="1" applyBorder="1" applyAlignment="1">
      <alignment horizontal="center"/>
    </xf>
    <xf numFmtId="184" fontId="5" fillId="3" borderId="3" xfId="0" applyNumberFormat="1" applyFont="1" applyFill="1" applyBorder="1" applyAlignment="1">
      <alignment horizontal="center"/>
    </xf>
    <xf numFmtId="184" fontId="5" fillId="0" borderId="3" xfId="0" applyNumberFormat="1" applyFont="1" applyFill="1" applyBorder="1" applyAlignment="1">
      <alignment horizontal="center"/>
    </xf>
    <xf numFmtId="3" fontId="46" fillId="3" borderId="3" xfId="0" applyNumberFormat="1" applyFont="1" applyFill="1" applyBorder="1" applyAlignment="1">
      <alignment horizontal="right"/>
    </xf>
    <xf numFmtId="184" fontId="34" fillId="5" borderId="3" xfId="0" applyNumberFormat="1" applyFont="1" applyFill="1" applyBorder="1" applyAlignment="1">
      <alignment horizontal="center"/>
    </xf>
    <xf numFmtId="0" fontId="30" fillId="5" borderId="10" xfId="0" applyFont="1" applyFill="1" applyBorder="1" applyAlignment="1">
      <alignment horizontal="center"/>
    </xf>
    <xf numFmtId="0" fontId="4" fillId="5" borderId="10" xfId="0" applyFont="1" applyFill="1" applyBorder="1" applyAlignment="1"/>
    <xf numFmtId="3" fontId="6" fillId="3" borderId="10" xfId="0" applyNumberFormat="1" applyFont="1" applyFill="1" applyBorder="1" applyAlignment="1"/>
    <xf numFmtId="3" fontId="46" fillId="5" borderId="10" xfId="0" applyNumberFormat="1" applyFont="1" applyFill="1" applyBorder="1" applyAlignment="1"/>
    <xf numFmtId="3" fontId="46" fillId="3" borderId="10" xfId="0" applyNumberFormat="1" applyFont="1" applyFill="1" applyBorder="1" applyAlignment="1"/>
    <xf numFmtId="183" fontId="4" fillId="3" borderId="10" xfId="0" applyNumberFormat="1" applyFont="1" applyFill="1" applyBorder="1" applyAlignment="1"/>
    <xf numFmtId="182" fontId="4" fillId="3" borderId="10" xfId="0" applyNumberFormat="1" applyFont="1" applyFill="1" applyBorder="1" applyAlignment="1">
      <alignment horizontal="right"/>
    </xf>
    <xf numFmtId="183" fontId="6" fillId="3" borderId="10" xfId="0" applyNumberFormat="1" applyFont="1" applyFill="1" applyBorder="1" applyAlignment="1"/>
    <xf numFmtId="183" fontId="4" fillId="0" borderId="3" xfId="0" applyNumberFormat="1" applyFont="1" applyFill="1" applyBorder="1" applyAlignment="1"/>
    <xf numFmtId="182" fontId="46" fillId="5" borderId="10" xfId="0" applyNumberFormat="1" applyFont="1" applyFill="1" applyBorder="1" applyAlignment="1">
      <alignment horizontal="right"/>
    </xf>
    <xf numFmtId="183" fontId="46" fillId="3" borderId="10" xfId="0" applyNumberFormat="1" applyFont="1" applyFill="1" applyBorder="1" applyAlignment="1">
      <alignment horizontal="right"/>
    </xf>
    <xf numFmtId="0" fontId="5" fillId="5" borderId="10" xfId="0" applyFont="1" applyFill="1" applyBorder="1" applyAlignment="1"/>
    <xf numFmtId="184" fontId="4" fillId="3" borderId="10" xfId="0" applyNumberFormat="1" applyFont="1" applyFill="1" applyBorder="1" applyAlignment="1"/>
    <xf numFmtId="184" fontId="4" fillId="5" borderId="10" xfId="0" applyNumberFormat="1" applyFont="1" applyFill="1" applyBorder="1" applyAlignment="1"/>
    <xf numFmtId="184" fontId="6" fillId="3" borderId="10" xfId="0" applyNumberFormat="1" applyFont="1" applyFill="1" applyBorder="1" applyAlignment="1"/>
    <xf numFmtId="184" fontId="46" fillId="5" borderId="10" xfId="0" applyNumberFormat="1" applyFont="1" applyFill="1" applyBorder="1" applyAlignment="1"/>
    <xf numFmtId="184" fontId="46" fillId="3" borderId="10" xfId="0" applyNumberFormat="1" applyFont="1" applyFill="1" applyBorder="1" applyAlignment="1"/>
    <xf numFmtId="0" fontId="30" fillId="5" borderId="4" xfId="0" applyFont="1" applyFill="1" applyBorder="1" applyAlignment="1">
      <alignment horizontal="center" vertical="center"/>
    </xf>
    <xf numFmtId="0" fontId="4" fillId="5" borderId="4" xfId="0" applyFont="1" applyFill="1" applyBorder="1" applyAlignment="1"/>
    <xf numFmtId="184" fontId="4" fillId="3" borderId="4" xfId="0" applyNumberFormat="1" applyFont="1" applyFill="1" applyBorder="1" applyAlignment="1"/>
    <xf numFmtId="184" fontId="4" fillId="5" borderId="4" xfId="0" applyNumberFormat="1" applyFont="1" applyFill="1" applyBorder="1" applyAlignment="1"/>
    <xf numFmtId="184" fontId="4" fillId="0" borderId="4" xfId="0" applyNumberFormat="1" applyFont="1" applyFill="1" applyBorder="1" applyAlignment="1"/>
    <xf numFmtId="184" fontId="5" fillId="5" borderId="4" xfId="0" applyNumberFormat="1" applyFont="1" applyFill="1" applyBorder="1" applyAlignment="1">
      <alignment horizontal="center"/>
    </xf>
    <xf numFmtId="184" fontId="5" fillId="3" borderId="4" xfId="0" applyNumberFormat="1" applyFont="1" applyFill="1" applyBorder="1" applyAlignment="1">
      <alignment horizontal="center"/>
    </xf>
    <xf numFmtId="184" fontId="5" fillId="0" borderId="4" xfId="0" applyNumberFormat="1" applyFont="1" applyFill="1" applyBorder="1" applyAlignment="1">
      <alignment horizontal="center"/>
    </xf>
    <xf numFmtId="184" fontId="46" fillId="5" borderId="4" xfId="0" applyNumberFormat="1" applyFont="1" applyFill="1" applyBorder="1" applyAlignment="1"/>
    <xf numFmtId="184" fontId="46" fillId="3" borderId="4" xfId="0" applyNumberFormat="1" applyFont="1" applyFill="1" applyBorder="1" applyAlignment="1"/>
    <xf numFmtId="184" fontId="34" fillId="5" borderId="4" xfId="0" applyNumberFormat="1" applyFont="1" applyFill="1" applyBorder="1" applyAlignment="1">
      <alignment horizontal="center"/>
    </xf>
    <xf numFmtId="0" fontId="5" fillId="0" borderId="11" xfId="0" applyFont="1" applyFill="1" applyBorder="1" applyAlignment="1"/>
    <xf numFmtId="184" fontId="4" fillId="0" borderId="11" xfId="0" applyNumberFormat="1" applyFont="1" applyFill="1" applyBorder="1" applyAlignment="1"/>
    <xf numFmtId="184" fontId="6" fillId="0" borderId="11" xfId="0" applyNumberFormat="1" applyFont="1" applyFill="1" applyBorder="1" applyAlignment="1"/>
    <xf numFmtId="184" fontId="6" fillId="0" borderId="0" xfId="0" applyNumberFormat="1" applyFont="1" applyFill="1" applyBorder="1" applyAlignment="1"/>
    <xf numFmtId="3" fontId="2" fillId="0" borderId="0" xfId="0" applyNumberFormat="1" applyFont="1" applyFill="1" applyBorder="1"/>
    <xf numFmtId="0" fontId="3" fillId="0" borderId="0" xfId="0" applyFont="1" applyBorder="1"/>
    <xf numFmtId="0" fontId="5" fillId="0" borderId="20" xfId="0" applyFont="1" applyBorder="1" applyAlignment="1">
      <alignment horizontal="center"/>
    </xf>
    <xf numFmtId="0" fontId="19" fillId="0" borderId="20" xfId="0" applyFont="1" applyFill="1" applyBorder="1"/>
    <xf numFmtId="0" fontId="19" fillId="0" borderId="20" xfId="0" applyFont="1" applyFill="1" applyBorder="1" applyAlignment="1">
      <alignment horizontal="right"/>
    </xf>
    <xf numFmtId="0" fontId="5" fillId="0" borderId="20" xfId="0" quotePrefix="1" applyFont="1" applyBorder="1"/>
    <xf numFmtId="0" fontId="5" fillId="0" borderId="20" xfId="0" applyFont="1" applyBorder="1"/>
    <xf numFmtId="0" fontId="9" fillId="0" borderId="20" xfId="0" applyFont="1" applyBorder="1"/>
    <xf numFmtId="0" fontId="5" fillId="0" borderId="21" xfId="14" applyFont="1" applyFill="1" applyBorder="1"/>
    <xf numFmtId="0" fontId="19" fillId="0" borderId="20" xfId="0" applyFont="1" applyBorder="1" applyAlignment="1">
      <alignment horizontal="right"/>
    </xf>
    <xf numFmtId="0" fontId="19" fillId="0" borderId="20" xfId="0" applyFont="1" applyBorder="1"/>
    <xf numFmtId="0" fontId="19" fillId="0" borderId="20" xfId="0" quotePrefix="1" applyFont="1" applyBorder="1"/>
    <xf numFmtId="0" fontId="19" fillId="0" borderId="0" xfId="0" applyFont="1"/>
    <xf numFmtId="0" fontId="4" fillId="5" borderId="19" xfId="0" applyFont="1" applyFill="1" applyBorder="1" applyAlignment="1">
      <alignment horizontal="left" vertical="center"/>
    </xf>
    <xf numFmtId="1" fontId="4" fillId="5" borderId="9" xfId="0" applyNumberFormat="1" applyFont="1" applyFill="1" applyBorder="1" applyAlignment="1">
      <alignment horizontal="left"/>
    </xf>
    <xf numFmtId="1" fontId="4" fillId="5" borderId="10" xfId="0" applyNumberFormat="1" applyFont="1" applyFill="1" applyBorder="1" applyAlignment="1">
      <alignment horizontal="left"/>
    </xf>
    <xf numFmtId="1" fontId="6" fillId="5" borderId="4" xfId="0" applyNumberFormat="1" applyFont="1" applyFill="1" applyBorder="1" applyAlignment="1">
      <alignment horizontal="left" vertical="center"/>
    </xf>
    <xf numFmtId="1" fontId="4" fillId="7" borderId="0" xfId="0" applyNumberFormat="1" applyFont="1" applyFill="1" applyBorder="1" applyAlignment="1">
      <alignment horizontal="left"/>
    </xf>
    <xf numFmtId="0" fontId="2" fillId="7" borderId="0" xfId="0" applyFont="1" applyFill="1" applyAlignment="1">
      <alignment horizontal="center"/>
    </xf>
    <xf numFmtId="0" fontId="4" fillId="3" borderId="0" xfId="0" applyFont="1" applyFill="1" applyBorder="1" applyAlignment="1">
      <alignment horizontal="center" vertical="top"/>
    </xf>
    <xf numFmtId="4" fontId="4" fillId="5" borderId="9" xfId="0" applyNumberFormat="1" applyFont="1" applyFill="1" applyBorder="1" applyAlignment="1">
      <alignment horizontal="right"/>
    </xf>
    <xf numFmtId="0" fontId="4" fillId="3" borderId="9" xfId="0" applyNumberFormat="1" applyFont="1" applyFill="1" applyBorder="1" applyAlignment="1">
      <alignment horizontal="center"/>
    </xf>
    <xf numFmtId="4" fontId="6" fillId="5" borderId="9" xfId="0" applyNumberFormat="1" applyFont="1" applyFill="1" applyBorder="1" applyAlignment="1">
      <alignment horizontal="right" vertical="center"/>
    </xf>
    <xf numFmtId="0" fontId="6" fillId="3" borderId="9" xfId="0" applyNumberFormat="1" applyFont="1" applyFill="1" applyBorder="1" applyAlignment="1">
      <alignment horizontal="center" vertical="center"/>
    </xf>
    <xf numFmtId="1" fontId="4" fillId="3" borderId="0" xfId="0" applyNumberFormat="1" applyFont="1" applyFill="1" applyBorder="1" applyAlignment="1">
      <alignment horizontal="left" vertical="center"/>
    </xf>
    <xf numFmtId="3" fontId="4" fillId="3" borderId="0" xfId="0" applyNumberFormat="1" applyFont="1" applyFill="1" applyBorder="1" applyAlignment="1">
      <alignment horizontal="right" vertical="center"/>
    </xf>
    <xf numFmtId="183" fontId="4" fillId="7" borderId="11" xfId="0" applyNumberFormat="1" applyFont="1" applyFill="1" applyBorder="1" applyAlignment="1">
      <alignment horizontal="center"/>
    </xf>
    <xf numFmtId="1" fontId="5" fillId="0" borderId="11" xfId="0" applyNumberFormat="1" applyFont="1" applyBorder="1" applyAlignment="1">
      <alignment horizontal="left"/>
    </xf>
    <xf numFmtId="183" fontId="4" fillId="0" borderId="11" xfId="0" applyNumberFormat="1" applyFont="1" applyBorder="1" applyAlignment="1">
      <alignment horizontal="right"/>
    </xf>
    <xf numFmtId="183" fontId="4" fillId="7" borderId="0" xfId="0" applyNumberFormat="1" applyFont="1" applyFill="1" applyBorder="1" applyAlignment="1">
      <alignment horizontal="center"/>
    </xf>
    <xf numFmtId="183" fontId="4" fillId="0" borderId="0" xfId="0" applyNumberFormat="1" applyFont="1" applyBorder="1" applyAlignment="1">
      <alignment horizontal="right"/>
    </xf>
    <xf numFmtId="183" fontId="4" fillId="0" borderId="0" xfId="0" applyNumberFormat="1" applyFont="1" applyFill="1" applyBorder="1" applyAlignment="1">
      <alignment horizontal="center"/>
    </xf>
    <xf numFmtId="0" fontId="5" fillId="0" borderId="0" xfId="0" applyFont="1" applyFill="1" applyBorder="1" applyAlignment="1">
      <alignment horizontal="center"/>
    </xf>
    <xf numFmtId="183" fontId="44" fillId="5" borderId="0" xfId="0" applyNumberFormat="1" applyFont="1" applyFill="1" applyBorder="1" applyAlignment="1">
      <alignment horizontal="right" vertical="center"/>
    </xf>
    <xf numFmtId="184" fontId="44" fillId="3" borderId="0" xfId="0" applyNumberFormat="1" applyFont="1" applyFill="1" applyBorder="1" applyAlignment="1">
      <alignment horizontal="right" vertical="center"/>
    </xf>
    <xf numFmtId="0" fontId="4" fillId="3" borderId="1" xfId="0" applyFont="1" applyFill="1" applyBorder="1" applyAlignment="1">
      <alignment horizontal="left" vertical="top" wrapText="1"/>
    </xf>
    <xf numFmtId="0" fontId="4" fillId="5" borderId="1" xfId="0" applyFont="1" applyFill="1" applyBorder="1" applyAlignment="1">
      <alignment horizontal="right" vertical="top" wrapText="1"/>
    </xf>
    <xf numFmtId="0" fontId="4" fillId="3" borderId="1" xfId="0" applyFont="1" applyFill="1" applyBorder="1" applyAlignment="1">
      <alignment horizontal="right" vertical="top" wrapText="1"/>
    </xf>
    <xf numFmtId="0" fontId="5" fillId="0" borderId="0" xfId="0" applyFont="1" applyAlignment="1">
      <alignment vertical="top" wrapText="1"/>
    </xf>
    <xf numFmtId="1" fontId="4" fillId="3" borderId="22" xfId="0" applyNumberFormat="1" applyFont="1" applyFill="1" applyBorder="1" applyAlignment="1">
      <alignment horizontal="left"/>
    </xf>
    <xf numFmtId="0" fontId="4" fillId="3" borderId="2" xfId="0" applyFont="1" applyFill="1" applyBorder="1" applyAlignment="1">
      <alignment horizontal="right" vertical="top" wrapText="1"/>
    </xf>
    <xf numFmtId="0" fontId="62" fillId="0" borderId="0" xfId="0" applyFont="1"/>
    <xf numFmtId="0" fontId="63" fillId="0" borderId="0" xfId="0" quotePrefix="1" applyFont="1"/>
    <xf numFmtId="0" fontId="63" fillId="0" borderId="0" xfId="0" applyFont="1"/>
    <xf numFmtId="4" fontId="4" fillId="3" borderId="3" xfId="0" applyNumberFormat="1" applyFont="1" applyFill="1" applyBorder="1" applyAlignment="1">
      <alignment horizontal="right"/>
    </xf>
    <xf numFmtId="4" fontId="4" fillId="5" borderId="3" xfId="0" applyNumberFormat="1" applyFont="1" applyFill="1" applyBorder="1" applyAlignment="1">
      <alignment horizontal="right"/>
    </xf>
    <xf numFmtId="4" fontId="4" fillId="3" borderId="10" xfId="0" applyNumberFormat="1" applyFont="1" applyFill="1" applyBorder="1" applyAlignment="1">
      <alignment horizontal="right"/>
    </xf>
    <xf numFmtId="2" fontId="6" fillId="3" borderId="0" xfId="0" applyNumberFormat="1" applyFont="1" applyFill="1" applyBorder="1" applyAlignment="1">
      <alignment horizontal="right" vertical="center"/>
    </xf>
    <xf numFmtId="2" fontId="6" fillId="5" borderId="0" xfId="0" applyNumberFormat="1" applyFont="1" applyFill="1" applyBorder="1" applyAlignment="1">
      <alignment horizontal="right" vertical="center"/>
    </xf>
    <xf numFmtId="0" fontId="56" fillId="3" borderId="0" xfId="0" applyFont="1" applyFill="1" applyBorder="1" applyAlignment="1">
      <alignment horizontal="right" wrapText="1"/>
    </xf>
    <xf numFmtId="0" fontId="44" fillId="3" borderId="0" xfId="0" applyFont="1" applyFill="1" applyBorder="1"/>
    <xf numFmtId="0" fontId="44" fillId="3" borderId="2" xfId="0" applyFont="1" applyFill="1" applyBorder="1"/>
    <xf numFmtId="184" fontId="34" fillId="3" borderId="3" xfId="0" applyNumberFormat="1" applyFont="1" applyFill="1" applyBorder="1" applyAlignment="1">
      <alignment horizontal="center"/>
    </xf>
    <xf numFmtId="184" fontId="34" fillId="3" borderId="4" xfId="0" applyNumberFormat="1" applyFont="1" applyFill="1" applyBorder="1" applyAlignment="1">
      <alignment horizontal="center"/>
    </xf>
    <xf numFmtId="9" fontId="6" fillId="5" borderId="1" xfId="0" applyNumberFormat="1" applyFont="1" applyFill="1" applyBorder="1" applyAlignment="1">
      <alignment horizontal="right" wrapText="1"/>
    </xf>
    <xf numFmtId="0" fontId="3" fillId="0" borderId="0" xfId="4" applyFont="1"/>
    <xf numFmtId="0" fontId="39" fillId="0" borderId="0" xfId="4"/>
    <xf numFmtId="0" fontId="5" fillId="0" borderId="0" xfId="4" applyFont="1"/>
    <xf numFmtId="0" fontId="5" fillId="0" borderId="0" xfId="4" applyFont="1" applyAlignment="1"/>
    <xf numFmtId="0" fontId="5" fillId="0" borderId="0" xfId="4" quotePrefix="1" applyFont="1" applyAlignment="1">
      <alignment horizontal="right"/>
    </xf>
    <xf numFmtId="0" fontId="19" fillId="0" borderId="0" xfId="4" applyFont="1"/>
    <xf numFmtId="0" fontId="4" fillId="0" borderId="1" xfId="0" applyFont="1" applyFill="1" applyBorder="1" applyAlignment="1">
      <alignment horizontal="center"/>
    </xf>
    <xf numFmtId="0" fontId="4" fillId="0" borderId="0" xfId="0" applyFont="1" applyFill="1" applyBorder="1" applyAlignment="1">
      <alignment horizontal="center"/>
    </xf>
    <xf numFmtId="0" fontId="4" fillId="0" borderId="2" xfId="0" applyFont="1" applyFill="1" applyBorder="1" applyAlignment="1">
      <alignment horizontal="center" vertical="top"/>
    </xf>
    <xf numFmtId="0" fontId="41" fillId="3" borderId="2" xfId="0" applyFont="1" applyFill="1" applyBorder="1" applyAlignment="1">
      <alignment horizontal="center" vertical="top"/>
    </xf>
    <xf numFmtId="182" fontId="4" fillId="5" borderId="9" xfId="0" applyNumberFormat="1" applyFont="1" applyFill="1" applyBorder="1" applyAlignment="1">
      <alignment horizontal="right"/>
    </xf>
    <xf numFmtId="184" fontId="4" fillId="0" borderId="3" xfId="0" applyNumberFormat="1" applyFont="1" applyFill="1" applyBorder="1" applyAlignment="1">
      <alignment horizontal="center"/>
    </xf>
    <xf numFmtId="184" fontId="4" fillId="0" borderId="10" xfId="0" applyNumberFormat="1" applyFont="1" applyFill="1" applyBorder="1" applyAlignment="1">
      <alignment horizontal="center"/>
    </xf>
    <xf numFmtId="182" fontId="6" fillId="5" borderId="0" xfId="0" applyNumberFormat="1" applyFont="1" applyFill="1" applyBorder="1" applyAlignment="1">
      <alignment horizontal="right" vertical="center"/>
    </xf>
    <xf numFmtId="184" fontId="6" fillId="0" borderId="4" xfId="0" applyNumberFormat="1" applyFont="1" applyFill="1" applyBorder="1" applyAlignment="1">
      <alignment horizontal="center" vertical="center"/>
    </xf>
    <xf numFmtId="182" fontId="4" fillId="0" borderId="11" xfId="0" applyNumberFormat="1" applyFont="1" applyBorder="1" applyAlignment="1">
      <alignment horizontal="center" vertical="top"/>
    </xf>
    <xf numFmtId="182" fontId="4" fillId="0" borderId="0" xfId="0" applyNumberFormat="1" applyFont="1" applyBorder="1" applyAlignment="1">
      <alignment horizontal="center" vertical="top"/>
    </xf>
    <xf numFmtId="182" fontId="0" fillId="0" borderId="0" xfId="0" applyNumberFormat="1"/>
    <xf numFmtId="0" fontId="2" fillId="0" borderId="2" xfId="0" applyFont="1" applyBorder="1" applyAlignment="1">
      <alignment horizontal="center"/>
    </xf>
    <xf numFmtId="3" fontId="4" fillId="0" borderId="0" xfId="0" applyNumberFormat="1" applyFont="1" applyFill="1" applyBorder="1" applyAlignment="1">
      <alignment horizontal="center"/>
    </xf>
    <xf numFmtId="0" fontId="4" fillId="3" borderId="0" xfId="0" applyFont="1" applyFill="1" applyBorder="1" applyAlignment="1"/>
    <xf numFmtId="3" fontId="41" fillId="5" borderId="0" xfId="0" applyNumberFormat="1" applyFont="1" applyFill="1" applyBorder="1" applyAlignment="1">
      <alignment horizontal="center"/>
    </xf>
    <xf numFmtId="3" fontId="4" fillId="0" borderId="2" xfId="0" applyNumberFormat="1" applyFont="1" applyFill="1" applyBorder="1" applyAlignment="1">
      <alignment horizontal="center" vertical="top"/>
    </xf>
    <xf numFmtId="184" fontId="6" fillId="5" borderId="3" xfId="0" applyNumberFormat="1" applyFont="1" applyFill="1" applyBorder="1" applyAlignment="1">
      <alignment horizontal="center" vertical="center"/>
    </xf>
    <xf numFmtId="0" fontId="41" fillId="5" borderId="0" xfId="0" applyFont="1" applyFill="1" applyBorder="1" applyAlignment="1">
      <alignment horizontal="right"/>
    </xf>
    <xf numFmtId="1" fontId="4" fillId="5" borderId="3" xfId="0" applyNumberFormat="1" applyFont="1" applyFill="1" applyBorder="1" applyAlignment="1">
      <alignment horizontal="right"/>
    </xf>
    <xf numFmtId="1" fontId="4" fillId="3" borderId="3" xfId="0" applyNumberFormat="1" applyFont="1" applyFill="1" applyBorder="1" applyAlignment="1">
      <alignment horizontal="right"/>
    </xf>
    <xf numFmtId="1" fontId="4" fillId="3" borderId="9" xfId="0" applyNumberFormat="1" applyFont="1" applyFill="1" applyBorder="1" applyAlignment="1">
      <alignment horizontal="right"/>
    </xf>
    <xf numFmtId="1" fontId="4" fillId="5" borderId="10" xfId="0" applyNumberFormat="1" applyFont="1" applyFill="1" applyBorder="1" applyAlignment="1">
      <alignment horizontal="right"/>
    </xf>
    <xf numFmtId="1" fontId="4" fillId="3" borderId="10" xfId="0" applyNumberFormat="1" applyFont="1" applyFill="1" applyBorder="1" applyAlignment="1">
      <alignment horizontal="right"/>
    </xf>
    <xf numFmtId="1" fontId="6" fillId="5" borderId="10" xfId="0" applyNumberFormat="1" applyFont="1" applyFill="1" applyBorder="1" applyAlignment="1">
      <alignment horizontal="right" vertical="center"/>
    </xf>
    <xf numFmtId="1" fontId="6" fillId="3" borderId="10" xfId="0" applyNumberFormat="1" applyFont="1" applyFill="1" applyBorder="1" applyAlignment="1">
      <alignment horizontal="right" vertical="center"/>
    </xf>
    <xf numFmtId="1" fontId="6" fillId="3" borderId="0" xfId="0" applyNumberFormat="1" applyFont="1" applyFill="1" applyBorder="1" applyAlignment="1">
      <alignment horizontal="right" vertical="center"/>
    </xf>
    <xf numFmtId="1" fontId="6" fillId="3" borderId="4" xfId="0" applyNumberFormat="1" applyFont="1" applyFill="1" applyBorder="1" applyAlignment="1">
      <alignment horizontal="right" vertical="center"/>
    </xf>
    <xf numFmtId="182" fontId="37" fillId="0" borderId="0" xfId="0" applyNumberFormat="1" applyFont="1"/>
    <xf numFmtId="9" fontId="6" fillId="3" borderId="1" xfId="0" applyNumberFormat="1" applyFont="1" applyFill="1" applyBorder="1" applyAlignment="1">
      <alignment horizontal="right" wrapText="1"/>
    </xf>
    <xf numFmtId="9" fontId="4" fillId="5" borderId="0" xfId="0" applyNumberFormat="1" applyFont="1" applyFill="1" applyBorder="1" applyAlignment="1">
      <alignment horizontal="right" wrapText="1"/>
    </xf>
    <xf numFmtId="9" fontId="4" fillId="3" borderId="0" xfId="0" applyNumberFormat="1" applyFont="1" applyFill="1" applyBorder="1" applyAlignment="1">
      <alignment horizontal="right" wrapText="1"/>
    </xf>
    <xf numFmtId="3" fontId="4" fillId="7" borderId="11" xfId="0" applyNumberFormat="1" applyFont="1" applyFill="1" applyBorder="1" applyAlignment="1">
      <alignment horizontal="right" vertical="top"/>
    </xf>
    <xf numFmtId="3" fontId="4" fillId="7" borderId="0" xfId="0" applyNumberFormat="1" applyFont="1" applyFill="1" applyBorder="1" applyAlignment="1">
      <alignment horizontal="right" vertical="top"/>
    </xf>
    <xf numFmtId="0" fontId="5" fillId="0" borderId="0" xfId="0" quotePrefix="1" applyFont="1" applyAlignment="1">
      <alignment horizontal="right"/>
    </xf>
    <xf numFmtId="0" fontId="4" fillId="2" borderId="0" xfId="0" applyFont="1" applyFill="1"/>
    <xf numFmtId="0" fontId="6" fillId="3" borderId="10" xfId="0" applyNumberFormat="1" applyFont="1" applyFill="1" applyBorder="1" applyAlignment="1">
      <alignment horizontal="left"/>
    </xf>
    <xf numFmtId="1" fontId="46" fillId="3" borderId="0" xfId="0" applyNumberFormat="1" applyFont="1" applyFill="1" applyBorder="1" applyAlignment="1">
      <alignment horizontal="left" vertical="center"/>
    </xf>
    <xf numFmtId="3" fontId="46" fillId="5" borderId="0" xfId="0" applyNumberFormat="1" applyFont="1" applyFill="1" applyBorder="1" applyAlignment="1">
      <alignment horizontal="right" vertical="center"/>
    </xf>
    <xf numFmtId="3" fontId="46" fillId="3" borderId="0" xfId="0" applyNumberFormat="1" applyFont="1" applyFill="1" applyBorder="1" applyAlignment="1">
      <alignment horizontal="right" vertical="center"/>
    </xf>
    <xf numFmtId="1" fontId="6" fillId="3" borderId="10" xfId="0" applyNumberFormat="1" applyFont="1" applyFill="1" applyBorder="1" applyAlignment="1">
      <alignment horizontal="left"/>
    </xf>
    <xf numFmtId="3" fontId="46" fillId="5" borderId="10" xfId="0" applyNumberFormat="1" applyFont="1" applyFill="1" applyBorder="1" applyAlignment="1">
      <alignment horizontal="right" vertical="center"/>
    </xf>
    <xf numFmtId="3" fontId="46" fillId="3" borderId="10" xfId="0" applyNumberFormat="1" applyFont="1" applyFill="1" applyBorder="1" applyAlignment="1">
      <alignment horizontal="right" vertical="center"/>
    </xf>
    <xf numFmtId="183" fontId="46" fillId="5" borderId="10" xfId="0" applyNumberFormat="1" applyFont="1" applyFill="1" applyBorder="1" applyAlignment="1">
      <alignment horizontal="right" vertical="center"/>
    </xf>
    <xf numFmtId="183" fontId="46" fillId="3" borderId="10" xfId="0" applyNumberFormat="1" applyFont="1" applyFill="1" applyBorder="1" applyAlignment="1">
      <alignment horizontal="right" vertical="center"/>
    </xf>
    <xf numFmtId="184" fontId="46" fillId="5" borderId="10" xfId="0" applyNumberFormat="1" applyFont="1" applyFill="1" applyBorder="1" applyAlignment="1">
      <alignment horizontal="right" vertical="center"/>
    </xf>
    <xf numFmtId="184" fontId="46" fillId="5" borderId="4" xfId="0" applyNumberFormat="1" applyFont="1" applyFill="1" applyBorder="1" applyAlignment="1">
      <alignment horizontal="right" vertical="center"/>
    </xf>
    <xf numFmtId="1" fontId="3" fillId="7" borderId="0" xfId="0" applyNumberFormat="1" applyFont="1" applyFill="1" applyBorder="1" applyAlignment="1">
      <alignment horizontal="left" vertical="center"/>
    </xf>
    <xf numFmtId="0" fontId="3" fillId="0" borderId="0" xfId="0" applyFont="1" applyFill="1" applyBorder="1" applyAlignment="1">
      <alignment vertical="top"/>
    </xf>
    <xf numFmtId="0" fontId="6" fillId="5" borderId="1" xfId="0" applyFont="1" applyFill="1" applyBorder="1" applyAlignment="1">
      <alignment horizontal="left"/>
    </xf>
    <xf numFmtId="0" fontId="4" fillId="3" borderId="1" xfId="0" applyFont="1" applyFill="1" applyBorder="1" applyAlignment="1"/>
    <xf numFmtId="0" fontId="6" fillId="5" borderId="23" xfId="0" applyFont="1" applyFill="1" applyBorder="1" applyAlignment="1">
      <alignment horizontal="left"/>
    </xf>
    <xf numFmtId="0" fontId="5" fillId="5" borderId="0" xfId="0" applyFont="1" applyFill="1"/>
    <xf numFmtId="0" fontId="5" fillId="5" borderId="0" xfId="0" applyFont="1" applyFill="1" applyAlignment="1">
      <alignment horizontal="right"/>
    </xf>
    <xf numFmtId="0" fontId="4" fillId="5" borderId="24" xfId="0" applyFont="1" applyFill="1" applyBorder="1" applyAlignment="1">
      <alignment horizontal="center"/>
    </xf>
    <xf numFmtId="0" fontId="4" fillId="0" borderId="0" xfId="0" applyFont="1" applyFill="1" applyBorder="1" applyAlignment="1">
      <alignment horizontal="right" vertical="center"/>
    </xf>
    <xf numFmtId="0" fontId="5" fillId="5" borderId="0" xfId="0" applyFont="1" applyFill="1" applyBorder="1" applyAlignment="1">
      <alignment horizontal="right" vertical="center"/>
    </xf>
    <xf numFmtId="0" fontId="4" fillId="5" borderId="24" xfId="0" applyFont="1" applyFill="1" applyBorder="1" applyAlignment="1">
      <alignment horizontal="right"/>
    </xf>
    <xf numFmtId="0" fontId="4" fillId="5" borderId="24" xfId="0" applyFont="1" applyFill="1" applyBorder="1" applyAlignment="1">
      <alignment horizontal="right" vertical="top"/>
    </xf>
    <xf numFmtId="0" fontId="5" fillId="5" borderId="2" xfId="0" applyFont="1" applyFill="1" applyBorder="1" applyAlignment="1">
      <alignment horizontal="right" vertical="top"/>
    </xf>
    <xf numFmtId="183" fontId="4" fillId="5" borderId="25" xfId="0" applyNumberFormat="1" applyFont="1" applyFill="1" applyBorder="1" applyAlignment="1">
      <alignment horizontal="right"/>
    </xf>
    <xf numFmtId="1" fontId="4" fillId="3" borderId="12" xfId="0" applyNumberFormat="1" applyFont="1" applyFill="1" applyBorder="1" applyAlignment="1">
      <alignment horizontal="left"/>
    </xf>
    <xf numFmtId="183" fontId="4" fillId="3" borderId="12" xfId="0" applyNumberFormat="1" applyFont="1" applyFill="1" applyBorder="1" applyAlignment="1">
      <alignment horizontal="right"/>
    </xf>
    <xf numFmtId="183" fontId="4" fillId="5" borderId="12" xfId="0" applyNumberFormat="1" applyFont="1" applyFill="1" applyBorder="1" applyAlignment="1">
      <alignment horizontal="right"/>
    </xf>
    <xf numFmtId="183" fontId="4" fillId="5" borderId="26" xfId="0" applyNumberFormat="1" applyFont="1" applyFill="1" applyBorder="1" applyAlignment="1">
      <alignment horizontal="right"/>
    </xf>
    <xf numFmtId="183" fontId="4" fillId="5" borderId="27" xfId="0" applyNumberFormat="1" applyFont="1" applyFill="1" applyBorder="1" applyAlignment="1">
      <alignment horizontal="right"/>
    </xf>
    <xf numFmtId="183" fontId="4" fillId="5" borderId="28" xfId="0" applyNumberFormat="1" applyFont="1" applyFill="1" applyBorder="1" applyAlignment="1">
      <alignment horizontal="right"/>
    </xf>
    <xf numFmtId="184" fontId="4" fillId="5" borderId="12" xfId="0" applyNumberFormat="1" applyFont="1" applyFill="1" applyBorder="1" applyAlignment="1">
      <alignment horizontal="right"/>
    </xf>
    <xf numFmtId="1" fontId="6" fillId="3" borderId="12" xfId="0" applyNumberFormat="1" applyFont="1" applyFill="1" applyBorder="1" applyAlignment="1">
      <alignment horizontal="left"/>
    </xf>
    <xf numFmtId="183" fontId="6" fillId="5" borderId="12" xfId="0" applyNumberFormat="1" applyFont="1" applyFill="1" applyBorder="1" applyAlignment="1">
      <alignment horizontal="right"/>
    </xf>
    <xf numFmtId="183" fontId="6" fillId="3" borderId="12" xfId="0" applyNumberFormat="1" applyFont="1" applyFill="1" applyBorder="1" applyAlignment="1">
      <alignment horizontal="right"/>
    </xf>
    <xf numFmtId="183" fontId="6" fillId="5" borderId="28" xfId="0" applyNumberFormat="1" applyFont="1" applyFill="1" applyBorder="1" applyAlignment="1">
      <alignment horizontal="right"/>
    </xf>
    <xf numFmtId="1" fontId="46" fillId="3" borderId="4" xfId="0" applyNumberFormat="1" applyFont="1" applyFill="1" applyBorder="1" applyAlignment="1">
      <alignment horizontal="left"/>
    </xf>
    <xf numFmtId="183" fontId="46" fillId="5" borderId="4" xfId="0" applyNumberFormat="1" applyFont="1" applyFill="1" applyBorder="1" applyAlignment="1">
      <alignment horizontal="right"/>
    </xf>
    <xf numFmtId="183" fontId="4" fillId="3" borderId="4" xfId="0" applyNumberFormat="1" applyFont="1" applyFill="1" applyBorder="1" applyAlignment="1">
      <alignment horizontal="right"/>
    </xf>
    <xf numFmtId="183" fontId="4" fillId="5" borderId="4" xfId="0" applyNumberFormat="1" applyFont="1" applyFill="1" applyBorder="1" applyAlignment="1">
      <alignment horizontal="right"/>
    </xf>
    <xf numFmtId="183" fontId="4" fillId="5" borderId="29" xfId="0" applyNumberFormat="1" applyFont="1" applyFill="1" applyBorder="1" applyAlignment="1">
      <alignment horizontal="right"/>
    </xf>
    <xf numFmtId="184" fontId="4" fillId="0" borderId="0" xfId="0" applyNumberFormat="1" applyFont="1" applyFill="1" applyBorder="1" applyAlignment="1">
      <alignment horizontal="right"/>
    </xf>
    <xf numFmtId="1" fontId="3" fillId="0" borderId="0" xfId="0" applyNumberFormat="1" applyFont="1" applyFill="1" applyBorder="1" applyAlignment="1">
      <alignment horizontal="left"/>
    </xf>
    <xf numFmtId="1" fontId="4" fillId="0" borderId="2" xfId="0" applyNumberFormat="1" applyFont="1" applyFill="1" applyBorder="1" applyAlignment="1">
      <alignment horizontal="left"/>
    </xf>
    <xf numFmtId="183" fontId="4" fillId="0" borderId="2" xfId="0" applyNumberFormat="1" applyFont="1" applyFill="1" applyBorder="1" applyAlignment="1">
      <alignment horizontal="right"/>
    </xf>
    <xf numFmtId="184" fontId="4" fillId="0" borderId="2" xfId="0" applyNumberFormat="1" applyFont="1" applyFill="1" applyBorder="1" applyAlignment="1">
      <alignment horizontal="right"/>
    </xf>
    <xf numFmtId="0" fontId="4" fillId="5" borderId="30" xfId="0" applyFont="1" applyFill="1" applyBorder="1" applyAlignment="1">
      <alignment horizontal="right" vertical="top"/>
    </xf>
    <xf numFmtId="184" fontId="4" fillId="5" borderId="27" xfId="0" applyNumberFormat="1" applyFont="1" applyFill="1" applyBorder="1" applyAlignment="1">
      <alignment horizontal="right"/>
    </xf>
    <xf numFmtId="184" fontId="4" fillId="5" borderId="26" xfId="0" applyNumberFormat="1" applyFont="1" applyFill="1" applyBorder="1" applyAlignment="1">
      <alignment horizontal="right"/>
    </xf>
    <xf numFmtId="184" fontId="6" fillId="5" borderId="26" xfId="0" applyNumberFormat="1" applyFont="1" applyFill="1" applyBorder="1" applyAlignment="1">
      <alignment horizontal="right"/>
    </xf>
    <xf numFmtId="184" fontId="4" fillId="5" borderId="4" xfId="0" applyNumberFormat="1" applyFont="1" applyFill="1" applyBorder="1" applyAlignment="1">
      <alignment horizontal="right"/>
    </xf>
    <xf numFmtId="182" fontId="0" fillId="0" borderId="0" xfId="0" applyNumberFormat="1" applyFill="1"/>
    <xf numFmtId="0" fontId="3" fillId="7" borderId="2" xfId="0" applyFont="1" applyFill="1" applyBorder="1" applyAlignment="1">
      <alignment vertical="top"/>
    </xf>
    <xf numFmtId="183" fontId="6" fillId="5" borderId="4" xfId="0" applyNumberFormat="1" applyFont="1" applyFill="1" applyBorder="1" applyAlignment="1">
      <alignment horizontal="right" vertical="center"/>
    </xf>
    <xf numFmtId="0" fontId="6" fillId="3" borderId="0" xfId="0" applyFont="1" applyFill="1" applyBorder="1" applyAlignment="1">
      <alignment horizontal="right" wrapText="1"/>
    </xf>
    <xf numFmtId="0" fontId="6" fillId="5" borderId="30" xfId="0" applyFont="1" applyFill="1" applyBorder="1" applyAlignment="1">
      <alignment horizontal="left"/>
    </xf>
    <xf numFmtId="0" fontId="6" fillId="3" borderId="2" xfId="0" applyFont="1" applyFill="1" applyBorder="1" applyAlignment="1">
      <alignment horizontal="left"/>
    </xf>
    <xf numFmtId="0" fontId="5" fillId="5" borderId="0" xfId="0" applyFont="1" applyFill="1" applyBorder="1" applyAlignment="1">
      <alignment horizontal="right" vertical="top"/>
    </xf>
    <xf numFmtId="0" fontId="5" fillId="5" borderId="24" xfId="0" applyFont="1" applyFill="1" applyBorder="1" applyAlignment="1">
      <alignment horizontal="right" vertical="top"/>
    </xf>
    <xf numFmtId="183" fontId="4" fillId="5" borderId="3" xfId="0" quotePrefix="1" applyNumberFormat="1" applyFont="1" applyFill="1" applyBorder="1" applyAlignment="1">
      <alignment horizontal="right"/>
    </xf>
    <xf numFmtId="0" fontId="2" fillId="7" borderId="2" xfId="0" applyFont="1" applyFill="1" applyBorder="1" applyAlignment="1">
      <alignment horizontal="right"/>
    </xf>
    <xf numFmtId="0" fontId="6" fillId="5" borderId="0" xfId="0" applyFont="1" applyFill="1" applyBorder="1" applyAlignment="1">
      <alignment horizontal="left"/>
    </xf>
    <xf numFmtId="0" fontId="6" fillId="5" borderId="24" xfId="0" applyFont="1" applyFill="1" applyBorder="1" applyAlignment="1">
      <alignment horizontal="left"/>
    </xf>
    <xf numFmtId="0" fontId="6" fillId="5" borderId="2" xfId="0" applyFont="1" applyFill="1" applyBorder="1" applyAlignment="1">
      <alignment horizontal="left"/>
    </xf>
    <xf numFmtId="0" fontId="6" fillId="3" borderId="2" xfId="0" applyFont="1" applyFill="1" applyBorder="1" applyAlignment="1">
      <alignment horizontal="right"/>
    </xf>
    <xf numFmtId="0" fontId="6" fillId="5" borderId="0" xfId="0" applyFont="1" applyFill="1" applyBorder="1" applyAlignment="1">
      <alignment horizontal="right" wrapText="1"/>
    </xf>
    <xf numFmtId="183" fontId="4" fillId="3" borderId="3" xfId="0" quotePrefix="1" applyNumberFormat="1" applyFont="1" applyFill="1" applyBorder="1" applyAlignment="1">
      <alignment horizontal="right"/>
    </xf>
    <xf numFmtId="183" fontId="4" fillId="5" borderId="27" xfId="0" quotePrefix="1" applyNumberFormat="1" applyFont="1" applyFill="1" applyBorder="1" applyAlignment="1">
      <alignment horizontal="right"/>
    </xf>
    <xf numFmtId="183" fontId="46" fillId="3" borderId="9" xfId="0" quotePrefix="1" applyNumberFormat="1" applyFont="1" applyFill="1" applyBorder="1" applyAlignment="1">
      <alignment horizontal="right"/>
    </xf>
    <xf numFmtId="183" fontId="46" fillId="5" borderId="9" xfId="0" quotePrefix="1" applyNumberFormat="1" applyFont="1" applyFill="1" applyBorder="1" applyAlignment="1">
      <alignment horizontal="right"/>
    </xf>
    <xf numFmtId="183" fontId="46" fillId="3" borderId="3" xfId="0" applyNumberFormat="1" applyFont="1" applyFill="1" applyBorder="1" applyAlignment="1">
      <alignment horizontal="right"/>
    </xf>
    <xf numFmtId="183" fontId="4" fillId="5" borderId="25" xfId="0" quotePrefix="1" applyNumberFormat="1" applyFont="1" applyFill="1" applyBorder="1" applyAlignment="1">
      <alignment horizontal="right"/>
    </xf>
    <xf numFmtId="183" fontId="6" fillId="5" borderId="31" xfId="0" applyNumberFormat="1" applyFont="1" applyFill="1" applyBorder="1" applyAlignment="1">
      <alignment horizontal="right" vertical="center"/>
    </xf>
    <xf numFmtId="0" fontId="6" fillId="3" borderId="23" xfId="0" applyFont="1" applyFill="1" applyBorder="1" applyAlignment="1">
      <alignment horizontal="left"/>
    </xf>
    <xf numFmtId="0" fontId="6" fillId="5" borderId="2" xfId="0" applyFont="1" applyFill="1" applyBorder="1" applyAlignment="1">
      <alignment horizontal="right"/>
    </xf>
    <xf numFmtId="0" fontId="6" fillId="3" borderId="30" xfId="0" applyFont="1" applyFill="1" applyBorder="1" applyAlignment="1">
      <alignment horizontal="left"/>
    </xf>
    <xf numFmtId="0" fontId="4" fillId="3" borderId="24" xfId="0" applyFont="1" applyFill="1" applyBorder="1" applyAlignment="1">
      <alignment horizontal="right"/>
    </xf>
    <xf numFmtId="0" fontId="4" fillId="3" borderId="24" xfId="0" applyFont="1" applyFill="1" applyBorder="1" applyAlignment="1">
      <alignment horizontal="right" vertical="top"/>
    </xf>
    <xf numFmtId="0" fontId="4" fillId="3" borderId="30" xfId="0" applyFont="1" applyFill="1" applyBorder="1" applyAlignment="1">
      <alignment horizontal="right" vertical="top"/>
    </xf>
    <xf numFmtId="183" fontId="4" fillId="3" borderId="27" xfId="0" quotePrefix="1" applyNumberFormat="1" applyFont="1" applyFill="1" applyBorder="1" applyAlignment="1">
      <alignment horizontal="right"/>
    </xf>
    <xf numFmtId="183" fontId="46" fillId="5" borderId="3" xfId="0" quotePrefix="1" applyNumberFormat="1" applyFont="1" applyFill="1" applyBorder="1" applyAlignment="1">
      <alignment horizontal="right"/>
    </xf>
    <xf numFmtId="183" fontId="4" fillId="3" borderId="25" xfId="0" quotePrefix="1" applyNumberFormat="1" applyFont="1" applyFill="1" applyBorder="1" applyAlignment="1">
      <alignment horizontal="right"/>
    </xf>
    <xf numFmtId="183" fontId="46" fillId="5" borderId="10" xfId="0" applyNumberFormat="1" applyFont="1" applyFill="1" applyBorder="1" applyAlignment="1">
      <alignment horizontal="right"/>
    </xf>
    <xf numFmtId="183" fontId="46" fillId="3" borderId="3" xfId="0" quotePrefix="1" applyNumberFormat="1" applyFont="1" applyFill="1" applyBorder="1" applyAlignment="1">
      <alignment horizontal="right"/>
    </xf>
    <xf numFmtId="183" fontId="6" fillId="5" borderId="9" xfId="0" quotePrefix="1" applyNumberFormat="1" applyFont="1" applyFill="1" applyBorder="1" applyAlignment="1">
      <alignment horizontal="right" vertical="center"/>
    </xf>
    <xf numFmtId="183" fontId="6" fillId="5" borderId="3" xfId="0" quotePrefix="1" applyNumberFormat="1" applyFont="1" applyFill="1" applyBorder="1" applyAlignment="1">
      <alignment horizontal="right" vertical="center"/>
    </xf>
    <xf numFmtId="183" fontId="6" fillId="3" borderId="32" xfId="0" quotePrefix="1" applyNumberFormat="1" applyFont="1" applyFill="1" applyBorder="1" applyAlignment="1">
      <alignment horizontal="right" vertical="center"/>
    </xf>
    <xf numFmtId="183" fontId="6" fillId="3" borderId="3" xfId="0" quotePrefix="1" applyNumberFormat="1" applyFont="1" applyFill="1" applyBorder="1" applyAlignment="1">
      <alignment horizontal="right" vertical="center"/>
    </xf>
    <xf numFmtId="183" fontId="6" fillId="3" borderId="3" xfId="0" applyNumberFormat="1" applyFont="1" applyFill="1" applyBorder="1" applyAlignment="1">
      <alignment horizontal="right" vertical="center"/>
    </xf>
    <xf numFmtId="0" fontId="14" fillId="0" borderId="0" xfId="0" applyFont="1" applyAlignment="1">
      <alignment vertical="center"/>
    </xf>
    <xf numFmtId="1" fontId="66" fillId="0" borderId="0" xfId="0" applyNumberFormat="1" applyFont="1" applyFill="1" applyBorder="1" applyAlignment="1">
      <alignment horizontal="left"/>
    </xf>
    <xf numFmtId="0" fontId="34" fillId="7" borderId="0" xfId="0" applyFont="1" applyFill="1"/>
    <xf numFmtId="0" fontId="2" fillId="7" borderId="2" xfId="0" applyFont="1" applyFill="1" applyBorder="1"/>
    <xf numFmtId="0" fontId="2" fillId="0" borderId="2" xfId="0" applyFont="1" applyFill="1" applyBorder="1"/>
    <xf numFmtId="0" fontId="0" fillId="0" borderId="2" xfId="0" applyBorder="1"/>
    <xf numFmtId="0" fontId="6" fillId="3" borderId="24" xfId="0" applyFont="1" applyFill="1" applyBorder="1" applyAlignment="1">
      <alignment horizontal="left"/>
    </xf>
    <xf numFmtId="0" fontId="6" fillId="3" borderId="24" xfId="0" applyFont="1" applyFill="1" applyBorder="1" applyAlignment="1">
      <alignment horizontal="left" vertical="top"/>
    </xf>
    <xf numFmtId="0" fontId="6" fillId="5" borderId="0" xfId="0" applyFont="1" applyFill="1" applyBorder="1" applyAlignment="1">
      <alignment horizontal="left" vertical="top"/>
    </xf>
    <xf numFmtId="0" fontId="4" fillId="3" borderId="24" xfId="0" applyFont="1" applyFill="1" applyBorder="1" applyAlignment="1">
      <alignment horizontal="left" vertical="center"/>
    </xf>
    <xf numFmtId="0" fontId="4" fillId="5" borderId="0" xfId="0" quotePrefix="1" applyFont="1" applyFill="1" applyBorder="1" applyAlignment="1">
      <alignment horizontal="right" vertical="center"/>
    </xf>
    <xf numFmtId="0" fontId="4" fillId="3" borderId="24" xfId="0" applyFont="1" applyFill="1" applyBorder="1" applyAlignment="1">
      <alignment horizontal="right" vertical="center"/>
    </xf>
    <xf numFmtId="3" fontId="4" fillId="5" borderId="22" xfId="0" applyNumberFormat="1" applyFont="1" applyFill="1" applyBorder="1" applyAlignment="1">
      <alignment horizontal="right"/>
    </xf>
    <xf numFmtId="184" fontId="4" fillId="3" borderId="33" xfId="0" applyNumberFormat="1" applyFont="1" applyFill="1" applyBorder="1" applyAlignment="1">
      <alignment horizontal="right"/>
    </xf>
    <xf numFmtId="184" fontId="4" fillId="5" borderId="22" xfId="0" applyNumberFormat="1" applyFont="1" applyFill="1" applyBorder="1" applyAlignment="1">
      <alignment horizontal="right"/>
    </xf>
    <xf numFmtId="184" fontId="4" fillId="3" borderId="22" xfId="0" applyNumberFormat="1" applyFont="1" applyFill="1" applyBorder="1" applyAlignment="1">
      <alignment horizontal="right"/>
    </xf>
    <xf numFmtId="184" fontId="6" fillId="3" borderId="34" xfId="0" applyNumberFormat="1" applyFont="1" applyFill="1" applyBorder="1" applyAlignment="1">
      <alignment horizontal="right" vertical="center"/>
    </xf>
    <xf numFmtId="184" fontId="6" fillId="5" borderId="22" xfId="0" applyNumberFormat="1" applyFont="1" applyFill="1" applyBorder="1" applyAlignment="1">
      <alignment horizontal="right" vertical="center"/>
    </xf>
    <xf numFmtId="184" fontId="6" fillId="3" borderId="22" xfId="0" applyNumberFormat="1" applyFont="1" applyFill="1" applyBorder="1" applyAlignment="1">
      <alignment horizontal="right" vertical="center"/>
    </xf>
    <xf numFmtId="3" fontId="6" fillId="5" borderId="22" xfId="0" applyNumberFormat="1" applyFont="1" applyFill="1" applyBorder="1" applyAlignment="1">
      <alignment horizontal="right" vertical="center"/>
    </xf>
    <xf numFmtId="184" fontId="6" fillId="3" borderId="29" xfId="0" applyNumberFormat="1" applyFont="1" applyFill="1" applyBorder="1" applyAlignment="1">
      <alignment horizontal="right" vertical="center"/>
    </xf>
    <xf numFmtId="0" fontId="67" fillId="2" borderId="0" xfId="0" applyFont="1" applyFill="1"/>
    <xf numFmtId="0" fontId="68" fillId="2" borderId="0" xfId="0" applyFont="1" applyFill="1"/>
    <xf numFmtId="0" fontId="3" fillId="0" borderId="0" xfId="15" applyFont="1"/>
    <xf numFmtId="0" fontId="5" fillId="0" borderId="0" xfId="15" applyFont="1"/>
    <xf numFmtId="0" fontId="69" fillId="0" borderId="0" xfId="15" applyFill="1"/>
    <xf numFmtId="0" fontId="71" fillId="0" borderId="0" xfId="15" applyFont="1"/>
    <xf numFmtId="0" fontId="69" fillId="0" borderId="0" xfId="15"/>
    <xf numFmtId="0" fontId="5" fillId="0" borderId="13" xfId="15" applyFont="1" applyBorder="1"/>
    <xf numFmtId="0" fontId="69" fillId="0" borderId="13" xfId="15" applyBorder="1"/>
    <xf numFmtId="0" fontId="5" fillId="5" borderId="0" xfId="15" applyFont="1" applyFill="1" applyAlignment="1">
      <alignment horizontal="right"/>
    </xf>
    <xf numFmtId="0" fontId="5" fillId="3" borderId="0" xfId="15" applyFont="1" applyFill="1" applyAlignment="1">
      <alignment horizontal="right"/>
    </xf>
    <xf numFmtId="0" fontId="5" fillId="0" borderId="0" xfId="15" applyFont="1" applyFill="1" applyAlignment="1">
      <alignment horizontal="right"/>
    </xf>
    <xf numFmtId="184" fontId="30" fillId="3" borderId="0" xfId="15" applyNumberFormat="1" applyFont="1" applyFill="1" applyBorder="1" applyAlignment="1">
      <alignment horizontal="center"/>
    </xf>
    <xf numFmtId="184" fontId="30" fillId="5" borderId="0" xfId="15" applyNumberFormat="1" applyFont="1" applyFill="1" applyBorder="1" applyAlignment="1">
      <alignment horizontal="center"/>
    </xf>
    <xf numFmtId="184" fontId="30" fillId="0" borderId="0" xfId="15" applyNumberFormat="1" applyFont="1" applyFill="1" applyBorder="1" applyAlignment="1">
      <alignment horizontal="center"/>
    </xf>
    <xf numFmtId="0" fontId="69" fillId="0" borderId="0" xfId="15" applyAlignment="1">
      <alignment horizontal="right"/>
    </xf>
    <xf numFmtId="2" fontId="69" fillId="0" borderId="0" xfId="15" applyNumberFormat="1"/>
    <xf numFmtId="183" fontId="69" fillId="0" borderId="0" xfId="15" applyNumberFormat="1" applyAlignment="1">
      <alignment horizontal="right"/>
    </xf>
    <xf numFmtId="2" fontId="69" fillId="0" borderId="0" xfId="15" applyNumberFormat="1" applyAlignment="1">
      <alignment horizontal="right"/>
    </xf>
    <xf numFmtId="0" fontId="53" fillId="5" borderId="0" xfId="15" applyFont="1" applyFill="1" applyBorder="1" applyAlignment="1">
      <alignment horizontal="left"/>
    </xf>
    <xf numFmtId="0" fontId="5" fillId="5" borderId="0" xfId="15" applyFont="1" applyFill="1" applyBorder="1" applyAlignment="1">
      <alignment horizontal="right"/>
    </xf>
    <xf numFmtId="0" fontId="9" fillId="3" borderId="0" xfId="15" applyFont="1" applyFill="1" applyAlignment="1">
      <alignment horizontal="center"/>
    </xf>
    <xf numFmtId="0" fontId="9" fillId="5" borderId="0" xfId="15" applyFont="1" applyFill="1" applyAlignment="1">
      <alignment horizontal="center"/>
    </xf>
    <xf numFmtId="0" fontId="9" fillId="0" borderId="0" xfId="15" applyFont="1" applyFill="1" applyAlignment="1">
      <alignment horizontal="center"/>
    </xf>
    <xf numFmtId="0" fontId="53" fillId="3" borderId="0" xfId="15" applyFont="1" applyFill="1" applyAlignment="1">
      <alignment horizontal="center"/>
    </xf>
    <xf numFmtId="0" fontId="53" fillId="5" borderId="0" xfId="15" applyFont="1" applyFill="1" applyAlignment="1">
      <alignment horizontal="center"/>
    </xf>
    <xf numFmtId="183" fontId="69" fillId="0" borderId="0" xfId="15" applyNumberFormat="1"/>
    <xf numFmtId="0" fontId="5" fillId="5" borderId="0" xfId="15" applyFont="1" applyFill="1" applyBorder="1"/>
    <xf numFmtId="0" fontId="5" fillId="3" borderId="0" xfId="15" applyFont="1" applyFill="1" applyAlignment="1">
      <alignment horizontal="center"/>
    </xf>
    <xf numFmtId="0" fontId="5" fillId="5" borderId="0" xfId="15" applyFont="1" applyFill="1" applyAlignment="1">
      <alignment horizontal="center"/>
    </xf>
    <xf numFmtId="0" fontId="5" fillId="0" borderId="0" xfId="15" applyFont="1" applyFill="1" applyAlignment="1">
      <alignment horizontal="center"/>
    </xf>
    <xf numFmtId="0" fontId="9" fillId="5" borderId="0" xfId="15" applyFont="1" applyFill="1" applyBorder="1"/>
    <xf numFmtId="0" fontId="5" fillId="3" borderId="0" xfId="15" applyFont="1" applyFill="1" applyBorder="1" applyAlignment="1">
      <alignment horizontal="center"/>
    </xf>
    <xf numFmtId="0" fontId="5" fillId="5" borderId="0" xfId="15" applyFont="1" applyFill="1" applyBorder="1" applyAlignment="1">
      <alignment horizontal="center"/>
    </xf>
    <xf numFmtId="0" fontId="5" fillId="0" borderId="0" xfId="15" applyFont="1" applyFill="1" applyBorder="1" applyAlignment="1">
      <alignment horizontal="center"/>
    </xf>
    <xf numFmtId="184" fontId="30" fillId="3" borderId="0" xfId="15" applyNumberFormat="1" applyFont="1" applyFill="1" applyBorder="1" applyAlignment="1">
      <alignment horizontal="center" vertical="top"/>
    </xf>
    <xf numFmtId="184" fontId="30" fillId="5" borderId="0" xfId="15" applyNumberFormat="1" applyFont="1" applyFill="1" applyBorder="1" applyAlignment="1">
      <alignment horizontal="center" vertical="top"/>
    </xf>
    <xf numFmtId="184" fontId="30" fillId="0" borderId="0" xfId="15" applyNumberFormat="1" applyFont="1" applyFill="1" applyBorder="1" applyAlignment="1">
      <alignment horizontal="center" vertical="top"/>
    </xf>
    <xf numFmtId="183" fontId="71" fillId="0" borderId="0" xfId="15" applyNumberFormat="1" applyFont="1"/>
    <xf numFmtId="0" fontId="9" fillId="5" borderId="2" xfId="15" applyFont="1" applyFill="1" applyBorder="1"/>
    <xf numFmtId="0" fontId="5" fillId="5" borderId="2" xfId="15" applyFont="1" applyFill="1" applyBorder="1"/>
    <xf numFmtId="0" fontId="5" fillId="3" borderId="2" xfId="15" applyFont="1" applyFill="1" applyBorder="1"/>
    <xf numFmtId="0" fontId="5" fillId="0" borderId="2" xfId="15" applyFont="1" applyFill="1" applyBorder="1"/>
    <xf numFmtId="0" fontId="30" fillId="5" borderId="2" xfId="15" applyFont="1" applyFill="1" applyBorder="1" applyAlignment="1">
      <alignment horizontal="center"/>
    </xf>
    <xf numFmtId="0" fontId="30" fillId="0" borderId="2" xfId="15" applyFont="1" applyFill="1" applyBorder="1" applyAlignment="1">
      <alignment horizontal="center"/>
    </xf>
    <xf numFmtId="0" fontId="9" fillId="5" borderId="9" xfId="15" applyFont="1" applyFill="1" applyBorder="1"/>
    <xf numFmtId="0" fontId="5" fillId="5" borderId="9" xfId="15" applyFont="1" applyFill="1" applyBorder="1"/>
    <xf numFmtId="183" fontId="9" fillId="3" borderId="9" xfId="15" applyNumberFormat="1" applyFont="1" applyFill="1" applyBorder="1" applyAlignment="1">
      <alignment horizontal="left"/>
    </xf>
    <xf numFmtId="183" fontId="9" fillId="5" borderId="9" xfId="15" applyNumberFormat="1" applyFont="1" applyFill="1" applyBorder="1" applyAlignment="1">
      <alignment horizontal="left"/>
    </xf>
    <xf numFmtId="183" fontId="9" fillId="0" borderId="9" xfId="15" applyNumberFormat="1" applyFont="1" applyFill="1" applyBorder="1" applyAlignment="1">
      <alignment horizontal="left"/>
    </xf>
    <xf numFmtId="184" fontId="9" fillId="3" borderId="9" xfId="15" applyNumberFormat="1" applyFont="1" applyFill="1" applyBorder="1" applyAlignment="1">
      <alignment horizontal="left"/>
    </xf>
    <xf numFmtId="184" fontId="9" fillId="5" borderId="9" xfId="15" applyNumberFormat="1" applyFont="1" applyFill="1" applyBorder="1" applyAlignment="1">
      <alignment horizontal="left"/>
    </xf>
    <xf numFmtId="184" fontId="9" fillId="0" borderId="9" xfId="15" applyNumberFormat="1" applyFont="1" applyFill="1" applyBorder="1" applyAlignment="1">
      <alignment horizontal="left"/>
    </xf>
    <xf numFmtId="3" fontId="53" fillId="3" borderId="9" xfId="15" applyNumberFormat="1" applyFont="1" applyFill="1" applyBorder="1" applyAlignment="1">
      <alignment horizontal="left"/>
    </xf>
    <xf numFmtId="3" fontId="53" fillId="5" borderId="9" xfId="15" applyNumberFormat="1" applyFont="1" applyFill="1" applyBorder="1" applyAlignment="1">
      <alignment horizontal="left"/>
    </xf>
    <xf numFmtId="0" fontId="9" fillId="5" borderId="10" xfId="15" applyFont="1" applyFill="1" applyBorder="1"/>
    <xf numFmtId="0" fontId="5" fillId="5" borderId="10" xfId="15" applyFont="1" applyFill="1" applyBorder="1"/>
    <xf numFmtId="183" fontId="19" fillId="3" borderId="10" xfId="15" applyNumberFormat="1" applyFont="1" applyFill="1" applyBorder="1" applyAlignment="1">
      <alignment horizontal="center"/>
    </xf>
    <xf numFmtId="183" fontId="19" fillId="5" borderId="10" xfId="15" applyNumberFormat="1" applyFont="1" applyFill="1" applyBorder="1" applyAlignment="1">
      <alignment horizontal="center"/>
    </xf>
    <xf numFmtId="183" fontId="19" fillId="0" borderId="10" xfId="15" applyNumberFormat="1" applyFont="1" applyFill="1" applyBorder="1" applyAlignment="1">
      <alignment horizontal="center"/>
    </xf>
    <xf numFmtId="184" fontId="19" fillId="3" borderId="10" xfId="15" applyNumberFormat="1" applyFont="1" applyFill="1" applyBorder="1" applyAlignment="1">
      <alignment horizontal="center"/>
    </xf>
    <xf numFmtId="184" fontId="19" fillId="5" borderId="10" xfId="15" applyNumberFormat="1" applyFont="1" applyFill="1" applyBorder="1" applyAlignment="1">
      <alignment horizontal="center"/>
    </xf>
    <xf numFmtId="184" fontId="19" fillId="0" borderId="10" xfId="15" applyNumberFormat="1" applyFont="1" applyFill="1" applyBorder="1" applyAlignment="1">
      <alignment horizontal="center"/>
    </xf>
    <xf numFmtId="3" fontId="56" fillId="3" borderId="10" xfId="15" applyNumberFormat="1" applyFont="1" applyFill="1" applyBorder="1" applyAlignment="1">
      <alignment horizontal="center"/>
    </xf>
    <xf numFmtId="3" fontId="56" fillId="5" borderId="10" xfId="15" applyNumberFormat="1" applyFont="1" applyFill="1" applyBorder="1" applyAlignment="1">
      <alignment horizontal="center"/>
    </xf>
    <xf numFmtId="0" fontId="73" fillId="5" borderId="10" xfId="15" applyFont="1" applyFill="1" applyBorder="1"/>
    <xf numFmtId="183" fontId="5" fillId="3" borderId="10" xfId="15" applyNumberFormat="1" applyFont="1" applyFill="1" applyBorder="1"/>
    <xf numFmtId="183" fontId="5" fillId="5" borderId="10" xfId="15" applyNumberFormat="1" applyFont="1" applyFill="1" applyBorder="1"/>
    <xf numFmtId="183" fontId="5" fillId="0" borderId="10" xfId="15" applyNumberFormat="1" applyFont="1" applyFill="1" applyBorder="1"/>
    <xf numFmtId="184" fontId="5" fillId="3" borderId="10" xfId="15" applyNumberFormat="1" applyFont="1" applyFill="1" applyBorder="1"/>
    <xf numFmtId="184" fontId="5" fillId="5" borderId="10" xfId="15" applyNumberFormat="1" applyFont="1" applyFill="1" applyBorder="1"/>
    <xf numFmtId="184" fontId="5" fillId="0" borderId="10" xfId="15" applyNumberFormat="1" applyFont="1" applyFill="1" applyBorder="1"/>
    <xf numFmtId="3" fontId="34" fillId="3" borderId="10" xfId="15" applyNumberFormat="1" applyFont="1" applyFill="1" applyBorder="1"/>
    <xf numFmtId="3" fontId="34" fillId="5" borderId="10" xfId="15" applyNumberFormat="1" applyFont="1" applyFill="1" applyBorder="1"/>
    <xf numFmtId="2" fontId="70" fillId="0" borderId="0" xfId="15" applyNumberFormat="1" applyFont="1"/>
    <xf numFmtId="0" fontId="70" fillId="0" borderId="0" xfId="15" applyFont="1"/>
    <xf numFmtId="183" fontId="9" fillId="3" borderId="10" xfId="15" applyNumberFormat="1" applyFont="1" applyFill="1" applyBorder="1" applyAlignment="1">
      <alignment horizontal="left"/>
    </xf>
    <xf numFmtId="183" fontId="9" fillId="5" borderId="10" xfId="15" applyNumberFormat="1" applyFont="1" applyFill="1" applyBorder="1" applyAlignment="1">
      <alignment horizontal="left"/>
    </xf>
    <xf numFmtId="183" fontId="9" fillId="0" borderId="10" xfId="15" applyNumberFormat="1" applyFont="1" applyFill="1" applyBorder="1" applyAlignment="1">
      <alignment horizontal="left"/>
    </xf>
    <xf numFmtId="184" fontId="9" fillId="3" borderId="10" xfId="15" applyNumberFormat="1" applyFont="1" applyFill="1" applyBorder="1" applyAlignment="1">
      <alignment horizontal="left"/>
    </xf>
    <xf numFmtId="184" fontId="9" fillId="5" borderId="10" xfId="15" applyNumberFormat="1" applyFont="1" applyFill="1" applyBorder="1" applyAlignment="1">
      <alignment horizontal="left"/>
    </xf>
    <xf numFmtId="184" fontId="9" fillId="0" borderId="10" xfId="15" applyNumberFormat="1" applyFont="1" applyFill="1" applyBorder="1" applyAlignment="1">
      <alignment horizontal="left"/>
    </xf>
    <xf numFmtId="3" fontId="53" fillId="3" borderId="10" xfId="15" applyNumberFormat="1" applyFont="1" applyFill="1" applyBorder="1" applyAlignment="1">
      <alignment horizontal="left"/>
    </xf>
    <xf numFmtId="3" fontId="53" fillId="5" borderId="10" xfId="15" applyNumberFormat="1" applyFont="1" applyFill="1" applyBorder="1" applyAlignment="1">
      <alignment horizontal="left"/>
    </xf>
    <xf numFmtId="0" fontId="19" fillId="5" borderId="10" xfId="15" applyFont="1" applyFill="1" applyBorder="1"/>
    <xf numFmtId="0" fontId="30" fillId="5" borderId="10" xfId="15" applyFont="1" applyFill="1" applyBorder="1"/>
    <xf numFmtId="183" fontId="30" fillId="3" borderId="10" xfId="15" applyNumberFormat="1" applyFont="1" applyFill="1" applyBorder="1" applyAlignment="1">
      <alignment horizontal="right"/>
    </xf>
    <xf numFmtId="183" fontId="30" fillId="5" borderId="10" xfId="15" applyNumberFormat="1" applyFont="1" applyFill="1" applyBorder="1" applyAlignment="1">
      <alignment horizontal="right"/>
    </xf>
    <xf numFmtId="183" fontId="30" fillId="0" borderId="10" xfId="15" applyNumberFormat="1" applyFont="1" applyFill="1" applyBorder="1" applyAlignment="1">
      <alignment horizontal="right"/>
    </xf>
    <xf numFmtId="184" fontId="30" fillId="3" borderId="10" xfId="15" applyNumberFormat="1" applyFont="1" applyFill="1" applyBorder="1" applyAlignment="1">
      <alignment horizontal="right"/>
    </xf>
    <xf numFmtId="184" fontId="30" fillId="5" borderId="10" xfId="15" applyNumberFormat="1" applyFont="1" applyFill="1" applyBorder="1" applyAlignment="1">
      <alignment horizontal="right"/>
    </xf>
    <xf numFmtId="184" fontId="30" fillId="0" borderId="10" xfId="15" applyNumberFormat="1" applyFont="1" applyFill="1" applyBorder="1" applyAlignment="1">
      <alignment horizontal="right"/>
    </xf>
    <xf numFmtId="3" fontId="75" fillId="5" borderId="10" xfId="15" applyNumberFormat="1" applyFont="1" applyFill="1" applyBorder="1" applyAlignment="1">
      <alignment horizontal="right"/>
    </xf>
    <xf numFmtId="3" fontId="75" fillId="3" borderId="10" xfId="15" applyNumberFormat="1" applyFont="1" applyFill="1" applyBorder="1" applyAlignment="1">
      <alignment horizontal="right"/>
    </xf>
    <xf numFmtId="183" fontId="5" fillId="3" borderId="10" xfId="15" applyNumberFormat="1" applyFont="1" applyFill="1" applyBorder="1" applyAlignment="1">
      <alignment horizontal="center"/>
    </xf>
    <xf numFmtId="183" fontId="5" fillId="5" borderId="10" xfId="15" applyNumberFormat="1" applyFont="1" applyFill="1" applyBorder="1" applyAlignment="1">
      <alignment horizontal="center"/>
    </xf>
    <xf numFmtId="183" fontId="5" fillId="0" borderId="10" xfId="15" applyNumberFormat="1" applyFont="1" applyFill="1" applyBorder="1" applyAlignment="1">
      <alignment horizontal="center"/>
    </xf>
    <xf numFmtId="184" fontId="5" fillId="3" borderId="10" xfId="15" applyNumberFormat="1" applyFont="1" applyFill="1" applyBorder="1" applyAlignment="1">
      <alignment horizontal="center"/>
    </xf>
    <xf numFmtId="184" fontId="5" fillId="5" borderId="10" xfId="15" applyNumberFormat="1" applyFont="1" applyFill="1" applyBorder="1" applyAlignment="1">
      <alignment horizontal="center"/>
    </xf>
    <xf numFmtId="184" fontId="5" fillId="0" borderId="10" xfId="15" applyNumberFormat="1" applyFont="1" applyFill="1" applyBorder="1" applyAlignment="1">
      <alignment horizontal="center"/>
    </xf>
    <xf numFmtId="3" fontId="34" fillId="3" borderId="10" xfId="15" applyNumberFormat="1" applyFont="1" applyFill="1" applyBorder="1" applyAlignment="1">
      <alignment horizontal="center"/>
    </xf>
    <xf numFmtId="3" fontId="34" fillId="5" borderId="10" xfId="15" applyNumberFormat="1" applyFont="1" applyFill="1" applyBorder="1" applyAlignment="1">
      <alignment horizontal="center"/>
    </xf>
    <xf numFmtId="0" fontId="5" fillId="5" borderId="3" xfId="15" applyFont="1" applyFill="1" applyBorder="1"/>
    <xf numFmtId="183" fontId="5" fillId="3" borderId="3" xfId="15" applyNumberFormat="1" applyFont="1" applyFill="1" applyBorder="1"/>
    <xf numFmtId="183" fontId="5" fillId="5" borderId="3" xfId="15" applyNumberFormat="1" applyFont="1" applyFill="1" applyBorder="1"/>
    <xf numFmtId="183" fontId="5" fillId="0" borderId="3" xfId="15" applyNumberFormat="1" applyFont="1" applyFill="1" applyBorder="1"/>
    <xf numFmtId="184" fontId="5" fillId="3" borderId="3" xfId="15" applyNumberFormat="1" applyFont="1" applyFill="1" applyBorder="1"/>
    <xf numFmtId="184" fontId="5" fillId="5" borderId="3" xfId="15" applyNumberFormat="1" applyFont="1" applyFill="1" applyBorder="1"/>
    <xf numFmtId="184" fontId="5" fillId="0" borderId="3" xfId="15" applyNumberFormat="1" applyFont="1" applyFill="1" applyBorder="1"/>
    <xf numFmtId="3" fontId="34" fillId="3" borderId="3" xfId="15" applyNumberFormat="1" applyFont="1" applyFill="1" applyBorder="1"/>
    <xf numFmtId="3" fontId="34" fillId="5" borderId="3" xfId="15" applyNumberFormat="1" applyFont="1" applyFill="1" applyBorder="1"/>
    <xf numFmtId="183" fontId="30" fillId="3" borderId="10" xfId="15" applyNumberFormat="1" applyFont="1" applyFill="1" applyBorder="1"/>
    <xf numFmtId="183" fontId="30" fillId="5" borderId="10" xfId="15" applyNumberFormat="1" applyFont="1" applyFill="1" applyBorder="1"/>
    <xf numFmtId="183" fontId="30" fillId="0" borderId="10" xfId="15" applyNumberFormat="1" applyFont="1" applyFill="1" applyBorder="1"/>
    <xf numFmtId="184" fontId="30" fillId="3" borderId="10" xfId="15" applyNumberFormat="1" applyFont="1" applyFill="1" applyBorder="1"/>
    <xf numFmtId="184" fontId="30" fillId="5" borderId="10" xfId="15" applyNumberFormat="1" applyFont="1" applyFill="1" applyBorder="1"/>
    <xf numFmtId="184" fontId="30" fillId="0" borderId="10" xfId="15" applyNumberFormat="1" applyFont="1" applyFill="1" applyBorder="1"/>
    <xf numFmtId="3" fontId="75" fillId="5" borderId="10" xfId="15" applyNumberFormat="1" applyFont="1" applyFill="1" applyBorder="1"/>
    <xf numFmtId="3" fontId="75" fillId="3" borderId="10" xfId="15" applyNumberFormat="1" applyFont="1" applyFill="1" applyBorder="1"/>
    <xf numFmtId="183" fontId="9" fillId="3" borderId="10" xfId="15" applyNumberFormat="1" applyFont="1" applyFill="1" applyBorder="1"/>
    <xf numFmtId="183" fontId="9" fillId="5" borderId="10" xfId="15" applyNumberFormat="1" applyFont="1" applyFill="1" applyBorder="1"/>
    <xf numFmtId="3" fontId="53" fillId="3" borderId="10" xfId="15" applyNumberFormat="1" applyFont="1" applyFill="1" applyBorder="1"/>
    <xf numFmtId="0" fontId="9" fillId="5" borderId="4" xfId="15" applyFont="1" applyFill="1" applyBorder="1"/>
    <xf numFmtId="0" fontId="30" fillId="5" borderId="4" xfId="15" applyFont="1" applyFill="1" applyBorder="1"/>
    <xf numFmtId="183" fontId="9" fillId="3" borderId="4" xfId="15" applyNumberFormat="1" applyFont="1" applyFill="1" applyBorder="1" applyAlignment="1">
      <alignment horizontal="left"/>
    </xf>
    <xf numFmtId="183" fontId="9" fillId="5" borderId="4" xfId="15" applyNumberFormat="1" applyFont="1" applyFill="1" applyBorder="1" applyAlignment="1">
      <alignment horizontal="left"/>
    </xf>
    <xf numFmtId="183" fontId="9" fillId="0" borderId="4" xfId="15" applyNumberFormat="1" applyFont="1" applyFill="1" applyBorder="1" applyAlignment="1">
      <alignment horizontal="left"/>
    </xf>
    <xf numFmtId="184" fontId="9" fillId="3" borderId="4" xfId="15" applyNumberFormat="1" applyFont="1" applyFill="1" applyBorder="1" applyAlignment="1">
      <alignment horizontal="left"/>
    </xf>
    <xf numFmtId="184" fontId="9" fillId="5" borderId="4" xfId="15" applyNumberFormat="1" applyFont="1" applyFill="1" applyBorder="1" applyAlignment="1">
      <alignment horizontal="left"/>
    </xf>
    <xf numFmtId="184" fontId="9" fillId="0" borderId="4" xfId="15" applyNumberFormat="1" applyFont="1" applyFill="1" applyBorder="1" applyAlignment="1">
      <alignment horizontal="left"/>
    </xf>
    <xf numFmtId="3" fontId="53" fillId="3" borderId="4" xfId="15" applyNumberFormat="1" applyFont="1" applyFill="1" applyBorder="1" applyAlignment="1">
      <alignment horizontal="left"/>
    </xf>
    <xf numFmtId="3" fontId="53" fillId="5" borderId="4" xfId="15" applyNumberFormat="1" applyFont="1" applyFill="1" applyBorder="1" applyAlignment="1">
      <alignment horizontal="left"/>
    </xf>
    <xf numFmtId="0" fontId="19" fillId="0" borderId="0" xfId="15" applyFont="1" applyBorder="1"/>
    <xf numFmtId="0" fontId="5" fillId="0" borderId="0" xfId="15" applyFont="1" applyBorder="1"/>
    <xf numFmtId="10" fontId="69" fillId="0" borderId="0" xfId="15" applyNumberFormat="1"/>
    <xf numFmtId="0" fontId="9" fillId="0" borderId="0" xfId="15" applyFont="1"/>
    <xf numFmtId="49" fontId="5" fillId="0" borderId="0" xfId="15" applyNumberFormat="1" applyFont="1" applyBorder="1"/>
    <xf numFmtId="0" fontId="19" fillId="0" borderId="0" xfId="15" applyFont="1"/>
    <xf numFmtId="0" fontId="77" fillId="0" borderId="0" xfId="15" applyFont="1"/>
    <xf numFmtId="0" fontId="5" fillId="0" borderId="0" xfId="15" applyFont="1" applyFill="1" applyBorder="1"/>
    <xf numFmtId="183" fontId="5" fillId="0" borderId="0" xfId="15" applyNumberFormat="1" applyFont="1"/>
    <xf numFmtId="0" fontId="3" fillId="0" borderId="0" xfId="18" applyFont="1"/>
    <xf numFmtId="0" fontId="5" fillId="0" borderId="0" xfId="18" applyFont="1"/>
    <xf numFmtId="0" fontId="69" fillId="0" borderId="0" xfId="18" applyFill="1"/>
    <xf numFmtId="0" fontId="69" fillId="0" borderId="0" xfId="18"/>
    <xf numFmtId="0" fontId="71" fillId="0" borderId="0" xfId="18" applyFont="1"/>
    <xf numFmtId="0" fontId="5" fillId="0" borderId="13" xfId="18" applyFont="1" applyBorder="1"/>
    <xf numFmtId="0" fontId="69" fillId="0" borderId="13" xfId="18" applyBorder="1"/>
    <xf numFmtId="0" fontId="5" fillId="5" borderId="0" xfId="18" applyFont="1" applyFill="1" applyAlignment="1">
      <alignment horizontal="right"/>
    </xf>
    <xf numFmtId="0" fontId="5" fillId="3" borderId="0" xfId="18" applyFont="1" applyFill="1" applyAlignment="1">
      <alignment horizontal="right"/>
    </xf>
    <xf numFmtId="0" fontId="5" fillId="0" borderId="0" xfId="18" applyFont="1" applyFill="1" applyAlignment="1">
      <alignment horizontal="right"/>
    </xf>
    <xf numFmtId="184" fontId="30" fillId="3" borderId="0" xfId="18" applyNumberFormat="1" applyFont="1" applyFill="1" applyBorder="1" applyAlignment="1">
      <alignment horizontal="center"/>
    </xf>
    <xf numFmtId="184" fontId="30" fillId="5" borderId="0" xfId="18" applyNumberFormat="1" applyFont="1" applyFill="1" applyBorder="1" applyAlignment="1">
      <alignment horizontal="center"/>
    </xf>
    <xf numFmtId="184" fontId="30" fillId="0" borderId="0" xfId="18" applyNumberFormat="1" applyFont="1" applyFill="1" applyBorder="1" applyAlignment="1">
      <alignment horizontal="center"/>
    </xf>
    <xf numFmtId="2" fontId="69" fillId="0" borderId="0" xfId="18" applyNumberFormat="1"/>
    <xf numFmtId="183" fontId="69" fillId="0" borderId="0" xfId="18" applyNumberFormat="1" applyAlignment="1">
      <alignment horizontal="right"/>
    </xf>
    <xf numFmtId="0" fontId="69" fillId="0" borderId="0" xfId="18" applyAlignment="1">
      <alignment horizontal="right"/>
    </xf>
    <xf numFmtId="2" fontId="69" fillId="0" borderId="0" xfId="18" applyNumberFormat="1" applyAlignment="1">
      <alignment horizontal="right"/>
    </xf>
    <xf numFmtId="0" fontId="53" fillId="5" borderId="0" xfId="18" applyFont="1" applyFill="1" applyBorder="1" applyAlignment="1">
      <alignment horizontal="left"/>
    </xf>
    <xf numFmtId="0" fontId="5" fillId="5" borderId="0" xfId="18" applyFont="1" applyFill="1" applyBorder="1" applyAlignment="1">
      <alignment horizontal="right"/>
    </xf>
    <xf numFmtId="0" fontId="9" fillId="3" borderId="0" xfId="18" applyFont="1" applyFill="1" applyAlignment="1">
      <alignment horizontal="center"/>
    </xf>
    <xf numFmtId="0" fontId="9" fillId="5" borderId="0" xfId="18" applyFont="1" applyFill="1" applyAlignment="1">
      <alignment horizontal="center"/>
    </xf>
    <xf numFmtId="0" fontId="9" fillId="0" borderId="0" xfId="18" applyFont="1" applyFill="1" applyAlignment="1">
      <alignment horizontal="center"/>
    </xf>
    <xf numFmtId="0" fontId="53" fillId="3" borderId="0" xfId="18" applyFont="1" applyFill="1" applyAlignment="1">
      <alignment horizontal="center"/>
    </xf>
    <xf numFmtId="0" fontId="53" fillId="5" borderId="0" xfId="18" applyFont="1" applyFill="1" applyAlignment="1">
      <alignment horizontal="center"/>
    </xf>
    <xf numFmtId="183" fontId="69" fillId="0" borderId="0" xfId="18" applyNumberFormat="1"/>
    <xf numFmtId="0" fontId="5" fillId="5" borderId="0" xfId="18" applyFont="1" applyFill="1" applyBorder="1"/>
    <xf numFmtId="0" fontId="5" fillId="3" borderId="0" xfId="18" applyFont="1" applyFill="1" applyAlignment="1">
      <alignment horizontal="center"/>
    </xf>
    <xf numFmtId="0" fontId="5" fillId="5" borderId="0" xfId="18" applyFont="1" applyFill="1" applyAlignment="1">
      <alignment horizontal="center"/>
    </xf>
    <xf numFmtId="0" fontId="5" fillId="0" borderId="0" xfId="18" applyFont="1" applyFill="1" applyAlignment="1">
      <alignment horizontal="center"/>
    </xf>
    <xf numFmtId="0" fontId="9" fillId="5" borderId="0" xfId="18" applyFont="1" applyFill="1" applyBorder="1"/>
    <xf numFmtId="0" fontId="5" fillId="3" borderId="0" xfId="18" applyFont="1" applyFill="1" applyBorder="1" applyAlignment="1">
      <alignment horizontal="center"/>
    </xf>
    <xf numFmtId="0" fontId="5" fillId="5" borderId="0" xfId="18" applyFont="1" applyFill="1" applyBorder="1" applyAlignment="1">
      <alignment horizontal="center"/>
    </xf>
    <xf numFmtId="0" fontId="5" fillId="0" borderId="0" xfId="18" applyFont="1" applyFill="1" applyBorder="1" applyAlignment="1">
      <alignment horizontal="center"/>
    </xf>
    <xf numFmtId="184" fontId="30" fillId="3" borderId="0" xfId="18" applyNumberFormat="1" applyFont="1" applyFill="1" applyBorder="1" applyAlignment="1">
      <alignment horizontal="center" vertical="top"/>
    </xf>
    <xf numFmtId="184" fontId="30" fillId="5" borderId="0" xfId="18" applyNumberFormat="1" applyFont="1" applyFill="1" applyBorder="1" applyAlignment="1">
      <alignment horizontal="center" vertical="top"/>
    </xf>
    <xf numFmtId="184" fontId="30" fillId="0" borderId="0" xfId="18" applyNumberFormat="1" applyFont="1" applyFill="1" applyBorder="1" applyAlignment="1">
      <alignment horizontal="center" vertical="top"/>
    </xf>
    <xf numFmtId="183" fontId="71" fillId="0" borderId="0" xfId="18" applyNumberFormat="1" applyFont="1"/>
    <xf numFmtId="0" fontId="9" fillId="5" borderId="2" xfId="18" applyFont="1" applyFill="1" applyBorder="1"/>
    <xf numFmtId="0" fontId="5" fillId="5" borderId="2" xfId="18" applyFont="1" applyFill="1" applyBorder="1"/>
    <xf numFmtId="0" fontId="5" fillId="3" borderId="2" xfId="18" applyFont="1" applyFill="1" applyBorder="1"/>
    <xf numFmtId="0" fontId="5" fillId="0" borderId="2" xfId="18" applyFont="1" applyFill="1" applyBorder="1"/>
    <xf numFmtId="0" fontId="30" fillId="5" borderId="2" xfId="18" applyFont="1" applyFill="1" applyBorder="1" applyAlignment="1">
      <alignment horizontal="center"/>
    </xf>
    <xf numFmtId="0" fontId="30" fillId="0" borderId="2" xfId="18" applyFont="1" applyFill="1" applyBorder="1" applyAlignment="1">
      <alignment horizontal="center"/>
    </xf>
    <xf numFmtId="0" fontId="9" fillId="5" borderId="9" xfId="18" applyFont="1" applyFill="1" applyBorder="1"/>
    <xf numFmtId="0" fontId="5" fillId="5" borderId="9" xfId="18" applyFont="1" applyFill="1" applyBorder="1"/>
    <xf numFmtId="183" fontId="9" fillId="3" borderId="3" xfId="18" applyNumberFormat="1" applyFont="1" applyFill="1" applyBorder="1" applyAlignment="1">
      <alignment horizontal="left"/>
    </xf>
    <xf numFmtId="183" fontId="9" fillId="5" borderId="3" xfId="18" applyNumberFormat="1" applyFont="1" applyFill="1" applyBorder="1" applyAlignment="1">
      <alignment horizontal="left"/>
    </xf>
    <xf numFmtId="183" fontId="9" fillId="0" borderId="3" xfId="18" applyNumberFormat="1" applyFont="1" applyFill="1" applyBorder="1" applyAlignment="1">
      <alignment horizontal="left"/>
    </xf>
    <xf numFmtId="184" fontId="9" fillId="3" borderId="3" xfId="18" applyNumberFormat="1" applyFont="1" applyFill="1" applyBorder="1" applyAlignment="1">
      <alignment horizontal="left"/>
    </xf>
    <xf numFmtId="184" fontId="9" fillId="5" borderId="3" xfId="18" applyNumberFormat="1" applyFont="1" applyFill="1" applyBorder="1" applyAlignment="1">
      <alignment horizontal="left"/>
    </xf>
    <xf numFmtId="184" fontId="9" fillId="0" borderId="3" xfId="18" applyNumberFormat="1" applyFont="1" applyFill="1" applyBorder="1" applyAlignment="1">
      <alignment horizontal="left"/>
    </xf>
    <xf numFmtId="3" fontId="53" fillId="3" borderId="3" xfId="18" applyNumberFormat="1" applyFont="1" applyFill="1" applyBorder="1" applyAlignment="1">
      <alignment horizontal="left"/>
    </xf>
    <xf numFmtId="3" fontId="53" fillId="5" borderId="3" xfId="18" applyNumberFormat="1" applyFont="1" applyFill="1" applyBorder="1" applyAlignment="1">
      <alignment horizontal="left"/>
    </xf>
    <xf numFmtId="0" fontId="5" fillId="5" borderId="10" xfId="18" applyFont="1" applyFill="1" applyBorder="1"/>
    <xf numFmtId="0" fontId="73" fillId="5" borderId="10" xfId="18" applyFont="1" applyFill="1" applyBorder="1"/>
    <xf numFmtId="183" fontId="5" fillId="3" borderId="10" xfId="18" applyNumberFormat="1" applyFont="1" applyFill="1" applyBorder="1"/>
    <xf numFmtId="183" fontId="5" fillId="5" borderId="10" xfId="18" applyNumberFormat="1" applyFont="1" applyFill="1" applyBorder="1"/>
    <xf numFmtId="183" fontId="5" fillId="0" borderId="10" xfId="18" applyNumberFormat="1" applyFont="1" applyFill="1" applyBorder="1"/>
    <xf numFmtId="184" fontId="5" fillId="3" borderId="10" xfId="18" applyNumberFormat="1" applyFont="1" applyFill="1" applyBorder="1"/>
    <xf numFmtId="184" fontId="5" fillId="5" borderId="10" xfId="18" applyNumberFormat="1" applyFont="1" applyFill="1" applyBorder="1"/>
    <xf numFmtId="184" fontId="5" fillId="0" borderId="10" xfId="18" applyNumberFormat="1" applyFont="1" applyFill="1" applyBorder="1"/>
    <xf numFmtId="3" fontId="34" fillId="3" borderId="10" xfId="18" applyNumberFormat="1" applyFont="1" applyFill="1" applyBorder="1"/>
    <xf numFmtId="3" fontId="34" fillId="5" borderId="10" xfId="18" applyNumberFormat="1" applyFont="1" applyFill="1" applyBorder="1"/>
    <xf numFmtId="0" fontId="70" fillId="0" borderId="0" xfId="18" applyFont="1"/>
    <xf numFmtId="0" fontId="9" fillId="5" borderId="10" xfId="18" applyFont="1" applyFill="1" applyBorder="1"/>
    <xf numFmtId="183" fontId="9" fillId="3" borderId="10" xfId="18" applyNumberFormat="1" applyFont="1" applyFill="1" applyBorder="1" applyAlignment="1">
      <alignment horizontal="left"/>
    </xf>
    <xf numFmtId="183" fontId="9" fillId="5" borderId="10" xfId="18" applyNumberFormat="1" applyFont="1" applyFill="1" applyBorder="1" applyAlignment="1">
      <alignment horizontal="left"/>
    </xf>
    <xf numFmtId="183" fontId="9" fillId="0" borderId="10" xfId="18" applyNumberFormat="1" applyFont="1" applyFill="1" applyBorder="1" applyAlignment="1">
      <alignment horizontal="left"/>
    </xf>
    <xf numFmtId="184" fontId="9" fillId="3" borderId="10" xfId="18" applyNumberFormat="1" applyFont="1" applyFill="1" applyBorder="1" applyAlignment="1">
      <alignment horizontal="left"/>
    </xf>
    <xf numFmtId="184" fontId="9" fillId="5" borderId="10" xfId="18" applyNumberFormat="1" applyFont="1" applyFill="1" applyBorder="1" applyAlignment="1">
      <alignment horizontal="left"/>
    </xf>
    <xf numFmtId="184" fontId="9" fillId="0" borderId="10" xfId="18" applyNumberFormat="1" applyFont="1" applyFill="1" applyBorder="1" applyAlignment="1">
      <alignment horizontal="left"/>
    </xf>
    <xf numFmtId="3" fontId="53" fillId="3" borderId="10" xfId="18" applyNumberFormat="1" applyFont="1" applyFill="1" applyBorder="1" applyAlignment="1">
      <alignment horizontal="left"/>
    </xf>
    <xf numFmtId="3" fontId="53" fillId="5" borderId="10" xfId="18" applyNumberFormat="1" applyFont="1" applyFill="1" applyBorder="1" applyAlignment="1">
      <alignment horizontal="left"/>
    </xf>
    <xf numFmtId="0" fontId="30" fillId="5" borderId="10" xfId="18" applyFont="1" applyFill="1" applyBorder="1"/>
    <xf numFmtId="0" fontId="19" fillId="5" borderId="10" xfId="18" applyFont="1" applyFill="1" applyBorder="1"/>
    <xf numFmtId="183" fontId="19" fillId="3" borderId="10" xfId="18" applyNumberFormat="1" applyFont="1" applyFill="1" applyBorder="1" applyAlignment="1">
      <alignment horizontal="center"/>
    </xf>
    <xf numFmtId="183" fontId="19" fillId="5" borderId="10" xfId="18" applyNumberFormat="1" applyFont="1" applyFill="1" applyBorder="1" applyAlignment="1">
      <alignment horizontal="center"/>
    </xf>
    <xf numFmtId="183" fontId="19" fillId="0" borderId="10" xfId="18" applyNumberFormat="1" applyFont="1" applyFill="1" applyBorder="1" applyAlignment="1">
      <alignment horizontal="center"/>
    </xf>
    <xf numFmtId="184" fontId="19" fillId="3" borderId="10" xfId="18" applyNumberFormat="1" applyFont="1" applyFill="1" applyBorder="1" applyAlignment="1">
      <alignment horizontal="center"/>
    </xf>
    <xf numFmtId="184" fontId="19" fillId="5" borderId="10" xfId="18" applyNumberFormat="1" applyFont="1" applyFill="1" applyBorder="1" applyAlignment="1">
      <alignment horizontal="center"/>
    </xf>
    <xf numFmtId="184" fontId="19" fillId="0" borderId="10" xfId="18" applyNumberFormat="1" applyFont="1" applyFill="1" applyBorder="1" applyAlignment="1">
      <alignment horizontal="center"/>
    </xf>
    <xf numFmtId="3" fontId="56" fillId="3" borderId="10" xfId="18" applyNumberFormat="1" applyFont="1" applyFill="1" applyBorder="1" applyAlignment="1">
      <alignment horizontal="center"/>
    </xf>
    <xf numFmtId="3" fontId="56" fillId="5" borderId="10" xfId="18" applyNumberFormat="1" applyFont="1" applyFill="1" applyBorder="1" applyAlignment="1">
      <alignment horizontal="center"/>
    </xf>
    <xf numFmtId="0" fontId="77" fillId="0" borderId="0" xfId="18" applyFont="1"/>
    <xf numFmtId="0" fontId="5" fillId="5" borderId="3" xfId="18" applyFont="1" applyFill="1" applyBorder="1"/>
    <xf numFmtId="183" fontId="5" fillId="3" borderId="3" xfId="18" applyNumberFormat="1" applyFont="1" applyFill="1" applyBorder="1"/>
    <xf numFmtId="183" fontId="5" fillId="5" borderId="3" xfId="18" applyNumberFormat="1" applyFont="1" applyFill="1" applyBorder="1"/>
    <xf numFmtId="183" fontId="5" fillId="0" borderId="3" xfId="18" applyNumberFormat="1" applyFont="1" applyFill="1" applyBorder="1"/>
    <xf numFmtId="184" fontId="5" fillId="3" borderId="3" xfId="18" applyNumberFormat="1" applyFont="1" applyFill="1" applyBorder="1"/>
    <xf numFmtId="184" fontId="5" fillId="5" borderId="3" xfId="18" applyNumberFormat="1" applyFont="1" applyFill="1" applyBorder="1"/>
    <xf numFmtId="184" fontId="5" fillId="0" borderId="3" xfId="18" applyNumberFormat="1" applyFont="1" applyFill="1" applyBorder="1"/>
    <xf numFmtId="3" fontId="34" fillId="3" borderId="3" xfId="18" applyNumberFormat="1" applyFont="1" applyFill="1" applyBorder="1"/>
    <xf numFmtId="3" fontId="34" fillId="5" borderId="3" xfId="18" applyNumberFormat="1" applyFont="1" applyFill="1" applyBorder="1"/>
    <xf numFmtId="0" fontId="9" fillId="5" borderId="10" xfId="18" applyFont="1" applyFill="1" applyBorder="1" applyAlignment="1">
      <alignment horizontal="left"/>
    </xf>
    <xf numFmtId="0" fontId="71" fillId="0" borderId="0" xfId="18" applyFont="1" applyAlignment="1">
      <alignment horizontal="left"/>
    </xf>
    <xf numFmtId="183" fontId="30" fillId="3" borderId="10" xfId="18" applyNumberFormat="1" applyFont="1" applyFill="1" applyBorder="1"/>
    <xf numFmtId="183" fontId="30" fillId="5" borderId="10" xfId="18" applyNumberFormat="1" applyFont="1" applyFill="1" applyBorder="1"/>
    <xf numFmtId="183" fontId="30" fillId="0" borderId="10" xfId="18" applyNumberFormat="1" applyFont="1" applyFill="1" applyBorder="1"/>
    <xf numFmtId="184" fontId="30" fillId="3" borderId="10" xfId="18" applyNumberFormat="1" applyFont="1" applyFill="1" applyBorder="1"/>
    <xf numFmtId="184" fontId="30" fillId="5" borderId="10" xfId="18" applyNumberFormat="1" applyFont="1" applyFill="1" applyBorder="1"/>
    <xf numFmtId="184" fontId="30" fillId="0" borderId="10" xfId="18" applyNumberFormat="1" applyFont="1" applyFill="1" applyBorder="1"/>
    <xf numFmtId="3" fontId="75" fillId="5" borderId="10" xfId="18" applyNumberFormat="1" applyFont="1" applyFill="1" applyBorder="1"/>
    <xf numFmtId="3" fontId="75" fillId="3" borderId="10" xfId="18" applyNumberFormat="1" applyFont="1" applyFill="1" applyBorder="1"/>
    <xf numFmtId="183" fontId="30" fillId="3" borderId="10" xfId="18" applyNumberFormat="1" applyFont="1" applyFill="1" applyBorder="1" applyAlignment="1">
      <alignment horizontal="right"/>
    </xf>
    <xf numFmtId="183" fontId="30" fillId="5" borderId="10" xfId="18" applyNumberFormat="1" applyFont="1" applyFill="1" applyBorder="1" applyAlignment="1">
      <alignment horizontal="right"/>
    </xf>
    <xf numFmtId="183" fontId="30" fillId="0" borderId="10" xfId="18" applyNumberFormat="1" applyFont="1" applyFill="1" applyBorder="1" applyAlignment="1">
      <alignment horizontal="right"/>
    </xf>
    <xf numFmtId="184" fontId="30" fillId="3" borderId="10" xfId="18" applyNumberFormat="1" applyFont="1" applyFill="1" applyBorder="1" applyAlignment="1">
      <alignment horizontal="right"/>
    </xf>
    <xf numFmtId="184" fontId="30" fillId="5" borderId="10" xfId="18" applyNumberFormat="1" applyFont="1" applyFill="1" applyBorder="1" applyAlignment="1">
      <alignment horizontal="right"/>
    </xf>
    <xf numFmtId="184" fontId="30" fillId="0" borderId="10" xfId="18" applyNumberFormat="1" applyFont="1" applyFill="1" applyBorder="1" applyAlignment="1">
      <alignment horizontal="right"/>
    </xf>
    <xf numFmtId="3" fontId="75" fillId="3" borderId="10" xfId="18" applyNumberFormat="1" applyFont="1" applyFill="1" applyBorder="1" applyAlignment="1">
      <alignment horizontal="right"/>
    </xf>
    <xf numFmtId="183" fontId="19" fillId="0" borderId="10" xfId="18" applyNumberFormat="1" applyFont="1" applyFill="1" applyBorder="1" applyAlignment="1">
      <alignment horizontal="right"/>
    </xf>
    <xf numFmtId="184" fontId="19" fillId="3" borderId="10" xfId="18" applyNumberFormat="1" applyFont="1" applyFill="1" applyBorder="1" applyAlignment="1">
      <alignment horizontal="right"/>
    </xf>
    <xf numFmtId="184" fontId="19" fillId="5" borderId="10" xfId="18" applyNumberFormat="1" applyFont="1" applyFill="1" applyBorder="1" applyAlignment="1">
      <alignment horizontal="right"/>
    </xf>
    <xf numFmtId="184" fontId="19" fillId="0" borderId="10" xfId="18" applyNumberFormat="1" applyFont="1" applyFill="1" applyBorder="1" applyAlignment="1">
      <alignment horizontal="right"/>
    </xf>
    <xf numFmtId="3" fontId="75" fillId="5" borderId="10" xfId="18" applyNumberFormat="1" applyFont="1" applyFill="1" applyBorder="1" applyAlignment="1">
      <alignment horizontal="right"/>
    </xf>
    <xf numFmtId="183" fontId="5" fillId="0" borderId="10" xfId="18" applyNumberFormat="1" applyFont="1" applyFill="1" applyBorder="1" applyAlignment="1">
      <alignment horizontal="center"/>
    </xf>
    <xf numFmtId="184" fontId="5" fillId="0" borderId="10" xfId="18" applyNumberFormat="1" applyFont="1" applyFill="1" applyBorder="1" applyAlignment="1">
      <alignment horizontal="center"/>
    </xf>
    <xf numFmtId="183" fontId="9" fillId="3" borderId="10" xfId="18" applyNumberFormat="1" applyFont="1" applyFill="1" applyBorder="1"/>
    <xf numFmtId="183" fontId="9" fillId="5" borderId="10" xfId="18" applyNumberFormat="1" applyFont="1" applyFill="1" applyBorder="1"/>
    <xf numFmtId="183" fontId="34" fillId="3" borderId="10" xfId="18" applyNumberFormat="1" applyFont="1" applyFill="1" applyBorder="1"/>
    <xf numFmtId="183" fontId="34" fillId="5" borderId="10" xfId="18" applyNumberFormat="1" applyFont="1" applyFill="1" applyBorder="1"/>
    <xf numFmtId="0" fontId="9" fillId="5" borderId="4" xfId="18" applyFont="1" applyFill="1" applyBorder="1"/>
    <xf numFmtId="0" fontId="30" fillId="5" borderId="4" xfId="18" applyFont="1" applyFill="1" applyBorder="1"/>
    <xf numFmtId="183" fontId="9" fillId="3" borderId="4" xfId="18" applyNumberFormat="1" applyFont="1" applyFill="1" applyBorder="1" applyAlignment="1">
      <alignment horizontal="left"/>
    </xf>
    <xf numFmtId="183" fontId="9" fillId="5" borderId="4" xfId="18" applyNumberFormat="1" applyFont="1" applyFill="1" applyBorder="1" applyAlignment="1">
      <alignment horizontal="left"/>
    </xf>
    <xf numFmtId="183" fontId="9" fillId="0" borderId="4" xfId="18" applyNumberFormat="1" applyFont="1" applyFill="1" applyBorder="1" applyAlignment="1">
      <alignment horizontal="left"/>
    </xf>
    <xf numFmtId="184" fontId="9" fillId="3" borderId="4" xfId="18" applyNumberFormat="1" applyFont="1" applyFill="1" applyBorder="1" applyAlignment="1">
      <alignment horizontal="left"/>
    </xf>
    <xf numFmtId="184" fontId="9" fillId="5" borderId="4" xfId="18" applyNumberFormat="1" applyFont="1" applyFill="1" applyBorder="1" applyAlignment="1">
      <alignment horizontal="left"/>
    </xf>
    <xf numFmtId="184" fontId="9" fillId="0" borderId="4" xfId="18" applyNumberFormat="1" applyFont="1" applyFill="1" applyBorder="1" applyAlignment="1">
      <alignment horizontal="left"/>
    </xf>
    <xf numFmtId="3" fontId="53" fillId="3" borderId="4" xfId="18" applyNumberFormat="1" applyFont="1" applyFill="1" applyBorder="1" applyAlignment="1">
      <alignment horizontal="left"/>
    </xf>
    <xf numFmtId="3" fontId="53" fillId="5" borderId="4" xfId="18" applyNumberFormat="1" applyFont="1" applyFill="1" applyBorder="1" applyAlignment="1">
      <alignment horizontal="left"/>
    </xf>
    <xf numFmtId="0" fontId="19" fillId="0" borderId="0" xfId="18" applyFont="1" applyBorder="1"/>
    <xf numFmtId="0" fontId="5" fillId="0" borderId="0" xfId="18" applyFont="1" applyBorder="1"/>
    <xf numFmtId="0" fontId="19" fillId="0" borderId="0" xfId="18" applyFont="1"/>
    <xf numFmtId="10" fontId="69" fillId="0" borderId="0" xfId="18" applyNumberFormat="1"/>
    <xf numFmtId="0" fontId="61" fillId="0" borderId="0" xfId="18" applyFont="1"/>
    <xf numFmtId="0" fontId="63" fillId="0" borderId="0" xfId="18" applyFont="1" applyBorder="1"/>
    <xf numFmtId="0" fontId="69" fillId="0" borderId="0" xfId="18" applyBorder="1"/>
    <xf numFmtId="0" fontId="79" fillId="0" borderId="0" xfId="18" applyFont="1"/>
    <xf numFmtId="0" fontId="5" fillId="0" borderId="0" xfId="17" applyFont="1"/>
    <xf numFmtId="0" fontId="3" fillId="0" borderId="0" xfId="17" applyFont="1"/>
    <xf numFmtId="0" fontId="69" fillId="0" borderId="0" xfId="17"/>
    <xf numFmtId="0" fontId="5" fillId="0" borderId="13" xfId="17" applyFont="1" applyBorder="1"/>
    <xf numFmtId="3" fontId="5" fillId="0" borderId="13" xfId="17" applyNumberFormat="1" applyFont="1" applyBorder="1"/>
    <xf numFmtId="0" fontId="5" fillId="5" borderId="11" xfId="17" applyFont="1" applyFill="1" applyBorder="1" applyAlignment="1">
      <alignment horizontal="right"/>
    </xf>
    <xf numFmtId="0" fontId="5" fillId="3" borderId="11" xfId="17" applyFont="1" applyFill="1" applyBorder="1" applyAlignment="1">
      <alignment horizontal="right"/>
    </xf>
    <xf numFmtId="184" fontId="30" fillId="5" borderId="0" xfId="17" applyNumberFormat="1" applyFont="1" applyFill="1" applyBorder="1" applyAlignment="1">
      <alignment horizontal="center"/>
    </xf>
    <xf numFmtId="184" fontId="30" fillId="3" borderId="0" xfId="17" applyNumberFormat="1" applyFont="1" applyFill="1" applyBorder="1" applyAlignment="1">
      <alignment horizontal="center"/>
    </xf>
    <xf numFmtId="184" fontId="30" fillId="0" borderId="0" xfId="17" applyNumberFormat="1" applyFont="1" applyFill="1" applyBorder="1" applyAlignment="1">
      <alignment horizontal="center"/>
    </xf>
    <xf numFmtId="0" fontId="30" fillId="5" borderId="11" xfId="17" applyFont="1" applyFill="1" applyBorder="1" applyAlignment="1">
      <alignment horizontal="center"/>
    </xf>
    <xf numFmtId="0" fontId="30" fillId="0" borderId="11" xfId="17" applyFont="1" applyFill="1" applyBorder="1" applyAlignment="1">
      <alignment horizontal="center"/>
    </xf>
    <xf numFmtId="0" fontId="53" fillId="3" borderId="11" xfId="17" applyFont="1" applyFill="1" applyBorder="1" applyAlignment="1">
      <alignment horizontal="center"/>
    </xf>
    <xf numFmtId="0" fontId="53" fillId="5" borderId="11" xfId="17" applyFont="1" applyFill="1" applyBorder="1" applyAlignment="1">
      <alignment horizontal="center"/>
    </xf>
    <xf numFmtId="0" fontId="53" fillId="5" borderId="0" xfId="17" applyFont="1" applyFill="1" applyBorder="1" applyAlignment="1">
      <alignment horizontal="left"/>
    </xf>
    <xf numFmtId="0" fontId="5" fillId="5" borderId="0" xfId="17" applyFont="1" applyFill="1" applyBorder="1" applyAlignment="1">
      <alignment horizontal="right"/>
    </xf>
    <xf numFmtId="0" fontId="9" fillId="3" borderId="0" xfId="17" applyFont="1" applyFill="1" applyBorder="1" applyAlignment="1">
      <alignment horizontal="center"/>
    </xf>
    <xf numFmtId="0" fontId="9" fillId="5" borderId="0" xfId="17" applyFont="1" applyFill="1" applyBorder="1" applyAlignment="1">
      <alignment horizontal="center"/>
    </xf>
    <xf numFmtId="0" fontId="9" fillId="0" borderId="0" xfId="17" applyFont="1" applyFill="1" applyBorder="1" applyAlignment="1">
      <alignment horizontal="center"/>
    </xf>
    <xf numFmtId="0" fontId="30" fillId="5" borderId="0" xfId="17" applyFont="1" applyFill="1" applyBorder="1" applyAlignment="1">
      <alignment horizontal="center"/>
    </xf>
    <xf numFmtId="0" fontId="30" fillId="0" borderId="0" xfId="17" applyFont="1" applyFill="1" applyBorder="1" applyAlignment="1">
      <alignment horizontal="center"/>
    </xf>
    <xf numFmtId="0" fontId="53" fillId="3" borderId="0" xfId="17" applyFont="1" applyFill="1" applyBorder="1" applyAlignment="1">
      <alignment horizontal="center"/>
    </xf>
    <xf numFmtId="0" fontId="53" fillId="5" borderId="0" xfId="17" applyFont="1" applyFill="1" applyBorder="1" applyAlignment="1">
      <alignment horizontal="center"/>
    </xf>
    <xf numFmtId="0" fontId="5" fillId="3" borderId="0" xfId="17" applyFont="1" applyFill="1" applyBorder="1" applyAlignment="1">
      <alignment horizontal="center"/>
    </xf>
    <xf numFmtId="0" fontId="5" fillId="5" borderId="0" xfId="17" applyFont="1" applyFill="1" applyBorder="1" applyAlignment="1">
      <alignment horizontal="center"/>
    </xf>
    <xf numFmtId="184" fontId="30" fillId="5" borderId="0" xfId="17" applyNumberFormat="1" applyFont="1" applyFill="1" applyBorder="1" applyAlignment="1">
      <alignment horizontal="center" vertical="top"/>
    </xf>
    <xf numFmtId="184" fontId="30" fillId="3" borderId="0" xfId="17" applyNumberFormat="1" applyFont="1" applyFill="1" applyBorder="1" applyAlignment="1">
      <alignment horizontal="center" vertical="top"/>
    </xf>
    <xf numFmtId="184" fontId="30" fillId="0" borderId="0" xfId="17" applyNumberFormat="1" applyFont="1" applyFill="1" applyBorder="1" applyAlignment="1">
      <alignment horizontal="center" vertical="top"/>
    </xf>
    <xf numFmtId="0" fontId="53" fillId="5" borderId="2" xfId="17" applyFont="1" applyFill="1" applyBorder="1" applyAlignment="1">
      <alignment horizontal="left"/>
    </xf>
    <xf numFmtId="0" fontId="5" fillId="5" borderId="2" xfId="17" applyFont="1" applyFill="1" applyBorder="1"/>
    <xf numFmtId="0" fontId="5" fillId="3" borderId="2" xfId="17" applyFont="1" applyFill="1" applyBorder="1" applyAlignment="1">
      <alignment horizontal="center"/>
    </xf>
    <xf numFmtId="0" fontId="5" fillId="5" borderId="2" xfId="17" applyFont="1" applyFill="1" applyBorder="1" applyAlignment="1">
      <alignment horizontal="center"/>
    </xf>
    <xf numFmtId="184" fontId="30" fillId="5" borderId="2" xfId="17" applyNumberFormat="1" applyFont="1" applyFill="1" applyBorder="1" applyAlignment="1">
      <alignment horizontal="center" vertical="top"/>
    </xf>
    <xf numFmtId="184" fontId="30" fillId="3" borderId="2" xfId="17" applyNumberFormat="1" applyFont="1" applyFill="1" applyBorder="1" applyAlignment="1">
      <alignment horizontal="center" vertical="top"/>
    </xf>
    <xf numFmtId="184" fontId="30" fillId="0" borderId="2" xfId="17" applyNumberFormat="1" applyFont="1" applyFill="1" applyBorder="1" applyAlignment="1">
      <alignment horizontal="center" vertical="top"/>
    </xf>
    <xf numFmtId="0" fontId="30" fillId="5" borderId="2" xfId="17" applyFont="1" applyFill="1" applyBorder="1" applyAlignment="1">
      <alignment horizontal="center"/>
    </xf>
    <xf numFmtId="0" fontId="30" fillId="0" borderId="2" xfId="17" applyFont="1" applyFill="1" applyBorder="1" applyAlignment="1">
      <alignment horizontal="center"/>
    </xf>
    <xf numFmtId="0" fontId="9" fillId="5" borderId="3" xfId="17" applyFont="1" applyFill="1" applyBorder="1"/>
    <xf numFmtId="0" fontId="5" fillId="5" borderId="3" xfId="17" applyFont="1" applyFill="1" applyBorder="1"/>
    <xf numFmtId="183" fontId="5" fillId="3" borderId="3" xfId="17" applyNumberFormat="1" applyFont="1" applyFill="1" applyBorder="1" applyAlignment="1">
      <alignment horizontal="center"/>
    </xf>
    <xf numFmtId="183" fontId="5" fillId="5" borderId="3" xfId="17" applyNumberFormat="1" applyFont="1" applyFill="1" applyBorder="1" applyAlignment="1">
      <alignment horizontal="center"/>
    </xf>
    <xf numFmtId="183" fontId="5" fillId="0" borderId="3" xfId="17" applyNumberFormat="1" applyFont="1" applyFill="1" applyBorder="1" applyAlignment="1">
      <alignment horizontal="center"/>
    </xf>
    <xf numFmtId="184" fontId="5" fillId="3" borderId="3" xfId="17" applyNumberFormat="1" applyFont="1" applyFill="1" applyBorder="1" applyAlignment="1">
      <alignment horizontal="center"/>
    </xf>
    <xf numFmtId="184" fontId="5" fillId="5" borderId="3" xfId="17" applyNumberFormat="1" applyFont="1" applyFill="1" applyBorder="1" applyAlignment="1">
      <alignment horizontal="center"/>
    </xf>
    <xf numFmtId="184" fontId="5" fillId="0" borderId="3" xfId="17" applyNumberFormat="1" applyFont="1" applyFill="1" applyBorder="1" applyAlignment="1">
      <alignment horizontal="center"/>
    </xf>
    <xf numFmtId="3" fontId="34" fillId="5" borderId="3" xfId="17" applyNumberFormat="1" applyFont="1" applyFill="1" applyBorder="1" applyAlignment="1">
      <alignment horizontal="center"/>
    </xf>
    <xf numFmtId="3" fontId="34" fillId="3" borderId="3" xfId="17" applyNumberFormat="1" applyFont="1" applyFill="1" applyBorder="1" applyAlignment="1">
      <alignment horizontal="center"/>
    </xf>
    <xf numFmtId="0" fontId="5" fillId="5" borderId="10" xfId="17" applyFont="1" applyFill="1" applyBorder="1"/>
    <xf numFmtId="0" fontId="30" fillId="5" borderId="10" xfId="17" applyFont="1" applyFill="1" applyBorder="1"/>
    <xf numFmtId="183" fontId="30" fillId="3" borderId="10" xfId="17" applyNumberFormat="1" applyFont="1" applyFill="1" applyBorder="1" applyAlignment="1">
      <alignment horizontal="right"/>
    </xf>
    <xf numFmtId="183" fontId="30" fillId="5" borderId="10" xfId="17" applyNumberFormat="1" applyFont="1" applyFill="1" applyBorder="1" applyAlignment="1">
      <alignment horizontal="right"/>
    </xf>
    <xf numFmtId="183" fontId="30" fillId="0" borderId="10" xfId="17" applyNumberFormat="1" applyFont="1" applyFill="1" applyBorder="1" applyAlignment="1">
      <alignment horizontal="right"/>
    </xf>
    <xf numFmtId="184" fontId="30" fillId="3" borderId="10" xfId="17" applyNumberFormat="1" applyFont="1" applyFill="1" applyBorder="1" applyAlignment="1">
      <alignment horizontal="right"/>
    </xf>
    <xf numFmtId="184" fontId="30" fillId="5" borderId="10" xfId="17" applyNumberFormat="1" applyFont="1" applyFill="1" applyBorder="1" applyAlignment="1">
      <alignment horizontal="right"/>
    </xf>
    <xf numFmtId="184" fontId="30" fillId="0" borderId="10" xfId="17" applyNumberFormat="1" applyFont="1" applyFill="1" applyBorder="1" applyAlignment="1">
      <alignment horizontal="right"/>
    </xf>
    <xf numFmtId="3" fontId="75" fillId="5" borderId="10" xfId="17" applyNumberFormat="1" applyFont="1" applyFill="1" applyBorder="1" applyAlignment="1">
      <alignment horizontal="right"/>
    </xf>
    <xf numFmtId="3" fontId="75" fillId="3" borderId="10" xfId="17" applyNumberFormat="1" applyFont="1" applyFill="1" applyBorder="1" applyAlignment="1">
      <alignment horizontal="right"/>
    </xf>
    <xf numFmtId="183" fontId="5" fillId="3" borderId="10" xfId="17" applyNumberFormat="1" applyFont="1" applyFill="1" applyBorder="1"/>
    <xf numFmtId="183" fontId="5" fillId="5" borderId="10" xfId="17" applyNumberFormat="1" applyFont="1" applyFill="1" applyBorder="1"/>
    <xf numFmtId="183" fontId="5" fillId="0" borderId="10" xfId="17" applyNumberFormat="1" applyFont="1" applyFill="1" applyBorder="1"/>
    <xf numFmtId="184" fontId="5" fillId="3" borderId="10" xfId="17" applyNumberFormat="1" applyFont="1" applyFill="1" applyBorder="1"/>
    <xf numFmtId="184" fontId="5" fillId="5" borderId="10" xfId="17" applyNumberFormat="1" applyFont="1" applyFill="1" applyBorder="1"/>
    <xf numFmtId="184" fontId="5" fillId="0" borderId="10" xfId="17" applyNumberFormat="1" applyFont="1" applyFill="1" applyBorder="1"/>
    <xf numFmtId="3" fontId="34" fillId="3" borderId="10" xfId="17" applyNumberFormat="1" applyFont="1" applyFill="1" applyBorder="1"/>
    <xf numFmtId="3" fontId="34" fillId="5" borderId="10" xfId="17" applyNumberFormat="1" applyFont="1" applyFill="1" applyBorder="1"/>
    <xf numFmtId="0" fontId="9" fillId="5" borderId="10" xfId="17" applyFont="1" applyFill="1" applyBorder="1"/>
    <xf numFmtId="183" fontId="5" fillId="3" borderId="10" xfId="17" applyNumberFormat="1" applyFont="1" applyFill="1" applyBorder="1" applyAlignment="1">
      <alignment horizontal="center"/>
    </xf>
    <xf numFmtId="183" fontId="5" fillId="5" borderId="10" xfId="17" applyNumberFormat="1" applyFont="1" applyFill="1" applyBorder="1" applyAlignment="1">
      <alignment horizontal="center"/>
    </xf>
    <xf numFmtId="183" fontId="5" fillId="0" borderId="10" xfId="17" applyNumberFormat="1" applyFont="1" applyFill="1" applyBorder="1" applyAlignment="1">
      <alignment horizontal="center"/>
    </xf>
    <xf numFmtId="184" fontId="5" fillId="3" borderId="10" xfId="17" applyNumberFormat="1" applyFont="1" applyFill="1" applyBorder="1" applyAlignment="1">
      <alignment horizontal="center"/>
    </xf>
    <xf numFmtId="184" fontId="5" fillId="5" borderId="10" xfId="17" applyNumberFormat="1" applyFont="1" applyFill="1" applyBorder="1" applyAlignment="1">
      <alignment horizontal="center"/>
    </xf>
    <xf numFmtId="184" fontId="5" fillId="0" borderId="10" xfId="17" applyNumberFormat="1" applyFont="1" applyFill="1" applyBorder="1" applyAlignment="1">
      <alignment horizontal="center"/>
    </xf>
    <xf numFmtId="3" fontId="34" fillId="3" borderId="10" xfId="17" applyNumberFormat="1" applyFont="1" applyFill="1" applyBorder="1" applyAlignment="1">
      <alignment horizontal="center"/>
    </xf>
    <xf numFmtId="3" fontId="34" fillId="5" borderId="10" xfId="17" applyNumberFormat="1" applyFont="1" applyFill="1" applyBorder="1" applyAlignment="1">
      <alignment horizontal="center"/>
    </xf>
    <xf numFmtId="183" fontId="30" fillId="3" borderId="10" xfId="17" applyNumberFormat="1" applyFont="1" applyFill="1" applyBorder="1"/>
    <xf numFmtId="183" fontId="30" fillId="5" borderId="10" xfId="17" applyNumberFormat="1" applyFont="1" applyFill="1" applyBorder="1"/>
    <xf numFmtId="183" fontId="30" fillId="0" borderId="10" xfId="17" applyNumberFormat="1" applyFont="1" applyFill="1" applyBorder="1"/>
    <xf numFmtId="184" fontId="30" fillId="3" borderId="10" xfId="17" applyNumberFormat="1" applyFont="1" applyFill="1" applyBorder="1"/>
    <xf numFmtId="184" fontId="30" fillId="5" borderId="10" xfId="17" applyNumberFormat="1" applyFont="1" applyFill="1" applyBorder="1"/>
    <xf numFmtId="184" fontId="30" fillId="0" borderId="10" xfId="17" applyNumberFormat="1" applyFont="1" applyFill="1" applyBorder="1"/>
    <xf numFmtId="3" fontId="75" fillId="3" borderId="10" xfId="17" applyNumberFormat="1" applyFont="1" applyFill="1" applyBorder="1"/>
    <xf numFmtId="3" fontId="75" fillId="5" borderId="10" xfId="17" applyNumberFormat="1" applyFont="1" applyFill="1" applyBorder="1"/>
    <xf numFmtId="0" fontId="5" fillId="2" borderId="0" xfId="17" applyFont="1" applyFill="1"/>
    <xf numFmtId="0" fontId="5" fillId="3" borderId="10" xfId="17" applyFont="1" applyFill="1" applyBorder="1"/>
    <xf numFmtId="0" fontId="5" fillId="0" borderId="10" xfId="17" applyFont="1" applyFill="1" applyBorder="1"/>
    <xf numFmtId="183" fontId="9" fillId="3" borderId="10" xfId="17" applyNumberFormat="1" applyFont="1" applyFill="1" applyBorder="1"/>
    <xf numFmtId="183" fontId="9" fillId="5" borderId="10" xfId="17" applyNumberFormat="1" applyFont="1" applyFill="1" applyBorder="1"/>
    <xf numFmtId="183" fontId="9" fillId="0" borderId="10" xfId="17" applyNumberFormat="1" applyFont="1" applyFill="1" applyBorder="1"/>
    <xf numFmtId="184" fontId="9" fillId="3" borderId="10" xfId="17" applyNumberFormat="1" applyFont="1" applyFill="1" applyBorder="1"/>
    <xf numFmtId="184" fontId="9" fillId="5" borderId="10" xfId="17" applyNumberFormat="1" applyFont="1" applyFill="1" applyBorder="1"/>
    <xf numFmtId="184" fontId="9" fillId="0" borderId="10" xfId="17" applyNumberFormat="1" applyFont="1" applyFill="1" applyBorder="1"/>
    <xf numFmtId="3" fontId="53" fillId="3" borderId="10" xfId="17" applyNumberFormat="1" applyFont="1" applyFill="1" applyBorder="1"/>
    <xf numFmtId="3" fontId="53" fillId="5" borderId="10" xfId="17" applyNumberFormat="1" applyFont="1" applyFill="1" applyBorder="1"/>
    <xf numFmtId="183" fontId="9" fillId="3" borderId="10" xfId="17" applyNumberFormat="1" applyFont="1" applyFill="1" applyBorder="1" applyAlignment="1">
      <alignment horizontal="left"/>
    </xf>
    <xf numFmtId="183" fontId="9" fillId="5" borderId="10" xfId="17" applyNumberFormat="1" applyFont="1" applyFill="1" applyBorder="1" applyAlignment="1">
      <alignment horizontal="left"/>
    </xf>
    <xf numFmtId="183" fontId="9" fillId="0" borderId="10" xfId="17" applyNumberFormat="1" applyFont="1" applyFill="1" applyBorder="1" applyAlignment="1">
      <alignment horizontal="left"/>
    </xf>
    <xf numFmtId="184" fontId="9" fillId="3" borderId="10" xfId="17" applyNumberFormat="1" applyFont="1" applyFill="1" applyBorder="1" applyAlignment="1">
      <alignment horizontal="left"/>
    </xf>
    <xf numFmtId="184" fontId="9" fillId="5" borderId="10" xfId="17" applyNumberFormat="1" applyFont="1" applyFill="1" applyBorder="1" applyAlignment="1">
      <alignment horizontal="left"/>
    </xf>
    <xf numFmtId="184" fontId="9" fillId="0" borderId="10" xfId="17" applyNumberFormat="1" applyFont="1" applyFill="1" applyBorder="1" applyAlignment="1">
      <alignment horizontal="left"/>
    </xf>
    <xf numFmtId="3" fontId="53" fillId="3" borderId="10" xfId="17" applyNumberFormat="1" applyFont="1" applyFill="1" applyBorder="1" applyAlignment="1">
      <alignment horizontal="left"/>
    </xf>
    <xf numFmtId="3" fontId="53" fillId="5" borderId="10" xfId="17" applyNumberFormat="1" applyFont="1" applyFill="1" applyBorder="1" applyAlignment="1">
      <alignment horizontal="left"/>
    </xf>
    <xf numFmtId="183" fontId="59" fillId="3" borderId="10" xfId="17" applyNumberFormat="1" applyFont="1" applyFill="1" applyBorder="1" applyAlignment="1">
      <alignment horizontal="center"/>
    </xf>
    <xf numFmtId="183" fontId="59" fillId="5" borderId="10" xfId="17" applyNumberFormat="1" applyFont="1" applyFill="1" applyBorder="1" applyAlignment="1">
      <alignment horizontal="center"/>
    </xf>
    <xf numFmtId="183" fontId="59" fillId="0" borderId="10" xfId="17" applyNumberFormat="1" applyFont="1" applyFill="1" applyBorder="1" applyAlignment="1">
      <alignment horizontal="center"/>
    </xf>
    <xf numFmtId="184" fontId="59" fillId="3" borderId="10" xfId="17" applyNumberFormat="1" applyFont="1" applyFill="1" applyBorder="1" applyAlignment="1">
      <alignment horizontal="center"/>
    </xf>
    <xf numFmtId="184" fontId="59" fillId="5" borderId="10" xfId="17" applyNumberFormat="1" applyFont="1" applyFill="1" applyBorder="1" applyAlignment="1">
      <alignment horizontal="center"/>
    </xf>
    <xf numFmtId="184" fontId="59" fillId="0" borderId="10" xfId="17" applyNumberFormat="1" applyFont="1" applyFill="1" applyBorder="1" applyAlignment="1">
      <alignment horizontal="center"/>
    </xf>
    <xf numFmtId="3" fontId="81" fillId="3" borderId="10" xfId="17" applyNumberFormat="1" applyFont="1" applyFill="1" applyBorder="1" applyAlignment="1">
      <alignment horizontal="center"/>
    </xf>
    <xf numFmtId="3" fontId="81" fillId="5" borderId="10" xfId="17" applyNumberFormat="1" applyFont="1" applyFill="1" applyBorder="1" applyAlignment="1">
      <alignment horizontal="center"/>
    </xf>
    <xf numFmtId="0" fontId="5" fillId="5" borderId="12" xfId="17" applyFont="1" applyFill="1" applyBorder="1"/>
    <xf numFmtId="0" fontId="30" fillId="5" borderId="12" xfId="17" applyFont="1" applyFill="1" applyBorder="1"/>
    <xf numFmtId="183" fontId="59" fillId="3" borderId="12" xfId="17" applyNumberFormat="1" applyFont="1" applyFill="1" applyBorder="1" applyAlignment="1">
      <alignment horizontal="center"/>
    </xf>
    <xf numFmtId="183" fontId="59" fillId="5" borderId="12" xfId="17" applyNumberFormat="1" applyFont="1" applyFill="1" applyBorder="1" applyAlignment="1">
      <alignment horizontal="center"/>
    </xf>
    <xf numFmtId="183" fontId="59" fillId="0" borderId="12" xfId="17" applyNumberFormat="1" applyFont="1" applyFill="1" applyBorder="1" applyAlignment="1">
      <alignment horizontal="center"/>
    </xf>
    <xf numFmtId="184" fontId="59" fillId="3" borderId="12" xfId="17" applyNumberFormat="1" applyFont="1" applyFill="1" applyBorder="1" applyAlignment="1">
      <alignment horizontal="center"/>
    </xf>
    <xf numFmtId="184" fontId="59" fillId="5" borderId="12" xfId="17" applyNumberFormat="1" applyFont="1" applyFill="1" applyBorder="1" applyAlignment="1">
      <alignment horizontal="center"/>
    </xf>
    <xf numFmtId="184" fontId="59" fillId="0" borderId="12" xfId="17" applyNumberFormat="1" applyFont="1" applyFill="1" applyBorder="1" applyAlignment="1">
      <alignment horizontal="center"/>
    </xf>
    <xf numFmtId="3" fontId="81" fillId="3" borderId="12" xfId="17" applyNumberFormat="1" applyFont="1" applyFill="1" applyBorder="1" applyAlignment="1">
      <alignment horizontal="center"/>
    </xf>
    <xf numFmtId="3" fontId="81" fillId="5" borderId="12" xfId="17" applyNumberFormat="1" applyFont="1" applyFill="1" applyBorder="1" applyAlignment="1">
      <alignment horizontal="center"/>
    </xf>
    <xf numFmtId="0" fontId="5" fillId="0" borderId="2" xfId="17" applyFont="1" applyBorder="1"/>
    <xf numFmtId="0" fontId="30" fillId="0" borderId="2" xfId="17" applyFont="1" applyBorder="1"/>
    <xf numFmtId="183" fontId="30" fillId="0" borderId="2" xfId="17" applyNumberFormat="1" applyFont="1" applyBorder="1" applyAlignment="1">
      <alignment horizontal="right"/>
    </xf>
    <xf numFmtId="183" fontId="30" fillId="0" borderId="2" xfId="17" applyNumberFormat="1" applyFont="1" applyFill="1" applyBorder="1" applyAlignment="1">
      <alignment horizontal="right"/>
    </xf>
    <xf numFmtId="184" fontId="30" fillId="0" borderId="2" xfId="17" applyNumberFormat="1" applyFont="1" applyFill="1" applyBorder="1" applyAlignment="1">
      <alignment horizontal="right"/>
    </xf>
    <xf numFmtId="184" fontId="30" fillId="0" borderId="2" xfId="17" applyNumberFormat="1" applyFont="1" applyBorder="1" applyAlignment="1">
      <alignment horizontal="right"/>
    </xf>
    <xf numFmtId="3" fontId="75" fillId="0" borderId="2" xfId="17" applyNumberFormat="1" applyFont="1" applyBorder="1" applyAlignment="1">
      <alignment horizontal="right"/>
    </xf>
    <xf numFmtId="0" fontId="5" fillId="0" borderId="0" xfId="17" applyFont="1" applyBorder="1"/>
    <xf numFmtId="0" fontId="30" fillId="0" borderId="0" xfId="17" applyFont="1" applyBorder="1"/>
    <xf numFmtId="183" fontId="30" fillId="0" borderId="0" xfId="17" applyNumberFormat="1" applyFont="1" applyBorder="1" applyAlignment="1">
      <alignment horizontal="right"/>
    </xf>
    <xf numFmtId="183" fontId="30" fillId="0" borderId="0" xfId="17" applyNumberFormat="1" applyFont="1" applyFill="1" applyBorder="1" applyAlignment="1">
      <alignment horizontal="right"/>
    </xf>
    <xf numFmtId="184" fontId="30" fillId="0" borderId="0" xfId="17" applyNumberFormat="1" applyFont="1" applyFill="1" applyBorder="1" applyAlignment="1">
      <alignment horizontal="right"/>
    </xf>
    <xf numFmtId="184" fontId="30" fillId="0" borderId="0" xfId="17" applyNumberFormat="1" applyFont="1" applyBorder="1" applyAlignment="1">
      <alignment horizontal="right"/>
    </xf>
    <xf numFmtId="3" fontId="75" fillId="0" borderId="0" xfId="17" applyNumberFormat="1" applyFont="1" applyBorder="1" applyAlignment="1">
      <alignment horizontal="right"/>
    </xf>
    <xf numFmtId="3" fontId="30" fillId="3" borderId="10" xfId="17" applyNumberFormat="1" applyFont="1" applyFill="1" applyBorder="1" applyAlignment="1">
      <alignment horizontal="right"/>
    </xf>
    <xf numFmtId="0" fontId="5" fillId="6" borderId="0" xfId="17" applyFont="1" applyFill="1"/>
    <xf numFmtId="3" fontId="5" fillId="3" borderId="10" xfId="17" applyNumberFormat="1" applyFont="1" applyFill="1" applyBorder="1"/>
    <xf numFmtId="183" fontId="5" fillId="3" borderId="10" xfId="17" applyNumberFormat="1" applyFont="1" applyFill="1" applyBorder="1" applyAlignment="1">
      <alignment horizontal="left"/>
    </xf>
    <xf numFmtId="183" fontId="30" fillId="3" borderId="10" xfId="17" applyNumberFormat="1" applyFont="1" applyFill="1" applyBorder="1" applyAlignment="1">
      <alignment horizontal="center"/>
    </xf>
    <xf numFmtId="183" fontId="30" fillId="3" borderId="12" xfId="17" applyNumberFormat="1" applyFont="1" applyFill="1" applyBorder="1" applyAlignment="1">
      <alignment horizontal="center"/>
    </xf>
    <xf numFmtId="0" fontId="5" fillId="0" borderId="0" xfId="17" applyFont="1" applyFill="1"/>
    <xf numFmtId="3" fontId="75" fillId="0" borderId="2" xfId="17" applyNumberFormat="1" applyFont="1" applyFill="1" applyBorder="1" applyAlignment="1">
      <alignment horizontal="right"/>
    </xf>
    <xf numFmtId="183" fontId="5" fillId="0" borderId="0" xfId="17" applyNumberFormat="1" applyFont="1" applyBorder="1"/>
    <xf numFmtId="183" fontId="5" fillId="0" borderId="0" xfId="17" applyNumberFormat="1" applyFont="1" applyFill="1" applyBorder="1"/>
    <xf numFmtId="184" fontId="5" fillId="0" borderId="0" xfId="17" applyNumberFormat="1" applyFont="1" applyFill="1" applyBorder="1"/>
    <xf numFmtId="184" fontId="5" fillId="0" borderId="0" xfId="17" applyNumberFormat="1" applyFont="1" applyBorder="1"/>
    <xf numFmtId="3" fontId="34" fillId="0" borderId="0" xfId="17" applyNumberFormat="1" applyFont="1" applyBorder="1"/>
    <xf numFmtId="183" fontId="9" fillId="3" borderId="3" xfId="17" applyNumberFormat="1" applyFont="1" applyFill="1" applyBorder="1" applyAlignment="1">
      <alignment horizontal="left"/>
    </xf>
    <xf numFmtId="183" fontId="9" fillId="5" borderId="3" xfId="17" applyNumberFormat="1" applyFont="1" applyFill="1" applyBorder="1" applyAlignment="1">
      <alignment horizontal="left"/>
    </xf>
    <xf numFmtId="183" fontId="9" fillId="0" borderId="3" xfId="17" applyNumberFormat="1" applyFont="1" applyFill="1" applyBorder="1" applyAlignment="1">
      <alignment horizontal="left"/>
    </xf>
    <xf numFmtId="184" fontId="9" fillId="3" borderId="3" xfId="17" applyNumberFormat="1" applyFont="1" applyFill="1" applyBorder="1" applyAlignment="1">
      <alignment horizontal="left"/>
    </xf>
    <xf numFmtId="184" fontId="9" fillId="5" borderId="3" xfId="17" applyNumberFormat="1" applyFont="1" applyFill="1" applyBorder="1" applyAlignment="1">
      <alignment horizontal="left"/>
    </xf>
    <xf numFmtId="184" fontId="9" fillId="0" borderId="3" xfId="17" applyNumberFormat="1" applyFont="1" applyFill="1" applyBorder="1" applyAlignment="1">
      <alignment horizontal="left"/>
    </xf>
    <xf numFmtId="3" fontId="53" fillId="3" borderId="3" xfId="17" applyNumberFormat="1" applyFont="1" applyFill="1" applyBorder="1" applyAlignment="1">
      <alignment horizontal="left"/>
    </xf>
    <xf numFmtId="3" fontId="53" fillId="5" borderId="3" xfId="17" applyNumberFormat="1" applyFont="1" applyFill="1" applyBorder="1" applyAlignment="1">
      <alignment horizontal="left"/>
    </xf>
    <xf numFmtId="183" fontId="5" fillId="3" borderId="12" xfId="17" applyNumberFormat="1" applyFont="1" applyFill="1" applyBorder="1" applyAlignment="1">
      <alignment horizontal="center"/>
    </xf>
    <xf numFmtId="183" fontId="5" fillId="5" borderId="12" xfId="17" applyNumberFormat="1" applyFont="1" applyFill="1" applyBorder="1" applyAlignment="1">
      <alignment horizontal="center"/>
    </xf>
    <xf numFmtId="183" fontId="5" fillId="0" borderId="12" xfId="17" applyNumberFormat="1" applyFont="1" applyFill="1" applyBorder="1" applyAlignment="1">
      <alignment horizontal="center"/>
    </xf>
    <xf numFmtId="184" fontId="5" fillId="3" borderId="12" xfId="17" applyNumberFormat="1" applyFont="1" applyFill="1" applyBorder="1" applyAlignment="1">
      <alignment horizontal="center"/>
    </xf>
    <xf numFmtId="184" fontId="5" fillId="5" borderId="12" xfId="17" applyNumberFormat="1" applyFont="1" applyFill="1" applyBorder="1" applyAlignment="1">
      <alignment horizontal="center"/>
    </xf>
    <xf numFmtId="184" fontId="5" fillId="0" borderId="12" xfId="17" applyNumberFormat="1" applyFont="1" applyFill="1" applyBorder="1" applyAlignment="1">
      <alignment horizontal="center"/>
    </xf>
    <xf numFmtId="3" fontId="34" fillId="3" borderId="12" xfId="17" applyNumberFormat="1" applyFont="1" applyFill="1" applyBorder="1" applyAlignment="1">
      <alignment horizontal="center"/>
    </xf>
    <xf numFmtId="3" fontId="34" fillId="5" borderId="12" xfId="17" applyNumberFormat="1" applyFont="1" applyFill="1" applyBorder="1" applyAlignment="1">
      <alignment horizontal="center"/>
    </xf>
    <xf numFmtId="183" fontId="5" fillId="0" borderId="13" xfId="17" applyNumberFormat="1" applyFont="1" applyBorder="1"/>
    <xf numFmtId="183" fontId="5" fillId="0" borderId="13" xfId="17" applyNumberFormat="1" applyFont="1" applyFill="1" applyBorder="1"/>
    <xf numFmtId="0" fontId="19" fillId="0" borderId="0" xfId="17" applyFont="1" applyBorder="1"/>
    <xf numFmtId="0" fontId="9" fillId="0" borderId="0" xfId="17" applyFont="1"/>
    <xf numFmtId="49" fontId="5" fillId="0" borderId="0" xfId="17" applyNumberFormat="1" applyFont="1" applyBorder="1"/>
    <xf numFmtId="0" fontId="82" fillId="0" borderId="0" xfId="17" applyFont="1"/>
    <xf numFmtId="0" fontId="83" fillId="0" borderId="0" xfId="17" applyFont="1" applyFill="1"/>
    <xf numFmtId="0" fontId="84" fillId="0" borderId="0" xfId="17" applyFont="1"/>
    <xf numFmtId="0" fontId="85" fillId="0" borderId="0" xfId="17" applyFont="1"/>
    <xf numFmtId="0" fontId="3" fillId="0" borderId="0" xfId="16" applyFont="1" applyAlignment="1"/>
    <xf numFmtId="0" fontId="5" fillId="0" borderId="0" xfId="16" applyFont="1" applyAlignment="1"/>
    <xf numFmtId="0" fontId="5" fillId="0" borderId="0" xfId="16" applyFont="1" applyFill="1"/>
    <xf numFmtId="0" fontId="9" fillId="0" borderId="0" xfId="16" applyFont="1"/>
    <xf numFmtId="0" fontId="5" fillId="0" borderId="0" xfId="16" applyFont="1"/>
    <xf numFmtId="0" fontId="69" fillId="0" borderId="0" xfId="16"/>
    <xf numFmtId="0" fontId="71" fillId="0" borderId="0" xfId="16" applyFont="1"/>
    <xf numFmtId="0" fontId="5" fillId="0" borderId="13" xfId="16" applyFont="1" applyBorder="1"/>
    <xf numFmtId="0" fontId="34" fillId="0" borderId="13" xfId="16" applyFont="1" applyBorder="1"/>
    <xf numFmtId="0" fontId="5" fillId="5" borderId="0" xfId="16" applyFont="1" applyFill="1" applyAlignment="1">
      <alignment horizontal="right"/>
    </xf>
    <xf numFmtId="0" fontId="5" fillId="3" borderId="0" xfId="16" applyFont="1" applyFill="1" applyAlignment="1">
      <alignment horizontal="right"/>
    </xf>
    <xf numFmtId="184" fontId="30" fillId="0" borderId="0" xfId="16" applyNumberFormat="1" applyFont="1" applyFill="1" applyBorder="1" applyAlignment="1">
      <alignment horizontal="center"/>
    </xf>
    <xf numFmtId="2" fontId="69" fillId="0" borderId="0" xfId="16" applyNumberFormat="1"/>
    <xf numFmtId="183" fontId="69" fillId="0" borderId="0" xfId="16" applyNumberFormat="1" applyAlignment="1">
      <alignment horizontal="right"/>
    </xf>
    <xf numFmtId="0" fontId="69" fillId="0" borderId="0" xfId="16" applyAlignment="1">
      <alignment horizontal="right"/>
    </xf>
    <xf numFmtId="2" fontId="69" fillId="0" borderId="0" xfId="16" applyNumberFormat="1" applyAlignment="1">
      <alignment horizontal="right"/>
    </xf>
    <xf numFmtId="0" fontId="53" fillId="5" borderId="0" xfId="16" applyFont="1" applyFill="1" applyBorder="1" applyAlignment="1">
      <alignment horizontal="left"/>
    </xf>
    <xf numFmtId="0" fontId="5" fillId="5" borderId="0" xfId="16" applyFont="1" applyFill="1" applyBorder="1" applyAlignment="1">
      <alignment horizontal="right"/>
    </xf>
    <xf numFmtId="0" fontId="5" fillId="3" borderId="0" xfId="16" applyFont="1" applyFill="1" applyAlignment="1">
      <alignment horizontal="center"/>
    </xf>
    <xf numFmtId="0" fontId="5" fillId="5" borderId="0" xfId="16" applyFont="1" applyFill="1" applyAlignment="1">
      <alignment horizontal="center"/>
    </xf>
    <xf numFmtId="0" fontId="53" fillId="3" borderId="0" xfId="16" applyFont="1" applyFill="1" applyAlignment="1">
      <alignment horizontal="center"/>
    </xf>
    <xf numFmtId="0" fontId="53" fillId="5" borderId="0" xfId="16" applyFont="1" applyFill="1" applyAlignment="1">
      <alignment horizontal="center"/>
    </xf>
    <xf numFmtId="183" fontId="69" fillId="0" borderId="0" xfId="16" applyNumberFormat="1"/>
    <xf numFmtId="0" fontId="5" fillId="5" borderId="0" xfId="16" applyFont="1" applyFill="1" applyBorder="1"/>
    <xf numFmtId="0" fontId="9" fillId="5" borderId="0" xfId="16" applyFont="1" applyFill="1" applyBorder="1"/>
    <xf numFmtId="0" fontId="5" fillId="3" borderId="0" xfId="16" applyFont="1" applyFill="1" applyBorder="1" applyAlignment="1">
      <alignment horizontal="center"/>
    </xf>
    <xf numFmtId="0" fontId="5" fillId="5" borderId="0" xfId="16" applyFont="1" applyFill="1" applyBorder="1" applyAlignment="1">
      <alignment horizontal="center"/>
    </xf>
    <xf numFmtId="184" fontId="30" fillId="0" borderId="0" xfId="16" applyNumberFormat="1" applyFont="1" applyFill="1" applyBorder="1" applyAlignment="1">
      <alignment horizontal="center" vertical="top"/>
    </xf>
    <xf numFmtId="183" fontId="71" fillId="0" borderId="0" xfId="16" applyNumberFormat="1" applyFont="1"/>
    <xf numFmtId="0" fontId="9" fillId="5" borderId="2" xfId="16" applyFont="1" applyFill="1" applyBorder="1"/>
    <xf numFmtId="0" fontId="5" fillId="5" borderId="2" xfId="16" applyFont="1" applyFill="1" applyBorder="1"/>
    <xf numFmtId="0" fontId="5" fillId="3" borderId="2" xfId="16" applyFont="1" applyFill="1" applyBorder="1"/>
    <xf numFmtId="0" fontId="30" fillId="0" borderId="2" xfId="16" applyFont="1" applyFill="1" applyBorder="1" applyAlignment="1">
      <alignment horizontal="center"/>
    </xf>
    <xf numFmtId="0" fontId="9" fillId="5" borderId="9" xfId="16" applyFont="1" applyFill="1" applyBorder="1"/>
    <xf numFmtId="0" fontId="5" fillId="5" borderId="9" xfId="16" applyFont="1" applyFill="1" applyBorder="1"/>
    <xf numFmtId="184" fontId="9" fillId="3" borderId="9" xfId="16" applyNumberFormat="1" applyFont="1" applyFill="1" applyBorder="1" applyAlignment="1">
      <alignment horizontal="left"/>
    </xf>
    <xf numFmtId="184" fontId="9" fillId="5" borderId="9" xfId="16" applyNumberFormat="1" applyFont="1" applyFill="1" applyBorder="1" applyAlignment="1">
      <alignment horizontal="left"/>
    </xf>
    <xf numFmtId="184" fontId="9" fillId="0" borderId="9" xfId="16" applyNumberFormat="1" applyFont="1" applyFill="1" applyBorder="1" applyAlignment="1">
      <alignment horizontal="left"/>
    </xf>
    <xf numFmtId="184" fontId="53" fillId="3" borderId="9" xfId="16" applyNumberFormat="1" applyFont="1" applyFill="1" applyBorder="1" applyAlignment="1">
      <alignment horizontal="left"/>
    </xf>
    <xf numFmtId="184" fontId="53" fillId="5" borderId="9" xfId="16" applyNumberFormat="1" applyFont="1" applyFill="1" applyBorder="1" applyAlignment="1">
      <alignment horizontal="left"/>
    </xf>
    <xf numFmtId="0" fontId="9" fillId="5" borderId="10" xfId="16" applyFont="1" applyFill="1" applyBorder="1"/>
    <xf numFmtId="0" fontId="5" fillId="5" borderId="10" xfId="16" applyFont="1" applyFill="1" applyBorder="1"/>
    <xf numFmtId="184" fontId="19" fillId="3" borderId="10" xfId="16" applyNumberFormat="1" applyFont="1" applyFill="1" applyBorder="1" applyAlignment="1">
      <alignment horizontal="center"/>
    </xf>
    <xf numFmtId="184" fontId="19" fillId="5" borderId="10" xfId="16" applyNumberFormat="1" applyFont="1" applyFill="1" applyBorder="1" applyAlignment="1">
      <alignment horizontal="center"/>
    </xf>
    <xf numFmtId="184" fontId="19" fillId="0" borderId="10" xfId="16" applyNumberFormat="1" applyFont="1" applyFill="1" applyBorder="1" applyAlignment="1">
      <alignment horizontal="center"/>
    </xf>
    <xf numFmtId="184" fontId="56" fillId="3" borderId="10" xfId="16" applyNumberFormat="1" applyFont="1" applyFill="1" applyBorder="1" applyAlignment="1">
      <alignment horizontal="center"/>
    </xf>
    <xf numFmtId="184" fontId="56" fillId="5" borderId="10" xfId="16" applyNumberFormat="1" applyFont="1" applyFill="1" applyBorder="1" applyAlignment="1">
      <alignment horizontal="center"/>
    </xf>
    <xf numFmtId="0" fontId="73" fillId="5" borderId="10" xfId="16" applyFont="1" applyFill="1" applyBorder="1"/>
    <xf numFmtId="184" fontId="5" fillId="3" borderId="10" xfId="16" applyNumberFormat="1" applyFont="1" applyFill="1" applyBorder="1"/>
    <xf numFmtId="184" fontId="5" fillId="5" borderId="10" xfId="16" applyNumberFormat="1" applyFont="1" applyFill="1" applyBorder="1"/>
    <xf numFmtId="184" fontId="5" fillId="0" borderId="10" xfId="16" applyNumberFormat="1" applyFont="1" applyFill="1" applyBorder="1"/>
    <xf numFmtId="184" fontId="34" fillId="3" borderId="10" xfId="16" applyNumberFormat="1" applyFont="1" applyFill="1" applyBorder="1"/>
    <xf numFmtId="184" fontId="34" fillId="5" borderId="10" xfId="16" applyNumberFormat="1" applyFont="1" applyFill="1" applyBorder="1"/>
    <xf numFmtId="0" fontId="70" fillId="0" borderId="0" xfId="16" applyFont="1"/>
    <xf numFmtId="184" fontId="9" fillId="3" borderId="10" xfId="16" applyNumberFormat="1" applyFont="1" applyFill="1" applyBorder="1" applyAlignment="1">
      <alignment horizontal="left"/>
    </xf>
    <xf numFmtId="184" fontId="9" fillId="5" borderId="10" xfId="16" applyNumberFormat="1" applyFont="1" applyFill="1" applyBorder="1" applyAlignment="1">
      <alignment horizontal="left"/>
    </xf>
    <xf numFmtId="184" fontId="9" fillId="0" borderId="10" xfId="16" applyNumberFormat="1" applyFont="1" applyFill="1" applyBorder="1" applyAlignment="1">
      <alignment horizontal="left"/>
    </xf>
    <xf numFmtId="184" fontId="53" fillId="3" borderId="10" xfId="16" applyNumberFormat="1" applyFont="1" applyFill="1" applyBorder="1" applyAlignment="1">
      <alignment horizontal="left"/>
    </xf>
    <xf numFmtId="184" fontId="53" fillId="5" borderId="10" xfId="16" applyNumberFormat="1" applyFont="1" applyFill="1" applyBorder="1" applyAlignment="1">
      <alignment horizontal="left"/>
    </xf>
    <xf numFmtId="0" fontId="19" fillId="5" borderId="10" xfId="16" applyFont="1" applyFill="1" applyBorder="1"/>
    <xf numFmtId="0" fontId="30" fillId="5" borderId="10" xfId="16" applyFont="1" applyFill="1" applyBorder="1"/>
    <xf numFmtId="184" fontId="30" fillId="3" borderId="10" xfId="16" applyNumberFormat="1" applyFont="1" applyFill="1" applyBorder="1" applyAlignment="1">
      <alignment horizontal="right"/>
    </xf>
    <xf numFmtId="184" fontId="30" fillId="5" borderId="10" xfId="16" applyNumberFormat="1" applyFont="1" applyFill="1" applyBorder="1" applyAlignment="1">
      <alignment horizontal="right"/>
    </xf>
    <xf numFmtId="184" fontId="30" fillId="0" borderId="10" xfId="16" applyNumberFormat="1" applyFont="1" applyFill="1" applyBorder="1" applyAlignment="1">
      <alignment horizontal="right"/>
    </xf>
    <xf numFmtId="184" fontId="75" fillId="3" borderId="10" xfId="16" applyNumberFormat="1" applyFont="1" applyFill="1" applyBorder="1" applyAlignment="1">
      <alignment horizontal="right"/>
    </xf>
    <xf numFmtId="184" fontId="75" fillId="5" borderId="10" xfId="16" applyNumberFormat="1" applyFont="1" applyFill="1" applyBorder="1" applyAlignment="1">
      <alignment horizontal="right"/>
    </xf>
    <xf numFmtId="184" fontId="5" fillId="3" borderId="10" xfId="16" applyNumberFormat="1" applyFont="1" applyFill="1" applyBorder="1" applyAlignment="1">
      <alignment horizontal="center"/>
    </xf>
    <xf numFmtId="184" fontId="5" fillId="5" borderId="10" xfId="16" applyNumberFormat="1" applyFont="1" applyFill="1" applyBorder="1" applyAlignment="1">
      <alignment horizontal="center"/>
    </xf>
    <xf numFmtId="184" fontId="5" fillId="0" borderId="10" xfId="16" applyNumberFormat="1" applyFont="1" applyFill="1" applyBorder="1" applyAlignment="1">
      <alignment horizontal="center"/>
    </xf>
    <xf numFmtId="184" fontId="34" fillId="3" borderId="10" xfId="16" applyNumberFormat="1" applyFont="1" applyFill="1" applyBorder="1" applyAlignment="1">
      <alignment horizontal="center"/>
    </xf>
    <xf numFmtId="184" fontId="34" fillId="5" borderId="10" xfId="16" applyNumberFormat="1" applyFont="1" applyFill="1" applyBorder="1" applyAlignment="1">
      <alignment horizontal="center"/>
    </xf>
    <xf numFmtId="184" fontId="5" fillId="0" borderId="3" xfId="16" applyNumberFormat="1" applyFont="1" applyFill="1" applyBorder="1"/>
    <xf numFmtId="184" fontId="30" fillId="3" borderId="10" xfId="16" applyNumberFormat="1" applyFont="1" applyFill="1" applyBorder="1"/>
    <xf numFmtId="184" fontId="30" fillId="5" borderId="10" xfId="16" applyNumberFormat="1" applyFont="1" applyFill="1" applyBorder="1"/>
    <xf numFmtId="184" fontId="30" fillId="0" borderId="10" xfId="16" applyNumberFormat="1" applyFont="1" applyFill="1" applyBorder="1"/>
    <xf numFmtId="184" fontId="75" fillId="3" borderId="10" xfId="16" applyNumberFormat="1" applyFont="1" applyFill="1" applyBorder="1"/>
    <xf numFmtId="184" fontId="75" fillId="5" borderId="10" xfId="16" applyNumberFormat="1" applyFont="1" applyFill="1" applyBorder="1"/>
    <xf numFmtId="0" fontId="9" fillId="5" borderId="4" xfId="16" applyFont="1" applyFill="1" applyBorder="1"/>
    <xf numFmtId="0" fontId="30" fillId="5" borderId="4" xfId="16" applyFont="1" applyFill="1" applyBorder="1"/>
    <xf numFmtId="184" fontId="9" fillId="3" borderId="4" xfId="16" applyNumberFormat="1" applyFont="1" applyFill="1" applyBorder="1" applyAlignment="1">
      <alignment horizontal="left"/>
    </xf>
    <xf numFmtId="184" fontId="9" fillId="5" borderId="4" xfId="16" applyNumberFormat="1" applyFont="1" applyFill="1" applyBorder="1" applyAlignment="1">
      <alignment horizontal="left"/>
    </xf>
    <xf numFmtId="184" fontId="9" fillId="0" borderId="4" xfId="16" applyNumberFormat="1" applyFont="1" applyFill="1" applyBorder="1" applyAlignment="1">
      <alignment horizontal="left"/>
    </xf>
    <xf numFmtId="184" fontId="53" fillId="3" borderId="4" xfId="16" applyNumberFormat="1" applyFont="1" applyFill="1" applyBorder="1" applyAlignment="1">
      <alignment horizontal="left"/>
    </xf>
    <xf numFmtId="184" fontId="53" fillId="5" borderId="4" xfId="16" applyNumberFormat="1" applyFont="1" applyFill="1" applyBorder="1" applyAlignment="1">
      <alignment horizontal="left"/>
    </xf>
    <xf numFmtId="0" fontId="19" fillId="0" borderId="0" xfId="16" applyFont="1" applyBorder="1"/>
    <xf numFmtId="0" fontId="5" fillId="0" borderId="0" xfId="16" applyFont="1" applyBorder="1"/>
    <xf numFmtId="0" fontId="34" fillId="0" borderId="0" xfId="16" applyFont="1"/>
    <xf numFmtId="0" fontId="19" fillId="0" borderId="0" xfId="16" applyFont="1"/>
    <xf numFmtId="183" fontId="5" fillId="0" borderId="0" xfId="16" applyNumberFormat="1" applyFont="1"/>
    <xf numFmtId="10" fontId="69" fillId="0" borderId="0" xfId="16" applyNumberFormat="1"/>
    <xf numFmtId="49" fontId="5" fillId="0" borderId="0" xfId="16" applyNumberFormat="1" applyFont="1" applyBorder="1"/>
    <xf numFmtId="0" fontId="5" fillId="0" borderId="0" xfId="16" applyNumberFormat="1" applyFont="1" applyBorder="1"/>
    <xf numFmtId="0" fontId="77" fillId="0" borderId="0" xfId="16" applyFont="1"/>
    <xf numFmtId="0" fontId="63" fillId="0" borderId="0" xfId="16" applyFont="1" applyBorder="1"/>
    <xf numFmtId="0" fontId="77" fillId="0" borderId="0" xfId="16" applyFont="1" applyBorder="1"/>
    <xf numFmtId="0" fontId="86" fillId="0" borderId="0" xfId="16" applyFont="1"/>
    <xf numFmtId="0" fontId="63" fillId="0" borderId="0" xfId="16" applyFont="1"/>
    <xf numFmtId="0" fontId="63" fillId="0" borderId="0" xfId="16" applyFont="1" applyFill="1" applyBorder="1"/>
    <xf numFmtId="0" fontId="69" fillId="0" borderId="0" xfId="16" applyBorder="1"/>
    <xf numFmtId="0" fontId="87" fillId="0" borderId="0" xfId="16" applyFont="1" applyBorder="1"/>
    <xf numFmtId="0" fontId="88" fillId="0" borderId="0" xfId="16" applyFont="1" applyBorder="1"/>
    <xf numFmtId="0" fontId="89" fillId="0" borderId="0" xfId="16" applyFont="1" applyBorder="1"/>
    <xf numFmtId="0" fontId="90" fillId="0" borderId="0" xfId="16" applyFont="1" applyBorder="1"/>
    <xf numFmtId="0" fontId="91" fillId="0" borderId="0" xfId="16" applyFont="1" applyBorder="1"/>
    <xf numFmtId="0" fontId="79" fillId="0" borderId="0" xfId="16" applyFont="1"/>
    <xf numFmtId="0" fontId="3" fillId="0" borderId="0" xfId="12" applyFont="1" applyAlignment="1">
      <alignment horizontal="left"/>
    </xf>
    <xf numFmtId="0" fontId="92" fillId="0" borderId="0" xfId="12" applyFont="1" applyAlignment="1">
      <alignment horizontal="center"/>
    </xf>
    <xf numFmtId="0" fontId="93" fillId="0" borderId="0" xfId="12" applyFont="1" applyAlignment="1">
      <alignment horizontal="center"/>
    </xf>
    <xf numFmtId="0" fontId="93" fillId="0" borderId="0" xfId="12" applyFont="1"/>
    <xf numFmtId="0" fontId="94" fillId="0" borderId="0" xfId="12" applyFont="1" applyFill="1" applyAlignment="1">
      <alignment horizontal="center"/>
    </xf>
    <xf numFmtId="0" fontId="94" fillId="0" borderId="0" xfId="12" applyFont="1" applyAlignment="1">
      <alignment horizontal="center"/>
    </xf>
    <xf numFmtId="0" fontId="59" fillId="6" borderId="0" xfId="12" applyFont="1" applyFill="1" applyAlignment="1">
      <alignment horizontal="center" wrapText="1" shrinkToFit="1"/>
    </xf>
    <xf numFmtId="0" fontId="59" fillId="0" borderId="0" xfId="12" applyFont="1" applyFill="1" applyAlignment="1">
      <alignment horizontal="left" wrapText="1" shrinkToFit="1"/>
    </xf>
    <xf numFmtId="0" fontId="59" fillId="0" borderId="0" xfId="12" applyFont="1" applyFill="1" applyAlignment="1">
      <alignment horizontal="center" wrapText="1" shrinkToFit="1"/>
    </xf>
    <xf numFmtId="0" fontId="30" fillId="0" borderId="0" xfId="12" applyFont="1"/>
    <xf numFmtId="0" fontId="92" fillId="0" borderId="2" xfId="12" applyFont="1" applyBorder="1" applyAlignment="1">
      <alignment horizontal="center" wrapText="1" shrinkToFit="1"/>
    </xf>
    <xf numFmtId="0" fontId="93" fillId="0" borderId="2" xfId="12" applyFont="1" applyBorder="1" applyAlignment="1">
      <alignment horizontal="center"/>
    </xf>
    <xf numFmtId="2" fontId="93" fillId="0" borderId="2" xfId="12" applyNumberFormat="1" applyFont="1" applyBorder="1" applyAlignment="1">
      <alignment horizontal="center"/>
    </xf>
    <xf numFmtId="2" fontId="93" fillId="0" borderId="2" xfId="12" applyNumberFormat="1" applyFont="1" applyFill="1" applyBorder="1" applyAlignment="1">
      <alignment horizontal="center"/>
    </xf>
    <xf numFmtId="0" fontId="93" fillId="0" borderId="19" xfId="12" applyFont="1" applyBorder="1" applyAlignment="1">
      <alignment horizontal="center"/>
    </xf>
    <xf numFmtId="2" fontId="93" fillId="0" borderId="19" xfId="12" applyNumberFormat="1" applyFont="1" applyBorder="1" applyAlignment="1">
      <alignment horizontal="center"/>
    </xf>
    <xf numFmtId="2" fontId="93" fillId="0" borderId="19" xfId="12" applyNumberFormat="1" applyFont="1" applyFill="1" applyBorder="1" applyAlignment="1">
      <alignment horizontal="center"/>
    </xf>
    <xf numFmtId="0" fontId="93" fillId="0" borderId="19" xfId="12" applyFont="1" applyFill="1" applyBorder="1" applyAlignment="1">
      <alignment horizontal="center"/>
    </xf>
    <xf numFmtId="0" fontId="93" fillId="0" borderId="2" xfId="12" applyFont="1" applyFill="1" applyBorder="1" applyAlignment="1">
      <alignment horizontal="center"/>
    </xf>
    <xf numFmtId="0" fontId="93" fillId="0" borderId="19" xfId="12" quotePrefix="1" applyFont="1" applyFill="1" applyBorder="1" applyAlignment="1">
      <alignment horizontal="center"/>
    </xf>
    <xf numFmtId="2" fontId="93" fillId="0" borderId="19" xfId="12" quotePrefix="1" applyNumberFormat="1" applyFont="1" applyFill="1" applyBorder="1" applyAlignment="1">
      <alignment horizontal="center"/>
    </xf>
    <xf numFmtId="0" fontId="93" fillId="0" borderId="19" xfId="12" quotePrefix="1" applyFont="1" applyBorder="1" applyAlignment="1">
      <alignment horizontal="center"/>
    </xf>
    <xf numFmtId="2" fontId="93" fillId="0" borderId="19" xfId="12" quotePrefix="1" applyNumberFormat="1" applyFont="1" applyBorder="1" applyAlignment="1">
      <alignment horizontal="center"/>
    </xf>
    <xf numFmtId="0" fontId="93" fillId="0" borderId="0" xfId="12" applyFont="1" applyAlignment="1">
      <alignment horizontal="left"/>
    </xf>
    <xf numFmtId="0" fontId="93" fillId="0" borderId="2" xfId="12" applyFont="1" applyBorder="1"/>
    <xf numFmtId="0" fontId="93" fillId="0" borderId="2" xfId="12" quotePrefix="1" applyFont="1" applyBorder="1" applyAlignment="1">
      <alignment horizontal="center"/>
    </xf>
    <xf numFmtId="0" fontId="93" fillId="0" borderId="2" xfId="12" quotePrefix="1" applyFont="1" applyFill="1" applyBorder="1" applyAlignment="1">
      <alignment horizontal="center"/>
    </xf>
    <xf numFmtId="0" fontId="39" fillId="0" borderId="0" xfId="12"/>
    <xf numFmtId="0" fontId="4" fillId="2" borderId="0" xfId="0" applyFont="1" applyFill="1" applyAlignment="1">
      <alignment horizontal="left"/>
    </xf>
    <xf numFmtId="0" fontId="3" fillId="0" borderId="0" xfId="13" applyFont="1"/>
    <xf numFmtId="0" fontId="39" fillId="0" borderId="0" xfId="13"/>
    <xf numFmtId="2" fontId="95" fillId="0" borderId="0" xfId="13" applyNumberFormat="1" applyFont="1" applyAlignment="1">
      <alignment horizontal="left"/>
    </xf>
    <xf numFmtId="0" fontId="95" fillId="0" borderId="0" xfId="13" applyFont="1" applyAlignment="1">
      <alignment horizontal="left"/>
    </xf>
    <xf numFmtId="0" fontId="95" fillId="0" borderId="0" xfId="13" quotePrefix="1" applyFont="1" applyAlignment="1">
      <alignment horizontal="left"/>
    </xf>
    <xf numFmtId="2" fontId="95" fillId="0" borderId="0" xfId="13" quotePrefix="1" applyNumberFormat="1" applyFont="1" applyAlignment="1">
      <alignment horizontal="left"/>
    </xf>
    <xf numFmtId="3" fontId="54" fillId="3" borderId="10" xfId="0" applyNumberFormat="1" applyFont="1" applyFill="1" applyBorder="1" applyAlignment="1">
      <alignment horizontal="right" vertical="center"/>
    </xf>
    <xf numFmtId="184" fontId="55" fillId="3" borderId="10" xfId="0" applyNumberFormat="1" applyFont="1" applyFill="1" applyBorder="1" applyAlignment="1">
      <alignment horizontal="right"/>
    </xf>
    <xf numFmtId="184" fontId="55" fillId="5" borderId="10" xfId="0" applyNumberFormat="1" applyFont="1" applyFill="1" applyBorder="1" applyAlignment="1">
      <alignment horizontal="right"/>
    </xf>
    <xf numFmtId="183" fontId="54" fillId="5" borderId="10" xfId="0" applyNumberFormat="1" applyFont="1" applyFill="1" applyBorder="1" applyAlignment="1"/>
    <xf numFmtId="3" fontId="54" fillId="3" borderId="10" xfId="0" applyNumberFormat="1" applyFont="1" applyFill="1" applyBorder="1" applyAlignment="1"/>
    <xf numFmtId="3" fontId="54" fillId="5" borderId="10" xfId="0" applyNumberFormat="1" applyFont="1" applyFill="1" applyBorder="1" applyAlignment="1"/>
    <xf numFmtId="184" fontId="54" fillId="3" borderId="10" xfId="0" applyNumberFormat="1" applyFont="1" applyFill="1" applyBorder="1" applyAlignment="1">
      <alignment horizontal="right"/>
    </xf>
    <xf numFmtId="184" fontId="54" fillId="5" borderId="10" xfId="0" applyNumberFormat="1" applyFont="1" applyFill="1" applyBorder="1" applyAlignment="1">
      <alignment horizontal="right"/>
    </xf>
    <xf numFmtId="0" fontId="3" fillId="0" borderId="0" xfId="11" applyFont="1" applyAlignment="1">
      <alignment horizontal="left"/>
    </xf>
    <xf numFmtId="0" fontId="39" fillId="0" borderId="0" xfId="11" applyAlignment="1">
      <alignment horizontal="center"/>
    </xf>
    <xf numFmtId="0" fontId="39" fillId="0" borderId="0" xfId="11"/>
    <xf numFmtId="0" fontId="59" fillId="6" borderId="0" xfId="11" applyFont="1" applyFill="1" applyAlignment="1">
      <alignment horizontal="center" wrapText="1" shrinkToFit="1"/>
    </xf>
    <xf numFmtId="0" fontId="59" fillId="0" borderId="2" xfId="11" applyFont="1" applyBorder="1" applyAlignment="1">
      <alignment horizontal="center" wrapText="1" shrinkToFit="1"/>
    </xf>
    <xf numFmtId="0" fontId="39" fillId="0" borderId="2" xfId="11" applyBorder="1" applyAlignment="1">
      <alignment horizontal="center"/>
    </xf>
    <xf numFmtId="0" fontId="39" fillId="0" borderId="2" xfId="11" applyBorder="1"/>
    <xf numFmtId="2" fontId="5" fillId="0" borderId="2" xfId="11" applyNumberFormat="1" applyFont="1" applyFill="1" applyBorder="1" applyAlignment="1">
      <alignment horizontal="center"/>
    </xf>
    <xf numFmtId="0" fontId="39" fillId="0" borderId="0" xfId="11" applyFill="1"/>
    <xf numFmtId="0" fontId="5" fillId="0" borderId="19" xfId="11" applyFont="1" applyFill="1" applyBorder="1" applyAlignment="1">
      <alignment horizontal="center"/>
    </xf>
    <xf numFmtId="2" fontId="39" fillId="0" borderId="2" xfId="11" applyNumberFormat="1" applyBorder="1" applyAlignment="1">
      <alignment horizontal="center"/>
    </xf>
    <xf numFmtId="2" fontId="39" fillId="0" borderId="2" xfId="11" applyNumberFormat="1" applyFill="1" applyBorder="1" applyAlignment="1">
      <alignment horizontal="center"/>
    </xf>
    <xf numFmtId="0" fontId="39" fillId="0" borderId="19" xfId="11" applyBorder="1" applyAlignment="1">
      <alignment horizontal="center"/>
    </xf>
    <xf numFmtId="2" fontId="5" fillId="0" borderId="19" xfId="11" applyNumberFormat="1" applyFont="1" applyFill="1" applyBorder="1" applyAlignment="1">
      <alignment horizontal="center"/>
    </xf>
    <xf numFmtId="2" fontId="39" fillId="0" borderId="19" xfId="11" applyNumberFormat="1" applyBorder="1" applyAlignment="1">
      <alignment horizontal="center"/>
    </xf>
    <xf numFmtId="0" fontId="5" fillId="0" borderId="2" xfId="11" quotePrefix="1" applyFont="1" applyFill="1" applyBorder="1" applyAlignment="1">
      <alignment horizontal="center"/>
    </xf>
    <xf numFmtId="0" fontId="5" fillId="0" borderId="2" xfId="11" applyFont="1" applyFill="1" applyBorder="1" applyAlignment="1">
      <alignment horizontal="center"/>
    </xf>
    <xf numFmtId="0" fontId="9" fillId="2" borderId="2" xfId="11" quotePrefix="1" applyFont="1" applyFill="1" applyBorder="1" applyAlignment="1">
      <alignment horizontal="center"/>
    </xf>
    <xf numFmtId="0" fontId="9" fillId="0" borderId="2" xfId="11" applyFont="1" applyFill="1" applyBorder="1" applyAlignment="1">
      <alignment horizontal="center"/>
    </xf>
    <xf numFmtId="0" fontId="9" fillId="2" borderId="19" xfId="11" applyFont="1" applyFill="1" applyBorder="1" applyAlignment="1">
      <alignment horizontal="center"/>
    </xf>
    <xf numFmtId="2" fontId="9" fillId="2" borderId="19" xfId="11" applyNumberFormat="1" applyFont="1" applyFill="1" applyBorder="1" applyAlignment="1">
      <alignment horizontal="center"/>
    </xf>
    <xf numFmtId="0" fontId="39" fillId="0" borderId="2" xfId="11" applyFill="1" applyBorder="1" applyAlignment="1">
      <alignment horizontal="center"/>
    </xf>
    <xf numFmtId="0" fontId="5" fillId="0" borderId="19" xfId="11" quotePrefix="1" applyFont="1" applyFill="1" applyBorder="1" applyAlignment="1">
      <alignment horizontal="center"/>
    </xf>
    <xf numFmtId="2" fontId="30" fillId="0" borderId="2" xfId="11" applyNumberFormat="1" applyFont="1" applyFill="1" applyBorder="1" applyAlignment="1">
      <alignment horizontal="center"/>
    </xf>
    <xf numFmtId="2" fontId="9" fillId="0" borderId="2" xfId="11" applyNumberFormat="1" applyFont="1" applyFill="1" applyBorder="1" applyAlignment="1">
      <alignment horizontal="center"/>
    </xf>
    <xf numFmtId="0" fontId="9" fillId="2" borderId="19" xfId="11" quotePrefix="1" applyFont="1" applyFill="1" applyBorder="1" applyAlignment="1">
      <alignment horizontal="center"/>
    </xf>
    <xf numFmtId="2" fontId="39" fillId="0" borderId="2" xfId="11" quotePrefix="1" applyNumberFormat="1" applyFill="1" applyBorder="1" applyAlignment="1">
      <alignment horizontal="center"/>
    </xf>
    <xf numFmtId="2" fontId="5" fillId="0" borderId="19" xfId="11" quotePrefix="1" applyNumberFormat="1" applyFont="1" applyFill="1" applyBorder="1" applyAlignment="1">
      <alignment horizontal="center"/>
    </xf>
    <xf numFmtId="0" fontId="39" fillId="0" borderId="0" xfId="11" applyFill="1" applyAlignment="1">
      <alignment horizontal="center"/>
    </xf>
    <xf numFmtId="0" fontId="75" fillId="0" borderId="0" xfId="11" applyFont="1"/>
    <xf numFmtId="0" fontId="39" fillId="2" borderId="19" xfId="11" applyFill="1" applyBorder="1"/>
    <xf numFmtId="0" fontId="81" fillId="0" borderId="0" xfId="11" applyFont="1" applyAlignment="1">
      <alignment horizontal="left"/>
    </xf>
    <xf numFmtId="0" fontId="39" fillId="0" borderId="19" xfId="11" quotePrefix="1" applyBorder="1" applyAlignment="1">
      <alignment horizontal="center"/>
    </xf>
    <xf numFmtId="0" fontId="75" fillId="0" borderId="0" xfId="11" applyFont="1" applyAlignment="1">
      <alignment horizontal="left"/>
    </xf>
    <xf numFmtId="0" fontId="39" fillId="0" borderId="0" xfId="11" applyBorder="1" applyAlignment="1">
      <alignment horizontal="center"/>
    </xf>
    <xf numFmtId="0" fontId="3" fillId="0" borderId="2" xfId="0" applyFont="1" applyBorder="1" applyAlignment="1">
      <alignment vertical="top" wrapText="1"/>
    </xf>
    <xf numFmtId="0" fontId="0" fillId="0" borderId="2" xfId="0" applyBorder="1" applyAlignment="1">
      <alignment wrapText="1"/>
    </xf>
    <xf numFmtId="0" fontId="3" fillId="7" borderId="2" xfId="0" applyFont="1" applyFill="1" applyBorder="1" applyAlignment="1">
      <alignment vertical="top" wrapText="1"/>
    </xf>
    <xf numFmtId="0" fontId="2" fillId="0" borderId="2" xfId="0" applyFont="1" applyBorder="1" applyAlignment="1">
      <alignment wrapText="1"/>
    </xf>
    <xf numFmtId="0" fontId="4" fillId="3" borderId="1" xfId="0" applyFont="1" applyFill="1" applyBorder="1" applyAlignment="1">
      <alignment horizontal="center"/>
    </xf>
    <xf numFmtId="0" fontId="0" fillId="0" borderId="1" xfId="0" applyBorder="1" applyAlignment="1">
      <alignment horizontal="center"/>
    </xf>
    <xf numFmtId="0" fontId="6" fillId="3" borderId="1" xfId="0" applyFont="1" applyFill="1" applyBorder="1" applyAlignment="1">
      <alignment horizontal="center"/>
    </xf>
    <xf numFmtId="0" fontId="14" fillId="0" borderId="1" xfId="0" applyFont="1" applyBorder="1" applyAlignment="1">
      <alignment horizontal="center"/>
    </xf>
    <xf numFmtId="0" fontId="3" fillId="0" borderId="0" xfId="0" applyFont="1" applyBorder="1" applyAlignment="1">
      <alignment vertical="top" wrapText="1"/>
    </xf>
    <xf numFmtId="0" fontId="0" fillId="0" borderId="0" xfId="0" applyAlignment="1">
      <alignment vertical="top" wrapText="1"/>
    </xf>
    <xf numFmtId="0" fontId="3" fillId="0" borderId="0" xfId="0" applyFont="1" applyAlignment="1">
      <alignment wrapText="1"/>
    </xf>
    <xf numFmtId="0" fontId="0" fillId="0" borderId="0" xfId="0" applyAlignment="1">
      <alignment wrapText="1"/>
    </xf>
    <xf numFmtId="0" fontId="25" fillId="0" borderId="0" xfId="0" applyFont="1" applyBorder="1" applyAlignment="1">
      <alignment vertical="top" wrapText="1"/>
    </xf>
    <xf numFmtId="0" fontId="25" fillId="0" borderId="0" xfId="0" applyFont="1" applyBorder="1" applyAlignment="1">
      <alignment wrapText="1"/>
    </xf>
    <xf numFmtId="3" fontId="3" fillId="7" borderId="2" xfId="0" applyNumberFormat="1" applyFont="1" applyFill="1" applyBorder="1" applyAlignment="1">
      <alignment horizontal="left" vertical="top" wrapText="1"/>
    </xf>
    <xf numFmtId="3" fontId="3" fillId="0" borderId="2" xfId="0" applyNumberFormat="1" applyFont="1" applyBorder="1" applyAlignment="1">
      <alignment horizontal="left" vertical="top" wrapText="1"/>
    </xf>
    <xf numFmtId="0" fontId="0" fillId="0" borderId="2" xfId="0" applyBorder="1" applyAlignment="1">
      <alignment vertical="top" wrapText="1"/>
    </xf>
    <xf numFmtId="0" fontId="3" fillId="0" borderId="0" xfId="0" applyFont="1" applyAlignment="1">
      <alignment vertical="top" wrapText="1"/>
    </xf>
    <xf numFmtId="0" fontId="4" fillId="5" borderId="1" xfId="0" applyFont="1" applyFill="1" applyBorder="1" applyAlignment="1">
      <alignment horizontal="center"/>
    </xf>
    <xf numFmtId="0" fontId="5" fillId="0" borderId="0" xfId="0" applyFont="1" applyAlignment="1">
      <alignment horizontal="left" wrapText="1"/>
    </xf>
    <xf numFmtId="0" fontId="3" fillId="0" borderId="0" xfId="0" applyFont="1" applyBorder="1" applyAlignment="1">
      <alignment horizontal="left" vertical="top" wrapText="1"/>
    </xf>
    <xf numFmtId="0" fontId="24" fillId="0" borderId="0" xfId="0" applyFont="1" applyAlignment="1">
      <alignment horizontal="left" vertical="top" wrapText="1"/>
    </xf>
    <xf numFmtId="0" fontId="27" fillId="0" borderId="0" xfId="0" applyFont="1" applyAlignment="1">
      <alignment wrapText="1"/>
    </xf>
    <xf numFmtId="0" fontId="3" fillId="7" borderId="0" xfId="0" applyFont="1" applyFill="1" applyAlignment="1">
      <alignment vertical="top" wrapText="1"/>
    </xf>
    <xf numFmtId="0" fontId="9" fillId="2" borderId="0" xfId="17" applyFont="1" applyFill="1" applyAlignment="1">
      <alignment horizontal="center" textRotation="180" wrapText="1"/>
    </xf>
    <xf numFmtId="0" fontId="5" fillId="2" borderId="0" xfId="17" applyFont="1" applyFill="1" applyAlignment="1">
      <alignment horizontal="center"/>
    </xf>
    <xf numFmtId="0" fontId="9" fillId="6" borderId="0" xfId="17" applyFont="1" applyFill="1" applyAlignment="1">
      <alignment horizontal="center" textRotation="180" wrapText="1"/>
    </xf>
    <xf numFmtId="0" fontId="5" fillId="6" borderId="0" xfId="17" applyFont="1" applyFill="1" applyAlignment="1">
      <alignment horizontal="center"/>
    </xf>
    <xf numFmtId="0" fontId="3" fillId="0" borderId="2" xfId="0" applyFont="1" applyFill="1" applyBorder="1" applyAlignment="1">
      <alignment vertical="top" wrapText="1"/>
    </xf>
  </cellXfs>
  <cellStyles count="21">
    <cellStyle name="Normal_KV_liste T1" xfId="1" xr:uid="{E6E4B81E-B0FD-3B4F-964B-1E9F94180066}"/>
    <cellStyle name="Normal_KV_liste T10" xfId="2" xr:uid="{12900095-4437-5C45-AC05-BF8A37138FE6}"/>
    <cellStyle name="Normal_KV_liste T2" xfId="3" xr:uid="{96D42889-AEC6-1A41-BF74-FDCB99C28230}"/>
    <cellStyle name="Normal_KV_liste T3" xfId="4" xr:uid="{1A7BC10B-2D53-8947-A082-410E38B478C4}"/>
    <cellStyle name="Normal_KV_liste T4" xfId="5" xr:uid="{CDE5DA61-78B8-FF49-AF00-2B81671BDDEF}"/>
    <cellStyle name="Normal_KV_liste T5" xfId="6" xr:uid="{72211DF2-C750-0E45-9168-3B7B72986777}"/>
    <cellStyle name="Normal_KV_liste T6" xfId="7" xr:uid="{A3872705-90BC-A14E-9FEE-76D8835B7B51}"/>
    <cellStyle name="Normal_KV_liste T7" xfId="8" xr:uid="{0C0F76C0-B9F6-824C-BC5E-5975ACA84AE5}"/>
    <cellStyle name="Normal_KV_liste T8" xfId="9" xr:uid="{B353F459-BE2D-E04B-93FE-66B99A2DE1B3}"/>
    <cellStyle name="Normal_KV_liste T9" xfId="10" xr:uid="{A4C2D2C3-C3EE-4242-AB39-C920EADA8245}"/>
    <cellStyle name="Normal_KV0_6 annexe B_fd" xfId="11" xr:uid="{51061CAB-89F7-1D48-AA52-CA51FB6C501C}"/>
    <cellStyle name="Normal_KV0_6 annexe G_fd" xfId="12" xr:uid="{88FEB022-52BA-1B4C-853A-6CB228B3B7D6}"/>
    <cellStyle name="Normal_KV0_6 annexe I_index T_fd" xfId="13" xr:uid="{388ECDDD-564C-4E4F-B470-AFCDF2889DE0}"/>
    <cellStyle name="Normal_KV5_Aufsichtsdaten_2004_formate_310505" xfId="14" xr:uid="{880B636A-166B-CE4E-84FB-244336261903}"/>
    <cellStyle name="Normal_KV906" xfId="15" xr:uid="{1DBC8491-E4D4-BF46-B0A9-997B938D78EC}"/>
    <cellStyle name="Normal_KV907" xfId="16" xr:uid="{E6460328-E836-B24E-885F-029078D7BCDC}"/>
    <cellStyle name="Normal_KV908" xfId="17" xr:uid="{84A4258A-4B8F-0A4F-B848-9202C53FB3D1}"/>
    <cellStyle name="Normal_KV921" xfId="18" xr:uid="{1A4053AF-0B8B-EF41-BB2E-80A279904F85}"/>
    <cellStyle name="Normal_modif EF1_112_d_241104" xfId="19" xr:uid="{D0AE3B4E-94D6-2141-B866-8786BD53A89F}"/>
    <cellStyle name="Prozent" xfId="20" builtinId="5"/>
    <cellStyle name="Standard"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calcChain" Target="calcChain.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worksheet" Target="worksheets/sheet150.xml"/><Relationship Id="rId155" Type="http://schemas.openxmlformats.org/officeDocument/2006/relationships/worksheet" Target="worksheets/sheet15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de-DE"/>
              <a:t> G 13 Evolution des primes et 
des prestations dans 
l'assurance-maladie (LAMal + LCA)
en milliards de frs</a:t>
            </a:r>
          </a:p>
        </c:rich>
      </c:tx>
      <c:layout>
        <c:manualLayout>
          <c:xMode val="edge"/>
          <c:yMode val="edge"/>
          <c:x val="0.21305013551223265"/>
          <c:y val="3.6364758738960876E-2"/>
        </c:manualLayout>
      </c:layout>
      <c:overlay val="0"/>
      <c:spPr>
        <a:noFill/>
        <a:ln w="25400">
          <a:noFill/>
        </a:ln>
      </c:spPr>
    </c:title>
    <c:autoTitleDeleted val="0"/>
    <c:plotArea>
      <c:layout>
        <c:manualLayout>
          <c:layoutTarget val="inner"/>
          <c:xMode val="edge"/>
          <c:yMode val="edge"/>
          <c:x val="0.13478682042610637"/>
          <c:y val="0.23637093180324573"/>
          <c:w val="0.76958926501357505"/>
          <c:h val="0.45455948423701098"/>
        </c:manualLayout>
      </c:layout>
      <c:lineChart>
        <c:grouping val="standard"/>
        <c:varyColors val="0"/>
        <c:ser>
          <c:idx val="0"/>
          <c:order val="0"/>
          <c:tx>
            <c:strRef>
              <c:f>'907d'!$L$4</c:f>
              <c:strCache>
                <c:ptCount val="1"/>
                <c:pt idx="0">
                  <c:v>Schätzung</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numRef>
              <c:f>'907d'!$M$2:$P$2</c:f>
              <c:numCache>
                <c:formatCode>General</c:formatCode>
                <c:ptCount val="4"/>
              </c:numCache>
            </c:numRef>
          </c:cat>
          <c:val>
            <c:numRef>
              <c:f>'907d'!$M$4:$P$4</c:f>
              <c:numCache>
                <c:formatCode>General</c:formatCode>
                <c:ptCount val="4"/>
                <c:pt idx="0">
                  <c:v>0</c:v>
                </c:pt>
                <c:pt idx="1">
                  <c:v>0</c:v>
                </c:pt>
              </c:numCache>
            </c:numRef>
          </c:val>
          <c:smooth val="0"/>
          <c:extLst>
            <c:ext xmlns:c16="http://schemas.microsoft.com/office/drawing/2014/chart" uri="{C3380CC4-5D6E-409C-BE32-E72D297353CC}">
              <c16:uniqueId val="{00000000-8C11-3240-872C-A336438395C5}"/>
            </c:ext>
          </c:extLst>
        </c:ser>
        <c:ser>
          <c:idx val="3"/>
          <c:order val="1"/>
          <c:tx>
            <c:strRef>
              <c:f>'907d'!$L$7</c:f>
              <c:strCache>
                <c:ptCount val="1"/>
              </c:strCache>
            </c:strRef>
          </c:tx>
          <c:spPr>
            <a:ln w="12700">
              <a:solidFill>
                <a:srgbClr val="DD0806"/>
              </a:solidFill>
              <a:prstDash val="solid"/>
            </a:ln>
          </c:spPr>
          <c:marker>
            <c:symbol val="triangle"/>
            <c:size val="5"/>
            <c:spPr>
              <a:solidFill>
                <a:srgbClr val="DD0806"/>
              </a:solidFill>
              <a:ln>
                <a:solidFill>
                  <a:srgbClr val="DD0806"/>
                </a:solidFill>
                <a:prstDash val="solid"/>
              </a:ln>
            </c:spPr>
          </c:marker>
          <c:val>
            <c:numRef>
              <c:f>'907d'!$M$7:$P$7</c:f>
              <c:numCache>
                <c:formatCode>General</c:formatCode>
                <c:ptCount val="4"/>
              </c:numCache>
            </c:numRef>
          </c:val>
          <c:smooth val="0"/>
          <c:extLst>
            <c:ext xmlns:c16="http://schemas.microsoft.com/office/drawing/2014/chart" uri="{C3380CC4-5D6E-409C-BE32-E72D297353CC}">
              <c16:uniqueId val="{00000001-8C11-3240-872C-A336438395C5}"/>
            </c:ext>
          </c:extLst>
        </c:ser>
        <c:dLbls>
          <c:showLegendKey val="0"/>
          <c:showVal val="0"/>
          <c:showCatName val="0"/>
          <c:showSerName val="0"/>
          <c:showPercent val="0"/>
          <c:showBubbleSize val="0"/>
        </c:dLbls>
        <c:marker val="1"/>
        <c:smooth val="0"/>
        <c:axId val="1621586368"/>
        <c:axId val="1"/>
      </c:lineChart>
      <c:catAx>
        <c:axId val="162158636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1"/>
        <c:crosses val="autoZero"/>
        <c:auto val="0"/>
        <c:lblAlgn val="ctr"/>
        <c:lblOffset val="100"/>
        <c:tickLblSkip val="1"/>
        <c:tickMarkSkip val="1"/>
        <c:noMultiLvlLbl val="0"/>
      </c:catAx>
      <c:valAx>
        <c:axId val="1"/>
        <c:scaling>
          <c:orientation val="minMax"/>
          <c:max val="18"/>
          <c:min val="15.5"/>
        </c:scaling>
        <c:delete val="0"/>
        <c:axPos val="l"/>
        <c:majorGridlines>
          <c:spPr>
            <a:ln w="3175">
              <a:solidFill>
                <a:srgbClr val="000000"/>
              </a:solidFill>
              <a:prstDash val="solid"/>
            </a:ln>
          </c:spPr>
        </c:majorGridlines>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1621586368"/>
        <c:crosses val="autoZero"/>
        <c:crossBetween val="between"/>
        <c:majorUnit val="0.5"/>
      </c:valAx>
      <c:spPr>
        <a:solidFill>
          <a:srgbClr val="FFFFFF"/>
        </a:solidFill>
        <a:ln w="12700">
          <a:solidFill>
            <a:srgbClr val="808080"/>
          </a:solidFill>
          <a:prstDash val="solid"/>
        </a:ln>
      </c:spPr>
    </c:plotArea>
    <c:legend>
      <c:legendPos val="b"/>
      <c:layout>
        <c:manualLayout>
          <c:xMode val="edge"/>
          <c:yMode val="edge"/>
          <c:x val="0.31305326034450515"/>
          <c:y val="0.90911896847402196"/>
          <c:w val="0.39566453737986063"/>
          <c:h val="6.8183922635551647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4921259845" footer="0.492125984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de-DE"/>
              <a:t>Anzahl Ärzte mit Praxistätigkeit und Apotheken 1985 – 2000 (Daten 1999)</a:t>
            </a:r>
          </a:p>
        </c:rich>
      </c:tx>
      <c:overlay val="0"/>
      <c:spPr>
        <a:noFill/>
        <a:ln w="25400">
          <a:noFill/>
        </a:ln>
      </c:spPr>
    </c:title>
    <c:autoTitleDeleted val="0"/>
    <c:plotArea>
      <c:layout/>
      <c:lineChart>
        <c:grouping val="standard"/>
        <c:varyColors val="0"/>
        <c:ser>
          <c:idx val="1"/>
          <c:order val="0"/>
          <c:tx>
            <c:strRef>
              <c:f>'909d'!$D$5</c:f>
              <c:strCache>
                <c:ptCount val="1"/>
              </c:strCache>
            </c:strRef>
          </c:tx>
          <c:spPr>
            <a:ln w="12700">
              <a:solidFill>
                <a:srgbClr val="000000"/>
              </a:solidFill>
              <a:prstDash val="solid"/>
            </a:ln>
          </c:spPr>
          <c:marker>
            <c:symbol val="circle"/>
            <c:size val="6"/>
            <c:spPr>
              <a:solidFill>
                <a:srgbClr val="FFFFFF"/>
              </a:solidFill>
              <a:ln>
                <a:solidFill>
                  <a:srgbClr val="000000"/>
                </a:solidFill>
                <a:prstDash val="solid"/>
              </a:ln>
            </c:spPr>
          </c:marker>
          <c:cat>
            <c:strRef>
              <c:f>'909d'!$A$8:$A$34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'909d'!$D$8:$D$34</c:f>
              <c:numCache>
                <c:formatCode>#,##0</c:formatCode>
                <c:ptCount val="27"/>
                <c:pt idx="0">
                  <c:v>2046</c:v>
                </c:pt>
                <c:pt idx="1">
                  <c:v>1395</c:v>
                </c:pt>
                <c:pt idx="2">
                  <c:v>328</c:v>
                </c:pt>
                <c:pt idx="3">
                  <c:v>24</c:v>
                </c:pt>
                <c:pt idx="4">
                  <c:v>100</c:v>
                </c:pt>
                <c:pt idx="5">
                  <c:v>15</c:v>
                </c:pt>
                <c:pt idx="6">
                  <c:v>30</c:v>
                </c:pt>
                <c:pt idx="7">
                  <c:v>27</c:v>
                </c:pt>
                <c:pt idx="8">
                  <c:v>123</c:v>
                </c:pt>
                <c:pt idx="9">
                  <c:v>261</c:v>
                </c:pt>
                <c:pt idx="10">
                  <c:v>234</c:v>
                </c:pt>
                <c:pt idx="11">
                  <c:v>583</c:v>
                </c:pt>
                <c:pt idx="12">
                  <c:v>348</c:v>
                </c:pt>
                <c:pt idx="13">
                  <c:v>82</c:v>
                </c:pt>
                <c:pt idx="14">
                  <c:v>51</c:v>
                </c:pt>
                <c:pt idx="15">
                  <c:v>12</c:v>
                </c:pt>
                <c:pt idx="16">
                  <c:v>446</c:v>
                </c:pt>
                <c:pt idx="17">
                  <c:v>196</c:v>
                </c:pt>
                <c:pt idx="18">
                  <c:v>562</c:v>
                </c:pt>
                <c:pt idx="19">
                  <c:v>171</c:v>
                </c:pt>
                <c:pt idx="20">
                  <c:v>463</c:v>
                </c:pt>
                <c:pt idx="21">
                  <c:v>1149</c:v>
                </c:pt>
                <c:pt idx="22">
                  <c:v>321</c:v>
                </c:pt>
                <c:pt idx="23">
                  <c:v>250</c:v>
                </c:pt>
                <c:pt idx="24">
                  <c:v>1183</c:v>
                </c:pt>
                <c:pt idx="25">
                  <c:v>70</c:v>
                </c:pt>
                <c:pt idx="26">
                  <c:v>10470</c:v>
                </c:pt>
              </c:numCache>
            </c:numRef>
          </c:val>
          <c:smooth val="0"/>
          <c:extLst>
            <c:ext xmlns:c16="http://schemas.microsoft.com/office/drawing/2014/chart" uri="{C3380CC4-5D6E-409C-BE32-E72D297353CC}">
              <c16:uniqueId val="{00000000-5BD4-1541-BEBB-901BD08DFA33}"/>
            </c:ext>
          </c:extLst>
        </c:ser>
        <c:dLbls>
          <c:showLegendKey val="0"/>
          <c:showVal val="0"/>
          <c:showCatName val="0"/>
          <c:showSerName val="0"/>
          <c:showPercent val="0"/>
          <c:showBubbleSize val="0"/>
        </c:dLbls>
        <c:marker val="1"/>
        <c:smooth val="0"/>
        <c:axId val="1987825248"/>
        <c:axId val="1"/>
      </c:lineChart>
      <c:lineChart>
        <c:grouping val="standard"/>
        <c:varyColors val="0"/>
        <c:ser>
          <c:idx val="0"/>
          <c:order val="1"/>
          <c:tx>
            <c:strRef>
              <c:f>'909d'!$H$5</c:f>
              <c:strCache>
                <c:ptCount val="1"/>
                <c:pt idx="0">
                  <c:v>Anzahl Apotheken (rechte Skala)</c:v>
                </c:pt>
              </c:strCache>
            </c:strRef>
          </c:tx>
          <c:spPr>
            <a:ln w="12700">
              <a:solidFill>
                <a:srgbClr val="000000"/>
              </a:solidFill>
              <a:prstDash val="solid"/>
            </a:ln>
          </c:spPr>
          <c:marker>
            <c:symbol val="diamond"/>
            <c:size val="6"/>
            <c:spPr>
              <a:solidFill>
                <a:srgbClr val="000000"/>
              </a:solidFill>
              <a:ln>
                <a:solidFill>
                  <a:srgbClr val="000000"/>
                </a:solidFill>
                <a:prstDash val="solid"/>
              </a:ln>
            </c:spPr>
          </c:marker>
          <c:cat>
            <c:strRef>
              <c:f>'909d'!$A$8:$A$34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'909d'!$H$8:$H$34</c:f>
              <c:numCache>
                <c:formatCode>#,##0</c:formatCode>
                <c:ptCount val="27"/>
                <c:pt idx="0">
                  <c:v>217</c:v>
                </c:pt>
                <c:pt idx="1">
                  <c:v>177</c:v>
                </c:pt>
                <c:pt idx="2">
                  <c:v>32</c:v>
                </c:pt>
                <c:pt idx="3">
                  <c:v>2</c:v>
                </c:pt>
                <c:pt idx="4">
                  <c:v>12</c:v>
                </c:pt>
                <c:pt idx="5">
                  <c:v>3</c:v>
                </c:pt>
                <c:pt idx="6">
                  <c:v>2</c:v>
                </c:pt>
                <c:pt idx="7">
                  <c:v>2</c:v>
                </c:pt>
                <c:pt idx="8">
                  <c:v>14</c:v>
                </c:pt>
                <c:pt idx="9">
                  <c:v>63</c:v>
                </c:pt>
                <c:pt idx="10">
                  <c:v>27</c:v>
                </c:pt>
                <c:pt idx="11">
                  <c:v>70</c:v>
                </c:pt>
                <c:pt idx="12">
                  <c:v>36</c:v>
                </c:pt>
                <c:pt idx="13">
                  <c:v>13</c:v>
                </c:pt>
                <c:pt idx="14">
                  <c:v>5</c:v>
                </c:pt>
                <c:pt idx="15">
                  <c:v>1</c:v>
                </c:pt>
                <c:pt idx="16">
                  <c:v>48</c:v>
                </c:pt>
                <c:pt idx="17">
                  <c:v>37</c:v>
                </c:pt>
                <c:pt idx="18">
                  <c:v>110</c:v>
                </c:pt>
                <c:pt idx="19">
                  <c:v>20</c:v>
                </c:pt>
                <c:pt idx="20">
                  <c:v>173</c:v>
                </c:pt>
                <c:pt idx="21">
                  <c:v>242</c:v>
                </c:pt>
                <c:pt idx="22">
                  <c:v>108</c:v>
                </c:pt>
                <c:pt idx="23">
                  <c:v>55</c:v>
                </c:pt>
                <c:pt idx="24">
                  <c:v>168</c:v>
                </c:pt>
                <c:pt idx="25">
                  <c:v>19</c:v>
                </c:pt>
                <c:pt idx="26">
                  <c:v>1656</c:v>
                </c:pt>
              </c:numCache>
            </c:numRef>
          </c:val>
          <c:smooth val="0"/>
          <c:extLst>
            <c:ext xmlns:c16="http://schemas.microsoft.com/office/drawing/2014/chart" uri="{C3380CC4-5D6E-409C-BE32-E72D297353CC}">
              <c16:uniqueId val="{00000001-5BD4-1541-BEBB-901BD08DFA33}"/>
            </c:ext>
          </c:extLst>
        </c:ser>
        <c:dLbls>
          <c:showLegendKey val="0"/>
          <c:showVal val="0"/>
          <c:showCatName val="0"/>
          <c:showSerName val="0"/>
          <c:showPercent val="0"/>
          <c:showBubbleSize val="0"/>
        </c:dLbls>
        <c:marker val="1"/>
        <c:smooth val="0"/>
        <c:axId val="3"/>
        <c:axId val="4"/>
      </c:lineChart>
      <c:catAx>
        <c:axId val="198782524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55 Helvetica Roman"/>
                <a:ea typeface="55 Helvetica Roman"/>
                <a:cs typeface="55 Helvetica Roman"/>
              </a:defRPr>
            </a:pPr>
            <a:endParaRPr lang="de-DE"/>
          </a:p>
        </c:txPr>
        <c:crossAx val="1"/>
        <c:crosses val="autoZero"/>
        <c:auto val="0"/>
        <c:lblAlgn val="ctr"/>
        <c:lblOffset val="100"/>
        <c:tickLblSkip val="2"/>
        <c:tickMarkSkip val="1"/>
        <c:noMultiLvlLbl val="0"/>
      </c:catAx>
      <c:valAx>
        <c:axId val="1"/>
        <c:scaling>
          <c:orientation val="minMax"/>
          <c:max val="18000"/>
        </c:scaling>
        <c:delete val="0"/>
        <c:axPos val="l"/>
        <c:majorGridlines>
          <c:spPr>
            <a:ln w="3175">
              <a:solidFill>
                <a:srgbClr val="00000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1987825248"/>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min val="0"/>
        </c:scaling>
        <c:delete val="0"/>
        <c:axPos val="r"/>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3"/>
        <c:crosses val="max"/>
        <c:crossBetween val="between"/>
      </c:valAx>
      <c:spPr>
        <a:solidFill>
          <a:srgbClr val="FFFFFF"/>
        </a:solidFill>
        <a:ln w="12700">
          <a:solidFill>
            <a:srgbClr val="000000"/>
          </a:solidFill>
          <a:prstDash val="solid"/>
        </a:ln>
      </c:spPr>
    </c:plotArea>
    <c:legend>
      <c:legendPos val="r"/>
      <c:overlay val="0"/>
      <c:spPr>
        <a:solidFill>
          <a:srgbClr val="FFFFFF"/>
        </a:solidFill>
        <a:ln w="12700">
          <a:solidFill>
            <a:srgbClr val="000000"/>
          </a:solidFill>
          <a:prstDash val="solid"/>
        </a:ln>
      </c:spPr>
      <c:txPr>
        <a:bodyPr/>
        <a:lstStyle/>
        <a:p>
          <a:pPr>
            <a:defRPr sz="920" b="0" i="0" u="none" strike="noStrike" baseline="0">
              <a:solidFill>
                <a:srgbClr val="000000"/>
              </a:solidFill>
              <a:latin typeface="55 Helvetica Roman"/>
              <a:ea typeface="55 Helvetica Roman"/>
              <a:cs typeface="55 Helvetica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de-DE"/>
              <a:t>Anzahl Ärzte mit Praxistätigkeit und Apotheken 1985 – 2000 (Daten 1999)</a:t>
            </a:r>
          </a:p>
        </c:rich>
      </c:tx>
      <c:overlay val="0"/>
      <c:spPr>
        <a:noFill/>
        <a:ln w="25400">
          <a:noFill/>
        </a:ln>
      </c:spPr>
    </c:title>
    <c:autoTitleDeleted val="0"/>
    <c:plotArea>
      <c:layout/>
      <c:lineChart>
        <c:grouping val="standard"/>
        <c:varyColors val="0"/>
        <c:ser>
          <c:idx val="1"/>
          <c:order val="0"/>
          <c:tx>
            <c:strRef>
              <c:f>'909d'!$D$5</c:f>
              <c:strCache>
                <c:ptCount val="1"/>
              </c:strCache>
            </c:strRef>
          </c:tx>
          <c:spPr>
            <a:ln w="12700">
              <a:solidFill>
                <a:srgbClr val="000000"/>
              </a:solidFill>
              <a:prstDash val="solid"/>
            </a:ln>
          </c:spPr>
          <c:marker>
            <c:symbol val="circle"/>
            <c:size val="6"/>
            <c:spPr>
              <a:solidFill>
                <a:srgbClr val="FFFFFF"/>
              </a:solidFill>
              <a:ln>
                <a:solidFill>
                  <a:srgbClr val="000000"/>
                </a:solidFill>
                <a:prstDash val="solid"/>
              </a:ln>
            </c:spPr>
          </c:marker>
          <c:cat>
            <c:strRef>
              <c:f>'909d'!$A$8:$A$34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'909d'!$D$8:$D$34</c:f>
              <c:numCache>
                <c:formatCode>#,##0</c:formatCode>
                <c:ptCount val="27"/>
                <c:pt idx="0">
                  <c:v>2046</c:v>
                </c:pt>
                <c:pt idx="1">
                  <c:v>1395</c:v>
                </c:pt>
                <c:pt idx="2">
                  <c:v>328</c:v>
                </c:pt>
                <c:pt idx="3">
                  <c:v>24</c:v>
                </c:pt>
                <c:pt idx="4">
                  <c:v>100</c:v>
                </c:pt>
                <c:pt idx="5">
                  <c:v>15</c:v>
                </c:pt>
                <c:pt idx="6">
                  <c:v>30</c:v>
                </c:pt>
                <c:pt idx="7">
                  <c:v>27</c:v>
                </c:pt>
                <c:pt idx="8">
                  <c:v>123</c:v>
                </c:pt>
                <c:pt idx="9">
                  <c:v>261</c:v>
                </c:pt>
                <c:pt idx="10">
                  <c:v>234</c:v>
                </c:pt>
                <c:pt idx="11">
                  <c:v>583</c:v>
                </c:pt>
                <c:pt idx="12">
                  <c:v>348</c:v>
                </c:pt>
                <c:pt idx="13">
                  <c:v>82</c:v>
                </c:pt>
                <c:pt idx="14">
                  <c:v>51</c:v>
                </c:pt>
                <c:pt idx="15">
                  <c:v>12</c:v>
                </c:pt>
                <c:pt idx="16">
                  <c:v>446</c:v>
                </c:pt>
                <c:pt idx="17">
                  <c:v>196</c:v>
                </c:pt>
                <c:pt idx="18">
                  <c:v>562</c:v>
                </c:pt>
                <c:pt idx="19">
                  <c:v>171</c:v>
                </c:pt>
                <c:pt idx="20">
                  <c:v>463</c:v>
                </c:pt>
                <c:pt idx="21">
                  <c:v>1149</c:v>
                </c:pt>
                <c:pt idx="22">
                  <c:v>321</c:v>
                </c:pt>
                <c:pt idx="23">
                  <c:v>250</c:v>
                </c:pt>
                <c:pt idx="24">
                  <c:v>1183</c:v>
                </c:pt>
                <c:pt idx="25">
                  <c:v>70</c:v>
                </c:pt>
                <c:pt idx="26">
                  <c:v>10470</c:v>
                </c:pt>
              </c:numCache>
            </c:numRef>
          </c:val>
          <c:smooth val="0"/>
          <c:extLst>
            <c:ext xmlns:c16="http://schemas.microsoft.com/office/drawing/2014/chart" uri="{C3380CC4-5D6E-409C-BE32-E72D297353CC}">
              <c16:uniqueId val="{00000000-6862-0542-AA6D-A9DB8429AEF6}"/>
            </c:ext>
          </c:extLst>
        </c:ser>
        <c:dLbls>
          <c:showLegendKey val="0"/>
          <c:showVal val="0"/>
          <c:showCatName val="0"/>
          <c:showSerName val="0"/>
          <c:showPercent val="0"/>
          <c:showBubbleSize val="0"/>
        </c:dLbls>
        <c:marker val="1"/>
        <c:smooth val="0"/>
        <c:axId val="1987786016"/>
        <c:axId val="1"/>
      </c:lineChart>
      <c:lineChart>
        <c:grouping val="standard"/>
        <c:varyColors val="0"/>
        <c:ser>
          <c:idx val="0"/>
          <c:order val="1"/>
          <c:tx>
            <c:strRef>
              <c:f>'909d'!$H$5</c:f>
              <c:strCache>
                <c:ptCount val="1"/>
                <c:pt idx="0">
                  <c:v>Anzahl Apotheken (rechte Skala)</c:v>
                </c:pt>
              </c:strCache>
            </c:strRef>
          </c:tx>
          <c:spPr>
            <a:ln w="12700">
              <a:solidFill>
                <a:srgbClr val="000000"/>
              </a:solidFill>
              <a:prstDash val="solid"/>
            </a:ln>
          </c:spPr>
          <c:marker>
            <c:symbol val="diamond"/>
            <c:size val="6"/>
            <c:spPr>
              <a:solidFill>
                <a:srgbClr val="000000"/>
              </a:solidFill>
              <a:ln>
                <a:solidFill>
                  <a:srgbClr val="000000"/>
                </a:solidFill>
                <a:prstDash val="solid"/>
              </a:ln>
            </c:spPr>
          </c:marker>
          <c:cat>
            <c:strRef>
              <c:f>'909d'!$A$8:$A$34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'909d'!$H$8:$H$34</c:f>
              <c:numCache>
                <c:formatCode>#,##0</c:formatCode>
                <c:ptCount val="27"/>
                <c:pt idx="0">
                  <c:v>217</c:v>
                </c:pt>
                <c:pt idx="1">
                  <c:v>177</c:v>
                </c:pt>
                <c:pt idx="2">
                  <c:v>32</c:v>
                </c:pt>
                <c:pt idx="3">
                  <c:v>2</c:v>
                </c:pt>
                <c:pt idx="4">
                  <c:v>12</c:v>
                </c:pt>
                <c:pt idx="5">
                  <c:v>3</c:v>
                </c:pt>
                <c:pt idx="6">
                  <c:v>2</c:v>
                </c:pt>
                <c:pt idx="7">
                  <c:v>2</c:v>
                </c:pt>
                <c:pt idx="8">
                  <c:v>14</c:v>
                </c:pt>
                <c:pt idx="9">
                  <c:v>63</c:v>
                </c:pt>
                <c:pt idx="10">
                  <c:v>27</c:v>
                </c:pt>
                <c:pt idx="11">
                  <c:v>70</c:v>
                </c:pt>
                <c:pt idx="12">
                  <c:v>36</c:v>
                </c:pt>
                <c:pt idx="13">
                  <c:v>13</c:v>
                </c:pt>
                <c:pt idx="14">
                  <c:v>5</c:v>
                </c:pt>
                <c:pt idx="15">
                  <c:v>1</c:v>
                </c:pt>
                <c:pt idx="16">
                  <c:v>48</c:v>
                </c:pt>
                <c:pt idx="17">
                  <c:v>37</c:v>
                </c:pt>
                <c:pt idx="18">
                  <c:v>110</c:v>
                </c:pt>
                <c:pt idx="19">
                  <c:v>20</c:v>
                </c:pt>
                <c:pt idx="20">
                  <c:v>173</c:v>
                </c:pt>
                <c:pt idx="21">
                  <c:v>242</c:v>
                </c:pt>
                <c:pt idx="22">
                  <c:v>108</c:v>
                </c:pt>
                <c:pt idx="23">
                  <c:v>55</c:v>
                </c:pt>
                <c:pt idx="24">
                  <c:v>168</c:v>
                </c:pt>
                <c:pt idx="25">
                  <c:v>19</c:v>
                </c:pt>
                <c:pt idx="26">
                  <c:v>1656</c:v>
                </c:pt>
              </c:numCache>
            </c:numRef>
          </c:val>
          <c:smooth val="0"/>
          <c:extLst>
            <c:ext xmlns:c16="http://schemas.microsoft.com/office/drawing/2014/chart" uri="{C3380CC4-5D6E-409C-BE32-E72D297353CC}">
              <c16:uniqueId val="{00000001-6862-0542-AA6D-A9DB8429AEF6}"/>
            </c:ext>
          </c:extLst>
        </c:ser>
        <c:dLbls>
          <c:showLegendKey val="0"/>
          <c:showVal val="0"/>
          <c:showCatName val="0"/>
          <c:showSerName val="0"/>
          <c:showPercent val="0"/>
          <c:showBubbleSize val="0"/>
        </c:dLbls>
        <c:marker val="1"/>
        <c:smooth val="0"/>
        <c:axId val="3"/>
        <c:axId val="4"/>
      </c:lineChart>
      <c:catAx>
        <c:axId val="198778601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5400000" vert="horz"/>
          <a:lstStyle/>
          <a:p>
            <a:pPr>
              <a:defRPr sz="1000" b="0" i="0" u="none" strike="noStrike" baseline="0">
                <a:solidFill>
                  <a:srgbClr val="000000"/>
                </a:solidFill>
                <a:latin typeface="55 Helvetica Roman"/>
                <a:ea typeface="55 Helvetica Roman"/>
                <a:cs typeface="55 Helvetica Roman"/>
              </a:defRPr>
            </a:pPr>
            <a:endParaRPr lang="de-DE"/>
          </a:p>
        </c:txPr>
        <c:crossAx val="1"/>
        <c:crosses val="autoZero"/>
        <c:auto val="0"/>
        <c:lblAlgn val="ctr"/>
        <c:lblOffset val="100"/>
        <c:tickLblSkip val="25"/>
        <c:tickMarkSkip val="1"/>
        <c:noMultiLvlLbl val="0"/>
      </c:catAx>
      <c:valAx>
        <c:axId val="1"/>
        <c:scaling>
          <c:orientation val="minMax"/>
          <c:max val="18000"/>
        </c:scaling>
        <c:delete val="0"/>
        <c:axPos val="l"/>
        <c:majorGridlines>
          <c:spPr>
            <a:ln w="3175">
              <a:solidFill>
                <a:srgbClr val="00000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1987786016"/>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min val="0"/>
        </c:scaling>
        <c:delete val="0"/>
        <c:axPos val="r"/>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3"/>
        <c:crosses val="max"/>
        <c:crossBetween val="between"/>
      </c:valAx>
      <c:spPr>
        <a:solidFill>
          <a:srgbClr val="FFFFFF"/>
        </a:solidFill>
        <a:ln w="12700">
          <a:solidFill>
            <a:srgbClr val="000000"/>
          </a:solidFill>
          <a:prstDash val="solid"/>
        </a:ln>
      </c:spPr>
    </c:plotArea>
    <c:legend>
      <c:legendPos val="r"/>
      <c:overlay val="0"/>
      <c:spPr>
        <a:solidFill>
          <a:srgbClr val="FFFFFF"/>
        </a:solidFill>
        <a:ln w="12700">
          <a:solidFill>
            <a:srgbClr val="000000"/>
          </a:solidFill>
          <a:prstDash val="solid"/>
        </a:ln>
      </c:spPr>
      <c:txPr>
        <a:bodyPr/>
        <a:lstStyle/>
        <a:p>
          <a:pPr>
            <a:defRPr sz="920" b="0" i="0" u="none" strike="noStrike" baseline="0">
              <a:solidFill>
                <a:srgbClr val="000000"/>
              </a:solidFill>
              <a:latin typeface="55 Helvetica Roman"/>
              <a:ea typeface="55 Helvetica Roman"/>
              <a:cs typeface="55 Helvetica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4921259845" footer="0.492125984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28</xdr:col>
      <xdr:colOff>393700</xdr:colOff>
      <xdr:row>19</xdr:row>
      <xdr:rowOff>152400</xdr:rowOff>
    </xdr:from>
    <xdr:to>
      <xdr:col>33</xdr:col>
      <xdr:colOff>76200</xdr:colOff>
      <xdr:row>34</xdr:row>
      <xdr:rowOff>127000</xdr:rowOff>
    </xdr:to>
    <xdr:graphicFrame macro="">
      <xdr:nvGraphicFramePr>
        <xdr:cNvPr id="5121" name="Diagramm 1">
          <a:extLst>
            <a:ext uri="{FF2B5EF4-FFF2-40B4-BE49-F238E27FC236}">
              <a16:creationId xmlns:a16="http://schemas.microsoft.com/office/drawing/2014/main" id="{2A626843-0114-6D6E-2521-D8033951B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xdr:colOff>
      <xdr:row>51</xdr:row>
      <xdr:rowOff>0</xdr:rowOff>
    </xdr:from>
    <xdr:to>
      <xdr:col>11</xdr:col>
      <xdr:colOff>0</xdr:colOff>
      <xdr:row>51</xdr:row>
      <xdr:rowOff>0</xdr:rowOff>
    </xdr:to>
    <xdr:graphicFrame macro="">
      <xdr:nvGraphicFramePr>
        <xdr:cNvPr id="3073" name="Diagramm 1">
          <a:extLst>
            <a:ext uri="{FF2B5EF4-FFF2-40B4-BE49-F238E27FC236}">
              <a16:creationId xmlns:a16="http://schemas.microsoft.com/office/drawing/2014/main" id="{EECC77A7-9300-F53C-E482-82B414F6D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12700</xdr:colOff>
      <xdr:row>51</xdr:row>
      <xdr:rowOff>0</xdr:rowOff>
    </xdr:from>
    <xdr:to>
      <xdr:col>22</xdr:col>
      <xdr:colOff>0</xdr:colOff>
      <xdr:row>51</xdr:row>
      <xdr:rowOff>0</xdr:rowOff>
    </xdr:to>
    <xdr:graphicFrame macro="">
      <xdr:nvGraphicFramePr>
        <xdr:cNvPr id="3074" name="Diagramm 2">
          <a:extLst>
            <a:ext uri="{FF2B5EF4-FFF2-40B4-BE49-F238E27FC236}">
              <a16:creationId xmlns:a16="http://schemas.microsoft.com/office/drawing/2014/main" id="{48BED419-5434-F744-1799-FAD78945D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0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A3D45-35F9-F94B-8EDC-C686E18A9CDC}">
  <sheetPr>
    <pageSetUpPr fitToPage="1"/>
  </sheetPr>
  <dimension ref="A1:M68"/>
  <sheetViews>
    <sheetView tabSelected="1" zoomScale="75" workbookViewId="0">
      <selection activeCell="A3" sqref="A3"/>
    </sheetView>
  </sheetViews>
  <sheetFormatPr baseColWidth="10" defaultColWidth="11.3984375" defaultRowHeight="13"/>
  <cols>
    <col min="1" max="1" width="12.796875" style="2" customWidth="1"/>
    <col min="2" max="9" width="11.796875" style="2" customWidth="1"/>
    <col min="10" max="10" width="9.796875" style="2" customWidth="1"/>
    <col min="11" max="16384" width="11.3984375" style="2"/>
  </cols>
  <sheetData>
    <row r="1" spans="1:13" s="1" customFormat="1" ht="18" customHeight="1">
      <c r="A1"/>
      <c r="B1"/>
      <c r="C1"/>
      <c r="D1"/>
      <c r="E1"/>
      <c r="F1"/>
      <c r="G1"/>
      <c r="H1"/>
      <c r="I1"/>
    </row>
    <row r="2" spans="1:13" ht="30.75" customHeight="1">
      <c r="A2" s="6" t="s">
        <v>2131</v>
      </c>
      <c r="B2"/>
      <c r="C2"/>
      <c r="D2"/>
      <c r="E2"/>
      <c r="F2"/>
      <c r="G2"/>
      <c r="H2"/>
      <c r="I2"/>
    </row>
    <row r="3" spans="1:13" ht="27" customHeight="1">
      <c r="A3" s="7"/>
      <c r="B3"/>
      <c r="C3"/>
      <c r="D3"/>
      <c r="E3"/>
      <c r="F3"/>
      <c r="G3"/>
      <c r="H3"/>
      <c r="I3"/>
    </row>
    <row r="4" spans="1:13" ht="15" customHeight="1">
      <c r="A4" s="8" t="s">
        <v>653</v>
      </c>
      <c r="B4"/>
      <c r="C4"/>
      <c r="D4"/>
      <c r="E4"/>
      <c r="F4"/>
      <c r="G4"/>
      <c r="H4"/>
      <c r="I4"/>
    </row>
    <row r="5" spans="1:13" ht="17.25" customHeight="1">
      <c r="A5"/>
      <c r="B5"/>
      <c r="C5"/>
      <c r="D5"/>
      <c r="E5"/>
      <c r="F5"/>
      <c r="G5"/>
      <c r="H5"/>
      <c r="I5"/>
    </row>
    <row r="6" spans="1:13" ht="15.75" customHeight="1">
      <c r="B6"/>
      <c r="C6"/>
      <c r="D6"/>
      <c r="E6"/>
      <c r="F6"/>
      <c r="G6"/>
      <c r="H6"/>
      <c r="I6"/>
      <c r="J6" s="9"/>
    </row>
    <row r="7" spans="1:13" ht="9.75" customHeight="1">
      <c r="A7"/>
      <c r="B7"/>
      <c r="C7"/>
      <c r="D7"/>
      <c r="E7"/>
      <c r="F7"/>
      <c r="G7"/>
      <c r="H7"/>
      <c r="I7"/>
      <c r="J7" s="9"/>
    </row>
    <row r="8" spans="1:13" ht="31.5" customHeight="1">
      <c r="A8" s="68" t="s">
        <v>2043</v>
      </c>
      <c r="B8"/>
      <c r="C8"/>
      <c r="D8"/>
      <c r="E8"/>
      <c r="F8"/>
      <c r="G8"/>
      <c r="H8"/>
      <c r="I8"/>
    </row>
    <row r="9" spans="1:13" ht="11.25" customHeight="1">
      <c r="B9"/>
      <c r="C9"/>
      <c r="D9"/>
      <c r="E9"/>
      <c r="F9"/>
      <c r="G9"/>
      <c r="H9"/>
      <c r="I9"/>
      <c r="K9" s="10"/>
      <c r="L9" s="10"/>
      <c r="M9" s="10"/>
    </row>
    <row r="10" spans="1:13" ht="20" customHeight="1">
      <c r="A10"/>
      <c r="B10"/>
      <c r="C10"/>
      <c r="D10"/>
      <c r="E10"/>
      <c r="F10"/>
      <c r="G10"/>
      <c r="H10"/>
      <c r="I10"/>
    </row>
    <row r="11" spans="1:13" ht="20" customHeight="1">
      <c r="A11" s="8" t="s">
        <v>2022</v>
      </c>
      <c r="B11"/>
      <c r="C11"/>
      <c r="D11"/>
      <c r="E11"/>
      <c r="F11"/>
      <c r="G11" s="26" t="s">
        <v>2025</v>
      </c>
      <c r="H11" s="25"/>
      <c r="I11"/>
    </row>
    <row r="12" spans="1:13" ht="20" customHeight="1">
      <c r="A12"/>
      <c r="B12"/>
      <c r="C12"/>
      <c r="D12"/>
      <c r="E12"/>
      <c r="F12"/>
      <c r="G12"/>
      <c r="H12"/>
      <c r="I12"/>
    </row>
    <row r="13" spans="1:13" ht="20.25" customHeight="1">
      <c r="A13"/>
      <c r="B13"/>
      <c r="C13"/>
      <c r="D13"/>
      <c r="E13"/>
      <c r="I13"/>
    </row>
    <row r="14" spans="1:13" ht="26.25" customHeight="1">
      <c r="A14" s="11" t="s">
        <v>2138</v>
      </c>
      <c r="B14" s="12"/>
      <c r="C14" s="12"/>
      <c r="D14" s="13"/>
      <c r="E14" s="13"/>
      <c r="G14" s="14" t="s">
        <v>723</v>
      </c>
      <c r="H14" s="12"/>
      <c r="I14"/>
    </row>
    <row r="15" spans="1:13" s="5" customFormat="1" ht="8.25" customHeight="1">
      <c r="A15" s="98"/>
      <c r="B15" s="94"/>
      <c r="C15" s="94"/>
      <c r="G15" s="99"/>
      <c r="H15" s="94"/>
      <c r="I15" s="94"/>
    </row>
    <row r="16" spans="1:13" ht="15" customHeight="1">
      <c r="A16" s="100" t="s">
        <v>651</v>
      </c>
      <c r="B16"/>
      <c r="C16"/>
      <c r="D16"/>
      <c r="E16"/>
      <c r="F16"/>
      <c r="G16"/>
      <c r="H16"/>
      <c r="I16"/>
    </row>
    <row r="17" spans="1:13" s="5" customFormat="1" ht="5.25" customHeight="1">
      <c r="A17" s="94"/>
      <c r="B17" s="94"/>
      <c r="C17" s="94"/>
      <c r="D17" s="94"/>
      <c r="E17" s="94"/>
      <c r="F17" s="94"/>
      <c r="G17" s="94"/>
      <c r="H17" s="94"/>
      <c r="I17" s="94"/>
    </row>
    <row r="18" spans="1:13" ht="17.25" customHeight="1">
      <c r="A18" s="112" t="s">
        <v>108</v>
      </c>
      <c r="B18" s="584"/>
      <c r="C18" s="586"/>
      <c r="D18" s="587"/>
      <c r="E18" s="589" t="s">
        <v>157</v>
      </c>
      <c r="F18" s="101"/>
      <c r="G18" s="101"/>
      <c r="H18" s="5"/>
      <c r="I18" s="103"/>
      <c r="J18" s="5"/>
      <c r="K18" s="5"/>
    </row>
    <row r="19" spans="1:13" ht="15" customHeight="1">
      <c r="A19" s="112" t="s">
        <v>107</v>
      </c>
      <c r="B19" s="101"/>
      <c r="C19" s="101"/>
      <c r="D19" s="588"/>
      <c r="E19" s="589" t="s">
        <v>1398</v>
      </c>
      <c r="F19" s="101"/>
      <c r="G19" s="101"/>
      <c r="H19" s="5"/>
      <c r="I19" s="103"/>
      <c r="J19" s="5"/>
      <c r="K19" s="5"/>
    </row>
    <row r="20" spans="1:13" ht="15" customHeight="1">
      <c r="A20" s="589" t="s">
        <v>109</v>
      </c>
      <c r="B20" s="102"/>
      <c r="C20" s="102"/>
      <c r="D20" s="590"/>
      <c r="E20" s="589" t="s">
        <v>356</v>
      </c>
      <c r="F20" s="101"/>
      <c r="G20" s="101"/>
      <c r="H20" s="5"/>
      <c r="I20" s="103"/>
      <c r="J20" s="5"/>
      <c r="K20" s="5"/>
    </row>
    <row r="21" spans="1:13">
      <c r="A21" s="589" t="s">
        <v>887</v>
      </c>
      <c r="B21" s="101"/>
      <c r="C21" s="102"/>
      <c r="D21" s="590"/>
      <c r="E21" s="589" t="s">
        <v>1836</v>
      </c>
      <c r="F21" s="102"/>
      <c r="G21" s="102"/>
      <c r="H21" s="5"/>
      <c r="I21" s="103"/>
      <c r="J21" s="5"/>
      <c r="K21" s="5"/>
    </row>
    <row r="22" spans="1:13">
      <c r="A22" s="589" t="s">
        <v>124</v>
      </c>
      <c r="B22" s="101"/>
      <c r="C22" s="102"/>
      <c r="D22" s="590"/>
      <c r="E22" s="589" t="s">
        <v>2201</v>
      </c>
      <c r="F22" s="102"/>
      <c r="G22" s="102"/>
      <c r="H22" s="5"/>
    </row>
    <row r="23" spans="1:13">
      <c r="A23" s="589" t="s">
        <v>1759</v>
      </c>
      <c r="B23" s="101"/>
      <c r="C23" s="102"/>
      <c r="D23" s="590"/>
      <c r="E23" s="589" t="s">
        <v>1402</v>
      </c>
      <c r="F23" s="102"/>
      <c r="G23" s="102"/>
      <c r="H23" s="5"/>
    </row>
    <row r="24" spans="1:13">
      <c r="A24" s="589" t="s">
        <v>145</v>
      </c>
      <c r="B24" s="101"/>
      <c r="C24" s="102"/>
      <c r="D24" s="590"/>
      <c r="E24" s="589" t="s">
        <v>2011</v>
      </c>
      <c r="F24" s="102"/>
      <c r="G24" s="102"/>
      <c r="H24" s="5"/>
    </row>
    <row r="25" spans="1:13">
      <c r="A25" s="589" t="s">
        <v>1223</v>
      </c>
      <c r="B25" s="101"/>
      <c r="C25" s="102"/>
      <c r="D25" s="590"/>
      <c r="E25" s="589" t="s">
        <v>35</v>
      </c>
      <c r="F25" s="102"/>
      <c r="G25" s="102"/>
      <c r="H25" s="5"/>
    </row>
    <row r="26" spans="1:13">
      <c r="A26" s="589" t="s">
        <v>1224</v>
      </c>
      <c r="B26" s="101"/>
      <c r="C26" s="102"/>
      <c r="D26" s="590"/>
      <c r="E26" s="589" t="s">
        <v>1851</v>
      </c>
      <c r="F26" s="102"/>
      <c r="G26" s="102"/>
      <c r="H26" s="5"/>
    </row>
    <row r="27" spans="1:13">
      <c r="A27" s="589" t="s">
        <v>604</v>
      </c>
      <c r="B27" s="101"/>
      <c r="C27" s="102"/>
      <c r="D27" s="590"/>
      <c r="E27" s="589" t="s">
        <v>1850</v>
      </c>
      <c r="F27" s="102"/>
      <c r="G27" s="102"/>
      <c r="H27" s="5"/>
    </row>
    <row r="28" spans="1:13" ht="16">
      <c r="A28" s="16"/>
      <c r="B28" s="71"/>
      <c r="C28" s="15"/>
      <c r="I28" s="24" t="s">
        <v>1852</v>
      </c>
      <c r="J28" s="13"/>
      <c r="K28" s="13"/>
    </row>
    <row r="29" spans="1:13" ht="16">
      <c r="A29" s="16"/>
      <c r="I29" s="1081" t="s">
        <v>2127</v>
      </c>
      <c r="J29" s="970"/>
      <c r="K29" s="13"/>
      <c r="L29" s="5"/>
      <c r="M29" s="5"/>
    </row>
    <row r="30" spans="1:13" ht="16">
      <c r="A30" s="16"/>
      <c r="B30" s="15"/>
      <c r="C30" s="15"/>
      <c r="F30" s="5"/>
    </row>
    <row r="31" spans="1:13" ht="16">
      <c r="A31" s="16"/>
    </row>
    <row r="32" spans="1:13" ht="15">
      <c r="A32" s="69" t="s">
        <v>418</v>
      </c>
      <c r="B32" s="70"/>
      <c r="C32" s="5"/>
      <c r="D32" s="5"/>
      <c r="E32" s="5"/>
      <c r="F32" s="5"/>
      <c r="G32" s="5"/>
    </row>
    <row r="33" spans="1:11">
      <c r="A33" s="96" t="s">
        <v>2109</v>
      </c>
      <c r="B33" s="72"/>
      <c r="D33" s="96" t="s">
        <v>672</v>
      </c>
      <c r="E33" s="96"/>
      <c r="G33" s="104"/>
      <c r="H33" s="105"/>
      <c r="I33" s="5"/>
      <c r="J33" s="104"/>
      <c r="K33" s="105"/>
    </row>
    <row r="34" spans="1:11">
      <c r="A34" s="96" t="s">
        <v>1308</v>
      </c>
      <c r="B34" s="72"/>
      <c r="D34" s="96" t="s">
        <v>724</v>
      </c>
      <c r="E34" s="72"/>
      <c r="G34" s="106"/>
      <c r="H34" s="105"/>
      <c r="I34" s="5"/>
      <c r="J34" s="5"/>
      <c r="K34" s="5"/>
    </row>
    <row r="35" spans="1:11">
      <c r="A35" s="96" t="s">
        <v>2045</v>
      </c>
      <c r="B35" s="72"/>
      <c r="D35" s="96"/>
      <c r="E35" s="72"/>
      <c r="G35" s="106"/>
      <c r="H35" s="105"/>
      <c r="I35" s="5"/>
      <c r="J35" s="5"/>
      <c r="K35" s="5"/>
    </row>
    <row r="36" spans="1:11">
      <c r="A36" s="106"/>
      <c r="B36" s="105"/>
      <c r="C36" s="5"/>
      <c r="D36" s="106"/>
      <c r="E36" s="105"/>
      <c r="G36" s="106"/>
      <c r="H36" s="105"/>
      <c r="I36" s="5"/>
      <c r="J36" s="5"/>
      <c r="K36" s="5"/>
    </row>
    <row r="37" spans="1:11" ht="16">
      <c r="A37" s="16"/>
    </row>
    <row r="38" spans="1:11" ht="16">
      <c r="A38" s="16"/>
      <c r="B38" s="582" t="s">
        <v>654</v>
      </c>
      <c r="C38" s="97" t="s">
        <v>2027</v>
      </c>
      <c r="J38" s="95"/>
    </row>
    <row r="39" spans="1:11" ht="16">
      <c r="A39" s="17"/>
      <c r="B39" s="15"/>
      <c r="C39" s="15"/>
    </row>
    <row r="40" spans="1:11" ht="16">
      <c r="A40" s="583" t="s">
        <v>655</v>
      </c>
      <c r="B40" s="113" t="s">
        <v>546</v>
      </c>
      <c r="C40" s="18" t="s">
        <v>656</v>
      </c>
      <c r="D40" s="13"/>
      <c r="E40" s="13"/>
      <c r="F40" s="13"/>
      <c r="G40" s="13"/>
      <c r="H40" s="13"/>
      <c r="I40" s="13"/>
      <c r="J40" s="13"/>
      <c r="K40" s="581"/>
    </row>
    <row r="41" spans="1:11" ht="16">
      <c r="A41" s="583" t="s">
        <v>657</v>
      </c>
      <c r="B41" s="113" t="s">
        <v>2126</v>
      </c>
      <c r="C41" s="18" t="s">
        <v>658</v>
      </c>
      <c r="D41" s="13"/>
      <c r="E41" s="13"/>
      <c r="F41" s="13"/>
      <c r="G41" s="13"/>
      <c r="H41" s="13"/>
      <c r="I41" s="13"/>
      <c r="J41" s="13"/>
      <c r="K41" s="581"/>
    </row>
    <row r="42" spans="1:11" ht="16">
      <c r="A42" s="583" t="s">
        <v>659</v>
      </c>
      <c r="B42" s="113" t="s">
        <v>2129</v>
      </c>
      <c r="C42" s="18" t="s">
        <v>660</v>
      </c>
      <c r="D42" s="13"/>
      <c r="E42" s="13"/>
      <c r="F42" s="13"/>
      <c r="G42" s="13"/>
      <c r="H42" s="13"/>
      <c r="I42" s="13"/>
      <c r="J42" s="13"/>
      <c r="K42" s="581"/>
    </row>
    <row r="43" spans="1:11" ht="16">
      <c r="A43" s="583" t="s">
        <v>661</v>
      </c>
      <c r="B43" s="113" t="s">
        <v>2130</v>
      </c>
      <c r="C43" s="18" t="s">
        <v>662</v>
      </c>
      <c r="D43" s="13"/>
      <c r="E43" s="13"/>
      <c r="F43" s="13"/>
      <c r="G43" s="13"/>
      <c r="H43" s="13"/>
      <c r="I43" s="13"/>
      <c r="J43" s="13"/>
      <c r="K43" s="581"/>
    </row>
    <row r="44" spans="1:11" ht="16">
      <c r="A44" s="583" t="s">
        <v>663</v>
      </c>
      <c r="B44" s="114" t="s">
        <v>2128</v>
      </c>
      <c r="C44" s="18" t="s">
        <v>664</v>
      </c>
      <c r="D44" s="13"/>
      <c r="E44" s="13"/>
      <c r="F44" s="13"/>
      <c r="G44" s="13"/>
      <c r="H44" s="13"/>
      <c r="I44" s="13"/>
      <c r="J44" s="13"/>
      <c r="K44" s="581"/>
    </row>
    <row r="45" spans="1:11" ht="16">
      <c r="A45" s="583" t="s">
        <v>665</v>
      </c>
      <c r="B45" s="113" t="s">
        <v>666</v>
      </c>
      <c r="C45" s="18" t="s">
        <v>667</v>
      </c>
      <c r="D45" s="13"/>
      <c r="E45" s="13"/>
      <c r="F45" s="13"/>
      <c r="G45" s="13"/>
      <c r="H45" s="13"/>
      <c r="I45" s="13"/>
      <c r="J45" s="13"/>
      <c r="K45" s="581"/>
    </row>
    <row r="46" spans="1:11" ht="16">
      <c r="A46" s="583" t="s">
        <v>668</v>
      </c>
      <c r="B46" s="113" t="s">
        <v>420</v>
      </c>
      <c r="C46" s="18" t="s">
        <v>719</v>
      </c>
      <c r="D46" s="13"/>
      <c r="E46" s="13"/>
      <c r="F46" s="13"/>
      <c r="G46" s="13"/>
      <c r="H46" s="13"/>
      <c r="I46" s="13"/>
      <c r="J46" s="13"/>
      <c r="K46" s="581"/>
    </row>
    <row r="47" spans="1:11" ht="16">
      <c r="A47" s="583" t="s">
        <v>669</v>
      </c>
      <c r="B47" s="113" t="s">
        <v>1328</v>
      </c>
      <c r="C47" s="18" t="s">
        <v>2028</v>
      </c>
      <c r="D47" s="13"/>
      <c r="E47" s="13"/>
      <c r="F47" s="13"/>
      <c r="G47" s="13"/>
      <c r="H47" s="13"/>
      <c r="I47" s="13"/>
      <c r="J47" s="13"/>
      <c r="K47" s="581"/>
    </row>
    <row r="48" spans="1:11" ht="16">
      <c r="A48" s="583" t="s">
        <v>670</v>
      </c>
      <c r="B48" s="113" t="s">
        <v>37</v>
      </c>
      <c r="C48" s="18" t="s">
        <v>671</v>
      </c>
      <c r="D48" s="13"/>
      <c r="E48" s="13"/>
      <c r="F48" s="13"/>
      <c r="G48" s="13"/>
      <c r="H48" s="13"/>
      <c r="I48" s="13"/>
      <c r="J48" s="1082"/>
      <c r="K48" s="581"/>
    </row>
    <row r="49" spans="1:11" ht="16">
      <c r="A49" s="583" t="s">
        <v>2133</v>
      </c>
      <c r="B49" s="113" t="s">
        <v>2134</v>
      </c>
      <c r="C49" s="18" t="s">
        <v>2135</v>
      </c>
      <c r="D49" s="13"/>
      <c r="E49" s="13"/>
      <c r="F49" s="13"/>
      <c r="G49" s="13"/>
      <c r="H49" s="13"/>
      <c r="I49" s="13"/>
      <c r="J49" s="13"/>
      <c r="K49" s="581"/>
    </row>
    <row r="50" spans="1:11" ht="14">
      <c r="A50" s="1665" t="s">
        <v>736</v>
      </c>
      <c r="B50" s="970" t="s">
        <v>737</v>
      </c>
      <c r="C50" s="13"/>
      <c r="D50" s="13"/>
      <c r="E50" s="13"/>
      <c r="F50" s="13"/>
      <c r="G50" s="13"/>
      <c r="H50" s="13"/>
      <c r="I50" s="13"/>
      <c r="J50" s="13"/>
      <c r="K50" s="581"/>
    </row>
    <row r="51" spans="1:11" ht="14">
      <c r="A51" s="1665" t="s">
        <v>110</v>
      </c>
      <c r="B51" s="970" t="s">
        <v>2136</v>
      </c>
      <c r="C51" s="13"/>
      <c r="D51" s="13"/>
      <c r="E51" s="13"/>
      <c r="F51" s="13"/>
      <c r="G51" s="13"/>
      <c r="H51" s="13"/>
      <c r="I51" s="13"/>
      <c r="J51" s="13"/>
      <c r="K51" s="581"/>
    </row>
    <row r="52" spans="1:11" ht="14">
      <c r="A52" s="1665" t="s">
        <v>111</v>
      </c>
      <c r="B52" s="970" t="s">
        <v>2137</v>
      </c>
      <c r="C52" s="13"/>
      <c r="D52" s="13"/>
      <c r="E52" s="13"/>
      <c r="F52" s="13"/>
      <c r="G52" s="13"/>
      <c r="H52" s="13"/>
      <c r="I52" s="13"/>
      <c r="J52" s="13"/>
      <c r="K52" s="581"/>
    </row>
    <row r="53" spans="1:11" ht="14">
      <c r="A53" s="1665" t="s">
        <v>419</v>
      </c>
      <c r="B53" s="970" t="s">
        <v>720</v>
      </c>
      <c r="C53" s="13"/>
      <c r="D53" s="13"/>
      <c r="E53" s="13"/>
      <c r="F53" s="13"/>
      <c r="G53" s="13"/>
      <c r="H53" s="13"/>
      <c r="I53" s="13"/>
      <c r="J53" s="13"/>
      <c r="K53" s="581"/>
    </row>
    <row r="54" spans="1:11">
      <c r="K54" s="4"/>
    </row>
    <row r="56" spans="1:11">
      <c r="A56" s="19"/>
      <c r="B56" s="19"/>
      <c r="C56" s="19"/>
      <c r="D56" s="19"/>
      <c r="E56" s="19"/>
      <c r="F56" s="19"/>
      <c r="G56" s="19"/>
      <c r="H56" s="19"/>
      <c r="I56" s="19"/>
      <c r="J56" s="19"/>
    </row>
    <row r="58" spans="1:11" ht="14.25" customHeight="1">
      <c r="A58" s="15" t="s">
        <v>2123</v>
      </c>
      <c r="B58"/>
      <c r="C58"/>
      <c r="D58"/>
      <c r="E58"/>
      <c r="F58"/>
      <c r="G58"/>
      <c r="H58"/>
      <c r="I58"/>
    </row>
    <row r="59" spans="1:11" ht="14.25" customHeight="1">
      <c r="A59" s="15"/>
      <c r="B59"/>
      <c r="C59"/>
      <c r="D59"/>
      <c r="E59"/>
      <c r="F59"/>
      <c r="G59"/>
      <c r="H59"/>
      <c r="I59"/>
    </row>
    <row r="60" spans="1:11" ht="18" customHeight="1">
      <c r="A60" s="1" t="s">
        <v>2026</v>
      </c>
      <c r="B60"/>
      <c r="C60"/>
      <c r="D60"/>
      <c r="E60"/>
      <c r="F60"/>
      <c r="G60"/>
      <c r="H60"/>
      <c r="I60"/>
    </row>
    <row r="61" spans="1:11" ht="12.75" customHeight="1">
      <c r="A61" s="1"/>
      <c r="B61"/>
      <c r="C61"/>
      <c r="D61"/>
      <c r="E61"/>
      <c r="F61"/>
      <c r="G61"/>
      <c r="H61"/>
      <c r="I61"/>
    </row>
    <row r="62" spans="1:11">
      <c r="A62" s="19"/>
      <c r="B62" s="19"/>
      <c r="C62" s="19"/>
      <c r="D62" s="19"/>
      <c r="E62" s="19"/>
      <c r="F62" s="19"/>
      <c r="G62" s="19"/>
      <c r="H62" s="19"/>
      <c r="I62" s="19"/>
      <c r="J62" s="19"/>
    </row>
    <row r="65" spans="1:1" ht="16">
      <c r="A65" s="20" t="s">
        <v>2023</v>
      </c>
    </row>
    <row r="66" spans="1:1" ht="16">
      <c r="A66" s="20" t="s">
        <v>2024</v>
      </c>
    </row>
    <row r="67" spans="1:1" ht="16">
      <c r="A67" s="20" t="s">
        <v>649</v>
      </c>
    </row>
    <row r="68" spans="1:1" ht="16">
      <c r="A68" s="20" t="s">
        <v>650</v>
      </c>
    </row>
  </sheetData>
  <phoneticPr fontId="0" type="noConversion"/>
  <pageMargins left="0.46" right="0.47" top="0.42" bottom="0.49" header="0.35" footer="0.4921259845"/>
  <pageSetup paperSize="9" scale="74"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BE564-CB9A-1040-95C8-50C331517CFC}">
  <sheetPr>
    <pageSetUpPr fitToPage="1"/>
  </sheetPr>
  <dimension ref="A1:B145"/>
  <sheetViews>
    <sheetView workbookViewId="0"/>
  </sheetViews>
  <sheetFormatPr baseColWidth="10" defaultColWidth="11.3984375" defaultRowHeight="13"/>
  <cols>
    <col min="1" max="1" width="5.59765625" style="1667" customWidth="1"/>
    <col min="2" max="16384" width="11.3984375" style="1667"/>
  </cols>
  <sheetData>
    <row r="1" spans="1:2" ht="16">
      <c r="A1" s="1666" t="s">
        <v>1102</v>
      </c>
    </row>
    <row r="3" spans="1:2" ht="12" customHeight="1">
      <c r="A3" s="1668">
        <v>8.07</v>
      </c>
      <c r="B3" s="1669" t="s">
        <v>1109</v>
      </c>
    </row>
    <row r="4" spans="1:2" ht="12" customHeight="1">
      <c r="A4" s="1669">
        <v>4.03</v>
      </c>
      <c r="B4" s="1669" t="s">
        <v>161</v>
      </c>
    </row>
    <row r="5" spans="1:2" ht="12" customHeight="1">
      <c r="A5" s="1669">
        <v>4.0199999999999996</v>
      </c>
      <c r="B5" s="1669" t="s">
        <v>160</v>
      </c>
    </row>
    <row r="6" spans="1:2" ht="12" customHeight="1">
      <c r="A6" s="1669">
        <v>4.01</v>
      </c>
      <c r="B6" s="1669" t="s">
        <v>159</v>
      </c>
    </row>
    <row r="7" spans="1:2" ht="12" customHeight="1">
      <c r="A7" s="1669">
        <v>4.05</v>
      </c>
      <c r="B7" s="1669" t="s">
        <v>163</v>
      </c>
    </row>
    <row r="8" spans="1:2" ht="12" customHeight="1">
      <c r="A8" s="1669">
        <v>4.04</v>
      </c>
      <c r="B8" s="1669" t="s">
        <v>162</v>
      </c>
    </row>
    <row r="9" spans="1:2" ht="12" customHeight="1">
      <c r="A9" s="1668">
        <v>8.01</v>
      </c>
      <c r="B9" s="1669" t="s">
        <v>1104</v>
      </c>
    </row>
    <row r="10" spans="1:2" ht="12" customHeight="1">
      <c r="A10" s="1668">
        <v>1.01</v>
      </c>
      <c r="B10" s="1669" t="s">
        <v>1807</v>
      </c>
    </row>
    <row r="11" spans="1:2" ht="12" customHeight="1">
      <c r="A11" s="1668">
        <v>5.01</v>
      </c>
      <c r="B11" s="1669" t="s">
        <v>445</v>
      </c>
    </row>
    <row r="12" spans="1:2" ht="12" customHeight="1">
      <c r="A12" s="1668">
        <v>8.11</v>
      </c>
      <c r="B12" s="1669" t="s">
        <v>1113</v>
      </c>
    </row>
    <row r="13" spans="1:2" ht="12" customHeight="1">
      <c r="A13" s="1668">
        <v>1.34</v>
      </c>
      <c r="B13" s="1669" t="s">
        <v>1764</v>
      </c>
    </row>
    <row r="14" spans="1:2" ht="12" customHeight="1">
      <c r="A14" s="1668">
        <v>9.11</v>
      </c>
      <c r="B14" s="1669" t="s">
        <v>744</v>
      </c>
    </row>
    <row r="15" spans="1:2" ht="12" customHeight="1">
      <c r="A15" s="1668">
        <v>4.0999999999999996</v>
      </c>
      <c r="B15" s="1669" t="s">
        <v>168</v>
      </c>
    </row>
    <row r="16" spans="1:2" ht="12" customHeight="1">
      <c r="A16" s="1668">
        <v>4.12</v>
      </c>
      <c r="B16" s="1669" t="s">
        <v>170</v>
      </c>
    </row>
    <row r="17" spans="1:2" ht="12" customHeight="1">
      <c r="A17" s="1669">
        <v>4.1100000000000003</v>
      </c>
      <c r="B17" s="1669" t="s">
        <v>169</v>
      </c>
    </row>
    <row r="18" spans="1:2" ht="12" customHeight="1">
      <c r="A18" s="1668">
        <v>1.3</v>
      </c>
      <c r="B18" s="1669" t="s">
        <v>1762</v>
      </c>
    </row>
    <row r="19" spans="1:2" ht="12" customHeight="1">
      <c r="A19" s="1669">
        <v>6.04</v>
      </c>
      <c r="B19" s="1669" t="s">
        <v>1124</v>
      </c>
    </row>
    <row r="20" spans="1:2" ht="12" customHeight="1">
      <c r="A20" s="1669">
        <v>6.05</v>
      </c>
      <c r="B20" s="1669" t="s">
        <v>1125</v>
      </c>
    </row>
    <row r="21" spans="1:2" ht="12" customHeight="1">
      <c r="A21" s="1669">
        <v>6.06</v>
      </c>
      <c r="B21" s="1669" t="s">
        <v>1126</v>
      </c>
    </row>
    <row r="22" spans="1:2" ht="12" customHeight="1">
      <c r="A22" s="1669">
        <v>7.04</v>
      </c>
      <c r="B22" s="1669" t="s">
        <v>1119</v>
      </c>
    </row>
    <row r="23" spans="1:2" ht="12" customHeight="1">
      <c r="A23" s="1668">
        <v>1.27</v>
      </c>
      <c r="B23" s="1669" t="s">
        <v>1758</v>
      </c>
    </row>
    <row r="24" spans="1:2" ht="12" customHeight="1">
      <c r="A24" s="1670" t="s">
        <v>1420</v>
      </c>
      <c r="B24" s="1669" t="s">
        <v>1421</v>
      </c>
    </row>
    <row r="25" spans="1:2" ht="12" customHeight="1">
      <c r="A25" s="1668">
        <v>1.28</v>
      </c>
      <c r="B25" s="1669" t="s">
        <v>1760</v>
      </c>
    </row>
    <row r="26" spans="1:2" ht="12" customHeight="1">
      <c r="A26" s="1668">
        <v>1.31</v>
      </c>
      <c r="B26" s="1669" t="s">
        <v>1763</v>
      </c>
    </row>
    <row r="27" spans="1:2" ht="12" customHeight="1">
      <c r="A27" s="1668">
        <v>1.29</v>
      </c>
      <c r="B27" s="1669" t="s">
        <v>1761</v>
      </c>
    </row>
    <row r="28" spans="1:2" ht="12" customHeight="1">
      <c r="A28" s="1669">
        <v>7.05</v>
      </c>
      <c r="B28" s="1669" t="s">
        <v>1120</v>
      </c>
    </row>
    <row r="29" spans="1:2" ht="12" customHeight="1">
      <c r="A29" s="1669">
        <v>7.03</v>
      </c>
      <c r="B29" s="1669" t="s">
        <v>1118</v>
      </c>
    </row>
    <row r="30" spans="1:2" ht="12" customHeight="1">
      <c r="A30" s="1668">
        <v>1.22</v>
      </c>
      <c r="B30" s="1669" t="s">
        <v>1848</v>
      </c>
    </row>
    <row r="31" spans="1:2" ht="12" customHeight="1">
      <c r="A31" s="1668">
        <v>1.21</v>
      </c>
      <c r="B31" s="1669" t="s">
        <v>1847</v>
      </c>
    </row>
    <row r="32" spans="1:2" ht="12" customHeight="1">
      <c r="A32" s="1669">
        <v>4.13</v>
      </c>
      <c r="B32" s="1669" t="s">
        <v>171</v>
      </c>
    </row>
    <row r="33" spans="1:2" ht="12" customHeight="1">
      <c r="A33" s="1668">
        <v>8.09</v>
      </c>
      <c r="B33" s="1669" t="s">
        <v>1111</v>
      </c>
    </row>
    <row r="34" spans="1:2" ht="12" customHeight="1">
      <c r="A34" s="1668">
        <v>8.1</v>
      </c>
      <c r="B34" s="1669" t="s">
        <v>1112</v>
      </c>
    </row>
    <row r="35" spans="1:2" ht="12" customHeight="1">
      <c r="A35" s="1669">
        <v>2.04</v>
      </c>
      <c r="B35" s="1669" t="s">
        <v>432</v>
      </c>
    </row>
    <row r="36" spans="1:2" ht="12" customHeight="1">
      <c r="A36" s="1669">
        <v>2.06</v>
      </c>
      <c r="B36" s="1669" t="s">
        <v>436</v>
      </c>
    </row>
    <row r="37" spans="1:2" ht="12" customHeight="1">
      <c r="A37" s="1669">
        <v>2.0499999999999998</v>
      </c>
      <c r="B37" s="1669" t="s">
        <v>433</v>
      </c>
    </row>
    <row r="38" spans="1:2" ht="12" customHeight="1">
      <c r="A38" s="1668">
        <v>9.08</v>
      </c>
      <c r="B38" s="1669" t="s">
        <v>741</v>
      </c>
    </row>
    <row r="39" spans="1:2" ht="12" customHeight="1">
      <c r="A39" s="1668">
        <v>1.42</v>
      </c>
      <c r="B39" s="1669" t="s">
        <v>1769</v>
      </c>
    </row>
    <row r="40" spans="1:2" ht="12" customHeight="1">
      <c r="A40" s="1668">
        <v>1.47</v>
      </c>
      <c r="B40" s="1669" t="s">
        <v>1417</v>
      </c>
    </row>
    <row r="41" spans="1:2" ht="12" customHeight="1">
      <c r="A41" s="1669">
        <v>2.02</v>
      </c>
      <c r="B41" s="1669" t="s">
        <v>430</v>
      </c>
    </row>
    <row r="42" spans="1:2" ht="12" customHeight="1">
      <c r="A42" s="1669">
        <v>2.0299999999999998</v>
      </c>
      <c r="B42" s="1669" t="s">
        <v>431</v>
      </c>
    </row>
    <row r="43" spans="1:2" ht="12" customHeight="1">
      <c r="A43" s="1669">
        <v>2.0099999999999998</v>
      </c>
      <c r="B43" s="1669" t="s">
        <v>429</v>
      </c>
    </row>
    <row r="44" spans="1:2" ht="12" customHeight="1">
      <c r="A44" s="1669">
        <v>2.0699999999999998</v>
      </c>
      <c r="B44" s="1669" t="s">
        <v>437</v>
      </c>
    </row>
    <row r="45" spans="1:2" ht="12" customHeight="1">
      <c r="A45" s="1669">
        <v>2.09</v>
      </c>
      <c r="B45" s="1669" t="s">
        <v>439</v>
      </c>
    </row>
    <row r="46" spans="1:2" ht="12" customHeight="1">
      <c r="A46" s="1669">
        <v>2.08</v>
      </c>
      <c r="B46" s="1669" t="s">
        <v>438</v>
      </c>
    </row>
    <row r="47" spans="1:2" ht="12" customHeight="1">
      <c r="A47" s="1669">
        <v>2.12</v>
      </c>
      <c r="B47" s="1669" t="s">
        <v>442</v>
      </c>
    </row>
    <row r="48" spans="1:2" ht="12" customHeight="1">
      <c r="A48" s="1668">
        <v>8.08</v>
      </c>
      <c r="B48" s="1669" t="s">
        <v>1110</v>
      </c>
    </row>
    <row r="49" spans="1:2" ht="12" customHeight="1">
      <c r="A49" s="1668">
        <v>9.1199999999999992</v>
      </c>
      <c r="B49" s="1669" t="s">
        <v>745</v>
      </c>
    </row>
    <row r="50" spans="1:2" ht="12" customHeight="1">
      <c r="A50" s="1668">
        <v>9.1</v>
      </c>
      <c r="B50" s="1669" t="s">
        <v>743</v>
      </c>
    </row>
    <row r="51" spans="1:2" ht="12" customHeight="1">
      <c r="A51" s="1668">
        <v>8.02</v>
      </c>
      <c r="B51" s="1669" t="s">
        <v>1114</v>
      </c>
    </row>
    <row r="52" spans="1:2" ht="12" customHeight="1">
      <c r="A52" s="1668">
        <v>5.0199999999999996</v>
      </c>
      <c r="B52" s="1669" t="s">
        <v>446</v>
      </c>
    </row>
    <row r="53" spans="1:2" ht="12" customHeight="1">
      <c r="A53" s="1668">
        <v>1.08</v>
      </c>
      <c r="B53" s="1669" t="s">
        <v>1814</v>
      </c>
    </row>
    <row r="54" spans="1:2" ht="12" customHeight="1">
      <c r="A54" s="1668">
        <v>1.07</v>
      </c>
      <c r="B54" s="1669" t="s">
        <v>1813</v>
      </c>
    </row>
    <row r="55" spans="1:2" ht="12" customHeight="1">
      <c r="A55" s="1669">
        <v>6.02</v>
      </c>
      <c r="B55" s="1669" t="s">
        <v>1122</v>
      </c>
    </row>
    <row r="56" spans="1:2" ht="12" customHeight="1">
      <c r="A56" s="1669">
        <v>7.01</v>
      </c>
      <c r="B56" s="1669" t="s">
        <v>1116</v>
      </c>
    </row>
    <row r="57" spans="1:2" ht="12" customHeight="1">
      <c r="A57" s="1668">
        <v>8.0399999999999991</v>
      </c>
      <c r="B57" s="1669" t="s">
        <v>1106</v>
      </c>
    </row>
    <row r="58" spans="1:2" ht="12" customHeight="1">
      <c r="A58" s="1668">
        <v>1.26</v>
      </c>
      <c r="B58" s="1669" t="s">
        <v>1757</v>
      </c>
    </row>
    <row r="59" spans="1:2" ht="12" customHeight="1">
      <c r="A59" s="1668">
        <v>1.25</v>
      </c>
      <c r="B59" s="1669" t="s">
        <v>98</v>
      </c>
    </row>
    <row r="60" spans="1:2" ht="12" customHeight="1">
      <c r="A60" s="1668">
        <v>8.06</v>
      </c>
      <c r="B60" s="1669" t="s">
        <v>1108</v>
      </c>
    </row>
    <row r="61" spans="1:2" ht="12" customHeight="1">
      <c r="A61" s="1668">
        <v>8.0500000000000007</v>
      </c>
      <c r="B61" s="1669" t="s">
        <v>1107</v>
      </c>
    </row>
    <row r="62" spans="1:2" ht="12" customHeight="1">
      <c r="A62" s="1668">
        <v>9.19</v>
      </c>
      <c r="B62" s="1669" t="s">
        <v>750</v>
      </c>
    </row>
    <row r="63" spans="1:2" ht="12" customHeight="1">
      <c r="A63" s="1668">
        <v>9.14</v>
      </c>
      <c r="B63" s="1669" t="s">
        <v>95</v>
      </c>
    </row>
    <row r="64" spans="1:2" ht="12" customHeight="1">
      <c r="A64" s="1668">
        <v>9.15</v>
      </c>
      <c r="B64" s="1669" t="s">
        <v>673</v>
      </c>
    </row>
    <row r="65" spans="1:2" ht="12" customHeight="1">
      <c r="A65" s="1668">
        <v>9.1300000000000008</v>
      </c>
      <c r="B65" s="1669" t="s">
        <v>2202</v>
      </c>
    </row>
    <row r="66" spans="1:2" ht="12" customHeight="1">
      <c r="A66" s="1669">
        <v>7.02</v>
      </c>
      <c r="B66" s="1669" t="s">
        <v>1117</v>
      </c>
    </row>
    <row r="67" spans="1:2" ht="12" customHeight="1">
      <c r="A67" s="1670">
        <v>1.51</v>
      </c>
      <c r="B67" s="1669" t="s">
        <v>2007</v>
      </c>
    </row>
    <row r="68" spans="1:2" ht="12" customHeight="1">
      <c r="A68" s="1669">
        <v>3.01</v>
      </c>
      <c r="B68" s="1669" t="s">
        <v>2204</v>
      </c>
    </row>
    <row r="69" spans="1:2" ht="12" customHeight="1">
      <c r="A69" s="1669">
        <v>3.11</v>
      </c>
      <c r="B69" s="1669" t="s">
        <v>2214</v>
      </c>
    </row>
    <row r="70" spans="1:2" ht="12" customHeight="1">
      <c r="A70" s="1669">
        <v>3.02</v>
      </c>
      <c r="B70" s="1669" t="s">
        <v>2205</v>
      </c>
    </row>
    <row r="71" spans="1:2" ht="12" customHeight="1">
      <c r="A71" s="1669">
        <v>3.03</v>
      </c>
      <c r="B71" s="1669" t="s">
        <v>2206</v>
      </c>
    </row>
    <row r="72" spans="1:2" ht="12" customHeight="1">
      <c r="A72" s="1669">
        <v>3.12</v>
      </c>
      <c r="B72" s="1669" t="s">
        <v>2215</v>
      </c>
    </row>
    <row r="73" spans="1:2" ht="12" customHeight="1">
      <c r="A73" s="1669">
        <v>3.04</v>
      </c>
      <c r="B73" s="1669" t="s">
        <v>2207</v>
      </c>
    </row>
    <row r="74" spans="1:2" ht="12" customHeight="1">
      <c r="A74" s="1669">
        <v>3.05</v>
      </c>
      <c r="B74" s="1669" t="s">
        <v>2208</v>
      </c>
    </row>
    <row r="75" spans="1:2" ht="12" customHeight="1">
      <c r="A75" s="1669">
        <v>3.13</v>
      </c>
      <c r="B75" s="1669" t="s">
        <v>2216</v>
      </c>
    </row>
    <row r="76" spans="1:2" ht="12" customHeight="1">
      <c r="A76" s="1669">
        <v>3.06</v>
      </c>
      <c r="B76" s="1669" t="s">
        <v>2209</v>
      </c>
    </row>
    <row r="77" spans="1:2" ht="12" customHeight="1">
      <c r="A77" s="1670" t="s">
        <v>2213</v>
      </c>
      <c r="B77" s="1669" t="s">
        <v>2010</v>
      </c>
    </row>
    <row r="78" spans="1:2" ht="12" customHeight="1">
      <c r="A78" s="1669">
        <v>4.0599999999999996</v>
      </c>
      <c r="B78" s="1669" t="s">
        <v>164</v>
      </c>
    </row>
    <row r="79" spans="1:2" ht="12" customHeight="1">
      <c r="A79" s="1668">
        <v>9.2100000000000009</v>
      </c>
      <c r="B79" s="1669" t="s">
        <v>96</v>
      </c>
    </row>
    <row r="80" spans="1:2" ht="12" customHeight="1">
      <c r="A80" s="1668">
        <v>9.07</v>
      </c>
      <c r="B80" s="1669" t="s">
        <v>94</v>
      </c>
    </row>
    <row r="81" spans="1:2" ht="12" customHeight="1">
      <c r="A81" s="1668">
        <v>9.06</v>
      </c>
      <c r="B81" s="1669" t="s">
        <v>93</v>
      </c>
    </row>
    <row r="82" spans="1:2" ht="12" customHeight="1">
      <c r="A82" s="1668">
        <v>9.01</v>
      </c>
      <c r="B82" s="1669" t="s">
        <v>435</v>
      </c>
    </row>
    <row r="83" spans="1:2" ht="12" customHeight="1">
      <c r="A83" s="1668">
        <v>9.0500000000000007</v>
      </c>
      <c r="B83" s="1669" t="s">
        <v>740</v>
      </c>
    </row>
    <row r="84" spans="1:2" ht="12" customHeight="1">
      <c r="A84" s="1668">
        <v>9.02</v>
      </c>
      <c r="B84" s="1669" t="s">
        <v>1400</v>
      </c>
    </row>
    <row r="85" spans="1:2" ht="12" customHeight="1">
      <c r="A85" s="1668">
        <v>9.0399999999999991</v>
      </c>
      <c r="B85" s="1669" t="s">
        <v>739</v>
      </c>
    </row>
    <row r="86" spans="1:2" ht="12" customHeight="1">
      <c r="A86" s="1668">
        <v>9.0299999999999994</v>
      </c>
      <c r="B86" s="1669" t="s">
        <v>1401</v>
      </c>
    </row>
    <row r="87" spans="1:2" ht="12" customHeight="1">
      <c r="A87" s="1668">
        <v>1.19</v>
      </c>
      <c r="B87" s="1669" t="s">
        <v>1845</v>
      </c>
    </row>
    <row r="88" spans="1:2" ht="12" customHeight="1">
      <c r="A88" s="1668">
        <v>1.2</v>
      </c>
      <c r="B88" s="1669" t="s">
        <v>1846</v>
      </c>
    </row>
    <row r="89" spans="1:2" ht="12" customHeight="1">
      <c r="A89" s="1668">
        <v>1.45</v>
      </c>
      <c r="B89" s="1669" t="s">
        <v>1772</v>
      </c>
    </row>
    <row r="90" spans="1:2" ht="12" customHeight="1">
      <c r="A90" s="1671">
        <v>2.11</v>
      </c>
      <c r="B90" s="1669" t="s">
        <v>441</v>
      </c>
    </row>
    <row r="91" spans="1:2" ht="12" customHeight="1">
      <c r="A91" s="1671">
        <v>2.1</v>
      </c>
      <c r="B91" s="1669" t="s">
        <v>440</v>
      </c>
    </row>
    <row r="92" spans="1:2" ht="12" customHeight="1">
      <c r="A92" s="1669">
        <v>2.13</v>
      </c>
      <c r="B92" s="1669" t="s">
        <v>443</v>
      </c>
    </row>
    <row r="93" spans="1:2" ht="12" customHeight="1">
      <c r="A93" s="1668">
        <v>9.18</v>
      </c>
      <c r="B93" s="1669" t="s">
        <v>749</v>
      </c>
    </row>
    <row r="94" spans="1:2" ht="12" customHeight="1">
      <c r="A94" s="1668">
        <v>9.16</v>
      </c>
      <c r="B94" s="1669" t="s">
        <v>747</v>
      </c>
    </row>
    <row r="95" spans="1:2" ht="12" customHeight="1">
      <c r="A95" s="1668">
        <v>5.03</v>
      </c>
      <c r="B95" s="1669" t="s">
        <v>447</v>
      </c>
    </row>
    <row r="96" spans="1:2" ht="12" customHeight="1">
      <c r="A96" s="1669">
        <v>4.08</v>
      </c>
      <c r="B96" s="1669" t="s">
        <v>166</v>
      </c>
    </row>
    <row r="97" spans="1:2" ht="12" customHeight="1">
      <c r="A97" s="1668">
        <v>1.18</v>
      </c>
      <c r="B97" s="1669" t="s">
        <v>1844</v>
      </c>
    </row>
    <row r="98" spans="1:2" ht="12" customHeight="1">
      <c r="A98" s="1668">
        <v>1.1399999999999999</v>
      </c>
      <c r="B98" s="1669" t="s">
        <v>1840</v>
      </c>
    </row>
    <row r="99" spans="1:2" ht="12" customHeight="1">
      <c r="A99" s="1668">
        <v>1.1499999999999999</v>
      </c>
      <c r="B99" s="1669" t="s">
        <v>1841</v>
      </c>
    </row>
    <row r="100" spans="1:2" ht="12" customHeight="1">
      <c r="A100" s="1668">
        <v>1.1299999999999999</v>
      </c>
      <c r="B100" s="1669" t="s">
        <v>1839</v>
      </c>
    </row>
    <row r="101" spans="1:2" ht="12" customHeight="1">
      <c r="A101" s="1668">
        <v>1.4</v>
      </c>
      <c r="B101" s="1669" t="s">
        <v>1768</v>
      </c>
    </row>
    <row r="102" spans="1:2" ht="12" customHeight="1">
      <c r="A102" s="1668">
        <v>1.39</v>
      </c>
      <c r="B102" s="1669" t="s">
        <v>1767</v>
      </c>
    </row>
    <row r="103" spans="1:2" ht="12" customHeight="1">
      <c r="A103" s="1668">
        <v>1.17</v>
      </c>
      <c r="B103" s="1669" t="s">
        <v>1843</v>
      </c>
    </row>
    <row r="104" spans="1:2" ht="12" customHeight="1">
      <c r="A104" s="1668">
        <v>1.1599999999999999</v>
      </c>
      <c r="B104" s="1669" t="s">
        <v>1842</v>
      </c>
    </row>
    <row r="105" spans="1:2" ht="12" customHeight="1">
      <c r="A105" s="1669">
        <v>4.07</v>
      </c>
      <c r="B105" s="1669" t="s">
        <v>165</v>
      </c>
    </row>
    <row r="106" spans="1:2" ht="12" customHeight="1">
      <c r="A106" s="1668">
        <v>5.04</v>
      </c>
      <c r="B106" s="1669" t="s">
        <v>448</v>
      </c>
    </row>
    <row r="107" spans="1:2" ht="12" customHeight="1">
      <c r="A107" s="1668">
        <v>1.43</v>
      </c>
      <c r="B107" s="1669" t="s">
        <v>1770</v>
      </c>
    </row>
    <row r="108" spans="1:2" ht="12" customHeight="1">
      <c r="A108" s="1669">
        <v>6.01</v>
      </c>
      <c r="B108" s="1669" t="s">
        <v>1392</v>
      </c>
    </row>
    <row r="109" spans="1:2" ht="12" customHeight="1">
      <c r="A109" s="1668">
        <v>1.1000000000000001</v>
      </c>
      <c r="B109" s="1669" t="s">
        <v>1837</v>
      </c>
    </row>
    <row r="110" spans="1:2" ht="12" customHeight="1">
      <c r="A110" s="1668">
        <v>1.1200000000000001</v>
      </c>
      <c r="B110" s="1669" t="s">
        <v>1837</v>
      </c>
    </row>
    <row r="111" spans="1:2" ht="12" customHeight="1">
      <c r="A111" s="1668">
        <v>1.44</v>
      </c>
      <c r="B111" s="1669" t="s">
        <v>1771</v>
      </c>
    </row>
    <row r="112" spans="1:2" ht="12" customHeight="1">
      <c r="A112" s="1668">
        <v>1.1100000000000001</v>
      </c>
      <c r="B112" s="1669" t="s">
        <v>1838</v>
      </c>
    </row>
    <row r="113" spans="1:2" ht="12" customHeight="1">
      <c r="A113" s="1668">
        <v>1.0900000000000001</v>
      </c>
      <c r="B113" s="1669" t="s">
        <v>1815</v>
      </c>
    </row>
    <row r="114" spans="1:2" ht="12" customHeight="1">
      <c r="A114" s="1669">
        <v>4.09</v>
      </c>
      <c r="B114" s="1669" t="s">
        <v>167</v>
      </c>
    </row>
    <row r="115" spans="1:2" ht="12" customHeight="1">
      <c r="A115" s="1670" t="s">
        <v>426</v>
      </c>
      <c r="B115" s="1669" t="s">
        <v>427</v>
      </c>
    </row>
    <row r="116" spans="1:2" ht="12" customHeight="1">
      <c r="A116" s="1670" t="s">
        <v>424</v>
      </c>
      <c r="B116" s="1669" t="s">
        <v>425</v>
      </c>
    </row>
    <row r="117" spans="1:2" ht="12" customHeight="1">
      <c r="A117" s="1670" t="s">
        <v>422</v>
      </c>
      <c r="B117" s="1669" t="s">
        <v>423</v>
      </c>
    </row>
    <row r="118" spans="1:2" ht="12" customHeight="1">
      <c r="A118" s="1668">
        <v>9.1999999999999993</v>
      </c>
      <c r="B118" s="1669" t="s">
        <v>751</v>
      </c>
    </row>
    <row r="119" spans="1:2" ht="12" customHeight="1">
      <c r="A119" s="1668">
        <v>1.32</v>
      </c>
      <c r="B119" s="1669" t="s">
        <v>936</v>
      </c>
    </row>
    <row r="120" spans="1:2" ht="12" customHeight="1">
      <c r="A120" s="1668">
        <v>1.33</v>
      </c>
      <c r="B120" s="1669" t="s">
        <v>937</v>
      </c>
    </row>
    <row r="121" spans="1:2" ht="12" customHeight="1">
      <c r="A121" s="1668">
        <v>8.0299999999999994</v>
      </c>
      <c r="B121" s="1669" t="s">
        <v>1105</v>
      </c>
    </row>
    <row r="122" spans="1:2" ht="12" customHeight="1">
      <c r="A122" s="1668">
        <v>9.17</v>
      </c>
      <c r="B122" s="1669" t="s">
        <v>748</v>
      </c>
    </row>
    <row r="123" spans="1:2" ht="12" customHeight="1">
      <c r="A123" s="1668">
        <v>1.46</v>
      </c>
      <c r="B123" s="1669" t="s">
        <v>1416</v>
      </c>
    </row>
    <row r="124" spans="1:2" ht="12" customHeight="1">
      <c r="A124" s="1668">
        <v>1.41</v>
      </c>
      <c r="B124" s="1669" t="s">
        <v>1506</v>
      </c>
    </row>
    <row r="125" spans="1:2" ht="12" customHeight="1">
      <c r="A125" s="1669">
        <v>6.03</v>
      </c>
      <c r="B125" s="1669" t="s">
        <v>1123</v>
      </c>
    </row>
    <row r="126" spans="1:2" ht="12" customHeight="1">
      <c r="A126" s="1668">
        <v>1.02</v>
      </c>
      <c r="B126" s="1669" t="s">
        <v>1808</v>
      </c>
    </row>
    <row r="127" spans="1:2" ht="12" customHeight="1">
      <c r="A127" s="1668">
        <v>1.48</v>
      </c>
      <c r="B127" s="1669" t="s">
        <v>1418</v>
      </c>
    </row>
    <row r="128" spans="1:2" ht="12" customHeight="1">
      <c r="A128" s="1668">
        <v>1.04</v>
      </c>
      <c r="B128" s="1669" t="s">
        <v>1810</v>
      </c>
    </row>
    <row r="129" spans="1:2" ht="12" customHeight="1">
      <c r="A129" s="1668">
        <v>1.06</v>
      </c>
      <c r="B129" s="1669" t="s">
        <v>1812</v>
      </c>
    </row>
    <row r="130" spans="1:2" ht="12" customHeight="1">
      <c r="A130" s="1668">
        <v>1.03</v>
      </c>
      <c r="B130" s="1669" t="s">
        <v>1809</v>
      </c>
    </row>
    <row r="131" spans="1:2" ht="12" customHeight="1">
      <c r="A131" s="1668">
        <v>1.05</v>
      </c>
      <c r="B131" s="1669" t="s">
        <v>1811</v>
      </c>
    </row>
    <row r="132" spans="1:2" ht="12" customHeight="1">
      <c r="A132" s="1668">
        <v>1.49</v>
      </c>
      <c r="B132" s="1669" t="s">
        <v>1419</v>
      </c>
    </row>
    <row r="133" spans="1:2" ht="12" customHeight="1">
      <c r="A133" s="1669">
        <v>3.07</v>
      </c>
      <c r="B133" s="1669" t="s">
        <v>2210</v>
      </c>
    </row>
    <row r="134" spans="1:2" ht="12" customHeight="1">
      <c r="A134" s="1669">
        <v>3.08</v>
      </c>
      <c r="B134" s="1669" t="s">
        <v>2211</v>
      </c>
    </row>
    <row r="135" spans="1:2" ht="12" customHeight="1">
      <c r="A135" s="1669">
        <v>3.09</v>
      </c>
      <c r="B135" s="1669" t="s">
        <v>2212</v>
      </c>
    </row>
    <row r="136" spans="1:2" ht="12" customHeight="1">
      <c r="A136" s="1668">
        <v>1.37</v>
      </c>
      <c r="B136" s="1669" t="s">
        <v>939</v>
      </c>
    </row>
    <row r="137" spans="1:2" ht="12" customHeight="1">
      <c r="A137" s="1668">
        <v>1.35</v>
      </c>
      <c r="B137" s="1669" t="s">
        <v>938</v>
      </c>
    </row>
    <row r="138" spans="1:2" ht="12" customHeight="1">
      <c r="A138" s="1668">
        <v>1.38</v>
      </c>
      <c r="B138" s="1669" t="s">
        <v>1766</v>
      </c>
    </row>
    <row r="139" spans="1:2" ht="12" customHeight="1">
      <c r="A139" s="1668">
        <v>1.36</v>
      </c>
      <c r="B139" s="1669" t="s">
        <v>1765</v>
      </c>
    </row>
    <row r="140" spans="1:2" ht="12" customHeight="1">
      <c r="A140" s="1668">
        <v>1.24</v>
      </c>
      <c r="B140" s="1669" t="s">
        <v>97</v>
      </c>
    </row>
    <row r="141" spans="1:2" ht="12" customHeight="1">
      <c r="A141" s="1668">
        <v>1.23</v>
      </c>
      <c r="B141" s="1669" t="s">
        <v>1849</v>
      </c>
    </row>
    <row r="142" spans="1:2" ht="12" customHeight="1">
      <c r="A142" s="1668">
        <v>9.09</v>
      </c>
      <c r="B142" s="1669" t="s">
        <v>742</v>
      </c>
    </row>
    <row r="143" spans="1:2">
      <c r="A143" s="1669"/>
      <c r="B143" s="1669"/>
    </row>
    <row r="144" spans="1:2">
      <c r="A144" s="1669"/>
      <c r="B144" s="1669"/>
    </row>
    <row r="145" spans="1:2">
      <c r="A145" s="1669" t="s">
        <v>104</v>
      </c>
      <c r="B145" s="1669"/>
    </row>
  </sheetData>
  <phoneticPr fontId="39" type="noConversion"/>
  <pageMargins left="0.46" right="0.35" top="0.43" bottom="0.42" header="0.28000000000000003" footer="0.21"/>
  <pageSetup paperSize="9" scale="91" fitToHeight="2" orientation="portrait"/>
  <headerFooter alignWithMargins="0">
    <oddFooter>&amp;R&amp;P/&amp;N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B2163-3F72-2B43-8B07-D5B6867C77E0}">
  <sheetPr>
    <pageSetUpPr fitToPage="1"/>
  </sheetPr>
  <dimension ref="A1:M79"/>
  <sheetViews>
    <sheetView workbookViewId="0">
      <selection activeCell="A2" sqref="A2"/>
    </sheetView>
  </sheetViews>
  <sheetFormatPr baseColWidth="10" defaultColWidth="11.3984375" defaultRowHeight="13"/>
  <cols>
    <col min="1" max="1" width="11.3984375" style="1682"/>
    <col min="2" max="2" width="10.19921875" style="1681" customWidth="1"/>
    <col min="3" max="3" width="4.3984375" style="1682" customWidth="1"/>
    <col min="4" max="4" width="11.3984375" style="1682"/>
    <col min="5" max="5" width="11.3984375" style="1681"/>
    <col min="6" max="7" width="11.3984375" style="1682"/>
    <col min="8" max="8" width="3.59765625" style="1682" customWidth="1"/>
    <col min="9" max="9" width="11.3984375" style="1682"/>
    <col min="10" max="10" width="3.796875" style="1682" customWidth="1"/>
    <col min="11" max="11" width="11.3984375" style="1682"/>
    <col min="12" max="12" width="3.796875" style="1682" customWidth="1"/>
    <col min="13" max="16384" width="11.3984375" style="1682"/>
  </cols>
  <sheetData>
    <row r="1" spans="1:13" ht="16">
      <c r="A1" s="1680" t="s">
        <v>725</v>
      </c>
    </row>
    <row r="2" spans="1:13" ht="18" customHeight="1"/>
    <row r="3" spans="1:13" ht="30" customHeight="1">
      <c r="A3" s="1683" t="s">
        <v>971</v>
      </c>
      <c r="B3" s="1683" t="s">
        <v>972</v>
      </c>
      <c r="C3" s="1681"/>
      <c r="D3" s="1683" t="s">
        <v>971</v>
      </c>
      <c r="E3" s="1683" t="s">
        <v>972</v>
      </c>
      <c r="G3" s="1683" t="s">
        <v>972</v>
      </c>
      <c r="H3" s="1683"/>
      <c r="I3" s="1683" t="s">
        <v>971</v>
      </c>
      <c r="K3" s="1683" t="s">
        <v>972</v>
      </c>
      <c r="L3" s="1683"/>
      <c r="M3" s="1683" t="s">
        <v>971</v>
      </c>
    </row>
    <row r="4" spans="1:13" ht="13.5" customHeight="1">
      <c r="A4" s="1684"/>
      <c r="B4" s="1684"/>
      <c r="D4" s="1685"/>
      <c r="E4" s="1685"/>
      <c r="G4" s="1686"/>
      <c r="H4" s="1686"/>
      <c r="I4" s="1686"/>
      <c r="K4" s="1686"/>
      <c r="L4" s="1686"/>
      <c r="M4" s="1686"/>
    </row>
    <row r="5" spans="1:13">
      <c r="A5" s="1687">
        <v>1.01</v>
      </c>
      <c r="B5" s="1687">
        <v>1.01</v>
      </c>
      <c r="C5" s="1688"/>
      <c r="D5" s="1689">
        <v>3.07</v>
      </c>
      <c r="E5" s="1689">
        <v>3.07</v>
      </c>
      <c r="G5" s="1690">
        <v>1.01</v>
      </c>
      <c r="H5" s="1691"/>
      <c r="I5" s="1690">
        <v>1.01</v>
      </c>
      <c r="K5" s="1692">
        <v>3.07</v>
      </c>
      <c r="L5" s="1685" t="s">
        <v>151</v>
      </c>
      <c r="M5" s="1690">
        <v>3.07</v>
      </c>
    </row>
    <row r="6" spans="1:13">
      <c r="A6" s="1693">
        <v>1.02</v>
      </c>
      <c r="B6" s="1693">
        <v>1.02</v>
      </c>
      <c r="C6" s="1688"/>
      <c r="D6" s="1689">
        <v>3.08</v>
      </c>
      <c r="E6" s="1689">
        <v>3.08</v>
      </c>
      <c r="G6" s="1694">
        <v>1.02</v>
      </c>
      <c r="H6" s="1691"/>
      <c r="I6" s="1690">
        <v>1.02</v>
      </c>
      <c r="K6" s="1689">
        <v>3.08</v>
      </c>
      <c r="L6" s="1685" t="s">
        <v>151</v>
      </c>
      <c r="M6" s="1690">
        <v>3.08</v>
      </c>
    </row>
    <row r="7" spans="1:13">
      <c r="A7" s="1693">
        <v>1.03</v>
      </c>
      <c r="B7" s="1693">
        <v>1.03</v>
      </c>
      <c r="C7" s="1688"/>
      <c r="D7" s="1689">
        <v>3.09</v>
      </c>
      <c r="E7" s="1689">
        <v>3.09</v>
      </c>
      <c r="G7" s="1694">
        <v>1.03</v>
      </c>
      <c r="H7" s="1691"/>
      <c r="I7" s="1690">
        <v>1.03</v>
      </c>
      <c r="K7" s="1689">
        <v>3.09</v>
      </c>
      <c r="L7" s="1685" t="s">
        <v>151</v>
      </c>
      <c r="M7" s="1690">
        <v>3.09</v>
      </c>
    </row>
    <row r="8" spans="1:13">
      <c r="A8" s="1693">
        <v>1.04</v>
      </c>
      <c r="B8" s="1693">
        <v>1.04</v>
      </c>
      <c r="C8" s="1688"/>
      <c r="D8" s="1695" t="s">
        <v>2213</v>
      </c>
      <c r="E8" s="1696" t="s">
        <v>1300</v>
      </c>
      <c r="G8" s="1694">
        <v>1.04</v>
      </c>
      <c r="H8" s="1691"/>
      <c r="I8" s="1690">
        <v>1.04</v>
      </c>
      <c r="K8" s="1697" t="s">
        <v>2213</v>
      </c>
      <c r="L8" s="1698" t="s">
        <v>151</v>
      </c>
      <c r="M8" s="1696" t="s">
        <v>1300</v>
      </c>
    </row>
    <row r="9" spans="1:13">
      <c r="A9" s="1693">
        <v>1.05</v>
      </c>
      <c r="B9" s="1693">
        <v>1.05</v>
      </c>
      <c r="C9" s="1688"/>
      <c r="D9" s="1696">
        <v>3.11</v>
      </c>
      <c r="E9" s="1696">
        <v>3.11</v>
      </c>
      <c r="G9" s="1694">
        <v>1.05</v>
      </c>
      <c r="H9" s="1691"/>
      <c r="I9" s="1690">
        <v>1.05</v>
      </c>
      <c r="K9" s="1696">
        <v>3.11</v>
      </c>
      <c r="L9" s="1698" t="s">
        <v>151</v>
      </c>
      <c r="M9" s="1696">
        <v>3.11</v>
      </c>
    </row>
    <row r="10" spans="1:13">
      <c r="A10" s="1693">
        <v>1.06</v>
      </c>
      <c r="B10" s="1693">
        <v>1.06</v>
      </c>
      <c r="C10" s="1688"/>
      <c r="D10" s="1696">
        <v>3.12</v>
      </c>
      <c r="E10" s="1696">
        <v>3.12</v>
      </c>
      <c r="G10" s="1694">
        <v>1.06</v>
      </c>
      <c r="H10" s="1691"/>
      <c r="I10" s="1690">
        <v>1.06</v>
      </c>
      <c r="K10" s="1696">
        <v>3.12</v>
      </c>
      <c r="L10" s="1698" t="s">
        <v>151</v>
      </c>
      <c r="M10" s="1696">
        <v>3.12</v>
      </c>
    </row>
    <row r="11" spans="1:13">
      <c r="A11" s="1693">
        <v>1.07</v>
      </c>
      <c r="B11" s="1693">
        <v>1.07</v>
      </c>
      <c r="C11" s="1688"/>
      <c r="D11" s="1696">
        <v>3.13</v>
      </c>
      <c r="E11" s="1696">
        <v>3.13</v>
      </c>
      <c r="G11" s="1694">
        <v>1.07</v>
      </c>
      <c r="H11" s="1691"/>
      <c r="I11" s="1690">
        <v>1.07</v>
      </c>
      <c r="K11" s="1696">
        <v>3.13</v>
      </c>
      <c r="L11" s="1698" t="s">
        <v>151</v>
      </c>
      <c r="M11" s="1696">
        <v>3.13</v>
      </c>
    </row>
    <row r="12" spans="1:13">
      <c r="A12" s="1693">
        <v>1.08</v>
      </c>
      <c r="B12" s="1693">
        <v>1.08</v>
      </c>
      <c r="C12" s="1688"/>
      <c r="D12" s="1696">
        <v>4.01</v>
      </c>
      <c r="E12" s="1696">
        <v>4.01</v>
      </c>
      <c r="G12" s="1694">
        <v>1.08</v>
      </c>
      <c r="H12" s="1691"/>
      <c r="I12" s="1690">
        <v>1.08</v>
      </c>
      <c r="K12" s="1696">
        <v>4.01</v>
      </c>
      <c r="L12" s="1685"/>
      <c r="M12" s="1695">
        <v>4.01</v>
      </c>
    </row>
    <row r="13" spans="1:13">
      <c r="A13" s="1693">
        <v>1.0900000000000001</v>
      </c>
      <c r="B13" s="1693">
        <v>1.0900000000000001</v>
      </c>
      <c r="C13" s="1688"/>
      <c r="D13" s="1689">
        <v>4.0199999999999996</v>
      </c>
      <c r="E13" s="1689">
        <v>4.0199999999999996</v>
      </c>
      <c r="G13" s="1693">
        <v>1.0900000000000001</v>
      </c>
      <c r="H13" s="1691"/>
      <c r="I13" s="1690">
        <v>1.0900000000000001</v>
      </c>
      <c r="K13" s="1699">
        <v>4.0199999999999996</v>
      </c>
      <c r="L13" s="1685" t="s">
        <v>151</v>
      </c>
      <c r="M13" s="1695">
        <v>4.0199999999999996</v>
      </c>
    </row>
    <row r="14" spans="1:13">
      <c r="A14" s="1693">
        <v>1.1000000000000001</v>
      </c>
      <c r="B14" s="1693">
        <v>1.1000000000000001</v>
      </c>
      <c r="C14" s="1688"/>
      <c r="D14" s="1689">
        <v>4.03</v>
      </c>
      <c r="E14" s="1689">
        <v>4.03</v>
      </c>
      <c r="G14" s="1693">
        <v>1.1000000000000001</v>
      </c>
      <c r="H14" s="1691"/>
      <c r="I14" s="1690">
        <v>1.1000000000000001</v>
      </c>
      <c r="K14" s="1689">
        <v>4.03</v>
      </c>
      <c r="L14" s="1685"/>
      <c r="M14" s="1695">
        <v>4.03</v>
      </c>
    </row>
    <row r="15" spans="1:13">
      <c r="A15" s="1693">
        <v>1.1100000000000001</v>
      </c>
      <c r="B15" s="1693">
        <v>1.1100000000000001</v>
      </c>
      <c r="C15" s="1688"/>
      <c r="D15" s="1689">
        <v>4.04</v>
      </c>
      <c r="E15" s="1689">
        <v>4.04</v>
      </c>
      <c r="G15" s="1693">
        <v>1.1100000000000001</v>
      </c>
      <c r="H15" s="1691"/>
      <c r="I15" s="1690">
        <v>1.1100000000000001</v>
      </c>
      <c r="K15" s="1689">
        <v>4.04</v>
      </c>
      <c r="L15" s="1685" t="s">
        <v>151</v>
      </c>
      <c r="M15" s="1695">
        <v>4.04</v>
      </c>
    </row>
    <row r="16" spans="1:13">
      <c r="A16" s="1693">
        <v>1.1200000000000001</v>
      </c>
      <c r="B16" s="1693">
        <v>1.1200000000000001</v>
      </c>
      <c r="C16" s="1688"/>
      <c r="D16" s="1689">
        <v>4.05</v>
      </c>
      <c r="E16" s="1689">
        <v>4.05</v>
      </c>
      <c r="G16" s="1693">
        <v>1.1200000000000001</v>
      </c>
      <c r="H16" s="1691"/>
      <c r="I16" s="1690">
        <v>1.1200000000000001</v>
      </c>
      <c r="K16" s="1689">
        <v>4.05</v>
      </c>
      <c r="L16" s="1685" t="s">
        <v>151</v>
      </c>
      <c r="M16" s="1695">
        <v>4.05</v>
      </c>
    </row>
    <row r="17" spans="1:13">
      <c r="A17" s="1693">
        <v>1.1299999999999999</v>
      </c>
      <c r="B17" s="1693">
        <v>1.1299999999999999</v>
      </c>
      <c r="C17" s="1688"/>
      <c r="D17" s="1689">
        <v>4.0599999999999996</v>
      </c>
      <c r="E17" s="1689">
        <v>4.0599999999999996</v>
      </c>
      <c r="G17" s="1693">
        <v>1.1299999999999999</v>
      </c>
      <c r="H17" s="1691"/>
      <c r="I17" s="1690">
        <v>1.1299999999999999</v>
      </c>
      <c r="K17" s="1689">
        <v>4.0599999999999996</v>
      </c>
      <c r="L17" s="1685" t="s">
        <v>151</v>
      </c>
      <c r="M17" s="1695">
        <v>4.0599999999999996</v>
      </c>
    </row>
    <row r="18" spans="1:13">
      <c r="A18" s="1693">
        <v>1.1399999999999999</v>
      </c>
      <c r="B18" s="1693">
        <v>1.1399999999999999</v>
      </c>
      <c r="C18" s="1688"/>
      <c r="D18" s="1689">
        <v>4.07</v>
      </c>
      <c r="E18" s="1689">
        <v>4.07</v>
      </c>
      <c r="G18" s="1693">
        <v>1.1399999999999999</v>
      </c>
      <c r="H18" s="1691"/>
      <c r="I18" s="1690">
        <v>1.1399999999999999</v>
      </c>
      <c r="K18" s="1689">
        <v>4.07</v>
      </c>
      <c r="L18" s="1685"/>
      <c r="M18" s="1695">
        <v>4.07</v>
      </c>
    </row>
    <row r="19" spans="1:13">
      <c r="A19" s="1693">
        <v>1.1499999999999999</v>
      </c>
      <c r="B19" s="1693">
        <v>1.1499999999999999</v>
      </c>
      <c r="C19" s="1688"/>
      <c r="D19" s="1689">
        <v>4.08</v>
      </c>
      <c r="E19" s="1689">
        <v>4.08</v>
      </c>
      <c r="G19" s="1700">
        <v>1.1499999999999999</v>
      </c>
      <c r="H19" s="1691"/>
      <c r="I19" s="1690">
        <v>1.1499999999999999</v>
      </c>
      <c r="K19" s="1689">
        <v>4.08</v>
      </c>
      <c r="L19" s="1685" t="s">
        <v>151</v>
      </c>
      <c r="M19" s="1695">
        <v>4.08</v>
      </c>
    </row>
    <row r="20" spans="1:13">
      <c r="A20" s="1693">
        <v>1.1599999999999999</v>
      </c>
      <c r="B20" s="1693">
        <v>1.1599999999999999</v>
      </c>
      <c r="C20" s="1688"/>
      <c r="D20" s="1689">
        <v>4.09</v>
      </c>
      <c r="E20" s="1689">
        <v>4.09</v>
      </c>
      <c r="G20" s="1700">
        <v>1.1599999999999999</v>
      </c>
      <c r="H20" s="1691"/>
      <c r="I20" s="1690">
        <v>1.1599999999999999</v>
      </c>
      <c r="K20" s="1689">
        <v>4.09</v>
      </c>
      <c r="L20" s="1685" t="s">
        <v>151</v>
      </c>
      <c r="M20" s="1695">
        <v>4.09</v>
      </c>
    </row>
    <row r="21" spans="1:13">
      <c r="A21" s="1693">
        <v>1.17</v>
      </c>
      <c r="B21" s="1693">
        <v>1.17</v>
      </c>
      <c r="C21" s="1688"/>
      <c r="D21" s="1693">
        <v>4.0999999999999996</v>
      </c>
      <c r="E21" s="1693">
        <v>4.0999999999999996</v>
      </c>
      <c r="G21" s="1700">
        <v>1.17</v>
      </c>
      <c r="H21" s="1691"/>
      <c r="I21" s="1690">
        <v>1.17</v>
      </c>
      <c r="K21" s="1693">
        <v>4.0999999999999996</v>
      </c>
      <c r="L21" s="1685" t="s">
        <v>151</v>
      </c>
      <c r="M21" s="1695">
        <v>4.0999999999999996</v>
      </c>
    </row>
    <row r="22" spans="1:13">
      <c r="A22" s="1693">
        <v>1.18</v>
      </c>
      <c r="B22" s="1693">
        <v>1.18</v>
      </c>
      <c r="C22" s="1688"/>
      <c r="D22" s="1693">
        <v>4.1100000000000003</v>
      </c>
      <c r="E22" s="1693">
        <v>4.1100000000000003</v>
      </c>
      <c r="G22" s="1700">
        <v>1.18</v>
      </c>
      <c r="H22" s="1691"/>
      <c r="I22" s="1690">
        <v>1.18</v>
      </c>
      <c r="K22" s="1693">
        <v>4.1100000000000003</v>
      </c>
      <c r="L22" s="1685" t="s">
        <v>151</v>
      </c>
      <c r="M22" s="1693">
        <v>4.1100000000000003</v>
      </c>
    </row>
    <row r="23" spans="1:13">
      <c r="A23" s="1693">
        <v>1.19</v>
      </c>
      <c r="B23" s="1693">
        <v>1.19</v>
      </c>
      <c r="C23" s="1688"/>
      <c r="D23" s="1693">
        <v>4.12</v>
      </c>
      <c r="E23" s="1693">
        <v>4.12</v>
      </c>
      <c r="G23" s="1693">
        <v>1.19</v>
      </c>
      <c r="H23" s="1691"/>
      <c r="I23" s="1690">
        <v>1.19</v>
      </c>
      <c r="K23" s="1693">
        <v>4.12</v>
      </c>
      <c r="L23" s="1685" t="s">
        <v>151</v>
      </c>
      <c r="M23" s="1693">
        <v>4.12</v>
      </c>
    </row>
    <row r="24" spans="1:13">
      <c r="A24" s="1693">
        <v>1.2</v>
      </c>
      <c r="B24" s="1693">
        <v>1.2</v>
      </c>
      <c r="C24" s="1688"/>
      <c r="D24" s="1693">
        <v>4.13</v>
      </c>
      <c r="E24" s="1693">
        <v>4.13</v>
      </c>
      <c r="G24" s="1693">
        <v>1.2</v>
      </c>
      <c r="H24" s="1691"/>
      <c r="I24" s="1690">
        <v>1.2</v>
      </c>
      <c r="K24" s="1693">
        <v>4.13</v>
      </c>
      <c r="L24" s="1685" t="s">
        <v>151</v>
      </c>
      <c r="M24" s="1693">
        <v>4.13</v>
      </c>
    </row>
    <row r="25" spans="1:13">
      <c r="A25" s="1693">
        <v>1.21</v>
      </c>
      <c r="B25" s="1693">
        <v>1.21</v>
      </c>
      <c r="C25" s="1688"/>
      <c r="D25" s="1689">
        <v>5.01</v>
      </c>
      <c r="E25" s="1689">
        <v>5.01</v>
      </c>
      <c r="G25" s="1693">
        <v>1.21</v>
      </c>
      <c r="H25" s="1691"/>
      <c r="I25" s="1690">
        <v>1.21</v>
      </c>
      <c r="K25" s="1697">
        <v>5.01</v>
      </c>
      <c r="L25" s="1696"/>
      <c r="M25" s="1695">
        <v>5.01</v>
      </c>
    </row>
    <row r="26" spans="1:13">
      <c r="A26" s="1693">
        <v>1.22</v>
      </c>
      <c r="B26" s="1693">
        <v>1.22</v>
      </c>
      <c r="C26" s="1688"/>
      <c r="D26" s="1689">
        <v>5.0199999999999996</v>
      </c>
      <c r="E26" s="1689">
        <v>5.0199999999999996</v>
      </c>
      <c r="G26" s="1693">
        <v>1.22</v>
      </c>
      <c r="H26" s="1691"/>
      <c r="I26" s="1690">
        <v>1.22</v>
      </c>
      <c r="K26" s="1697">
        <v>5.0199999999999996</v>
      </c>
      <c r="L26" s="1698"/>
      <c r="M26" s="1695">
        <v>5.0199999999999996</v>
      </c>
    </row>
    <row r="27" spans="1:13">
      <c r="A27" s="1693">
        <v>1.23</v>
      </c>
      <c r="B27" s="1693">
        <v>1.23</v>
      </c>
      <c r="C27" s="1688"/>
      <c r="D27" s="1689">
        <v>5.03</v>
      </c>
      <c r="E27" s="1689">
        <v>5.03</v>
      </c>
      <c r="G27" s="1693">
        <v>1.23</v>
      </c>
      <c r="H27" s="1691"/>
      <c r="I27" s="1690">
        <v>1.23</v>
      </c>
      <c r="K27" s="1689">
        <v>5.03</v>
      </c>
      <c r="L27" s="1698"/>
      <c r="M27" s="1689">
        <v>5.03</v>
      </c>
    </row>
    <row r="28" spans="1:13">
      <c r="A28" s="1693">
        <v>1.24</v>
      </c>
      <c r="B28" s="1693">
        <v>1.24</v>
      </c>
      <c r="C28" s="1688"/>
      <c r="D28" s="1689">
        <v>5.04</v>
      </c>
      <c r="E28" s="1689">
        <v>5.04</v>
      </c>
      <c r="G28" s="1693">
        <v>1.24</v>
      </c>
      <c r="H28" s="1691"/>
      <c r="I28" s="1690">
        <v>1.24</v>
      </c>
      <c r="K28" s="1689">
        <v>5.04</v>
      </c>
      <c r="L28" s="1701"/>
      <c r="M28" s="1689">
        <v>5.04</v>
      </c>
    </row>
    <row r="29" spans="1:13">
      <c r="A29" s="1693">
        <v>1.25</v>
      </c>
      <c r="B29" s="1693">
        <v>1.25</v>
      </c>
      <c r="C29" s="1688"/>
      <c r="D29" s="1689">
        <v>6.01</v>
      </c>
      <c r="E29" s="1689">
        <v>6.01</v>
      </c>
      <c r="G29" s="1693">
        <v>1.25</v>
      </c>
      <c r="H29" s="1691"/>
      <c r="I29" s="1690">
        <v>1.25</v>
      </c>
      <c r="K29" s="1699">
        <v>6.01</v>
      </c>
      <c r="L29" s="1701"/>
      <c r="M29" s="1695">
        <v>6.01</v>
      </c>
    </row>
    <row r="30" spans="1:13">
      <c r="A30" s="1693">
        <v>1.26</v>
      </c>
      <c r="B30" s="1693">
        <v>1.26</v>
      </c>
      <c r="C30" s="1688"/>
      <c r="D30" s="1689">
        <v>6.02</v>
      </c>
      <c r="E30" s="1689">
        <v>6.02</v>
      </c>
      <c r="G30" s="1693">
        <v>1.26</v>
      </c>
      <c r="H30" s="1691"/>
      <c r="I30" s="1690">
        <v>1.26</v>
      </c>
      <c r="K30" s="1689">
        <v>6.02</v>
      </c>
      <c r="L30" s="1701"/>
      <c r="M30" s="1695">
        <v>6.02</v>
      </c>
    </row>
    <row r="31" spans="1:13">
      <c r="A31" s="1693">
        <v>1.27</v>
      </c>
      <c r="B31" s="1693">
        <v>1.27</v>
      </c>
      <c r="C31" s="1688"/>
      <c r="D31" s="1689">
        <v>6.03</v>
      </c>
      <c r="E31" s="1689">
        <v>6.03</v>
      </c>
      <c r="G31" s="1693">
        <v>1.27</v>
      </c>
      <c r="H31" s="1691"/>
      <c r="I31" s="1690">
        <v>1.27</v>
      </c>
      <c r="K31" s="1689">
        <v>6.03</v>
      </c>
      <c r="L31" s="1701"/>
      <c r="M31" s="1695">
        <v>6.03</v>
      </c>
    </row>
    <row r="32" spans="1:13">
      <c r="A32" s="1693">
        <v>1.28</v>
      </c>
      <c r="B32" s="1693">
        <v>1.28</v>
      </c>
      <c r="C32" s="1688"/>
      <c r="D32" s="1689">
        <v>6.04</v>
      </c>
      <c r="E32" s="1689">
        <v>6.04</v>
      </c>
      <c r="G32" s="1693">
        <v>1.28</v>
      </c>
      <c r="H32" s="1691"/>
      <c r="I32" s="1690">
        <v>1.28</v>
      </c>
      <c r="K32" s="1689">
        <v>6.04</v>
      </c>
      <c r="L32" s="1701"/>
      <c r="M32" s="1695">
        <v>6.04</v>
      </c>
    </row>
    <row r="33" spans="1:13">
      <c r="A33" s="1693">
        <v>1.29</v>
      </c>
      <c r="B33" s="1693">
        <v>1.29</v>
      </c>
      <c r="C33" s="1688"/>
      <c r="D33" s="1689">
        <v>6.05</v>
      </c>
      <c r="E33" s="1689">
        <v>6.05</v>
      </c>
      <c r="G33" s="1693">
        <v>1.29</v>
      </c>
      <c r="H33" s="1691"/>
      <c r="I33" s="1690">
        <v>1.29</v>
      </c>
      <c r="K33" s="1689">
        <v>6.05</v>
      </c>
      <c r="L33" s="1701"/>
      <c r="M33" s="1695">
        <v>6.05</v>
      </c>
    </row>
    <row r="34" spans="1:13">
      <c r="A34" s="1693">
        <v>1.3</v>
      </c>
      <c r="B34" s="1693">
        <v>1.3</v>
      </c>
      <c r="C34" s="1688"/>
      <c r="D34" s="1689">
        <v>6.06</v>
      </c>
      <c r="E34" s="1689">
        <v>6.06</v>
      </c>
      <c r="G34" s="1693">
        <v>1.3</v>
      </c>
      <c r="H34" s="1691"/>
      <c r="I34" s="1690">
        <v>1.3</v>
      </c>
      <c r="K34" s="1689">
        <v>6.06</v>
      </c>
      <c r="L34" s="1701"/>
      <c r="M34" s="1695">
        <v>6.06</v>
      </c>
    </row>
    <row r="35" spans="1:13">
      <c r="A35" s="1693">
        <v>1.31</v>
      </c>
      <c r="B35" s="1693">
        <v>1.31</v>
      </c>
      <c r="C35" s="1688"/>
      <c r="D35" s="1689">
        <v>7.01</v>
      </c>
      <c r="E35" s="1689">
        <v>7.01</v>
      </c>
      <c r="G35" s="1693">
        <v>1.31</v>
      </c>
      <c r="H35" s="1691"/>
      <c r="I35" s="1690">
        <v>1.31</v>
      </c>
      <c r="K35" s="1699">
        <v>7.01</v>
      </c>
      <c r="L35" s="1701"/>
      <c r="M35" s="1695">
        <v>7.01</v>
      </c>
    </row>
    <row r="36" spans="1:13">
      <c r="A36" s="1693">
        <v>1.32</v>
      </c>
      <c r="B36" s="1693">
        <v>1.32</v>
      </c>
      <c r="C36" s="1688"/>
      <c r="D36" s="1689">
        <v>7.02</v>
      </c>
      <c r="E36" s="1689">
        <v>7.02</v>
      </c>
      <c r="G36" s="1693">
        <v>1.32</v>
      </c>
      <c r="H36" s="1691"/>
      <c r="I36" s="1690">
        <v>1.32</v>
      </c>
      <c r="K36" s="1699">
        <v>7.02</v>
      </c>
      <c r="L36" s="1701"/>
      <c r="M36" s="1695">
        <v>7.02</v>
      </c>
    </row>
    <row r="37" spans="1:13">
      <c r="A37" s="1693">
        <v>1.33</v>
      </c>
      <c r="B37" s="1693">
        <v>1.33</v>
      </c>
      <c r="C37" s="1688"/>
      <c r="D37" s="1689">
        <v>7.03</v>
      </c>
      <c r="E37" s="1689">
        <v>7.03</v>
      </c>
      <c r="G37" s="1693">
        <v>1.33</v>
      </c>
      <c r="H37" s="1691"/>
      <c r="I37" s="1690">
        <v>1.33</v>
      </c>
      <c r="K37" s="1699">
        <v>7.03</v>
      </c>
      <c r="L37" s="1701"/>
      <c r="M37" s="1695">
        <v>7.03</v>
      </c>
    </row>
    <row r="38" spans="1:13">
      <c r="A38" s="1693">
        <v>1.34</v>
      </c>
      <c r="B38" s="1693">
        <v>1.34</v>
      </c>
      <c r="C38" s="1688"/>
      <c r="D38" s="1689">
        <v>7.04</v>
      </c>
      <c r="E38" s="1689">
        <v>7.04</v>
      </c>
      <c r="G38" s="1693">
        <v>1.34</v>
      </c>
      <c r="H38" s="1691"/>
      <c r="I38" s="1690">
        <v>1.34</v>
      </c>
      <c r="K38" s="1689">
        <v>7.04</v>
      </c>
      <c r="L38" s="1701"/>
      <c r="M38" s="1695">
        <v>7.04</v>
      </c>
    </row>
    <row r="39" spans="1:13">
      <c r="A39" s="1693">
        <v>1.35</v>
      </c>
      <c r="B39" s="1693">
        <v>1.35</v>
      </c>
      <c r="C39" s="1688"/>
      <c r="D39" s="1689">
        <v>7.05</v>
      </c>
      <c r="E39" s="1689">
        <v>7.05</v>
      </c>
      <c r="G39" s="1693">
        <v>1.35</v>
      </c>
      <c r="H39" s="1691"/>
      <c r="I39" s="1690">
        <v>1.35</v>
      </c>
      <c r="K39" s="1689">
        <v>7.05</v>
      </c>
      <c r="L39" s="1698"/>
      <c r="M39" s="1695">
        <v>7.05</v>
      </c>
    </row>
    <row r="40" spans="1:13">
      <c r="A40" s="1693">
        <v>1.36</v>
      </c>
      <c r="B40" s="1693">
        <v>1.36</v>
      </c>
      <c r="C40" s="1688"/>
      <c r="D40" s="1689">
        <v>7.06</v>
      </c>
      <c r="E40" s="1702" t="s">
        <v>1420</v>
      </c>
      <c r="G40" s="1693">
        <v>1.36</v>
      </c>
      <c r="H40" s="1691" t="s">
        <v>151</v>
      </c>
      <c r="I40" s="1690">
        <v>1.36</v>
      </c>
      <c r="K40" s="1695">
        <v>8.01</v>
      </c>
      <c r="L40" s="1691"/>
      <c r="M40" s="1695">
        <v>8.01</v>
      </c>
    </row>
    <row r="41" spans="1:13">
      <c r="A41" s="1693">
        <v>1.37</v>
      </c>
      <c r="B41" s="1693">
        <v>1.37</v>
      </c>
      <c r="C41" s="1688"/>
      <c r="D41" s="1693">
        <v>8.01</v>
      </c>
      <c r="E41" s="1693">
        <v>8.01</v>
      </c>
      <c r="G41" s="1693">
        <v>1.37</v>
      </c>
      <c r="H41" s="1691"/>
      <c r="I41" s="1690">
        <v>1.37</v>
      </c>
      <c r="K41" s="1695">
        <v>8.02</v>
      </c>
      <c r="L41" s="1691"/>
      <c r="M41" s="1695">
        <v>8.1199999999999992</v>
      </c>
    </row>
    <row r="42" spans="1:13">
      <c r="A42" s="1693">
        <v>1.38</v>
      </c>
      <c r="B42" s="1693">
        <v>1.38</v>
      </c>
      <c r="C42" s="1688"/>
      <c r="D42" s="1693">
        <v>8.02</v>
      </c>
      <c r="E42" s="1693" t="s">
        <v>1300</v>
      </c>
      <c r="G42" s="1693">
        <v>1.38</v>
      </c>
      <c r="H42" s="1691" t="s">
        <v>151</v>
      </c>
      <c r="I42" s="1690">
        <v>1.38</v>
      </c>
      <c r="K42" s="1695">
        <v>8.0299999999999994</v>
      </c>
      <c r="L42" s="1691"/>
      <c r="M42" s="1695">
        <v>8.0299999999999994</v>
      </c>
    </row>
    <row r="43" spans="1:13">
      <c r="A43" s="1693">
        <v>1.39</v>
      </c>
      <c r="B43" s="1693">
        <v>1.39</v>
      </c>
      <c r="C43" s="1688"/>
      <c r="D43" s="1693">
        <v>8.0299999999999994</v>
      </c>
      <c r="E43" s="1693">
        <v>8.0299999999999994</v>
      </c>
      <c r="G43" s="1693">
        <v>1.39</v>
      </c>
      <c r="H43" s="1691"/>
      <c r="I43" s="1690">
        <v>1.39</v>
      </c>
      <c r="K43" s="1695">
        <v>8.0399999999999991</v>
      </c>
      <c r="L43" s="1691"/>
      <c r="M43" s="1695">
        <v>8.0399999999999991</v>
      </c>
    </row>
    <row r="44" spans="1:13">
      <c r="A44" s="1693">
        <v>1.4</v>
      </c>
      <c r="B44" s="1693">
        <v>1.4</v>
      </c>
      <c r="C44" s="1688"/>
      <c r="D44" s="1693">
        <v>8.0399999999999991</v>
      </c>
      <c r="E44" s="1693">
        <v>8.0399999999999991</v>
      </c>
      <c r="G44" s="1693">
        <v>1.4</v>
      </c>
      <c r="H44" s="1691"/>
      <c r="I44" s="1690">
        <v>1.4</v>
      </c>
      <c r="K44" s="1695">
        <v>8.0500000000000007</v>
      </c>
      <c r="L44" s="1691"/>
      <c r="M44" s="1695">
        <v>8.0500000000000007</v>
      </c>
    </row>
    <row r="45" spans="1:13">
      <c r="A45" s="1693">
        <v>1.41</v>
      </c>
      <c r="B45" s="1693" t="s">
        <v>1300</v>
      </c>
      <c r="C45" s="1688"/>
      <c r="D45" s="1693">
        <v>8.0500000000000007</v>
      </c>
      <c r="E45" s="1693">
        <v>8.0500000000000007</v>
      </c>
      <c r="G45" s="1700">
        <v>1.41</v>
      </c>
      <c r="H45" s="1691"/>
      <c r="I45" s="1690" t="s">
        <v>1300</v>
      </c>
      <c r="K45" s="1695">
        <v>8.06</v>
      </c>
      <c r="L45" s="1691"/>
      <c r="M45" s="1695">
        <v>8.06</v>
      </c>
    </row>
    <row r="46" spans="1:13">
      <c r="A46" s="1693">
        <v>1.42</v>
      </c>
      <c r="B46" s="1693">
        <v>1.42</v>
      </c>
      <c r="C46" s="1688"/>
      <c r="D46" s="1693">
        <v>8.06</v>
      </c>
      <c r="E46" s="1693">
        <v>8.06</v>
      </c>
      <c r="G46" s="1693">
        <v>1.42</v>
      </c>
      <c r="H46" s="1687"/>
      <c r="I46" s="1690">
        <v>1.42</v>
      </c>
      <c r="K46" s="1695">
        <v>8.07</v>
      </c>
      <c r="L46" s="1691"/>
      <c r="M46" s="1695">
        <v>8.07</v>
      </c>
    </row>
    <row r="47" spans="1:13">
      <c r="A47" s="1693">
        <v>1.43</v>
      </c>
      <c r="B47" s="1693">
        <v>1.43</v>
      </c>
      <c r="C47" s="1688"/>
      <c r="D47" s="1693">
        <v>8.07</v>
      </c>
      <c r="E47" s="1693">
        <v>8.07</v>
      </c>
      <c r="G47" s="1700">
        <v>1.43</v>
      </c>
      <c r="H47" s="1703"/>
      <c r="I47" s="1690">
        <v>1.43</v>
      </c>
      <c r="K47" s="1695">
        <v>8.08</v>
      </c>
      <c r="L47" s="1691"/>
      <c r="M47" s="1695">
        <v>8.08</v>
      </c>
    </row>
    <row r="48" spans="1:13">
      <c r="A48" s="1693">
        <v>1.44</v>
      </c>
      <c r="B48" s="1693">
        <v>1.44</v>
      </c>
      <c r="C48" s="1688"/>
      <c r="D48" s="1693">
        <v>8.08</v>
      </c>
      <c r="E48" s="1693">
        <v>8.08</v>
      </c>
      <c r="G48" s="1693">
        <v>1.44</v>
      </c>
      <c r="H48" s="1704"/>
      <c r="I48" s="1690">
        <v>1.44</v>
      </c>
      <c r="K48" s="1695">
        <v>8.09</v>
      </c>
      <c r="L48" s="1691"/>
      <c r="M48" s="1695">
        <v>8.09</v>
      </c>
    </row>
    <row r="49" spans="1:13">
      <c r="A49" s="1693">
        <v>1.45</v>
      </c>
      <c r="B49" s="1693">
        <v>1.45</v>
      </c>
      <c r="C49" s="1688"/>
      <c r="D49" s="1693">
        <v>8.09</v>
      </c>
      <c r="E49" s="1693">
        <v>8.09</v>
      </c>
      <c r="G49" s="1693">
        <v>1.45</v>
      </c>
      <c r="H49" s="1704"/>
      <c r="I49" s="1690">
        <v>1.45</v>
      </c>
      <c r="K49" s="1695" t="s">
        <v>726</v>
      </c>
      <c r="L49" s="1691"/>
      <c r="M49" s="1695" t="s">
        <v>726</v>
      </c>
    </row>
    <row r="50" spans="1:13">
      <c r="A50" s="1693">
        <v>1.46</v>
      </c>
      <c r="B50" s="1693">
        <v>1.46</v>
      </c>
      <c r="C50" s="1688"/>
      <c r="D50" s="1693" t="s">
        <v>726</v>
      </c>
      <c r="E50" s="1693" t="s">
        <v>726</v>
      </c>
      <c r="G50" s="1693">
        <v>1.46</v>
      </c>
      <c r="H50" s="1704"/>
      <c r="I50" s="1690">
        <v>1.46</v>
      </c>
      <c r="K50" s="1695" t="s">
        <v>727</v>
      </c>
      <c r="L50" s="1691"/>
      <c r="M50" s="1696" t="s">
        <v>727</v>
      </c>
    </row>
    <row r="51" spans="1:13">
      <c r="A51" s="1693">
        <v>1.47</v>
      </c>
      <c r="B51" s="1693">
        <v>1.47</v>
      </c>
      <c r="C51" s="1688"/>
      <c r="D51" s="1693" t="s">
        <v>727</v>
      </c>
      <c r="E51" s="1693" t="s">
        <v>727</v>
      </c>
      <c r="G51" s="1700">
        <v>1.47</v>
      </c>
      <c r="H51" s="1704"/>
      <c r="I51" s="1690">
        <v>1.47</v>
      </c>
      <c r="K51" s="1697">
        <v>9.01</v>
      </c>
      <c r="L51" s="1691"/>
      <c r="M51" s="1696">
        <v>9.01</v>
      </c>
    </row>
    <row r="52" spans="1:13">
      <c r="A52" s="1693">
        <v>1.48</v>
      </c>
      <c r="B52" s="1693">
        <v>1.48</v>
      </c>
      <c r="C52" s="1688"/>
      <c r="D52" s="1693" t="s">
        <v>728</v>
      </c>
      <c r="E52" s="1693">
        <v>8.02</v>
      </c>
      <c r="G52" s="1693">
        <v>1.48</v>
      </c>
      <c r="H52" s="1704"/>
      <c r="I52" s="1690">
        <v>1.48</v>
      </c>
      <c r="K52" s="1697">
        <v>9.02</v>
      </c>
      <c r="L52" s="1691"/>
      <c r="M52" s="1695">
        <v>9.02</v>
      </c>
    </row>
    <row r="53" spans="1:13">
      <c r="A53" s="1693">
        <v>1.49</v>
      </c>
      <c r="B53" s="1693">
        <v>1.49</v>
      </c>
      <c r="C53" s="1688"/>
      <c r="D53" s="1693">
        <v>9.19</v>
      </c>
      <c r="E53" s="1693">
        <v>9.19</v>
      </c>
      <c r="G53" s="1693">
        <v>1.49</v>
      </c>
      <c r="H53" s="1704"/>
      <c r="I53" s="1690">
        <v>1.49</v>
      </c>
      <c r="K53" s="1697">
        <v>9.0299999999999994</v>
      </c>
      <c r="L53" s="1691"/>
      <c r="M53" s="1695">
        <v>9.0299999999999994</v>
      </c>
    </row>
    <row r="54" spans="1:13">
      <c r="A54" s="1689">
        <v>2.0099999999999998</v>
      </c>
      <c r="B54" s="1689">
        <v>10.01</v>
      </c>
      <c r="C54" s="1688"/>
      <c r="D54" s="1693">
        <v>9.02</v>
      </c>
      <c r="E54" s="1693">
        <v>9.02</v>
      </c>
      <c r="G54" s="1702" t="s">
        <v>1420</v>
      </c>
      <c r="H54" s="1701"/>
      <c r="I54" s="1690">
        <v>7.06</v>
      </c>
      <c r="K54" s="1697">
        <v>9.0399999999999991</v>
      </c>
      <c r="L54" s="1691"/>
      <c r="M54" s="1695">
        <v>9.0399999999999991</v>
      </c>
    </row>
    <row r="55" spans="1:13">
      <c r="A55" s="1689">
        <v>2.02</v>
      </c>
      <c r="B55" s="1689">
        <v>10.02</v>
      </c>
      <c r="C55" s="1688"/>
      <c r="D55" s="1693">
        <v>9.0299999999999994</v>
      </c>
      <c r="E55" s="1693">
        <v>9.0299999999999994</v>
      </c>
      <c r="G55" s="1705" t="s">
        <v>729</v>
      </c>
      <c r="H55" s="1701"/>
      <c r="I55" s="1690" t="s">
        <v>1300</v>
      </c>
      <c r="K55" s="1697">
        <v>9.0500000000000007</v>
      </c>
      <c r="L55" s="1691"/>
      <c r="M55" s="1695">
        <v>9.0500000000000007</v>
      </c>
    </row>
    <row r="56" spans="1:13">
      <c r="A56" s="1689">
        <v>2.0299999999999998</v>
      </c>
      <c r="B56" s="1689">
        <v>2.0299999999999998</v>
      </c>
      <c r="C56" s="1688"/>
      <c r="D56" s="1693">
        <v>9.0399999999999991</v>
      </c>
      <c r="E56" s="1693">
        <v>9.0399999999999991</v>
      </c>
      <c r="G56" s="1699">
        <v>2.0099999999999998</v>
      </c>
      <c r="H56" s="1701" t="s">
        <v>151</v>
      </c>
      <c r="I56" s="1690" t="s">
        <v>1300</v>
      </c>
      <c r="K56" s="1697">
        <v>9.06</v>
      </c>
      <c r="L56" s="1691"/>
      <c r="M56" s="1695">
        <v>9.06</v>
      </c>
    </row>
    <row r="57" spans="1:13">
      <c r="A57" s="1689">
        <v>2.04</v>
      </c>
      <c r="B57" s="1689">
        <v>2.04</v>
      </c>
      <c r="C57" s="1688"/>
      <c r="D57" s="1693">
        <v>9.0500000000000007</v>
      </c>
      <c r="E57" s="1693">
        <v>9.0500000000000007</v>
      </c>
      <c r="G57" s="1689">
        <v>2.02</v>
      </c>
      <c r="H57" s="1701"/>
      <c r="I57" s="1690">
        <v>2.12</v>
      </c>
      <c r="K57" s="1697">
        <v>9.07</v>
      </c>
      <c r="L57" s="1691"/>
      <c r="M57" s="1695">
        <v>9.07</v>
      </c>
    </row>
    <row r="58" spans="1:13">
      <c r="A58" s="1689">
        <v>2.0499999999999998</v>
      </c>
      <c r="B58" s="1689">
        <v>2.0499999999999998</v>
      </c>
      <c r="C58" s="1688"/>
      <c r="D58" s="1693">
        <v>9.06</v>
      </c>
      <c r="E58" s="1693">
        <v>9.06</v>
      </c>
      <c r="G58" s="1689">
        <v>2.0299999999999998</v>
      </c>
      <c r="H58" s="1701" t="s">
        <v>151</v>
      </c>
      <c r="I58" s="1690">
        <v>2.0299999999999998</v>
      </c>
      <c r="K58" s="1695">
        <v>9.08</v>
      </c>
      <c r="L58" s="1691"/>
      <c r="M58" s="1695">
        <v>9.08</v>
      </c>
    </row>
    <row r="59" spans="1:13">
      <c r="A59" s="1689">
        <v>2.06</v>
      </c>
      <c r="B59" s="1689">
        <v>2.06</v>
      </c>
      <c r="C59" s="1688"/>
      <c r="D59" s="1693">
        <v>9.07</v>
      </c>
      <c r="E59" s="1693">
        <v>9.07</v>
      </c>
      <c r="G59" s="1689">
        <v>2.04</v>
      </c>
      <c r="H59" s="1701" t="s">
        <v>151</v>
      </c>
      <c r="I59" s="1690">
        <v>2.04</v>
      </c>
      <c r="K59" s="1697">
        <v>9.09</v>
      </c>
      <c r="L59" s="1691" t="s">
        <v>151</v>
      </c>
      <c r="M59" s="1695">
        <v>9.09</v>
      </c>
    </row>
    <row r="60" spans="1:13">
      <c r="A60" s="1689">
        <v>2.0699999999999998</v>
      </c>
      <c r="B60" s="1689">
        <v>2.0699999999999998</v>
      </c>
      <c r="C60" s="1688"/>
      <c r="D60" s="1693">
        <v>9.08</v>
      </c>
      <c r="E60" s="1693">
        <v>9.08</v>
      </c>
      <c r="G60" s="1689">
        <v>2.0499999999999998</v>
      </c>
      <c r="H60" s="1701" t="s">
        <v>151</v>
      </c>
      <c r="I60" s="1690">
        <v>2.0499999999999998</v>
      </c>
      <c r="K60" s="1695" t="s">
        <v>1075</v>
      </c>
      <c r="L60" s="1691"/>
      <c r="M60" s="1695" t="s">
        <v>1075</v>
      </c>
    </row>
    <row r="61" spans="1:13">
      <c r="A61" s="1689">
        <v>2.08</v>
      </c>
      <c r="B61" s="1689">
        <v>2.08</v>
      </c>
      <c r="C61" s="1688"/>
      <c r="D61" s="1693">
        <v>9.09</v>
      </c>
      <c r="E61" s="1693">
        <v>9.09</v>
      </c>
      <c r="G61" s="1689">
        <v>2.06</v>
      </c>
      <c r="H61" s="1701"/>
      <c r="I61" s="1690">
        <v>2.06</v>
      </c>
      <c r="K61" s="1697">
        <v>9.11</v>
      </c>
      <c r="L61" s="1691"/>
      <c r="M61" s="1695">
        <v>9.11</v>
      </c>
    </row>
    <row r="62" spans="1:13">
      <c r="A62" s="1689">
        <v>2.09</v>
      </c>
      <c r="B62" s="1689">
        <v>2.09</v>
      </c>
      <c r="C62" s="1688"/>
      <c r="D62" s="1693" t="s">
        <v>1075</v>
      </c>
      <c r="E62" s="1693" t="s">
        <v>1075</v>
      </c>
      <c r="G62" s="1689">
        <v>2.0699999999999998</v>
      </c>
      <c r="H62" s="1701" t="s">
        <v>151</v>
      </c>
      <c r="I62" s="1690">
        <v>2.0699999999999998</v>
      </c>
      <c r="K62" s="1697">
        <v>9.1199999999999992</v>
      </c>
      <c r="L62" s="1691"/>
      <c r="M62" s="1695">
        <v>9.1199999999999992</v>
      </c>
    </row>
    <row r="63" spans="1:13">
      <c r="A63" s="1702" t="s">
        <v>1088</v>
      </c>
      <c r="B63" s="1702" t="s">
        <v>1088</v>
      </c>
      <c r="C63" s="1688"/>
      <c r="D63" s="1693">
        <v>9.11</v>
      </c>
      <c r="E63" s="1693">
        <v>9.11</v>
      </c>
      <c r="G63" s="1689">
        <v>2.08</v>
      </c>
      <c r="H63" s="1701" t="s">
        <v>151</v>
      </c>
      <c r="I63" s="1690">
        <v>2.08</v>
      </c>
      <c r="K63" s="1697">
        <v>9.1300000000000008</v>
      </c>
      <c r="L63" s="1691"/>
      <c r="M63" s="1695">
        <v>9.1300000000000008</v>
      </c>
    </row>
    <row r="64" spans="1:13">
      <c r="A64" s="1689">
        <v>2.11</v>
      </c>
      <c r="B64" s="1689">
        <v>2.11</v>
      </c>
      <c r="C64" s="1688"/>
      <c r="D64" s="1693">
        <v>9.1199999999999992</v>
      </c>
      <c r="E64" s="1693">
        <v>9.1199999999999992</v>
      </c>
      <c r="G64" s="1689">
        <v>2.09</v>
      </c>
      <c r="H64" s="1701"/>
      <c r="I64" s="1690">
        <v>2.09</v>
      </c>
      <c r="K64" s="1697">
        <v>9.14</v>
      </c>
      <c r="L64" s="1691"/>
      <c r="M64" s="1695">
        <v>9.14</v>
      </c>
    </row>
    <row r="65" spans="1:13">
      <c r="A65" s="1689">
        <v>2.12</v>
      </c>
      <c r="B65" s="1689">
        <v>2.02</v>
      </c>
      <c r="C65" s="1688"/>
      <c r="D65" s="1693">
        <v>9.1300000000000008</v>
      </c>
      <c r="E65" s="1693">
        <v>9.1300000000000008</v>
      </c>
      <c r="G65" s="1689" t="s">
        <v>1088</v>
      </c>
      <c r="H65" s="1701" t="s">
        <v>151</v>
      </c>
      <c r="I65" s="1690" t="s">
        <v>1088</v>
      </c>
      <c r="K65" s="1697">
        <v>9.15</v>
      </c>
      <c r="L65" s="1706"/>
      <c r="M65" s="1695">
        <v>9.15</v>
      </c>
    </row>
    <row r="66" spans="1:13">
      <c r="A66" s="1689">
        <v>2.13</v>
      </c>
      <c r="B66" s="1689">
        <v>10.029999999999999</v>
      </c>
      <c r="C66" s="1688"/>
      <c r="D66" s="1693">
        <v>9.14</v>
      </c>
      <c r="E66" s="1693">
        <v>9.14</v>
      </c>
      <c r="G66" s="1689">
        <v>2.11</v>
      </c>
      <c r="H66" s="1701"/>
      <c r="I66" s="1690">
        <v>2.11</v>
      </c>
      <c r="K66" s="1697">
        <v>9.16</v>
      </c>
      <c r="L66" s="1691"/>
      <c r="M66" s="1695">
        <v>9.16</v>
      </c>
    </row>
    <row r="67" spans="1:13">
      <c r="A67" s="1689">
        <v>3.01</v>
      </c>
      <c r="B67" s="1689">
        <v>3.01</v>
      </c>
      <c r="C67" s="1688"/>
      <c r="D67" s="1707">
        <v>9.15</v>
      </c>
      <c r="E67" s="1707">
        <v>9.15</v>
      </c>
      <c r="G67" s="1699">
        <v>2.12</v>
      </c>
      <c r="H67" s="1698" t="s">
        <v>151</v>
      </c>
      <c r="I67" s="1690" t="s">
        <v>1300</v>
      </c>
      <c r="K67" s="1697">
        <v>9.17</v>
      </c>
      <c r="L67" s="1706"/>
      <c r="M67" s="1695">
        <v>9.17</v>
      </c>
    </row>
    <row r="68" spans="1:13">
      <c r="A68" s="1689">
        <v>3.02</v>
      </c>
      <c r="B68" s="1689">
        <v>3.02</v>
      </c>
      <c r="C68" s="1688"/>
      <c r="D68" s="1693">
        <v>9.16</v>
      </c>
      <c r="E68" s="1693">
        <v>9.16</v>
      </c>
      <c r="G68" s="1699">
        <v>2.13</v>
      </c>
      <c r="H68" s="1698" t="s">
        <v>151</v>
      </c>
      <c r="I68" s="1690" t="s">
        <v>1300</v>
      </c>
      <c r="K68" s="1697">
        <v>9.18</v>
      </c>
      <c r="L68" s="1706"/>
      <c r="M68" s="1695">
        <v>9.18</v>
      </c>
    </row>
    <row r="69" spans="1:13">
      <c r="A69" s="1689">
        <v>3.03</v>
      </c>
      <c r="B69" s="1689">
        <v>3.03</v>
      </c>
      <c r="C69" s="1688"/>
      <c r="D69" s="1707">
        <v>9.17</v>
      </c>
      <c r="E69" s="1707">
        <v>9.17</v>
      </c>
      <c r="G69" s="1689">
        <v>3.01</v>
      </c>
      <c r="H69" s="1685" t="s">
        <v>151</v>
      </c>
      <c r="I69" s="1690">
        <v>3.01</v>
      </c>
      <c r="K69" s="1695">
        <v>9.19</v>
      </c>
      <c r="L69" s="1706"/>
      <c r="M69" s="1695">
        <v>9.19</v>
      </c>
    </row>
    <row r="70" spans="1:13">
      <c r="A70" s="1689">
        <v>3.04</v>
      </c>
      <c r="B70" s="1689">
        <v>3.04</v>
      </c>
      <c r="D70" s="1707">
        <v>9.18</v>
      </c>
      <c r="E70" s="1707">
        <v>9.18</v>
      </c>
      <c r="G70" s="1689">
        <v>3.02</v>
      </c>
      <c r="H70" s="1685" t="s">
        <v>151</v>
      </c>
      <c r="I70" s="1690">
        <v>3.02</v>
      </c>
      <c r="K70" s="1695" t="s">
        <v>730</v>
      </c>
      <c r="L70" s="1706"/>
      <c r="M70" s="1696" t="s">
        <v>730</v>
      </c>
    </row>
    <row r="71" spans="1:13">
      <c r="A71" s="1689">
        <v>3.05</v>
      </c>
      <c r="B71" s="1689">
        <v>3.05</v>
      </c>
      <c r="D71" s="1707">
        <v>9.01</v>
      </c>
      <c r="E71" s="1707">
        <v>9.01</v>
      </c>
      <c r="G71" s="1689">
        <v>3.03</v>
      </c>
      <c r="H71" s="1685" t="s">
        <v>151</v>
      </c>
      <c r="I71" s="1690">
        <v>3.03</v>
      </c>
      <c r="K71" s="1697" t="s">
        <v>731</v>
      </c>
      <c r="L71" s="1706"/>
      <c r="M71" s="1696" t="s">
        <v>730</v>
      </c>
    </row>
    <row r="72" spans="1:13">
      <c r="A72" s="1689">
        <v>3.06</v>
      </c>
      <c r="B72" s="1689">
        <v>3.06</v>
      </c>
      <c r="D72" s="1707">
        <v>9.1999999999999993</v>
      </c>
      <c r="E72" s="1707">
        <v>9.1999999999999993</v>
      </c>
      <c r="G72" s="1689">
        <v>3.04</v>
      </c>
      <c r="H72" s="1685" t="s">
        <v>151</v>
      </c>
      <c r="I72" s="1690">
        <v>3.04</v>
      </c>
      <c r="K72" s="1695" t="s">
        <v>422</v>
      </c>
      <c r="L72" s="1706"/>
      <c r="M72" s="1696">
        <v>2.0099999999999998</v>
      </c>
    </row>
    <row r="73" spans="1:13">
      <c r="D73" s="1688"/>
      <c r="E73" s="1708"/>
      <c r="G73" s="1689">
        <v>3.05</v>
      </c>
      <c r="H73" s="1685" t="s">
        <v>151</v>
      </c>
      <c r="I73" s="1690">
        <v>3.05</v>
      </c>
      <c r="K73" s="1695" t="s">
        <v>424</v>
      </c>
      <c r="L73" s="1706"/>
      <c r="M73" s="1696">
        <v>2.02</v>
      </c>
    </row>
    <row r="74" spans="1:13">
      <c r="D74" s="1688"/>
      <c r="E74" s="1708"/>
      <c r="G74" s="1692">
        <v>3.06</v>
      </c>
      <c r="H74" s="1685" t="s">
        <v>151</v>
      </c>
      <c r="I74" s="1690">
        <v>3.06</v>
      </c>
      <c r="K74" s="1695" t="s">
        <v>426</v>
      </c>
      <c r="L74" s="1706"/>
      <c r="M74" s="1696">
        <v>2.13</v>
      </c>
    </row>
    <row r="75" spans="1:13">
      <c r="K75" s="1709" t="s">
        <v>732</v>
      </c>
    </row>
    <row r="77" spans="1:13">
      <c r="A77" s="1710"/>
      <c r="B77" s="1711" t="s">
        <v>733</v>
      </c>
      <c r="F77" s="1712" t="s">
        <v>1300</v>
      </c>
      <c r="G77" s="1713" t="s">
        <v>734</v>
      </c>
      <c r="J77" s="1692" t="s">
        <v>151</v>
      </c>
      <c r="K77" s="1713" t="s">
        <v>735</v>
      </c>
    </row>
    <row r="79" spans="1:13">
      <c r="G79" s="1714"/>
      <c r="H79" s="1714"/>
      <c r="K79" s="1709"/>
    </row>
  </sheetData>
  <phoneticPr fontId="39" type="noConversion"/>
  <pageMargins left="0.52" right="0.44" top="0.31" bottom="0.33" header="0.22" footer="0.21"/>
  <pageSetup paperSize="9" scale="81"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EE08A-107B-9740-B4BA-12E6A03DCCC8}">
  <sheetPr>
    <pageSetUpPr fitToPage="1"/>
  </sheetPr>
  <dimension ref="A1:L187"/>
  <sheetViews>
    <sheetView workbookViewId="0">
      <selection activeCell="A98" sqref="A98:I98"/>
    </sheetView>
  </sheetViews>
  <sheetFormatPr baseColWidth="10" defaultColWidth="11.3984375" defaultRowHeight="11"/>
  <cols>
    <col min="1" max="4" width="11.3984375" style="1639"/>
    <col min="5" max="6" width="10.19921875" style="1639" customWidth="1"/>
    <col min="7" max="7" width="9.59765625" style="1640" customWidth="1"/>
    <col min="8" max="8" width="11.3984375" style="1640"/>
    <col min="9" max="9" width="10.59765625" style="1640" customWidth="1"/>
    <col min="10" max="10" width="11.3984375" style="1640"/>
    <col min="11" max="12" width="11.3984375" style="1639"/>
    <col min="13" max="16384" width="11.3984375" style="1640"/>
  </cols>
  <sheetData>
    <row r="1" spans="1:12" ht="16">
      <c r="A1" s="1637" t="s">
        <v>962</v>
      </c>
      <c r="B1" s="1638"/>
      <c r="C1" s="1638"/>
    </row>
    <row r="2" spans="1:12">
      <c r="A2" s="1640"/>
      <c r="B2" s="1638"/>
      <c r="C2" s="1638"/>
    </row>
    <row r="3" spans="1:12" ht="16">
      <c r="A3" s="1637" t="s">
        <v>963</v>
      </c>
      <c r="B3" s="1638"/>
      <c r="C3" s="1638"/>
    </row>
    <row r="4" spans="1:12" ht="15" customHeight="1">
      <c r="A4" s="1641"/>
      <c r="B4" s="1641"/>
      <c r="C4" s="1641"/>
      <c r="D4" s="1641"/>
      <c r="E4" s="1638"/>
      <c r="F4" s="1638"/>
      <c r="I4" s="1642"/>
      <c r="J4" s="1642"/>
      <c r="K4" s="1638"/>
      <c r="L4" s="1638"/>
    </row>
    <row r="5" spans="1:12" s="1646" customFormat="1" ht="28.5" customHeight="1">
      <c r="A5" s="1643" t="s">
        <v>964</v>
      </c>
      <c r="B5" s="1643" t="s">
        <v>965</v>
      </c>
      <c r="C5" s="1643" t="s">
        <v>966</v>
      </c>
      <c r="D5" s="1643" t="s">
        <v>967</v>
      </c>
      <c r="E5" s="1643" t="s">
        <v>968</v>
      </c>
      <c r="F5" s="1643" t="s">
        <v>969</v>
      </c>
      <c r="G5" s="1643" t="s">
        <v>970</v>
      </c>
      <c r="H5" s="1643" t="s">
        <v>971</v>
      </c>
      <c r="I5" s="1643" t="s">
        <v>972</v>
      </c>
      <c r="J5" s="1644"/>
      <c r="K5" s="1645"/>
      <c r="L5" s="1645"/>
    </row>
    <row r="6" spans="1:12" ht="14.25" customHeight="1">
      <c r="A6" s="1647"/>
      <c r="B6" s="1647"/>
      <c r="C6" s="1647"/>
      <c r="D6" s="1647"/>
      <c r="E6" s="1647"/>
      <c r="F6" s="1647"/>
      <c r="G6" s="1647"/>
      <c r="H6" s="1647"/>
      <c r="I6" s="1647"/>
    </row>
    <row r="7" spans="1:12">
      <c r="A7" s="1648" t="s">
        <v>973</v>
      </c>
      <c r="B7" s="1648" t="s">
        <v>973</v>
      </c>
      <c r="C7" s="1648" t="s">
        <v>973</v>
      </c>
      <c r="D7" s="1648" t="s">
        <v>973</v>
      </c>
      <c r="E7" s="1649">
        <v>8.01</v>
      </c>
      <c r="F7" s="1650" t="s">
        <v>974</v>
      </c>
      <c r="G7" s="1650" t="s">
        <v>974</v>
      </c>
      <c r="H7" s="1650" t="s">
        <v>974</v>
      </c>
      <c r="I7" s="1650">
        <v>8.01</v>
      </c>
    </row>
    <row r="8" spans="1:12">
      <c r="A8" s="1648" t="s">
        <v>975</v>
      </c>
      <c r="B8" s="1648" t="s">
        <v>975</v>
      </c>
      <c r="C8" s="1648" t="s">
        <v>975</v>
      </c>
      <c r="D8" s="1648" t="s">
        <v>975</v>
      </c>
      <c r="E8" s="1649" t="s">
        <v>1300</v>
      </c>
      <c r="F8" s="1650" t="s">
        <v>1300</v>
      </c>
      <c r="G8" s="1650" t="s">
        <v>1300</v>
      </c>
      <c r="H8" s="1650" t="s">
        <v>1300</v>
      </c>
      <c r="I8" s="1650" t="s">
        <v>1300</v>
      </c>
    </row>
    <row r="9" spans="1:12">
      <c r="A9" s="1648" t="s">
        <v>976</v>
      </c>
      <c r="B9" s="1648" t="s">
        <v>976</v>
      </c>
      <c r="C9" s="1648" t="s">
        <v>976</v>
      </c>
      <c r="D9" s="1648" t="s">
        <v>976</v>
      </c>
      <c r="E9" s="1649" t="s">
        <v>1300</v>
      </c>
      <c r="F9" s="1650" t="s">
        <v>1300</v>
      </c>
      <c r="G9" s="1650" t="s">
        <v>1300</v>
      </c>
      <c r="H9" s="1650" t="s">
        <v>1300</v>
      </c>
      <c r="I9" s="1650" t="s">
        <v>1300</v>
      </c>
    </row>
    <row r="10" spans="1:12">
      <c r="A10" s="1651" t="s">
        <v>977</v>
      </c>
      <c r="B10" s="1651" t="s">
        <v>977</v>
      </c>
      <c r="C10" s="1651" t="s">
        <v>977</v>
      </c>
      <c r="D10" s="1651" t="s">
        <v>977</v>
      </c>
      <c r="E10" s="1652">
        <v>8.02</v>
      </c>
      <c r="F10" s="1653">
        <v>1.42</v>
      </c>
      <c r="G10" s="1653">
        <v>1.42</v>
      </c>
      <c r="H10" s="1653">
        <v>1.42</v>
      </c>
      <c r="I10" s="1653">
        <v>1.42</v>
      </c>
    </row>
    <row r="11" spans="1:12">
      <c r="A11" s="1651" t="s">
        <v>978</v>
      </c>
      <c r="B11" s="1651" t="s">
        <v>978</v>
      </c>
      <c r="C11" s="1651" t="s">
        <v>978</v>
      </c>
      <c r="D11" s="1651" t="s">
        <v>978</v>
      </c>
      <c r="E11" s="1652" t="s">
        <v>1300</v>
      </c>
      <c r="F11" s="1653" t="s">
        <v>1300</v>
      </c>
      <c r="G11" s="1653" t="s">
        <v>1300</v>
      </c>
      <c r="H11" s="1653" t="s">
        <v>1300</v>
      </c>
      <c r="I11" s="1653" t="s">
        <v>1300</v>
      </c>
    </row>
    <row r="12" spans="1:12">
      <c r="A12" s="1651" t="s">
        <v>979</v>
      </c>
      <c r="B12" s="1651" t="s">
        <v>979</v>
      </c>
      <c r="C12" s="1651" t="s">
        <v>979</v>
      </c>
      <c r="D12" s="1651" t="s">
        <v>979</v>
      </c>
      <c r="E12" s="1652">
        <v>8.0299999999999994</v>
      </c>
      <c r="F12" s="1653">
        <v>8.0299999999999994</v>
      </c>
      <c r="G12" s="1653">
        <v>8.0299999999999994</v>
      </c>
      <c r="H12" s="1653">
        <v>8.0299999999999994</v>
      </c>
      <c r="I12" s="1653">
        <v>8.0299999999999994</v>
      </c>
    </row>
    <row r="13" spans="1:12">
      <c r="A13" s="1651" t="s">
        <v>980</v>
      </c>
      <c r="B13" s="1651" t="s">
        <v>980</v>
      </c>
      <c r="C13" s="1651" t="s">
        <v>980</v>
      </c>
      <c r="D13" s="1651" t="s">
        <v>980</v>
      </c>
      <c r="E13" s="1652" t="s">
        <v>1300</v>
      </c>
      <c r="F13" s="1653" t="s">
        <v>1300</v>
      </c>
      <c r="G13" s="1653" t="s">
        <v>1300</v>
      </c>
      <c r="H13" s="1653" t="s">
        <v>1300</v>
      </c>
      <c r="I13" s="1653" t="s">
        <v>1300</v>
      </c>
    </row>
    <row r="14" spans="1:12">
      <c r="A14" s="1651" t="s">
        <v>981</v>
      </c>
      <c r="B14" s="1651" t="s">
        <v>981</v>
      </c>
      <c r="C14" s="1651" t="s">
        <v>981</v>
      </c>
      <c r="D14" s="1651" t="s">
        <v>981</v>
      </c>
      <c r="E14" s="1652">
        <v>8.0399999999999991</v>
      </c>
      <c r="F14" s="1653">
        <v>8.0399999999999991</v>
      </c>
      <c r="G14" s="1653">
        <v>8.0399999999999991</v>
      </c>
      <c r="H14" s="1653">
        <v>8.0399999999999991</v>
      </c>
      <c r="I14" s="1653">
        <v>8.0399999999999991</v>
      </c>
    </row>
    <row r="15" spans="1:12">
      <c r="A15" s="1651" t="s">
        <v>982</v>
      </c>
      <c r="B15" s="1651" t="s">
        <v>982</v>
      </c>
      <c r="C15" s="1651" t="s">
        <v>982</v>
      </c>
      <c r="D15" s="1651" t="s">
        <v>982</v>
      </c>
      <c r="E15" s="1652" t="s">
        <v>1300</v>
      </c>
      <c r="F15" s="1653" t="s">
        <v>1300</v>
      </c>
      <c r="G15" s="1653" t="s">
        <v>1300</v>
      </c>
      <c r="H15" s="1653" t="s">
        <v>1300</v>
      </c>
      <c r="I15" s="1653" t="s">
        <v>1300</v>
      </c>
    </row>
    <row r="16" spans="1:12">
      <c r="A16" s="1651" t="s">
        <v>983</v>
      </c>
      <c r="B16" s="1651" t="s">
        <v>983</v>
      </c>
      <c r="C16" s="1651" t="s">
        <v>983</v>
      </c>
      <c r="D16" s="1651" t="s">
        <v>983</v>
      </c>
      <c r="E16" s="1652">
        <v>8.0500000000000007</v>
      </c>
      <c r="F16" s="1653">
        <v>8.0500000000000007</v>
      </c>
      <c r="G16" s="1653">
        <v>8.0500000000000007</v>
      </c>
      <c r="H16" s="1653">
        <v>8.0500000000000007</v>
      </c>
      <c r="I16" s="1653">
        <v>8.0500000000000007</v>
      </c>
    </row>
    <row r="17" spans="1:9">
      <c r="A17" s="1651" t="s">
        <v>984</v>
      </c>
      <c r="B17" s="1651" t="s">
        <v>984</v>
      </c>
      <c r="C17" s="1651" t="s">
        <v>984</v>
      </c>
      <c r="D17" s="1651" t="s">
        <v>984</v>
      </c>
      <c r="E17" s="1652">
        <v>8.06</v>
      </c>
      <c r="F17" s="1653">
        <v>8.06</v>
      </c>
      <c r="G17" s="1653">
        <v>8.06</v>
      </c>
      <c r="H17" s="1653">
        <v>8.06</v>
      </c>
      <c r="I17" s="1653">
        <v>8.06</v>
      </c>
    </row>
    <row r="18" spans="1:9">
      <c r="A18" s="1651" t="s">
        <v>985</v>
      </c>
      <c r="B18" s="1651" t="s">
        <v>985</v>
      </c>
      <c r="C18" s="1651" t="s">
        <v>985</v>
      </c>
      <c r="D18" s="1651" t="s">
        <v>985</v>
      </c>
      <c r="E18" s="1652" t="s">
        <v>1300</v>
      </c>
      <c r="F18" s="1653" t="s">
        <v>1300</v>
      </c>
      <c r="G18" s="1653" t="s">
        <v>1300</v>
      </c>
      <c r="H18" s="1653" t="s">
        <v>1300</v>
      </c>
      <c r="I18" s="1653" t="s">
        <v>1300</v>
      </c>
    </row>
    <row r="19" spans="1:9">
      <c r="A19" s="1651" t="s">
        <v>986</v>
      </c>
      <c r="B19" s="1651" t="s">
        <v>986</v>
      </c>
      <c r="C19" s="1651" t="s">
        <v>986</v>
      </c>
      <c r="D19" s="1651" t="s">
        <v>986</v>
      </c>
      <c r="E19" s="1652" t="s">
        <v>1300</v>
      </c>
      <c r="F19" s="1653" t="s">
        <v>1300</v>
      </c>
      <c r="G19" s="1653" t="s">
        <v>1300</v>
      </c>
      <c r="H19" s="1653" t="s">
        <v>1300</v>
      </c>
      <c r="I19" s="1653" t="s">
        <v>1300</v>
      </c>
    </row>
    <row r="20" spans="1:9">
      <c r="A20" s="1651" t="s">
        <v>987</v>
      </c>
      <c r="B20" s="1651" t="s">
        <v>987</v>
      </c>
      <c r="C20" s="1651" t="s">
        <v>987</v>
      </c>
      <c r="D20" s="1651" t="s">
        <v>987</v>
      </c>
      <c r="E20" s="1652">
        <v>8.07</v>
      </c>
      <c r="F20" s="1653">
        <v>8.07</v>
      </c>
      <c r="G20" s="1653">
        <v>8.07</v>
      </c>
      <c r="H20" s="1653">
        <v>8.07</v>
      </c>
      <c r="I20" s="1653">
        <v>8.07</v>
      </c>
    </row>
    <row r="21" spans="1:9">
      <c r="A21" s="1651" t="s">
        <v>988</v>
      </c>
      <c r="B21" s="1651" t="s">
        <v>988</v>
      </c>
      <c r="C21" s="1651" t="s">
        <v>988</v>
      </c>
      <c r="D21" s="1651" t="s">
        <v>988</v>
      </c>
      <c r="E21" s="1652" t="s">
        <v>1300</v>
      </c>
      <c r="F21" s="1653" t="s">
        <v>1300</v>
      </c>
      <c r="G21" s="1653" t="s">
        <v>1300</v>
      </c>
      <c r="H21" s="1653" t="s">
        <v>1300</v>
      </c>
      <c r="I21" s="1653" t="s">
        <v>1300</v>
      </c>
    </row>
    <row r="22" spans="1:9">
      <c r="A22" s="1651" t="s">
        <v>989</v>
      </c>
      <c r="B22" s="1651" t="s">
        <v>989</v>
      </c>
      <c r="C22" s="1651" t="s">
        <v>989</v>
      </c>
      <c r="D22" s="1651" t="s">
        <v>989</v>
      </c>
      <c r="E22" s="1652">
        <v>8.09</v>
      </c>
      <c r="F22" s="1653">
        <v>8.09</v>
      </c>
      <c r="G22" s="1653">
        <v>8.09</v>
      </c>
      <c r="H22" s="1653">
        <v>8.09</v>
      </c>
      <c r="I22" s="1653">
        <v>8.09</v>
      </c>
    </row>
    <row r="23" spans="1:9">
      <c r="A23" s="1651" t="s">
        <v>990</v>
      </c>
      <c r="B23" s="1651" t="s">
        <v>990</v>
      </c>
      <c r="C23" s="1651" t="s">
        <v>990</v>
      </c>
      <c r="D23" s="1651" t="s">
        <v>990</v>
      </c>
      <c r="E23" s="1652">
        <v>8.1</v>
      </c>
      <c r="F23" s="1653">
        <v>8.1</v>
      </c>
      <c r="G23" s="1653">
        <v>8.1</v>
      </c>
      <c r="H23" s="1653">
        <v>8.1</v>
      </c>
      <c r="I23" s="1653">
        <v>8.1</v>
      </c>
    </row>
    <row r="24" spans="1:9">
      <c r="A24" s="1651" t="s">
        <v>991</v>
      </c>
      <c r="B24" s="1651" t="s">
        <v>991</v>
      </c>
      <c r="C24" s="1651" t="s">
        <v>991</v>
      </c>
      <c r="D24" s="1651" t="s">
        <v>991</v>
      </c>
      <c r="E24" s="1652">
        <v>8.08</v>
      </c>
      <c r="F24" s="1653">
        <v>8.08</v>
      </c>
      <c r="G24" s="1653">
        <v>8.08</v>
      </c>
      <c r="H24" s="1653">
        <v>8.08</v>
      </c>
      <c r="I24" s="1653">
        <v>8.08</v>
      </c>
    </row>
    <row r="25" spans="1:9">
      <c r="A25" s="1651" t="s">
        <v>992</v>
      </c>
      <c r="B25" s="1651" t="s">
        <v>992</v>
      </c>
      <c r="C25" s="1651" t="s">
        <v>992</v>
      </c>
      <c r="D25" s="1651" t="s">
        <v>992</v>
      </c>
      <c r="E25" s="1652" t="s">
        <v>1300</v>
      </c>
      <c r="F25" s="1653" t="s">
        <v>1300</v>
      </c>
      <c r="G25" s="1653" t="s">
        <v>1300</v>
      </c>
      <c r="H25" s="1653" t="s">
        <v>1300</v>
      </c>
      <c r="I25" s="1653" t="s">
        <v>1300</v>
      </c>
    </row>
    <row r="26" spans="1:9">
      <c r="A26" s="1651" t="s">
        <v>993</v>
      </c>
      <c r="B26" s="1651" t="s">
        <v>993</v>
      </c>
      <c r="C26" s="1651" t="s">
        <v>993</v>
      </c>
      <c r="D26" s="1651" t="s">
        <v>993</v>
      </c>
      <c r="E26" s="1652" t="s">
        <v>1300</v>
      </c>
      <c r="F26" s="1653" t="s">
        <v>1300</v>
      </c>
      <c r="G26" s="1653" t="s">
        <v>1300</v>
      </c>
      <c r="H26" s="1653" t="s">
        <v>1300</v>
      </c>
      <c r="I26" s="1653" t="s">
        <v>1300</v>
      </c>
    </row>
    <row r="27" spans="1:9">
      <c r="A27" s="1651" t="s">
        <v>994</v>
      </c>
      <c r="B27" s="1651" t="s">
        <v>994</v>
      </c>
      <c r="C27" s="1651" t="s">
        <v>994</v>
      </c>
      <c r="D27" s="1651" t="s">
        <v>994</v>
      </c>
      <c r="E27" s="1652" t="s">
        <v>1300</v>
      </c>
      <c r="F27" s="1653" t="s">
        <v>1300</v>
      </c>
      <c r="G27" s="1653" t="s">
        <v>1300</v>
      </c>
      <c r="H27" s="1653" t="s">
        <v>1300</v>
      </c>
      <c r="I27" s="1653" t="s">
        <v>1300</v>
      </c>
    </row>
    <row r="28" spans="1:9">
      <c r="A28" s="1651" t="s">
        <v>995</v>
      </c>
      <c r="B28" s="1651" t="s">
        <v>995</v>
      </c>
      <c r="C28" s="1651" t="s">
        <v>995</v>
      </c>
      <c r="D28" s="1651" t="s">
        <v>995</v>
      </c>
      <c r="E28" s="1652">
        <v>1.03</v>
      </c>
      <c r="F28" s="1653">
        <v>1.03</v>
      </c>
      <c r="G28" s="1653">
        <v>1.03</v>
      </c>
      <c r="H28" s="1653">
        <v>1.03</v>
      </c>
      <c r="I28" s="1653">
        <v>1.03</v>
      </c>
    </row>
    <row r="29" spans="1:9">
      <c r="A29" s="1651" t="s">
        <v>996</v>
      </c>
      <c r="B29" s="1651" t="s">
        <v>996</v>
      </c>
      <c r="C29" s="1651" t="s">
        <v>996</v>
      </c>
      <c r="D29" s="1651" t="s">
        <v>996</v>
      </c>
      <c r="E29" s="1652">
        <v>1.04</v>
      </c>
      <c r="F29" s="1653">
        <v>1.04</v>
      </c>
      <c r="G29" s="1653">
        <v>1.04</v>
      </c>
      <c r="H29" s="1653">
        <v>1.04</v>
      </c>
      <c r="I29" s="1653">
        <v>1.04</v>
      </c>
    </row>
    <row r="30" spans="1:9">
      <c r="A30" s="1651" t="s">
        <v>997</v>
      </c>
      <c r="B30" s="1651" t="s">
        <v>997</v>
      </c>
      <c r="C30" s="1651" t="s">
        <v>997</v>
      </c>
      <c r="D30" s="1651" t="s">
        <v>997</v>
      </c>
      <c r="E30" s="1652" t="s">
        <v>1300</v>
      </c>
      <c r="F30" s="1653" t="s">
        <v>1300</v>
      </c>
      <c r="G30" s="1653" t="s">
        <v>1300</v>
      </c>
      <c r="H30" s="1653" t="s">
        <v>1300</v>
      </c>
      <c r="I30" s="1653" t="s">
        <v>1300</v>
      </c>
    </row>
    <row r="31" spans="1:9">
      <c r="A31" s="1651" t="s">
        <v>998</v>
      </c>
      <c r="B31" s="1651" t="s">
        <v>998</v>
      </c>
      <c r="C31" s="1651" t="s">
        <v>998</v>
      </c>
      <c r="D31" s="1651" t="s">
        <v>998</v>
      </c>
      <c r="E31" s="1652" t="s">
        <v>1300</v>
      </c>
      <c r="F31" s="1653" t="s">
        <v>1300</v>
      </c>
      <c r="G31" s="1653" t="s">
        <v>1300</v>
      </c>
      <c r="H31" s="1653" t="s">
        <v>1300</v>
      </c>
      <c r="I31" s="1653" t="s">
        <v>1300</v>
      </c>
    </row>
    <row r="32" spans="1:9">
      <c r="A32" s="1651" t="s">
        <v>999</v>
      </c>
      <c r="B32" s="1651" t="s">
        <v>999</v>
      </c>
      <c r="C32" s="1651" t="s">
        <v>999</v>
      </c>
      <c r="D32" s="1651" t="s">
        <v>999</v>
      </c>
      <c r="E32" s="1652">
        <v>1.05</v>
      </c>
      <c r="F32" s="1653">
        <v>1.05</v>
      </c>
      <c r="G32" s="1653">
        <v>1.05</v>
      </c>
      <c r="H32" s="1653">
        <v>1.05</v>
      </c>
      <c r="I32" s="1653">
        <v>1.05</v>
      </c>
    </row>
    <row r="33" spans="1:9">
      <c r="A33" s="1651" t="s">
        <v>1000</v>
      </c>
      <c r="B33" s="1651" t="s">
        <v>1000</v>
      </c>
      <c r="C33" s="1651" t="s">
        <v>1000</v>
      </c>
      <c r="D33" s="1651" t="s">
        <v>1000</v>
      </c>
      <c r="E33" s="1652">
        <v>1.06</v>
      </c>
      <c r="F33" s="1653">
        <v>1.06</v>
      </c>
      <c r="G33" s="1653">
        <v>1.06</v>
      </c>
      <c r="H33" s="1653">
        <v>1.06</v>
      </c>
      <c r="I33" s="1653">
        <v>1.06</v>
      </c>
    </row>
    <row r="34" spans="1:9">
      <c r="A34" s="1651" t="s">
        <v>1001</v>
      </c>
      <c r="B34" s="1651" t="s">
        <v>1001</v>
      </c>
      <c r="C34" s="1651" t="s">
        <v>1001</v>
      </c>
      <c r="D34" s="1651" t="s">
        <v>1001</v>
      </c>
      <c r="E34" s="1652">
        <v>1.0900000000000001</v>
      </c>
      <c r="F34" s="1653">
        <v>1.0900000000000001</v>
      </c>
      <c r="G34" s="1653">
        <v>1.0900000000000001</v>
      </c>
      <c r="H34" s="1653">
        <v>1.0900000000000001</v>
      </c>
      <c r="I34" s="1653">
        <v>1.0900000000000001</v>
      </c>
    </row>
    <row r="35" spans="1:9">
      <c r="A35" s="1651" t="s">
        <v>1002</v>
      </c>
      <c r="B35" s="1651" t="s">
        <v>1002</v>
      </c>
      <c r="C35" s="1651" t="s">
        <v>1002</v>
      </c>
      <c r="D35" s="1651" t="s">
        <v>1002</v>
      </c>
      <c r="E35" s="1652">
        <v>1.1100000000000001</v>
      </c>
      <c r="F35" s="1653">
        <v>1.1100000000000001</v>
      </c>
      <c r="G35" s="1653">
        <v>1.1100000000000001</v>
      </c>
      <c r="H35" s="1653">
        <v>1.1100000000000001</v>
      </c>
      <c r="I35" s="1653">
        <v>1.1100000000000001</v>
      </c>
    </row>
    <row r="36" spans="1:9">
      <c r="A36" s="1651" t="s">
        <v>1003</v>
      </c>
      <c r="B36" s="1651" t="s">
        <v>1003</v>
      </c>
      <c r="C36" s="1651" t="s">
        <v>1003</v>
      </c>
      <c r="D36" s="1651" t="s">
        <v>1003</v>
      </c>
      <c r="E36" s="1652">
        <v>1.1000000000000001</v>
      </c>
      <c r="F36" s="1653">
        <v>1.1000000000000001</v>
      </c>
      <c r="G36" s="1653">
        <v>1.1000000000000001</v>
      </c>
      <c r="H36" s="1653">
        <v>1.1000000000000001</v>
      </c>
      <c r="I36" s="1653">
        <v>1.1000000000000001</v>
      </c>
    </row>
    <row r="37" spans="1:9">
      <c r="A37" s="1651" t="s">
        <v>1004</v>
      </c>
      <c r="B37" s="1651" t="s">
        <v>1004</v>
      </c>
      <c r="C37" s="1651" t="s">
        <v>1004</v>
      </c>
      <c r="D37" s="1651" t="s">
        <v>1004</v>
      </c>
      <c r="E37" s="1652">
        <v>1.1200000000000001</v>
      </c>
      <c r="F37" s="1653">
        <v>1.1200000000000001</v>
      </c>
      <c r="G37" s="1653">
        <v>1.1200000000000001</v>
      </c>
      <c r="H37" s="1653">
        <v>1.1200000000000001</v>
      </c>
      <c r="I37" s="1653">
        <v>1.1200000000000001</v>
      </c>
    </row>
    <row r="38" spans="1:9">
      <c r="A38" s="1651" t="s">
        <v>1005</v>
      </c>
      <c r="B38" s="1651" t="s">
        <v>1005</v>
      </c>
      <c r="C38" s="1651" t="s">
        <v>1005</v>
      </c>
      <c r="D38" s="1651" t="s">
        <v>1005</v>
      </c>
      <c r="E38" s="1652">
        <v>1.1299999999999999</v>
      </c>
      <c r="F38" s="1653">
        <v>1.1299999999999999</v>
      </c>
      <c r="G38" s="1653">
        <v>1.1299999999999999</v>
      </c>
      <c r="H38" s="1653">
        <v>1.1299999999999999</v>
      </c>
      <c r="I38" s="1653">
        <v>1.1299999999999999</v>
      </c>
    </row>
    <row r="39" spans="1:9">
      <c r="A39" s="1651" t="s">
        <v>1006</v>
      </c>
      <c r="B39" s="1651" t="s">
        <v>1006</v>
      </c>
      <c r="C39" s="1651" t="s">
        <v>1006</v>
      </c>
      <c r="D39" s="1651" t="s">
        <v>1006</v>
      </c>
      <c r="E39" s="1652" t="s">
        <v>1300</v>
      </c>
      <c r="F39" s="1653">
        <v>1.39</v>
      </c>
      <c r="G39" s="1653">
        <v>1.39</v>
      </c>
      <c r="H39" s="1653">
        <v>1.39</v>
      </c>
      <c r="I39" s="1653">
        <v>1.39</v>
      </c>
    </row>
    <row r="40" spans="1:9">
      <c r="A40" s="1651" t="s">
        <v>1007</v>
      </c>
      <c r="B40" s="1651" t="s">
        <v>1007</v>
      </c>
      <c r="C40" s="1651" t="s">
        <v>1007</v>
      </c>
      <c r="D40" s="1651" t="s">
        <v>1007</v>
      </c>
      <c r="E40" s="1652">
        <v>1.1399999999999999</v>
      </c>
      <c r="F40" s="1653">
        <v>1.1399999999999999</v>
      </c>
      <c r="G40" s="1653">
        <v>1.1399999999999999</v>
      </c>
      <c r="H40" s="1653">
        <v>1.1399999999999999</v>
      </c>
      <c r="I40" s="1653">
        <v>1.1399999999999999</v>
      </c>
    </row>
    <row r="41" spans="1:9">
      <c r="A41" s="1651" t="s">
        <v>1008</v>
      </c>
      <c r="B41" s="1651" t="s">
        <v>1008</v>
      </c>
      <c r="C41" s="1651" t="s">
        <v>1008</v>
      </c>
      <c r="D41" s="1651" t="s">
        <v>1008</v>
      </c>
      <c r="E41" s="1652" t="s">
        <v>1300</v>
      </c>
      <c r="F41" s="1653">
        <v>1.4</v>
      </c>
      <c r="G41" s="1653">
        <v>1.4</v>
      </c>
      <c r="H41" s="1653">
        <v>1.4</v>
      </c>
      <c r="I41" s="1653">
        <v>1.4</v>
      </c>
    </row>
    <row r="42" spans="1:9">
      <c r="A42" s="1651" t="s">
        <v>1009</v>
      </c>
      <c r="B42" s="1651" t="s">
        <v>1009</v>
      </c>
      <c r="C42" s="1651" t="s">
        <v>1009</v>
      </c>
      <c r="D42" s="1651" t="s">
        <v>1009</v>
      </c>
      <c r="E42" s="1652">
        <v>1.1499999999999999</v>
      </c>
      <c r="F42" s="1653">
        <v>1.1499999999999999</v>
      </c>
      <c r="G42" s="1653">
        <v>1.1499999999999999</v>
      </c>
      <c r="H42" s="1653">
        <v>1.1499999999999999</v>
      </c>
      <c r="I42" s="1653">
        <v>1.1499999999999999</v>
      </c>
    </row>
    <row r="43" spans="1:9">
      <c r="A43" s="1651" t="s">
        <v>1010</v>
      </c>
      <c r="B43" s="1651" t="s">
        <v>1010</v>
      </c>
      <c r="C43" s="1651" t="s">
        <v>1010</v>
      </c>
      <c r="D43" s="1651" t="s">
        <v>1010</v>
      </c>
      <c r="E43" s="1652">
        <v>1.1599999999999999</v>
      </c>
      <c r="F43" s="1653">
        <v>1.1599999999999999</v>
      </c>
      <c r="G43" s="1653">
        <v>1.1599999999999999</v>
      </c>
      <c r="H43" s="1653">
        <v>1.1599999999999999</v>
      </c>
      <c r="I43" s="1653">
        <v>1.1599999999999999</v>
      </c>
    </row>
    <row r="44" spans="1:9">
      <c r="A44" s="1651" t="s">
        <v>1011</v>
      </c>
      <c r="B44" s="1651" t="s">
        <v>1011</v>
      </c>
      <c r="C44" s="1651" t="s">
        <v>1011</v>
      </c>
      <c r="D44" s="1651" t="s">
        <v>1011</v>
      </c>
      <c r="E44" s="1652">
        <v>1.17</v>
      </c>
      <c r="F44" s="1653">
        <v>1.17</v>
      </c>
      <c r="G44" s="1653">
        <v>1.17</v>
      </c>
      <c r="H44" s="1653">
        <v>1.17</v>
      </c>
      <c r="I44" s="1653">
        <v>1.17</v>
      </c>
    </row>
    <row r="45" spans="1:9">
      <c r="A45" s="1651" t="s">
        <v>1012</v>
      </c>
      <c r="B45" s="1651" t="s">
        <v>1012</v>
      </c>
      <c r="C45" s="1651" t="s">
        <v>1012</v>
      </c>
      <c r="D45" s="1651" t="s">
        <v>1012</v>
      </c>
      <c r="E45" s="1652">
        <v>1.18</v>
      </c>
      <c r="F45" s="1653">
        <v>1.18</v>
      </c>
      <c r="G45" s="1653">
        <v>1.18</v>
      </c>
      <c r="H45" s="1653">
        <v>1.18</v>
      </c>
      <c r="I45" s="1653">
        <v>1.18</v>
      </c>
    </row>
    <row r="46" spans="1:9">
      <c r="A46" s="1651" t="s">
        <v>1013</v>
      </c>
      <c r="B46" s="1651" t="s">
        <v>1013</v>
      </c>
      <c r="C46" s="1651" t="s">
        <v>1013</v>
      </c>
      <c r="D46" s="1651" t="s">
        <v>1013</v>
      </c>
      <c r="E46" s="1652" t="s">
        <v>1300</v>
      </c>
      <c r="F46" s="1653" t="s">
        <v>1300</v>
      </c>
      <c r="G46" s="1653" t="s">
        <v>1300</v>
      </c>
      <c r="H46" s="1653" t="s">
        <v>1300</v>
      </c>
      <c r="I46" s="1653" t="s">
        <v>1300</v>
      </c>
    </row>
    <row r="47" spans="1:9">
      <c r="A47" s="1651" t="s">
        <v>1014</v>
      </c>
      <c r="B47" s="1651" t="s">
        <v>1014</v>
      </c>
      <c r="C47" s="1651" t="s">
        <v>1014</v>
      </c>
      <c r="D47" s="1651" t="s">
        <v>1014</v>
      </c>
      <c r="E47" s="1652" t="s">
        <v>1300</v>
      </c>
      <c r="F47" s="1653" t="s">
        <v>1300</v>
      </c>
      <c r="G47" s="1653" t="s">
        <v>1300</v>
      </c>
      <c r="H47" s="1653" t="s">
        <v>1300</v>
      </c>
      <c r="I47" s="1653" t="s">
        <v>1300</v>
      </c>
    </row>
    <row r="48" spans="1:9">
      <c r="A48" s="1651" t="s">
        <v>1015</v>
      </c>
      <c r="B48" s="1651" t="s">
        <v>1015</v>
      </c>
      <c r="C48" s="1651" t="s">
        <v>1015</v>
      </c>
      <c r="D48" s="1651" t="s">
        <v>1015</v>
      </c>
      <c r="E48" s="1652">
        <v>1.07</v>
      </c>
      <c r="F48" s="1653">
        <v>1.07</v>
      </c>
      <c r="G48" s="1653">
        <v>1.07</v>
      </c>
      <c r="H48" s="1653">
        <v>1.07</v>
      </c>
      <c r="I48" s="1653">
        <v>1.07</v>
      </c>
    </row>
    <row r="49" spans="1:9">
      <c r="A49" s="1651" t="s">
        <v>1016</v>
      </c>
      <c r="B49" s="1651" t="s">
        <v>1016</v>
      </c>
      <c r="C49" s="1651" t="s">
        <v>1016</v>
      </c>
      <c r="D49" s="1651" t="s">
        <v>1016</v>
      </c>
      <c r="E49" s="1652">
        <v>1.08</v>
      </c>
      <c r="F49" s="1653">
        <v>1.08</v>
      </c>
      <c r="G49" s="1653">
        <v>1.08</v>
      </c>
      <c r="H49" s="1653">
        <v>1.08</v>
      </c>
      <c r="I49" s="1653">
        <v>1.08</v>
      </c>
    </row>
    <row r="50" spans="1:9">
      <c r="A50" s="1651" t="s">
        <v>1017</v>
      </c>
      <c r="B50" s="1651" t="s">
        <v>1017</v>
      </c>
      <c r="C50" s="1651" t="s">
        <v>1017</v>
      </c>
      <c r="D50" s="1651" t="s">
        <v>1017</v>
      </c>
      <c r="E50" s="1652">
        <v>1.32</v>
      </c>
      <c r="F50" s="1653">
        <v>1.32</v>
      </c>
      <c r="G50" s="1653">
        <v>1.32</v>
      </c>
      <c r="H50" s="1653">
        <v>1.32</v>
      </c>
      <c r="I50" s="1653">
        <v>1.32</v>
      </c>
    </row>
    <row r="51" spans="1:9">
      <c r="A51" s="1651" t="s">
        <v>1018</v>
      </c>
      <c r="B51" s="1651" t="s">
        <v>1018</v>
      </c>
      <c r="C51" s="1651" t="s">
        <v>1018</v>
      </c>
      <c r="D51" s="1651" t="s">
        <v>1018</v>
      </c>
      <c r="E51" s="1652" t="s">
        <v>1300</v>
      </c>
      <c r="F51" s="1653" t="s">
        <v>1300</v>
      </c>
      <c r="G51" s="1653" t="s">
        <v>1300</v>
      </c>
      <c r="H51" s="1653" t="s">
        <v>1300</v>
      </c>
      <c r="I51" s="1653" t="s">
        <v>1300</v>
      </c>
    </row>
    <row r="52" spans="1:9">
      <c r="A52" s="1651" t="s">
        <v>1019</v>
      </c>
      <c r="B52" s="1651" t="s">
        <v>1019</v>
      </c>
      <c r="C52" s="1651" t="s">
        <v>1019</v>
      </c>
      <c r="D52" s="1651" t="s">
        <v>1019</v>
      </c>
      <c r="E52" s="1652">
        <v>1.27</v>
      </c>
      <c r="F52" s="1653">
        <v>1.27</v>
      </c>
      <c r="G52" s="1653">
        <v>1.27</v>
      </c>
      <c r="H52" s="1653">
        <v>1.27</v>
      </c>
      <c r="I52" s="1653">
        <v>1.27</v>
      </c>
    </row>
    <row r="53" spans="1:9">
      <c r="A53" s="1651" t="s">
        <v>1020</v>
      </c>
      <c r="B53" s="1651" t="s">
        <v>1020</v>
      </c>
      <c r="C53" s="1651" t="s">
        <v>1020</v>
      </c>
      <c r="D53" s="1651" t="s">
        <v>1020</v>
      </c>
      <c r="E53" s="1652">
        <v>1.28</v>
      </c>
      <c r="F53" s="1653">
        <v>1.28</v>
      </c>
      <c r="G53" s="1653">
        <v>1.28</v>
      </c>
      <c r="H53" s="1653">
        <v>1.28</v>
      </c>
      <c r="I53" s="1653">
        <v>1.28</v>
      </c>
    </row>
    <row r="54" spans="1:9">
      <c r="A54" s="1651" t="s">
        <v>1021</v>
      </c>
      <c r="B54" s="1651" t="s">
        <v>1021</v>
      </c>
      <c r="C54" s="1651" t="s">
        <v>1021</v>
      </c>
      <c r="D54" s="1651" t="s">
        <v>1021</v>
      </c>
      <c r="E54" s="1652">
        <v>1.29</v>
      </c>
      <c r="F54" s="1653">
        <v>1.29</v>
      </c>
      <c r="G54" s="1653">
        <v>1.29</v>
      </c>
      <c r="H54" s="1653">
        <v>1.29</v>
      </c>
      <c r="I54" s="1653">
        <v>1.29</v>
      </c>
    </row>
    <row r="55" spans="1:9">
      <c r="A55" s="1651" t="s">
        <v>1022</v>
      </c>
      <c r="B55" s="1651" t="s">
        <v>1022</v>
      </c>
      <c r="C55" s="1651" t="s">
        <v>1022</v>
      </c>
      <c r="D55" s="1651" t="s">
        <v>1022</v>
      </c>
      <c r="E55" s="1652">
        <v>1.3</v>
      </c>
      <c r="F55" s="1653">
        <v>1.3</v>
      </c>
      <c r="G55" s="1653">
        <v>1.3</v>
      </c>
      <c r="H55" s="1653">
        <v>1.3</v>
      </c>
      <c r="I55" s="1653">
        <v>1.3</v>
      </c>
    </row>
    <row r="56" spans="1:9">
      <c r="A56" s="1651" t="s">
        <v>1023</v>
      </c>
      <c r="B56" s="1651" t="s">
        <v>1023</v>
      </c>
      <c r="C56" s="1651" t="s">
        <v>1023</v>
      </c>
      <c r="D56" s="1651" t="s">
        <v>1023</v>
      </c>
      <c r="E56" s="1652">
        <v>1.31</v>
      </c>
      <c r="F56" s="1653">
        <v>1.31</v>
      </c>
      <c r="G56" s="1653">
        <v>1.31</v>
      </c>
      <c r="H56" s="1653">
        <v>1.31</v>
      </c>
      <c r="I56" s="1653">
        <v>1.31</v>
      </c>
    </row>
    <row r="57" spans="1:9">
      <c r="A57" s="1651" t="s">
        <v>1024</v>
      </c>
      <c r="B57" s="1651" t="s">
        <v>1024</v>
      </c>
      <c r="C57" s="1651" t="s">
        <v>1024</v>
      </c>
      <c r="D57" s="1651" t="s">
        <v>1024</v>
      </c>
      <c r="E57" s="1651">
        <v>6.01</v>
      </c>
      <c r="F57" s="1654">
        <v>6.01</v>
      </c>
      <c r="G57" s="1654">
        <v>6.01</v>
      </c>
      <c r="H57" s="1654">
        <v>6.01</v>
      </c>
      <c r="I57" s="1654">
        <v>6.01</v>
      </c>
    </row>
    <row r="58" spans="1:9">
      <c r="A58" s="1651" t="s">
        <v>1025</v>
      </c>
      <c r="B58" s="1651" t="s">
        <v>1025</v>
      </c>
      <c r="C58" s="1651" t="s">
        <v>1025</v>
      </c>
      <c r="D58" s="1651" t="s">
        <v>1025</v>
      </c>
      <c r="E58" s="1651">
        <v>6.03</v>
      </c>
      <c r="F58" s="1654">
        <v>6.03</v>
      </c>
      <c r="G58" s="1654">
        <v>6.03</v>
      </c>
      <c r="H58" s="1654">
        <v>6.03</v>
      </c>
      <c r="I58" s="1654">
        <v>6.03</v>
      </c>
    </row>
    <row r="59" spans="1:9">
      <c r="A59" s="1651" t="s">
        <v>1026</v>
      </c>
      <c r="B59" s="1651" t="s">
        <v>1026</v>
      </c>
      <c r="C59" s="1651" t="s">
        <v>1026</v>
      </c>
      <c r="D59" s="1651" t="s">
        <v>1026</v>
      </c>
      <c r="E59" s="1651">
        <v>6.02</v>
      </c>
      <c r="F59" s="1654">
        <v>6.02</v>
      </c>
      <c r="G59" s="1654">
        <v>6.02</v>
      </c>
      <c r="H59" s="1654">
        <v>6.02</v>
      </c>
      <c r="I59" s="1654">
        <v>6.02</v>
      </c>
    </row>
    <row r="60" spans="1:9">
      <c r="A60" s="1651" t="s">
        <v>1027</v>
      </c>
      <c r="B60" s="1651" t="s">
        <v>1027</v>
      </c>
      <c r="C60" s="1651" t="s">
        <v>1027</v>
      </c>
      <c r="D60" s="1651" t="s">
        <v>1027</v>
      </c>
      <c r="E60" s="1652" t="s">
        <v>1300</v>
      </c>
      <c r="F60" s="1653" t="s">
        <v>1300</v>
      </c>
      <c r="G60" s="1653" t="s">
        <v>1300</v>
      </c>
      <c r="H60" s="1653" t="s">
        <v>1300</v>
      </c>
      <c r="I60" s="1653" t="s">
        <v>1300</v>
      </c>
    </row>
    <row r="61" spans="1:9">
      <c r="A61" s="1651" t="s">
        <v>1028</v>
      </c>
      <c r="B61" s="1651" t="s">
        <v>1028</v>
      </c>
      <c r="C61" s="1651" t="s">
        <v>1028</v>
      </c>
      <c r="D61" s="1651" t="s">
        <v>1028</v>
      </c>
      <c r="E61" s="1651">
        <v>6.04</v>
      </c>
      <c r="F61" s="1654">
        <v>6.04</v>
      </c>
      <c r="G61" s="1654">
        <v>6.04</v>
      </c>
      <c r="H61" s="1654">
        <v>6.04</v>
      </c>
      <c r="I61" s="1654">
        <v>6.04</v>
      </c>
    </row>
    <row r="62" spans="1:9">
      <c r="A62" s="1651" t="s">
        <v>1029</v>
      </c>
      <c r="B62" s="1651" t="s">
        <v>1029</v>
      </c>
      <c r="C62" s="1651" t="s">
        <v>1029</v>
      </c>
      <c r="D62" s="1651" t="s">
        <v>1029</v>
      </c>
      <c r="E62" s="1651">
        <v>6.05</v>
      </c>
      <c r="F62" s="1654">
        <v>6.05</v>
      </c>
      <c r="G62" s="1654">
        <v>6.05</v>
      </c>
      <c r="H62" s="1654">
        <v>6.05</v>
      </c>
      <c r="I62" s="1654">
        <v>6.05</v>
      </c>
    </row>
    <row r="63" spans="1:9">
      <c r="A63" s="1651" t="s">
        <v>1030</v>
      </c>
      <c r="B63" s="1651" t="s">
        <v>1030</v>
      </c>
      <c r="C63" s="1651" t="s">
        <v>1030</v>
      </c>
      <c r="D63" s="1651" t="s">
        <v>1030</v>
      </c>
      <c r="E63" s="1651">
        <v>6.06</v>
      </c>
      <c r="F63" s="1654">
        <v>6.06</v>
      </c>
      <c r="G63" s="1654">
        <v>6.06</v>
      </c>
      <c r="H63" s="1654">
        <v>6.06</v>
      </c>
      <c r="I63" s="1654">
        <v>6.06</v>
      </c>
    </row>
    <row r="64" spans="1:9">
      <c r="A64" s="1651" t="s">
        <v>1031</v>
      </c>
      <c r="B64" s="1651" t="s">
        <v>1031</v>
      </c>
      <c r="C64" s="1651" t="s">
        <v>1031</v>
      </c>
      <c r="D64" s="1651" t="s">
        <v>1031</v>
      </c>
      <c r="E64" s="1651">
        <v>7.01</v>
      </c>
      <c r="F64" s="1654">
        <v>7.01</v>
      </c>
      <c r="G64" s="1654">
        <v>7.01</v>
      </c>
      <c r="H64" s="1654">
        <v>7.01</v>
      </c>
      <c r="I64" s="1654">
        <v>7.01</v>
      </c>
    </row>
    <row r="65" spans="1:9">
      <c r="A65" s="1651" t="s">
        <v>1032</v>
      </c>
      <c r="B65" s="1651" t="s">
        <v>1032</v>
      </c>
      <c r="C65" s="1651" t="s">
        <v>1032</v>
      </c>
      <c r="D65" s="1651" t="s">
        <v>1032</v>
      </c>
      <c r="E65" s="1651">
        <v>7.02</v>
      </c>
      <c r="F65" s="1654">
        <v>7.02</v>
      </c>
      <c r="G65" s="1654">
        <v>7.02</v>
      </c>
      <c r="H65" s="1654">
        <v>7.02</v>
      </c>
      <c r="I65" s="1654">
        <v>7.02</v>
      </c>
    </row>
    <row r="66" spans="1:9">
      <c r="A66" s="1651" t="s">
        <v>1033</v>
      </c>
      <c r="B66" s="1651" t="s">
        <v>1033</v>
      </c>
      <c r="C66" s="1651" t="s">
        <v>1033</v>
      </c>
      <c r="D66" s="1651" t="s">
        <v>1033</v>
      </c>
      <c r="E66" s="1651">
        <v>7.03</v>
      </c>
      <c r="F66" s="1654">
        <v>7.03</v>
      </c>
      <c r="G66" s="1654">
        <v>7.03</v>
      </c>
      <c r="H66" s="1654">
        <v>7.03</v>
      </c>
      <c r="I66" s="1654">
        <v>7.03</v>
      </c>
    </row>
    <row r="67" spans="1:9">
      <c r="A67" s="1651" t="s">
        <v>1034</v>
      </c>
      <c r="B67" s="1651" t="s">
        <v>1034</v>
      </c>
      <c r="C67" s="1651" t="s">
        <v>1034</v>
      </c>
      <c r="D67" s="1651" t="s">
        <v>1034</v>
      </c>
      <c r="E67" s="1651">
        <v>7.04</v>
      </c>
      <c r="F67" s="1654">
        <v>7.04</v>
      </c>
      <c r="G67" s="1654">
        <v>7.04</v>
      </c>
      <c r="H67" s="1654">
        <v>7.04</v>
      </c>
      <c r="I67" s="1654">
        <v>7.04</v>
      </c>
    </row>
    <row r="68" spans="1:9">
      <c r="A68" s="1651" t="s">
        <v>1035</v>
      </c>
      <c r="B68" s="1651" t="s">
        <v>1035</v>
      </c>
      <c r="C68" s="1651" t="s">
        <v>1035</v>
      </c>
      <c r="D68" s="1651" t="s">
        <v>1035</v>
      </c>
      <c r="E68" s="1651">
        <v>7.05</v>
      </c>
      <c r="F68" s="1654">
        <v>7.05</v>
      </c>
      <c r="G68" s="1654">
        <v>7.05</v>
      </c>
      <c r="H68" s="1654">
        <v>7.05</v>
      </c>
      <c r="I68" s="1654">
        <v>7.05</v>
      </c>
    </row>
    <row r="69" spans="1:9">
      <c r="A69" s="1648" t="s">
        <v>1300</v>
      </c>
      <c r="B69" s="1648" t="s">
        <v>1300</v>
      </c>
      <c r="C69" s="1648" t="s">
        <v>1036</v>
      </c>
      <c r="D69" s="1648" t="s">
        <v>1036</v>
      </c>
      <c r="E69" s="1648">
        <v>4.07</v>
      </c>
      <c r="F69" s="1655">
        <v>4.07</v>
      </c>
      <c r="G69" s="1655">
        <v>4.07</v>
      </c>
      <c r="H69" s="1655">
        <v>4.07</v>
      </c>
      <c r="I69" s="1655">
        <v>4.07</v>
      </c>
    </row>
    <row r="70" spans="1:9">
      <c r="A70" s="1648" t="s">
        <v>1300</v>
      </c>
      <c r="B70" s="1648" t="s">
        <v>1300</v>
      </c>
      <c r="C70" s="1651" t="s">
        <v>1037</v>
      </c>
      <c r="D70" s="1651" t="s">
        <v>1037</v>
      </c>
      <c r="E70" s="1651">
        <v>4.01</v>
      </c>
      <c r="F70" s="1654">
        <v>4.01</v>
      </c>
      <c r="G70" s="1654">
        <v>4.01</v>
      </c>
      <c r="H70" s="1654">
        <v>4.01</v>
      </c>
      <c r="I70" s="1654">
        <v>4.01</v>
      </c>
    </row>
    <row r="71" spans="1:9">
      <c r="A71" s="1651" t="s">
        <v>1038</v>
      </c>
      <c r="B71" s="1651" t="s">
        <v>1038</v>
      </c>
      <c r="C71" s="1651" t="s">
        <v>1039</v>
      </c>
      <c r="D71" s="1651" t="s">
        <v>1039</v>
      </c>
      <c r="E71" s="1651">
        <v>4.08</v>
      </c>
      <c r="F71" s="1654">
        <v>4.08</v>
      </c>
      <c r="G71" s="1654">
        <v>4.08</v>
      </c>
      <c r="H71" s="1654">
        <v>4.08</v>
      </c>
      <c r="I71" s="1654">
        <v>4.08</v>
      </c>
    </row>
    <row r="72" spans="1:9">
      <c r="A72" s="1651" t="s">
        <v>1039</v>
      </c>
      <c r="B72" s="1651" t="s">
        <v>1039</v>
      </c>
      <c r="C72" s="1651" t="s">
        <v>1040</v>
      </c>
      <c r="D72" s="1651" t="s">
        <v>1040</v>
      </c>
      <c r="E72" s="1651">
        <v>4.09</v>
      </c>
      <c r="F72" s="1654">
        <v>4.09</v>
      </c>
      <c r="G72" s="1654">
        <v>4.09</v>
      </c>
      <c r="H72" s="1654">
        <v>4.09</v>
      </c>
      <c r="I72" s="1654">
        <v>4.09</v>
      </c>
    </row>
    <row r="73" spans="1:9">
      <c r="A73" s="1651" t="s">
        <v>1040</v>
      </c>
      <c r="B73" s="1651" t="s">
        <v>1040</v>
      </c>
      <c r="C73" s="1651" t="s">
        <v>1041</v>
      </c>
      <c r="D73" s="1651" t="s">
        <v>1041</v>
      </c>
      <c r="E73" s="1652">
        <v>4.0999999999999996</v>
      </c>
      <c r="F73" s="1653">
        <v>4.0999999999999996</v>
      </c>
      <c r="G73" s="1653">
        <v>4.0999999999999996</v>
      </c>
      <c r="H73" s="1653">
        <v>4.0999999999999996</v>
      </c>
      <c r="I73" s="1653">
        <v>4.0999999999999996</v>
      </c>
    </row>
    <row r="74" spans="1:9">
      <c r="A74" s="1651" t="s">
        <v>1041</v>
      </c>
      <c r="B74" s="1651" t="s">
        <v>1041</v>
      </c>
      <c r="C74" s="1651" t="s">
        <v>1042</v>
      </c>
      <c r="D74" s="1651" t="s">
        <v>1042</v>
      </c>
      <c r="E74" s="1651">
        <v>4.0199999999999996</v>
      </c>
      <c r="F74" s="1654">
        <v>4.0199999999999996</v>
      </c>
      <c r="G74" s="1654">
        <v>4.0199999999999996</v>
      </c>
      <c r="H74" s="1654">
        <v>4.0199999999999996</v>
      </c>
      <c r="I74" s="1654">
        <v>4.0199999999999996</v>
      </c>
    </row>
    <row r="75" spans="1:9">
      <c r="A75" s="1651" t="s">
        <v>1042</v>
      </c>
      <c r="B75" s="1651" t="s">
        <v>1042</v>
      </c>
      <c r="C75" s="1651" t="s">
        <v>1043</v>
      </c>
      <c r="D75" s="1651" t="s">
        <v>1043</v>
      </c>
      <c r="E75" s="1652" t="s">
        <v>1300</v>
      </c>
      <c r="F75" s="1653" t="s">
        <v>1300</v>
      </c>
      <c r="G75" s="1653" t="s">
        <v>1300</v>
      </c>
      <c r="H75" s="1653" t="s">
        <v>1300</v>
      </c>
      <c r="I75" s="1653" t="s">
        <v>1300</v>
      </c>
    </row>
    <row r="76" spans="1:9">
      <c r="A76" s="1651" t="s">
        <v>1043</v>
      </c>
      <c r="B76" s="1651" t="s">
        <v>1043</v>
      </c>
      <c r="C76" s="1651" t="s">
        <v>1044</v>
      </c>
      <c r="D76" s="1651" t="s">
        <v>1044</v>
      </c>
      <c r="E76" s="1652" t="s">
        <v>1300</v>
      </c>
      <c r="F76" s="1653" t="s">
        <v>1300</v>
      </c>
      <c r="G76" s="1653" t="s">
        <v>1300</v>
      </c>
      <c r="H76" s="1653" t="s">
        <v>1300</v>
      </c>
      <c r="I76" s="1653" t="s">
        <v>1300</v>
      </c>
    </row>
    <row r="77" spans="1:9">
      <c r="A77" s="1651" t="s">
        <v>1044</v>
      </c>
      <c r="B77" s="1651" t="s">
        <v>1044</v>
      </c>
      <c r="C77" s="1651" t="s">
        <v>1045</v>
      </c>
      <c r="D77" s="1651" t="s">
        <v>1045</v>
      </c>
      <c r="E77" s="1652" t="s">
        <v>1300</v>
      </c>
      <c r="F77" s="1653" t="s">
        <v>1300</v>
      </c>
      <c r="G77" s="1653" t="s">
        <v>1300</v>
      </c>
      <c r="H77" s="1653" t="s">
        <v>1300</v>
      </c>
      <c r="I77" s="1653" t="s">
        <v>1300</v>
      </c>
    </row>
    <row r="78" spans="1:9">
      <c r="A78" s="1651" t="s">
        <v>1045</v>
      </c>
      <c r="B78" s="1651" t="s">
        <v>1045</v>
      </c>
      <c r="C78" s="1651" t="s">
        <v>1046</v>
      </c>
      <c r="D78" s="1651" t="s">
        <v>1046</v>
      </c>
      <c r="E78" s="1651">
        <v>4.04</v>
      </c>
      <c r="F78" s="1654">
        <v>4.04</v>
      </c>
      <c r="G78" s="1654">
        <v>4.04</v>
      </c>
      <c r="H78" s="1654">
        <v>4.04</v>
      </c>
      <c r="I78" s="1654">
        <v>4.04</v>
      </c>
    </row>
    <row r="79" spans="1:9">
      <c r="A79" s="1651" t="s">
        <v>1046</v>
      </c>
      <c r="B79" s="1651" t="s">
        <v>1046</v>
      </c>
      <c r="C79" s="1651" t="s">
        <v>1047</v>
      </c>
      <c r="D79" s="1651" t="s">
        <v>1047</v>
      </c>
      <c r="E79" s="1651">
        <v>4.05</v>
      </c>
      <c r="F79" s="1654">
        <v>4.05</v>
      </c>
      <c r="G79" s="1654">
        <v>4.05</v>
      </c>
      <c r="H79" s="1654">
        <v>4.05</v>
      </c>
      <c r="I79" s="1654">
        <v>4.05</v>
      </c>
    </row>
    <row r="80" spans="1:9">
      <c r="A80" s="1651" t="s">
        <v>1047</v>
      </c>
      <c r="B80" s="1651" t="s">
        <v>1047</v>
      </c>
      <c r="C80" s="1651" t="s">
        <v>1048</v>
      </c>
      <c r="D80" s="1651" t="s">
        <v>1048</v>
      </c>
      <c r="E80" s="1651">
        <v>4.0599999999999996</v>
      </c>
      <c r="F80" s="1654">
        <v>4.0599999999999996</v>
      </c>
      <c r="G80" s="1654">
        <v>4.0599999999999996</v>
      </c>
      <c r="H80" s="1654">
        <v>4.0599999999999996</v>
      </c>
      <c r="I80" s="1654">
        <v>4.0599999999999996</v>
      </c>
    </row>
    <row r="81" spans="1:9">
      <c r="A81" s="1651" t="s">
        <v>1049</v>
      </c>
      <c r="B81" s="1651" t="s">
        <v>1050</v>
      </c>
      <c r="C81" s="1651" t="s">
        <v>1049</v>
      </c>
      <c r="D81" s="1651" t="s">
        <v>1049</v>
      </c>
      <c r="E81" s="1651">
        <v>3.01</v>
      </c>
      <c r="F81" s="1654">
        <v>3.01</v>
      </c>
      <c r="G81" s="1654">
        <v>3.01</v>
      </c>
      <c r="H81" s="1654">
        <v>3.01</v>
      </c>
      <c r="I81" s="1654">
        <v>3.01</v>
      </c>
    </row>
    <row r="82" spans="1:9">
      <c r="A82" s="1651" t="s">
        <v>1050</v>
      </c>
      <c r="B82" s="1651" t="s">
        <v>1051</v>
      </c>
      <c r="C82" s="1651" t="s">
        <v>1049</v>
      </c>
      <c r="D82" s="1651" t="s">
        <v>1049</v>
      </c>
      <c r="E82" s="1651">
        <v>3.01</v>
      </c>
      <c r="F82" s="1654">
        <v>3.01</v>
      </c>
      <c r="G82" s="1654">
        <v>3.01</v>
      </c>
      <c r="H82" s="1654">
        <v>3.01</v>
      </c>
      <c r="I82" s="1654">
        <v>3.01</v>
      </c>
    </row>
    <row r="83" spans="1:9">
      <c r="A83" s="1651" t="s">
        <v>1051</v>
      </c>
      <c r="B83" s="1651" t="s">
        <v>1052</v>
      </c>
      <c r="C83" s="1651" t="s">
        <v>1049</v>
      </c>
      <c r="D83" s="1651" t="s">
        <v>1049</v>
      </c>
      <c r="E83" s="1651">
        <v>3.01</v>
      </c>
      <c r="F83" s="1654">
        <v>3.01</v>
      </c>
      <c r="G83" s="1654">
        <v>3.01</v>
      </c>
      <c r="H83" s="1654">
        <v>3.01</v>
      </c>
      <c r="I83" s="1654">
        <v>3.01</v>
      </c>
    </row>
    <row r="84" spans="1:9">
      <c r="A84" s="1651" t="s">
        <v>1052</v>
      </c>
      <c r="B84" s="1651" t="s">
        <v>1049</v>
      </c>
      <c r="C84" s="1651" t="s">
        <v>1300</v>
      </c>
      <c r="D84" s="1651" t="s">
        <v>1300</v>
      </c>
      <c r="E84" s="1651" t="s">
        <v>1300</v>
      </c>
      <c r="F84" s="1654" t="s">
        <v>1300</v>
      </c>
      <c r="G84" s="1654" t="s">
        <v>1300</v>
      </c>
      <c r="H84" s="1654" t="s">
        <v>1300</v>
      </c>
      <c r="I84" s="1654" t="s">
        <v>1300</v>
      </c>
    </row>
    <row r="85" spans="1:9">
      <c r="A85" s="1651" t="s">
        <v>1300</v>
      </c>
      <c r="B85" s="1651" t="s">
        <v>1053</v>
      </c>
      <c r="C85" s="1651" t="s">
        <v>1049</v>
      </c>
      <c r="D85" s="1651" t="s">
        <v>1049</v>
      </c>
      <c r="E85" s="1651">
        <v>3.01</v>
      </c>
      <c r="F85" s="1654">
        <v>3.01</v>
      </c>
      <c r="G85" s="1654">
        <v>3.01</v>
      </c>
      <c r="H85" s="1654">
        <v>3.01</v>
      </c>
      <c r="I85" s="1654">
        <v>3.01</v>
      </c>
    </row>
    <row r="86" spans="1:9">
      <c r="A86" s="1651" t="s">
        <v>1300</v>
      </c>
      <c r="B86" s="1651" t="s">
        <v>1300</v>
      </c>
      <c r="C86" s="1651" t="s">
        <v>1050</v>
      </c>
      <c r="D86" s="1651" t="s">
        <v>1050</v>
      </c>
      <c r="E86" s="1651">
        <v>3.03</v>
      </c>
      <c r="F86" s="1654">
        <v>3.03</v>
      </c>
      <c r="G86" s="1654">
        <v>3.03</v>
      </c>
      <c r="H86" s="1654">
        <v>3.03</v>
      </c>
      <c r="I86" s="1654">
        <v>3.03</v>
      </c>
    </row>
    <row r="87" spans="1:9">
      <c r="A87" s="1651" t="s">
        <v>1300</v>
      </c>
      <c r="B87" s="1651" t="s">
        <v>1300</v>
      </c>
      <c r="C87" s="1651" t="s">
        <v>1051</v>
      </c>
      <c r="D87" s="1651" t="s">
        <v>1051</v>
      </c>
      <c r="E87" s="1651">
        <v>3.05</v>
      </c>
      <c r="F87" s="1654">
        <v>3.05</v>
      </c>
      <c r="G87" s="1654">
        <v>3.05</v>
      </c>
      <c r="H87" s="1654">
        <v>3.05</v>
      </c>
      <c r="I87" s="1654">
        <v>3.05</v>
      </c>
    </row>
    <row r="88" spans="1:9">
      <c r="A88" s="1651" t="s">
        <v>1300</v>
      </c>
      <c r="B88" s="1651" t="s">
        <v>1300</v>
      </c>
      <c r="C88" s="1651" t="s">
        <v>1052</v>
      </c>
      <c r="D88" s="1651" t="s">
        <v>1300</v>
      </c>
      <c r="E88" s="1651" t="s">
        <v>1300</v>
      </c>
      <c r="F88" s="1654" t="s">
        <v>1300</v>
      </c>
      <c r="G88" s="1656" t="s">
        <v>2213</v>
      </c>
      <c r="H88" s="1656" t="s">
        <v>2213</v>
      </c>
      <c r="I88" s="1654" t="s">
        <v>1300</v>
      </c>
    </row>
    <row r="89" spans="1:9">
      <c r="A89" s="1651" t="s">
        <v>1054</v>
      </c>
      <c r="B89" s="1651" t="s">
        <v>1055</v>
      </c>
      <c r="C89" s="1651" t="s">
        <v>1055</v>
      </c>
      <c r="D89" s="1651" t="s">
        <v>1055</v>
      </c>
      <c r="E89" s="1652">
        <v>9.06</v>
      </c>
      <c r="F89" s="1653">
        <v>9.14</v>
      </c>
      <c r="G89" s="1653">
        <v>9.14</v>
      </c>
      <c r="H89" s="1653">
        <v>9.14</v>
      </c>
      <c r="I89" s="1653">
        <v>9.14</v>
      </c>
    </row>
    <row r="90" spans="1:9">
      <c r="A90" s="1651" t="s">
        <v>1056</v>
      </c>
      <c r="B90" s="1651" t="s">
        <v>1057</v>
      </c>
      <c r="C90" s="1651" t="s">
        <v>1057</v>
      </c>
      <c r="D90" s="1651" t="s">
        <v>1057</v>
      </c>
      <c r="E90" s="1652">
        <v>9.0399999999999991</v>
      </c>
      <c r="F90" s="1653">
        <v>9.1199999999999992</v>
      </c>
      <c r="G90" s="1653">
        <v>9.1199999999999992</v>
      </c>
      <c r="H90" s="1653">
        <v>9.1199999999999992</v>
      </c>
      <c r="I90" s="1653">
        <v>9.1199999999999992</v>
      </c>
    </row>
    <row r="91" spans="1:9">
      <c r="A91" s="1651" t="s">
        <v>1058</v>
      </c>
      <c r="B91" s="1651" t="s">
        <v>1059</v>
      </c>
      <c r="C91" s="1651" t="s">
        <v>1059</v>
      </c>
      <c r="D91" s="1651" t="s">
        <v>1059</v>
      </c>
      <c r="E91" s="1652">
        <v>9.0500000000000007</v>
      </c>
      <c r="F91" s="1653">
        <v>9.1300000000000008</v>
      </c>
      <c r="G91" s="1653">
        <v>9.1300000000000008</v>
      </c>
      <c r="H91" s="1653">
        <v>9.1300000000000008</v>
      </c>
      <c r="I91" s="1653">
        <v>9.1300000000000008</v>
      </c>
    </row>
    <row r="92" spans="1:9">
      <c r="A92" s="1651" t="s">
        <v>1060</v>
      </c>
      <c r="B92" s="1651" t="s">
        <v>1061</v>
      </c>
      <c r="C92" s="1651" t="s">
        <v>1061</v>
      </c>
      <c r="D92" s="1651" t="s">
        <v>1061</v>
      </c>
      <c r="E92" s="1652" t="s">
        <v>1300</v>
      </c>
      <c r="F92" s="1653" t="s">
        <v>1300</v>
      </c>
      <c r="G92" s="1653" t="s">
        <v>1300</v>
      </c>
      <c r="H92" s="1653" t="s">
        <v>1300</v>
      </c>
      <c r="I92" s="1653" t="s">
        <v>1300</v>
      </c>
    </row>
    <row r="93" spans="1:9">
      <c r="A93" s="1651" t="s">
        <v>1062</v>
      </c>
      <c r="B93" s="1651" t="s">
        <v>1063</v>
      </c>
      <c r="C93" s="1651" t="s">
        <v>1063</v>
      </c>
      <c r="D93" s="1651" t="s">
        <v>1063</v>
      </c>
      <c r="E93" s="1652" t="s">
        <v>1300</v>
      </c>
      <c r="F93" s="1653" t="s">
        <v>1300</v>
      </c>
      <c r="G93" s="1653" t="s">
        <v>1300</v>
      </c>
      <c r="H93" s="1653" t="s">
        <v>1300</v>
      </c>
      <c r="I93" s="1653" t="s">
        <v>1300</v>
      </c>
    </row>
    <row r="94" spans="1:9">
      <c r="A94" s="1651" t="s">
        <v>1064</v>
      </c>
      <c r="B94" s="1651" t="s">
        <v>1065</v>
      </c>
      <c r="C94" s="1651" t="s">
        <v>1065</v>
      </c>
      <c r="D94" s="1651" t="s">
        <v>1065</v>
      </c>
      <c r="E94" s="1652" t="s">
        <v>1300</v>
      </c>
      <c r="F94" s="1653" t="s">
        <v>1300</v>
      </c>
      <c r="G94" s="1653" t="s">
        <v>1300</v>
      </c>
      <c r="H94" s="1653" t="s">
        <v>1300</v>
      </c>
      <c r="I94" s="1653" t="s">
        <v>1300</v>
      </c>
    </row>
    <row r="95" spans="1:9">
      <c r="A95" s="1651" t="s">
        <v>1066</v>
      </c>
      <c r="B95" s="1651" t="s">
        <v>1067</v>
      </c>
      <c r="C95" s="1651" t="s">
        <v>1067</v>
      </c>
      <c r="D95" s="1651" t="s">
        <v>1067</v>
      </c>
      <c r="E95" s="1652" t="s">
        <v>1300</v>
      </c>
      <c r="F95" s="1653" t="s">
        <v>1300</v>
      </c>
      <c r="G95" s="1653" t="s">
        <v>1300</v>
      </c>
      <c r="H95" s="1653" t="s">
        <v>1300</v>
      </c>
      <c r="I95" s="1653" t="s">
        <v>1300</v>
      </c>
    </row>
    <row r="96" spans="1:9">
      <c r="A96" s="1651" t="s">
        <v>1068</v>
      </c>
      <c r="B96" s="1651" t="s">
        <v>1069</v>
      </c>
      <c r="C96" s="1651" t="s">
        <v>1069</v>
      </c>
      <c r="D96" s="1651" t="s">
        <v>1070</v>
      </c>
      <c r="E96" s="1652">
        <v>9.09</v>
      </c>
      <c r="F96" s="1653">
        <v>9.09</v>
      </c>
      <c r="G96" s="1653">
        <v>9.09</v>
      </c>
      <c r="H96" s="1653">
        <v>9.09</v>
      </c>
      <c r="I96" s="1653">
        <v>9.09</v>
      </c>
    </row>
    <row r="97" spans="1:9">
      <c r="A97" s="1651" t="s">
        <v>1071</v>
      </c>
      <c r="B97" s="1651" t="s">
        <v>1072</v>
      </c>
      <c r="C97" s="1651" t="s">
        <v>1072</v>
      </c>
      <c r="D97" s="1651" t="s">
        <v>1072</v>
      </c>
      <c r="E97" s="1652">
        <v>9.09</v>
      </c>
      <c r="F97" s="1653">
        <v>9.09</v>
      </c>
      <c r="G97" s="1653">
        <v>9.09</v>
      </c>
      <c r="H97" s="1653">
        <v>9.09</v>
      </c>
      <c r="I97" s="1653">
        <v>9.09</v>
      </c>
    </row>
    <row r="98" spans="1:9">
      <c r="A98" s="1651" t="s">
        <v>1073</v>
      </c>
      <c r="B98" s="1651" t="s">
        <v>1074</v>
      </c>
      <c r="C98" s="1651" t="s">
        <v>1074</v>
      </c>
      <c r="D98" s="1651" t="s">
        <v>1074</v>
      </c>
      <c r="E98" s="1652">
        <v>9.08</v>
      </c>
      <c r="F98" s="1657" t="s">
        <v>1075</v>
      </c>
      <c r="G98" s="1657" t="s">
        <v>1075</v>
      </c>
      <c r="H98" s="1657" t="s">
        <v>1075</v>
      </c>
      <c r="I98" s="1657" t="s">
        <v>1075</v>
      </c>
    </row>
    <row r="99" spans="1:9">
      <c r="A99" s="1651" t="s">
        <v>1076</v>
      </c>
      <c r="B99" s="1651" t="s">
        <v>1077</v>
      </c>
      <c r="C99" s="1651" t="s">
        <v>1077</v>
      </c>
      <c r="D99" s="1651" t="s">
        <v>1077</v>
      </c>
      <c r="E99" s="1652">
        <v>9.1</v>
      </c>
      <c r="F99" s="1653">
        <v>9.16</v>
      </c>
      <c r="G99" s="1653">
        <v>9.16</v>
      </c>
      <c r="H99" s="1653">
        <v>9.16</v>
      </c>
      <c r="I99" s="1653">
        <v>9.16</v>
      </c>
    </row>
    <row r="100" spans="1:9">
      <c r="A100" s="1651" t="s">
        <v>1300</v>
      </c>
      <c r="B100" s="1651" t="s">
        <v>1078</v>
      </c>
      <c r="C100" s="1651" t="s">
        <v>1078</v>
      </c>
      <c r="D100" s="1651" t="s">
        <v>1078</v>
      </c>
      <c r="E100" s="1651" t="s">
        <v>1079</v>
      </c>
      <c r="F100" s="1654" t="s">
        <v>1079</v>
      </c>
      <c r="G100" s="1654" t="s">
        <v>1079</v>
      </c>
      <c r="H100" s="1654" t="s">
        <v>1079</v>
      </c>
      <c r="I100" s="1654" t="s">
        <v>1080</v>
      </c>
    </row>
    <row r="101" spans="1:9">
      <c r="A101" s="1651" t="s">
        <v>1300</v>
      </c>
      <c r="B101" s="1651" t="s">
        <v>1056</v>
      </c>
      <c r="C101" s="1651" t="s">
        <v>1056</v>
      </c>
      <c r="D101" s="1651" t="s">
        <v>1056</v>
      </c>
      <c r="E101" s="1652" t="s">
        <v>1300</v>
      </c>
      <c r="F101" s="1653" t="s">
        <v>1300</v>
      </c>
      <c r="G101" s="1653" t="s">
        <v>1300</v>
      </c>
      <c r="H101" s="1653" t="s">
        <v>1300</v>
      </c>
      <c r="I101" s="1653" t="s">
        <v>1300</v>
      </c>
    </row>
    <row r="102" spans="1:9">
      <c r="A102" s="1651" t="s">
        <v>1300</v>
      </c>
      <c r="B102" s="1651" t="s">
        <v>1058</v>
      </c>
      <c r="C102" s="1651" t="s">
        <v>1058</v>
      </c>
      <c r="D102" s="1651" t="s">
        <v>1058</v>
      </c>
      <c r="E102" s="1652" t="s">
        <v>1300</v>
      </c>
      <c r="F102" s="1653" t="s">
        <v>1300</v>
      </c>
      <c r="G102" s="1653" t="s">
        <v>1300</v>
      </c>
      <c r="H102" s="1653" t="s">
        <v>1300</v>
      </c>
      <c r="I102" s="1653" t="s">
        <v>1300</v>
      </c>
    </row>
    <row r="103" spans="1:9">
      <c r="A103" s="1651" t="s">
        <v>1300</v>
      </c>
      <c r="B103" s="1651" t="s">
        <v>1081</v>
      </c>
      <c r="C103" s="1651" t="s">
        <v>1081</v>
      </c>
      <c r="D103" s="1651" t="s">
        <v>1081</v>
      </c>
      <c r="E103" s="1652" t="s">
        <v>1300</v>
      </c>
      <c r="F103" s="1653" t="s">
        <v>1300</v>
      </c>
      <c r="G103" s="1653" t="s">
        <v>1300</v>
      </c>
      <c r="H103" s="1653" t="s">
        <v>1300</v>
      </c>
      <c r="I103" s="1653" t="s">
        <v>1300</v>
      </c>
    </row>
    <row r="104" spans="1:9">
      <c r="A104" s="1651" t="s">
        <v>1300</v>
      </c>
      <c r="B104" s="1651" t="s">
        <v>1082</v>
      </c>
      <c r="C104" s="1651" t="s">
        <v>1082</v>
      </c>
      <c r="D104" s="1651" t="s">
        <v>1082</v>
      </c>
      <c r="E104" s="1652" t="s">
        <v>1300</v>
      </c>
      <c r="F104" s="1653" t="s">
        <v>1300</v>
      </c>
      <c r="G104" s="1653" t="s">
        <v>1300</v>
      </c>
      <c r="H104" s="1653" t="s">
        <v>1300</v>
      </c>
      <c r="I104" s="1653" t="s">
        <v>1300</v>
      </c>
    </row>
    <row r="105" spans="1:9">
      <c r="A105" s="1651" t="s">
        <v>1300</v>
      </c>
      <c r="B105" s="1651" t="s">
        <v>1083</v>
      </c>
      <c r="C105" s="1651" t="s">
        <v>1083</v>
      </c>
      <c r="D105" s="1651" t="s">
        <v>1083</v>
      </c>
      <c r="E105" s="1651">
        <v>2.0299999999999998</v>
      </c>
      <c r="F105" s="1654">
        <v>2.0299999999999998</v>
      </c>
      <c r="G105" s="1654">
        <v>2.0299999999999998</v>
      </c>
      <c r="H105" s="1654">
        <v>2.0299999999999998</v>
      </c>
      <c r="I105" s="1654">
        <v>2.0299999999999998</v>
      </c>
    </row>
    <row r="106" spans="1:9">
      <c r="A106" s="1651" t="s">
        <v>1300</v>
      </c>
      <c r="B106" s="1651" t="s">
        <v>1300</v>
      </c>
      <c r="C106" s="1651" t="s">
        <v>1066</v>
      </c>
      <c r="D106" s="1651" t="s">
        <v>1066</v>
      </c>
      <c r="E106" s="1651">
        <v>2.04</v>
      </c>
      <c r="F106" s="1654">
        <v>2.04</v>
      </c>
      <c r="G106" s="1654">
        <v>2.04</v>
      </c>
      <c r="H106" s="1654">
        <v>2.04</v>
      </c>
      <c r="I106" s="1654">
        <v>2.04</v>
      </c>
    </row>
    <row r="107" spans="1:9">
      <c r="A107" s="1651" t="s">
        <v>1300</v>
      </c>
      <c r="B107" s="1651" t="s">
        <v>1300</v>
      </c>
      <c r="C107" s="1651" t="s">
        <v>1084</v>
      </c>
      <c r="D107" s="1651" t="s">
        <v>1084</v>
      </c>
      <c r="E107" s="1651">
        <v>2.0499999999999998</v>
      </c>
      <c r="F107" s="1654">
        <v>2.0499999999999998</v>
      </c>
      <c r="G107" s="1654">
        <v>2.0499999999999998</v>
      </c>
      <c r="H107" s="1654">
        <v>2.0499999999999998</v>
      </c>
      <c r="I107" s="1654">
        <v>2.0499999999999998</v>
      </c>
    </row>
    <row r="108" spans="1:9">
      <c r="A108" s="1651" t="s">
        <v>1300</v>
      </c>
      <c r="B108" s="1651" t="s">
        <v>1300</v>
      </c>
      <c r="C108" s="1651" t="s">
        <v>1071</v>
      </c>
      <c r="D108" s="1651" t="s">
        <v>1071</v>
      </c>
      <c r="E108" s="1652" t="s">
        <v>1300</v>
      </c>
      <c r="F108" s="1653" t="s">
        <v>1300</v>
      </c>
      <c r="G108" s="1653" t="s">
        <v>1300</v>
      </c>
      <c r="H108" s="1653" t="s">
        <v>1300</v>
      </c>
      <c r="I108" s="1653" t="s">
        <v>1300</v>
      </c>
    </row>
    <row r="109" spans="1:9">
      <c r="A109" s="1651" t="s">
        <v>1300</v>
      </c>
      <c r="B109" s="1651" t="s">
        <v>1300</v>
      </c>
      <c r="C109" s="1651" t="s">
        <v>1073</v>
      </c>
      <c r="D109" s="1651" t="s">
        <v>1073</v>
      </c>
      <c r="E109" s="1651">
        <v>2.06</v>
      </c>
      <c r="F109" s="1654">
        <v>2.06</v>
      </c>
      <c r="G109" s="1654">
        <v>2.06</v>
      </c>
      <c r="H109" s="1654">
        <v>2.06</v>
      </c>
      <c r="I109" s="1654">
        <v>2.06</v>
      </c>
    </row>
    <row r="110" spans="1:9">
      <c r="A110" s="1651" t="s">
        <v>1300</v>
      </c>
      <c r="B110" s="1651" t="s">
        <v>1066</v>
      </c>
      <c r="C110" s="1651" t="s">
        <v>1076</v>
      </c>
      <c r="D110" s="1651" t="s">
        <v>1076</v>
      </c>
      <c r="E110" s="1651">
        <v>2.0699999999999998</v>
      </c>
      <c r="F110" s="1654">
        <v>2.0699999999999998</v>
      </c>
      <c r="G110" s="1654">
        <v>2.0699999999999998</v>
      </c>
      <c r="H110" s="1654">
        <v>2.0699999999999998</v>
      </c>
      <c r="I110" s="1654">
        <v>2.0699999999999998</v>
      </c>
    </row>
    <row r="111" spans="1:9">
      <c r="A111" s="1651" t="s">
        <v>1300</v>
      </c>
      <c r="B111" s="1651" t="s">
        <v>1084</v>
      </c>
      <c r="C111" s="1651" t="s">
        <v>1085</v>
      </c>
      <c r="D111" s="1651" t="s">
        <v>1085</v>
      </c>
      <c r="E111" s="1651">
        <v>2.08</v>
      </c>
      <c r="F111" s="1654">
        <v>2.08</v>
      </c>
      <c r="G111" s="1654">
        <v>2.08</v>
      </c>
      <c r="H111" s="1654">
        <v>2.08</v>
      </c>
      <c r="I111" s="1654">
        <v>2.08</v>
      </c>
    </row>
    <row r="112" spans="1:9">
      <c r="A112" s="1651" t="s">
        <v>1300</v>
      </c>
      <c r="B112" s="1651" t="s">
        <v>1300</v>
      </c>
      <c r="C112" s="1651" t="s">
        <v>1300</v>
      </c>
      <c r="D112" s="1651" t="s">
        <v>1086</v>
      </c>
      <c r="E112" s="1652" t="s">
        <v>1300</v>
      </c>
      <c r="F112" s="1653" t="s">
        <v>1300</v>
      </c>
      <c r="G112" s="1653" t="s">
        <v>1300</v>
      </c>
      <c r="H112" s="1653" t="s">
        <v>1300</v>
      </c>
      <c r="I112" s="1653" t="s">
        <v>1300</v>
      </c>
    </row>
    <row r="113" spans="1:9">
      <c r="A113" s="1651" t="s">
        <v>1300</v>
      </c>
      <c r="B113" s="1651" t="s">
        <v>1300</v>
      </c>
      <c r="C113" s="1651" t="s">
        <v>1300</v>
      </c>
      <c r="D113" s="1651" t="s">
        <v>1087</v>
      </c>
      <c r="E113" s="1651">
        <v>2.09</v>
      </c>
      <c r="F113" s="1654">
        <v>2.09</v>
      </c>
      <c r="G113" s="1654">
        <v>2.09</v>
      </c>
      <c r="H113" s="1654">
        <v>2.09</v>
      </c>
      <c r="I113" s="1654">
        <v>2.09</v>
      </c>
    </row>
    <row r="114" spans="1:9">
      <c r="A114" s="1658" t="s">
        <v>1300</v>
      </c>
      <c r="B114" s="1658" t="s">
        <v>1300</v>
      </c>
      <c r="C114" s="1658" t="s">
        <v>1300</v>
      </c>
      <c r="D114" s="1658" t="s">
        <v>1300</v>
      </c>
      <c r="E114" s="1652">
        <v>1.01</v>
      </c>
      <c r="F114" s="1653">
        <v>1.01</v>
      </c>
      <c r="G114" s="1653">
        <v>1.01</v>
      </c>
      <c r="H114" s="1653">
        <v>1.01</v>
      </c>
      <c r="I114" s="1653">
        <v>1.01</v>
      </c>
    </row>
    <row r="115" spans="1:9">
      <c r="A115" s="1658" t="s">
        <v>1300</v>
      </c>
      <c r="B115" s="1658" t="s">
        <v>1300</v>
      </c>
      <c r="C115" s="1658" t="s">
        <v>1300</v>
      </c>
      <c r="D115" s="1658" t="s">
        <v>1300</v>
      </c>
      <c r="E115" s="1652">
        <v>1.02</v>
      </c>
      <c r="F115" s="1653">
        <v>1.02</v>
      </c>
      <c r="G115" s="1653">
        <v>1.02</v>
      </c>
      <c r="H115" s="1653">
        <v>1.02</v>
      </c>
      <c r="I115" s="1653">
        <v>1.02</v>
      </c>
    </row>
    <row r="116" spans="1:9">
      <c r="A116" s="1658" t="s">
        <v>1300</v>
      </c>
      <c r="B116" s="1658" t="s">
        <v>1300</v>
      </c>
      <c r="C116" s="1658" t="s">
        <v>1300</v>
      </c>
      <c r="D116" s="1658" t="s">
        <v>1300</v>
      </c>
      <c r="E116" s="1652">
        <v>1.19</v>
      </c>
      <c r="F116" s="1653">
        <v>1.19</v>
      </c>
      <c r="G116" s="1653">
        <v>1.19</v>
      </c>
      <c r="H116" s="1653">
        <v>1.19</v>
      </c>
      <c r="I116" s="1653">
        <v>1.19</v>
      </c>
    </row>
    <row r="117" spans="1:9">
      <c r="A117" s="1658" t="s">
        <v>1300</v>
      </c>
      <c r="B117" s="1658" t="s">
        <v>1300</v>
      </c>
      <c r="C117" s="1658" t="s">
        <v>1300</v>
      </c>
      <c r="D117" s="1658" t="s">
        <v>1300</v>
      </c>
      <c r="E117" s="1652">
        <v>1.2</v>
      </c>
      <c r="F117" s="1653">
        <v>1.2</v>
      </c>
      <c r="G117" s="1653">
        <v>1.2</v>
      </c>
      <c r="H117" s="1653">
        <v>1.2</v>
      </c>
      <c r="I117" s="1653">
        <v>1.2</v>
      </c>
    </row>
    <row r="118" spans="1:9">
      <c r="A118" s="1658" t="s">
        <v>1300</v>
      </c>
      <c r="B118" s="1658" t="s">
        <v>1300</v>
      </c>
      <c r="C118" s="1658" t="s">
        <v>1300</v>
      </c>
      <c r="D118" s="1658" t="s">
        <v>1300</v>
      </c>
      <c r="E118" s="1652">
        <v>1.21</v>
      </c>
      <c r="F118" s="1653">
        <v>1.21</v>
      </c>
      <c r="G118" s="1653">
        <v>1.21</v>
      </c>
      <c r="H118" s="1653">
        <v>1.21</v>
      </c>
      <c r="I118" s="1653">
        <v>1.21</v>
      </c>
    </row>
    <row r="119" spans="1:9">
      <c r="A119" s="1658" t="s">
        <v>1300</v>
      </c>
      <c r="B119" s="1658" t="s">
        <v>1300</v>
      </c>
      <c r="C119" s="1658" t="s">
        <v>1300</v>
      </c>
      <c r="D119" s="1658" t="s">
        <v>1300</v>
      </c>
      <c r="E119" s="1652">
        <v>1.22</v>
      </c>
      <c r="F119" s="1653">
        <v>1.22</v>
      </c>
      <c r="G119" s="1653">
        <v>1.22</v>
      </c>
      <c r="H119" s="1653">
        <v>1.22</v>
      </c>
      <c r="I119" s="1653">
        <v>1.22</v>
      </c>
    </row>
    <row r="120" spans="1:9">
      <c r="A120" s="1658" t="s">
        <v>1300</v>
      </c>
      <c r="B120" s="1658" t="s">
        <v>1300</v>
      </c>
      <c r="C120" s="1658" t="s">
        <v>1300</v>
      </c>
      <c r="D120" s="1658" t="s">
        <v>1300</v>
      </c>
      <c r="E120" s="1652">
        <v>1.23</v>
      </c>
      <c r="F120" s="1653">
        <v>1.23</v>
      </c>
      <c r="G120" s="1653">
        <v>1.23</v>
      </c>
      <c r="H120" s="1653">
        <v>1.23</v>
      </c>
      <c r="I120" s="1653">
        <v>1.23</v>
      </c>
    </row>
    <row r="121" spans="1:9">
      <c r="A121" s="1658" t="s">
        <v>1300</v>
      </c>
      <c r="B121" s="1658" t="s">
        <v>1300</v>
      </c>
      <c r="C121" s="1658" t="s">
        <v>1300</v>
      </c>
      <c r="D121" s="1658" t="s">
        <v>1300</v>
      </c>
      <c r="E121" s="1652">
        <v>1.24</v>
      </c>
      <c r="F121" s="1653">
        <v>1.24</v>
      </c>
      <c r="G121" s="1653">
        <v>1.24</v>
      </c>
      <c r="H121" s="1653">
        <v>1.24</v>
      </c>
      <c r="I121" s="1653">
        <v>1.24</v>
      </c>
    </row>
    <row r="122" spans="1:9">
      <c r="A122" s="1658" t="s">
        <v>1300</v>
      </c>
      <c r="B122" s="1658" t="s">
        <v>1300</v>
      </c>
      <c r="C122" s="1658" t="s">
        <v>1300</v>
      </c>
      <c r="D122" s="1658" t="s">
        <v>1300</v>
      </c>
      <c r="E122" s="1652">
        <v>1.25</v>
      </c>
      <c r="F122" s="1653">
        <v>1.25</v>
      </c>
      <c r="G122" s="1653">
        <v>1.25</v>
      </c>
      <c r="H122" s="1653">
        <v>1.25</v>
      </c>
      <c r="I122" s="1653">
        <v>1.25</v>
      </c>
    </row>
    <row r="123" spans="1:9">
      <c r="A123" s="1658" t="s">
        <v>1300</v>
      </c>
      <c r="B123" s="1658" t="s">
        <v>1300</v>
      </c>
      <c r="C123" s="1658" t="s">
        <v>1300</v>
      </c>
      <c r="D123" s="1658" t="s">
        <v>1300</v>
      </c>
      <c r="E123" s="1652">
        <v>1.26</v>
      </c>
      <c r="F123" s="1653">
        <v>1.26</v>
      </c>
      <c r="G123" s="1653">
        <v>1.26</v>
      </c>
      <c r="H123" s="1653">
        <v>1.26</v>
      </c>
      <c r="I123" s="1653">
        <v>1.26</v>
      </c>
    </row>
    <row r="124" spans="1:9">
      <c r="A124" s="1658" t="s">
        <v>1300</v>
      </c>
      <c r="B124" s="1658" t="s">
        <v>1300</v>
      </c>
      <c r="C124" s="1658" t="s">
        <v>1300</v>
      </c>
      <c r="D124" s="1658" t="s">
        <v>1300</v>
      </c>
      <c r="E124" s="1652">
        <v>1.33</v>
      </c>
      <c r="F124" s="1653">
        <v>1.33</v>
      </c>
      <c r="G124" s="1653">
        <v>1.33</v>
      </c>
      <c r="H124" s="1653">
        <v>1.33</v>
      </c>
      <c r="I124" s="1653">
        <v>1.33</v>
      </c>
    </row>
    <row r="125" spans="1:9">
      <c r="A125" s="1658" t="s">
        <v>1300</v>
      </c>
      <c r="B125" s="1658" t="s">
        <v>1300</v>
      </c>
      <c r="C125" s="1658" t="s">
        <v>1300</v>
      </c>
      <c r="D125" s="1658" t="s">
        <v>1300</v>
      </c>
      <c r="E125" s="1652" t="s">
        <v>1300</v>
      </c>
      <c r="F125" s="1653">
        <v>1.34</v>
      </c>
      <c r="G125" s="1653">
        <v>1.34</v>
      </c>
      <c r="H125" s="1653">
        <v>1.34</v>
      </c>
      <c r="I125" s="1653">
        <v>1.34</v>
      </c>
    </row>
    <row r="126" spans="1:9">
      <c r="A126" s="1658" t="s">
        <v>1300</v>
      </c>
      <c r="B126" s="1658" t="s">
        <v>1300</v>
      </c>
      <c r="C126" s="1658" t="s">
        <v>1300</v>
      </c>
      <c r="D126" s="1658" t="s">
        <v>1300</v>
      </c>
      <c r="E126" s="1652" t="s">
        <v>1300</v>
      </c>
      <c r="F126" s="1653">
        <v>1.35</v>
      </c>
      <c r="G126" s="1653">
        <v>1.35</v>
      </c>
      <c r="H126" s="1653">
        <v>1.35</v>
      </c>
      <c r="I126" s="1653">
        <v>1.35</v>
      </c>
    </row>
    <row r="127" spans="1:9">
      <c r="A127" s="1658" t="s">
        <v>1300</v>
      </c>
      <c r="B127" s="1658" t="s">
        <v>1300</v>
      </c>
      <c r="C127" s="1658" t="s">
        <v>1300</v>
      </c>
      <c r="D127" s="1658" t="s">
        <v>1300</v>
      </c>
      <c r="E127" s="1652" t="s">
        <v>1300</v>
      </c>
      <c r="F127" s="1653">
        <v>1.36</v>
      </c>
      <c r="G127" s="1653">
        <v>1.36</v>
      </c>
      <c r="H127" s="1653">
        <v>1.36</v>
      </c>
      <c r="I127" s="1653">
        <v>1.36</v>
      </c>
    </row>
    <row r="128" spans="1:9">
      <c r="A128" s="1658" t="s">
        <v>1300</v>
      </c>
      <c r="B128" s="1658" t="s">
        <v>1300</v>
      </c>
      <c r="C128" s="1658" t="s">
        <v>1300</v>
      </c>
      <c r="D128" s="1658" t="s">
        <v>1300</v>
      </c>
      <c r="E128" s="1652" t="s">
        <v>1300</v>
      </c>
      <c r="F128" s="1653">
        <v>1.37</v>
      </c>
      <c r="G128" s="1653">
        <v>1.37</v>
      </c>
      <c r="H128" s="1653">
        <v>1.37</v>
      </c>
      <c r="I128" s="1653">
        <v>1.37</v>
      </c>
    </row>
    <row r="129" spans="1:9">
      <c r="A129" s="1658" t="s">
        <v>1300</v>
      </c>
      <c r="B129" s="1658" t="s">
        <v>1300</v>
      </c>
      <c r="C129" s="1658" t="s">
        <v>1300</v>
      </c>
      <c r="D129" s="1658" t="s">
        <v>1300</v>
      </c>
      <c r="E129" s="1652" t="s">
        <v>1300</v>
      </c>
      <c r="F129" s="1653">
        <v>1.38</v>
      </c>
      <c r="G129" s="1653">
        <v>1.38</v>
      </c>
      <c r="H129" s="1653">
        <v>1.38</v>
      </c>
      <c r="I129" s="1653">
        <v>1.38</v>
      </c>
    </row>
    <row r="130" spans="1:9">
      <c r="A130" s="1658" t="s">
        <v>1300</v>
      </c>
      <c r="B130" s="1658" t="s">
        <v>1300</v>
      </c>
      <c r="C130" s="1658" t="s">
        <v>1300</v>
      </c>
      <c r="D130" s="1658" t="s">
        <v>1300</v>
      </c>
      <c r="E130" s="1652" t="s">
        <v>1300</v>
      </c>
      <c r="F130" s="1653">
        <v>1.43</v>
      </c>
      <c r="G130" s="1653">
        <v>1.43</v>
      </c>
      <c r="H130" s="1653">
        <v>1.43</v>
      </c>
      <c r="I130" s="1653">
        <v>1.43</v>
      </c>
    </row>
    <row r="131" spans="1:9">
      <c r="A131" s="1658" t="s">
        <v>1300</v>
      </c>
      <c r="B131" s="1658" t="s">
        <v>1300</v>
      </c>
      <c r="C131" s="1658" t="s">
        <v>1300</v>
      </c>
      <c r="D131" s="1658" t="s">
        <v>1300</v>
      </c>
      <c r="E131" s="1652" t="s">
        <v>1300</v>
      </c>
      <c r="F131" s="1657" t="s">
        <v>1088</v>
      </c>
      <c r="G131" s="1657" t="s">
        <v>1088</v>
      </c>
      <c r="H131" s="1657" t="s">
        <v>1088</v>
      </c>
      <c r="I131" s="1657" t="s">
        <v>1088</v>
      </c>
    </row>
    <row r="132" spans="1:9">
      <c r="A132" s="1658" t="s">
        <v>1300</v>
      </c>
      <c r="B132" s="1658" t="s">
        <v>1300</v>
      </c>
      <c r="C132" s="1658" t="s">
        <v>1300</v>
      </c>
      <c r="D132" s="1658" t="s">
        <v>1300</v>
      </c>
      <c r="E132" s="1652" t="s">
        <v>1300</v>
      </c>
      <c r="F132" s="1653">
        <v>2.11</v>
      </c>
      <c r="G132" s="1653">
        <v>2.11</v>
      </c>
      <c r="H132" s="1653">
        <v>2.11</v>
      </c>
      <c r="I132" s="1653">
        <v>2.11</v>
      </c>
    </row>
    <row r="133" spans="1:9">
      <c r="A133" s="1658" t="s">
        <v>1300</v>
      </c>
      <c r="B133" s="1658" t="s">
        <v>1300</v>
      </c>
      <c r="C133" s="1658" t="s">
        <v>1300</v>
      </c>
      <c r="D133" s="1658" t="s">
        <v>1300</v>
      </c>
      <c r="E133" s="1651">
        <v>3.02</v>
      </c>
      <c r="F133" s="1654">
        <v>3.02</v>
      </c>
      <c r="G133" s="1654">
        <v>3.02</v>
      </c>
      <c r="H133" s="1654">
        <v>3.02</v>
      </c>
      <c r="I133" s="1654">
        <v>3.02</v>
      </c>
    </row>
    <row r="134" spans="1:9">
      <c r="A134" s="1658" t="s">
        <v>1300</v>
      </c>
      <c r="B134" s="1658" t="s">
        <v>1300</v>
      </c>
      <c r="C134" s="1658" t="s">
        <v>1300</v>
      </c>
      <c r="D134" s="1658" t="s">
        <v>1300</v>
      </c>
      <c r="E134" s="1651">
        <v>3.06</v>
      </c>
      <c r="F134" s="1654">
        <v>3.06</v>
      </c>
      <c r="G134" s="1654">
        <v>3.06</v>
      </c>
      <c r="H134" s="1654">
        <v>3.06</v>
      </c>
      <c r="I134" s="1654">
        <v>3.06</v>
      </c>
    </row>
    <row r="135" spans="1:9">
      <c r="A135" s="1658" t="s">
        <v>1300</v>
      </c>
      <c r="B135" s="1658" t="s">
        <v>1300</v>
      </c>
      <c r="C135" s="1658" t="s">
        <v>1300</v>
      </c>
      <c r="D135" s="1658" t="s">
        <v>1300</v>
      </c>
      <c r="E135" s="1651" t="s">
        <v>1300</v>
      </c>
      <c r="F135" s="1654">
        <v>3.07</v>
      </c>
      <c r="G135" s="1654">
        <v>3.07</v>
      </c>
      <c r="H135" s="1654">
        <v>3.07</v>
      </c>
      <c r="I135" s="1654">
        <v>3.07</v>
      </c>
    </row>
    <row r="136" spans="1:9">
      <c r="A136" s="1658" t="s">
        <v>1300</v>
      </c>
      <c r="B136" s="1658" t="s">
        <v>1300</v>
      </c>
      <c r="C136" s="1658" t="s">
        <v>1300</v>
      </c>
      <c r="D136" s="1658" t="s">
        <v>1300</v>
      </c>
      <c r="E136" s="1651" t="s">
        <v>1300</v>
      </c>
      <c r="F136" s="1654">
        <v>3.08</v>
      </c>
      <c r="G136" s="1654">
        <v>3.08</v>
      </c>
      <c r="H136" s="1654">
        <v>3.08</v>
      </c>
      <c r="I136" s="1654">
        <v>3.08</v>
      </c>
    </row>
    <row r="137" spans="1:9">
      <c r="A137" s="1658" t="s">
        <v>1300</v>
      </c>
      <c r="B137" s="1658" t="s">
        <v>1300</v>
      </c>
      <c r="C137" s="1658" t="s">
        <v>1300</v>
      </c>
      <c r="D137" s="1658" t="s">
        <v>1300</v>
      </c>
      <c r="E137" s="1651" t="s">
        <v>1300</v>
      </c>
      <c r="F137" s="1654">
        <v>3.09</v>
      </c>
      <c r="G137" s="1654">
        <v>3.09</v>
      </c>
      <c r="H137" s="1654">
        <v>3.09</v>
      </c>
      <c r="I137" s="1654">
        <v>3.09</v>
      </c>
    </row>
    <row r="138" spans="1:9">
      <c r="A138" s="1658" t="s">
        <v>1300</v>
      </c>
      <c r="B138" s="1658" t="s">
        <v>1300</v>
      </c>
      <c r="C138" s="1658" t="s">
        <v>1300</v>
      </c>
      <c r="D138" s="1658" t="s">
        <v>1300</v>
      </c>
      <c r="E138" s="1651">
        <v>4.03</v>
      </c>
      <c r="F138" s="1654">
        <v>4.03</v>
      </c>
      <c r="G138" s="1654">
        <v>4.03</v>
      </c>
      <c r="H138" s="1654">
        <v>4.03</v>
      </c>
      <c r="I138" s="1654">
        <v>4.03</v>
      </c>
    </row>
    <row r="139" spans="1:9">
      <c r="A139" s="1658" t="s">
        <v>1300</v>
      </c>
      <c r="B139" s="1658" t="s">
        <v>1300</v>
      </c>
      <c r="C139" s="1658" t="s">
        <v>1300</v>
      </c>
      <c r="D139" s="1658" t="s">
        <v>1300</v>
      </c>
      <c r="E139" s="1651">
        <v>5.01</v>
      </c>
      <c r="F139" s="1654">
        <v>5.0199999999999996</v>
      </c>
      <c r="G139" s="1654">
        <v>5.01</v>
      </c>
      <c r="H139" s="1654">
        <v>5.01</v>
      </c>
      <c r="I139" s="1654">
        <v>5.01</v>
      </c>
    </row>
    <row r="140" spans="1:9">
      <c r="A140" s="1658" t="s">
        <v>1300</v>
      </c>
      <c r="B140" s="1658" t="s">
        <v>1300</v>
      </c>
      <c r="C140" s="1658" t="s">
        <v>1300</v>
      </c>
      <c r="D140" s="1658" t="s">
        <v>1300</v>
      </c>
      <c r="E140" s="1651">
        <v>5.0199999999999996</v>
      </c>
      <c r="F140" s="1654">
        <v>5.0199999999999996</v>
      </c>
      <c r="G140" s="1654">
        <v>5.01</v>
      </c>
      <c r="H140" s="1654">
        <v>5.01</v>
      </c>
      <c r="I140" s="1654">
        <v>5.01</v>
      </c>
    </row>
    <row r="141" spans="1:9">
      <c r="A141" s="1658" t="s">
        <v>1300</v>
      </c>
      <c r="B141" s="1658" t="s">
        <v>1300</v>
      </c>
      <c r="C141" s="1658" t="s">
        <v>1300</v>
      </c>
      <c r="D141" s="1658" t="s">
        <v>1300</v>
      </c>
      <c r="E141" s="1651">
        <v>5.03</v>
      </c>
      <c r="F141" s="1654">
        <v>5.0199999999999996</v>
      </c>
      <c r="G141" s="1654">
        <v>5.01</v>
      </c>
      <c r="H141" s="1654">
        <v>5.01</v>
      </c>
      <c r="I141" s="1654">
        <v>5.01</v>
      </c>
    </row>
    <row r="142" spans="1:9">
      <c r="A142" s="1658" t="s">
        <v>1300</v>
      </c>
      <c r="B142" s="1658" t="s">
        <v>1300</v>
      </c>
      <c r="C142" s="1658" t="s">
        <v>1300</v>
      </c>
      <c r="D142" s="1658" t="s">
        <v>1300</v>
      </c>
      <c r="E142" s="1652">
        <v>9.01</v>
      </c>
      <c r="F142" s="1653">
        <v>9.01</v>
      </c>
      <c r="G142" s="1653">
        <v>9.01</v>
      </c>
      <c r="H142" s="1653">
        <v>9.19</v>
      </c>
      <c r="I142" s="1653">
        <v>9.19</v>
      </c>
    </row>
    <row r="143" spans="1:9">
      <c r="A143" s="1658" t="s">
        <v>1300</v>
      </c>
      <c r="B143" s="1658" t="s">
        <v>1300</v>
      </c>
      <c r="C143" s="1658" t="s">
        <v>1300</v>
      </c>
      <c r="D143" s="1658" t="s">
        <v>1300</v>
      </c>
      <c r="E143" s="1652">
        <v>9.02</v>
      </c>
      <c r="F143" s="1653">
        <v>9.02</v>
      </c>
      <c r="G143" s="1653">
        <v>9.02</v>
      </c>
      <c r="H143" s="1653">
        <v>9.02</v>
      </c>
      <c r="I143" s="1653">
        <v>9.02</v>
      </c>
    </row>
    <row r="144" spans="1:9">
      <c r="A144" s="1658" t="s">
        <v>1300</v>
      </c>
      <c r="B144" s="1658" t="s">
        <v>1300</v>
      </c>
      <c r="C144" s="1658" t="s">
        <v>1300</v>
      </c>
      <c r="D144" s="1658" t="s">
        <v>1300</v>
      </c>
      <c r="E144" s="1652">
        <v>9.0299999999999994</v>
      </c>
      <c r="F144" s="1653">
        <v>9.0299999999999994</v>
      </c>
      <c r="G144" s="1653">
        <v>9.0299999999999994</v>
      </c>
      <c r="H144" s="1653">
        <v>9.0299999999999994</v>
      </c>
      <c r="I144" s="1653">
        <v>9.0299999999999994</v>
      </c>
    </row>
    <row r="145" spans="1:9">
      <c r="A145" s="1658" t="s">
        <v>1300</v>
      </c>
      <c r="B145" s="1658" t="s">
        <v>1300</v>
      </c>
      <c r="C145" s="1658" t="s">
        <v>1300</v>
      </c>
      <c r="D145" s="1658" t="s">
        <v>1300</v>
      </c>
      <c r="E145" s="1659" t="s">
        <v>1300</v>
      </c>
      <c r="F145" s="1653">
        <v>9.0399999999999991</v>
      </c>
      <c r="G145" s="1653">
        <v>9.0399999999999991</v>
      </c>
      <c r="H145" s="1653">
        <v>9.0399999999999991</v>
      </c>
      <c r="I145" s="1653">
        <v>9.0399999999999991</v>
      </c>
    </row>
    <row r="146" spans="1:9">
      <c r="A146" s="1658" t="s">
        <v>1300</v>
      </c>
      <c r="B146" s="1658" t="s">
        <v>1300</v>
      </c>
      <c r="C146" s="1658" t="s">
        <v>1300</v>
      </c>
      <c r="D146" s="1658" t="s">
        <v>1300</v>
      </c>
      <c r="E146" s="1659" t="s">
        <v>1300</v>
      </c>
      <c r="F146" s="1653">
        <v>9.0500000000000007</v>
      </c>
      <c r="G146" s="1653">
        <v>9.0500000000000007</v>
      </c>
      <c r="H146" s="1653">
        <v>9.0500000000000007</v>
      </c>
      <c r="I146" s="1653">
        <v>9.0500000000000007</v>
      </c>
    </row>
    <row r="147" spans="1:9">
      <c r="A147" s="1651" t="s">
        <v>1300</v>
      </c>
      <c r="B147" s="1651" t="s">
        <v>1300</v>
      </c>
      <c r="C147" s="1651" t="s">
        <v>1300</v>
      </c>
      <c r="D147" s="1651" t="s">
        <v>1300</v>
      </c>
      <c r="E147" s="1652" t="s">
        <v>1300</v>
      </c>
      <c r="F147" s="1653">
        <v>9.06</v>
      </c>
      <c r="G147" s="1653">
        <v>9.06</v>
      </c>
      <c r="H147" s="1653">
        <v>9.06</v>
      </c>
      <c r="I147" s="1653">
        <v>9.06</v>
      </c>
    </row>
    <row r="148" spans="1:9">
      <c r="A148" s="1651" t="s">
        <v>1300</v>
      </c>
      <c r="B148" s="1651" t="s">
        <v>1300</v>
      </c>
      <c r="C148" s="1651" t="s">
        <v>1300</v>
      </c>
      <c r="D148" s="1651" t="s">
        <v>1300</v>
      </c>
      <c r="E148" s="1652" t="s">
        <v>1300</v>
      </c>
      <c r="F148" s="1653">
        <v>9.07</v>
      </c>
      <c r="G148" s="1653">
        <v>9.07</v>
      </c>
      <c r="H148" s="1653">
        <v>9.07</v>
      </c>
      <c r="I148" s="1653">
        <v>9.07</v>
      </c>
    </row>
    <row r="149" spans="1:9">
      <c r="A149" s="1651" t="s">
        <v>1300</v>
      </c>
      <c r="B149" s="1651" t="s">
        <v>1300</v>
      </c>
      <c r="C149" s="1651" t="s">
        <v>1300</v>
      </c>
      <c r="D149" s="1651" t="s">
        <v>1300</v>
      </c>
      <c r="E149" s="1652" t="s">
        <v>1300</v>
      </c>
      <c r="F149" s="1653">
        <v>9.08</v>
      </c>
      <c r="G149" s="1653">
        <v>9.08</v>
      </c>
      <c r="H149" s="1653">
        <v>9.08</v>
      </c>
      <c r="I149" s="1653">
        <v>9.08</v>
      </c>
    </row>
    <row r="150" spans="1:9">
      <c r="A150" s="1658" t="s">
        <v>1300</v>
      </c>
      <c r="B150" s="1658" t="s">
        <v>1300</v>
      </c>
      <c r="C150" s="1658" t="s">
        <v>1300</v>
      </c>
      <c r="D150" s="1658" t="s">
        <v>1300</v>
      </c>
      <c r="E150" s="1652">
        <v>9.07</v>
      </c>
      <c r="F150" s="1653">
        <v>1.41</v>
      </c>
      <c r="G150" s="1653">
        <v>1.41</v>
      </c>
      <c r="H150" s="1653">
        <v>1.41</v>
      </c>
      <c r="I150" s="1653">
        <v>1.41</v>
      </c>
    </row>
    <row r="151" spans="1:9">
      <c r="A151" s="1658" t="s">
        <v>1300</v>
      </c>
      <c r="B151" s="1658" t="s">
        <v>1300</v>
      </c>
      <c r="C151" s="1658" t="s">
        <v>1300</v>
      </c>
      <c r="D151" s="1658" t="s">
        <v>1300</v>
      </c>
      <c r="E151" s="1652">
        <v>9.11</v>
      </c>
      <c r="F151" s="1653">
        <v>9.11</v>
      </c>
      <c r="G151" s="1653">
        <v>9.11</v>
      </c>
      <c r="H151" s="1653">
        <v>9.11</v>
      </c>
      <c r="I151" s="1653">
        <v>9.11</v>
      </c>
    </row>
    <row r="152" spans="1:9">
      <c r="A152" s="1658" t="s">
        <v>1300</v>
      </c>
      <c r="B152" s="1658" t="s">
        <v>1300</v>
      </c>
      <c r="C152" s="1658" t="s">
        <v>1300</v>
      </c>
      <c r="D152" s="1658" t="s">
        <v>1300</v>
      </c>
      <c r="E152" s="1652" t="s">
        <v>1300</v>
      </c>
      <c r="F152" s="1653">
        <v>9.15</v>
      </c>
      <c r="G152" s="1653">
        <v>9.15</v>
      </c>
      <c r="H152" s="1653">
        <v>9.15</v>
      </c>
      <c r="I152" s="1653">
        <v>9.15</v>
      </c>
    </row>
    <row r="153" spans="1:9">
      <c r="A153" s="1658" t="s">
        <v>1300</v>
      </c>
      <c r="B153" s="1658" t="s">
        <v>1300</v>
      </c>
      <c r="C153" s="1658" t="s">
        <v>1300</v>
      </c>
      <c r="D153" s="1658" t="s">
        <v>1300</v>
      </c>
      <c r="E153" s="1659" t="s">
        <v>1300</v>
      </c>
      <c r="F153" s="1653">
        <v>9.17</v>
      </c>
      <c r="G153" s="1653">
        <v>9.17</v>
      </c>
      <c r="H153" s="1653">
        <v>9.17</v>
      </c>
      <c r="I153" s="1653">
        <v>9.17</v>
      </c>
    </row>
    <row r="154" spans="1:9">
      <c r="A154" s="1658" t="s">
        <v>1300</v>
      </c>
      <c r="B154" s="1658" t="s">
        <v>1300</v>
      </c>
      <c r="C154" s="1658" t="s">
        <v>1300</v>
      </c>
      <c r="D154" s="1658" t="s">
        <v>1300</v>
      </c>
      <c r="E154" s="1659" t="s">
        <v>1300</v>
      </c>
      <c r="F154" s="1653">
        <v>9.18</v>
      </c>
      <c r="G154" s="1653">
        <v>9.18</v>
      </c>
      <c r="H154" s="1653">
        <v>9.18</v>
      </c>
      <c r="I154" s="1653">
        <v>9.18</v>
      </c>
    </row>
    <row r="155" spans="1:9">
      <c r="A155" s="1658" t="s">
        <v>1300</v>
      </c>
      <c r="B155" s="1658" t="s">
        <v>1300</v>
      </c>
      <c r="C155" s="1658" t="s">
        <v>1300</v>
      </c>
      <c r="D155" s="1658" t="s">
        <v>1300</v>
      </c>
      <c r="E155" s="1659" t="s">
        <v>1300</v>
      </c>
      <c r="F155" s="1653">
        <v>5.01</v>
      </c>
      <c r="G155" s="1653">
        <v>5.0199999999999996</v>
      </c>
      <c r="H155" s="1653">
        <v>5.0199999999999996</v>
      </c>
      <c r="I155" s="1653">
        <v>5.0199999999999996</v>
      </c>
    </row>
    <row r="156" spans="1:9">
      <c r="A156" s="1658" t="s">
        <v>1300</v>
      </c>
      <c r="B156" s="1658" t="s">
        <v>1300</v>
      </c>
      <c r="C156" s="1658" t="s">
        <v>1300</v>
      </c>
      <c r="D156" s="1658" t="s">
        <v>1300</v>
      </c>
      <c r="E156" s="1659" t="s">
        <v>1300</v>
      </c>
      <c r="F156" s="1653" t="s">
        <v>1300</v>
      </c>
      <c r="G156" s="1653">
        <v>1.44</v>
      </c>
      <c r="H156" s="1653">
        <v>1.44</v>
      </c>
      <c r="I156" s="1653">
        <v>1.44</v>
      </c>
    </row>
    <row r="157" spans="1:9">
      <c r="A157" s="1658" t="s">
        <v>1300</v>
      </c>
      <c r="B157" s="1658" t="s">
        <v>1300</v>
      </c>
      <c r="C157" s="1658" t="s">
        <v>1300</v>
      </c>
      <c r="D157" s="1658" t="s">
        <v>1300</v>
      </c>
      <c r="E157" s="1659" t="s">
        <v>1300</v>
      </c>
      <c r="F157" s="1653" t="s">
        <v>1300</v>
      </c>
      <c r="G157" s="1653" t="s">
        <v>1300</v>
      </c>
      <c r="H157" s="1653">
        <v>1.45</v>
      </c>
      <c r="I157" s="1653">
        <v>1.45</v>
      </c>
    </row>
    <row r="158" spans="1:9">
      <c r="A158" s="1658" t="s">
        <v>1300</v>
      </c>
      <c r="B158" s="1658" t="s">
        <v>1300</v>
      </c>
      <c r="C158" s="1658" t="s">
        <v>1300</v>
      </c>
      <c r="D158" s="1658" t="s">
        <v>1300</v>
      </c>
      <c r="E158" s="1659" t="s">
        <v>1300</v>
      </c>
      <c r="F158" s="1653" t="s">
        <v>1300</v>
      </c>
      <c r="G158" s="1653" t="s">
        <v>1300</v>
      </c>
      <c r="H158" s="1653">
        <v>1.46</v>
      </c>
      <c r="I158" s="1653">
        <v>1.46</v>
      </c>
    </row>
    <row r="159" spans="1:9">
      <c r="A159" s="1658" t="s">
        <v>1300</v>
      </c>
      <c r="B159" s="1658" t="s">
        <v>1300</v>
      </c>
      <c r="C159" s="1658" t="s">
        <v>1300</v>
      </c>
      <c r="D159" s="1658" t="s">
        <v>1300</v>
      </c>
      <c r="E159" s="1659" t="s">
        <v>1300</v>
      </c>
      <c r="F159" s="1653" t="s">
        <v>1300</v>
      </c>
      <c r="G159" s="1653" t="s">
        <v>1300</v>
      </c>
      <c r="H159" s="1653">
        <v>1.47</v>
      </c>
      <c r="I159" s="1653">
        <v>1.47</v>
      </c>
    </row>
    <row r="160" spans="1:9">
      <c r="A160" s="1658" t="s">
        <v>1300</v>
      </c>
      <c r="B160" s="1658" t="s">
        <v>1300</v>
      </c>
      <c r="C160" s="1658" t="s">
        <v>1300</v>
      </c>
      <c r="D160" s="1658" t="s">
        <v>1300</v>
      </c>
      <c r="E160" s="1659" t="s">
        <v>1300</v>
      </c>
      <c r="F160" s="1653" t="s">
        <v>1300</v>
      </c>
      <c r="G160" s="1653" t="s">
        <v>1300</v>
      </c>
      <c r="H160" s="1653">
        <v>1.48</v>
      </c>
      <c r="I160" s="1653">
        <v>1.48</v>
      </c>
    </row>
    <row r="161" spans="1:9">
      <c r="A161" s="1658" t="s">
        <v>1300</v>
      </c>
      <c r="B161" s="1658" t="s">
        <v>1300</v>
      </c>
      <c r="C161" s="1658" t="s">
        <v>1300</v>
      </c>
      <c r="D161" s="1658" t="s">
        <v>1300</v>
      </c>
      <c r="E161" s="1659" t="s">
        <v>1300</v>
      </c>
      <c r="F161" s="1653" t="s">
        <v>1300</v>
      </c>
      <c r="G161" s="1653" t="s">
        <v>1300</v>
      </c>
      <c r="H161" s="1653">
        <v>1.49</v>
      </c>
      <c r="I161" s="1653">
        <v>1.49</v>
      </c>
    </row>
    <row r="162" spans="1:9">
      <c r="A162" s="1658" t="s">
        <v>1300</v>
      </c>
      <c r="B162" s="1658" t="s">
        <v>1300</v>
      </c>
      <c r="C162" s="1658" t="s">
        <v>1300</v>
      </c>
      <c r="D162" s="1658" t="s">
        <v>1300</v>
      </c>
      <c r="E162" s="1659" t="s">
        <v>1300</v>
      </c>
      <c r="F162" s="1653" t="s">
        <v>1300</v>
      </c>
      <c r="G162" s="1653">
        <v>2.12</v>
      </c>
      <c r="H162" s="1653">
        <v>2.12</v>
      </c>
      <c r="I162" s="1653">
        <v>2.02</v>
      </c>
    </row>
    <row r="163" spans="1:9">
      <c r="A163" s="1658" t="s">
        <v>1300</v>
      </c>
      <c r="B163" s="1658" t="s">
        <v>1300</v>
      </c>
      <c r="C163" s="1658" t="s">
        <v>1300</v>
      </c>
      <c r="D163" s="1658" t="s">
        <v>1300</v>
      </c>
      <c r="E163" s="1659" t="s">
        <v>1300</v>
      </c>
      <c r="F163" s="1653" t="s">
        <v>1300</v>
      </c>
      <c r="G163" s="1653" t="s">
        <v>1300</v>
      </c>
      <c r="H163" s="1653">
        <v>2.13</v>
      </c>
      <c r="I163" s="1653">
        <v>10.029999999999999</v>
      </c>
    </row>
    <row r="164" spans="1:9">
      <c r="A164" s="1658" t="s">
        <v>1300</v>
      </c>
      <c r="B164" s="1658" t="s">
        <v>1300</v>
      </c>
      <c r="C164" s="1658" t="s">
        <v>1300</v>
      </c>
      <c r="D164" s="1658" t="s">
        <v>1300</v>
      </c>
      <c r="E164" s="1659" t="s">
        <v>1300</v>
      </c>
      <c r="F164" s="1653" t="s">
        <v>1300</v>
      </c>
      <c r="G164" s="1653">
        <v>3.11</v>
      </c>
      <c r="H164" s="1653">
        <v>3.11</v>
      </c>
      <c r="I164" s="1653">
        <v>3.11</v>
      </c>
    </row>
    <row r="165" spans="1:9">
      <c r="A165" s="1658" t="s">
        <v>1300</v>
      </c>
      <c r="B165" s="1658" t="s">
        <v>1300</v>
      </c>
      <c r="C165" s="1658" t="s">
        <v>1300</v>
      </c>
      <c r="D165" s="1658" t="s">
        <v>1300</v>
      </c>
      <c r="E165" s="1659" t="s">
        <v>1300</v>
      </c>
      <c r="F165" s="1653" t="s">
        <v>1300</v>
      </c>
      <c r="G165" s="1653">
        <v>3.12</v>
      </c>
      <c r="H165" s="1653">
        <v>3.12</v>
      </c>
      <c r="I165" s="1653">
        <v>3.12</v>
      </c>
    </row>
    <row r="166" spans="1:9">
      <c r="A166" s="1658" t="s">
        <v>1300</v>
      </c>
      <c r="B166" s="1658" t="s">
        <v>1300</v>
      </c>
      <c r="C166" s="1658" t="s">
        <v>1300</v>
      </c>
      <c r="D166" s="1658" t="s">
        <v>1300</v>
      </c>
      <c r="E166" s="1659" t="s">
        <v>1300</v>
      </c>
      <c r="F166" s="1653" t="s">
        <v>1300</v>
      </c>
      <c r="G166" s="1653">
        <v>3.13</v>
      </c>
      <c r="H166" s="1653">
        <v>3.13</v>
      </c>
      <c r="I166" s="1653">
        <v>3.13</v>
      </c>
    </row>
    <row r="167" spans="1:9">
      <c r="A167" s="1658" t="s">
        <v>1300</v>
      </c>
      <c r="B167" s="1658" t="s">
        <v>1300</v>
      </c>
      <c r="C167" s="1658" t="s">
        <v>1300</v>
      </c>
      <c r="D167" s="1658" t="s">
        <v>1300</v>
      </c>
      <c r="E167" s="1659" t="s">
        <v>1300</v>
      </c>
      <c r="F167" s="1653" t="s">
        <v>1300</v>
      </c>
      <c r="G167" s="1653">
        <v>4.1100000000000003</v>
      </c>
      <c r="H167" s="1653">
        <v>4.1100000000000003</v>
      </c>
      <c r="I167" s="1653">
        <v>4.1100000000000003</v>
      </c>
    </row>
    <row r="168" spans="1:9">
      <c r="A168" s="1658" t="s">
        <v>1300</v>
      </c>
      <c r="B168" s="1658" t="s">
        <v>1300</v>
      </c>
      <c r="C168" s="1658" t="s">
        <v>1300</v>
      </c>
      <c r="D168" s="1658" t="s">
        <v>1300</v>
      </c>
      <c r="E168" s="1659" t="s">
        <v>1300</v>
      </c>
      <c r="F168" s="1653" t="s">
        <v>1300</v>
      </c>
      <c r="G168" s="1653">
        <v>4.12</v>
      </c>
      <c r="H168" s="1653">
        <v>4.12</v>
      </c>
      <c r="I168" s="1653">
        <v>4.12</v>
      </c>
    </row>
    <row r="169" spans="1:9">
      <c r="A169" s="1658" t="s">
        <v>1300</v>
      </c>
      <c r="B169" s="1658" t="s">
        <v>1300</v>
      </c>
      <c r="C169" s="1658" t="s">
        <v>1300</v>
      </c>
      <c r="D169" s="1658" t="s">
        <v>1300</v>
      </c>
      <c r="E169" s="1659" t="s">
        <v>1300</v>
      </c>
      <c r="F169" s="1653" t="s">
        <v>1300</v>
      </c>
      <c r="G169" s="1653">
        <v>4.13</v>
      </c>
      <c r="H169" s="1653">
        <v>4.13</v>
      </c>
      <c r="I169" s="1653">
        <v>4.13</v>
      </c>
    </row>
    <row r="170" spans="1:9">
      <c r="A170" s="1658" t="s">
        <v>1300</v>
      </c>
      <c r="B170" s="1658" t="s">
        <v>1300</v>
      </c>
      <c r="C170" s="1658" t="s">
        <v>1300</v>
      </c>
      <c r="D170" s="1658" t="s">
        <v>1300</v>
      </c>
      <c r="E170" s="1659" t="s">
        <v>1300</v>
      </c>
      <c r="F170" s="1653" t="s">
        <v>1300</v>
      </c>
      <c r="G170" s="1653">
        <v>5.03</v>
      </c>
      <c r="H170" s="1653">
        <v>5.03</v>
      </c>
      <c r="I170" s="1653">
        <v>5.03</v>
      </c>
    </row>
    <row r="171" spans="1:9">
      <c r="A171" s="1658" t="s">
        <v>1300</v>
      </c>
      <c r="B171" s="1658" t="s">
        <v>1300</v>
      </c>
      <c r="C171" s="1658" t="s">
        <v>1300</v>
      </c>
      <c r="D171" s="1658" t="s">
        <v>1300</v>
      </c>
      <c r="E171" s="1659" t="s">
        <v>1300</v>
      </c>
      <c r="F171" s="1653" t="s">
        <v>1300</v>
      </c>
      <c r="G171" s="1653">
        <v>5.04</v>
      </c>
      <c r="H171" s="1653">
        <v>5.04</v>
      </c>
      <c r="I171" s="1653">
        <v>5.04</v>
      </c>
    </row>
    <row r="172" spans="1:9">
      <c r="A172" s="1658" t="s">
        <v>1300</v>
      </c>
      <c r="B172" s="1658" t="s">
        <v>1300</v>
      </c>
      <c r="C172" s="1658" t="s">
        <v>1300</v>
      </c>
      <c r="D172" s="1658" t="s">
        <v>1300</v>
      </c>
      <c r="E172" s="1659" t="s">
        <v>1300</v>
      </c>
      <c r="F172" s="1653" t="s">
        <v>1300</v>
      </c>
      <c r="G172" s="1653">
        <v>7.06</v>
      </c>
      <c r="H172" s="1653">
        <v>7.06</v>
      </c>
      <c r="I172" s="1653">
        <v>1.5</v>
      </c>
    </row>
    <row r="173" spans="1:9">
      <c r="A173" s="1658" t="s">
        <v>1300</v>
      </c>
      <c r="B173" s="1658" t="s">
        <v>1300</v>
      </c>
      <c r="C173" s="1658" t="s">
        <v>1300</v>
      </c>
      <c r="D173" s="1658" t="s">
        <v>1300</v>
      </c>
      <c r="E173" s="1659" t="s">
        <v>1300</v>
      </c>
      <c r="F173" s="1653" t="s">
        <v>1300</v>
      </c>
      <c r="G173" s="1653" t="s">
        <v>1300</v>
      </c>
      <c r="H173" s="1653">
        <v>8.11</v>
      </c>
      <c r="I173" s="1653">
        <v>8.11</v>
      </c>
    </row>
    <row r="174" spans="1:9">
      <c r="A174" s="1658" t="s">
        <v>1300</v>
      </c>
      <c r="B174" s="1658" t="s">
        <v>1300</v>
      </c>
      <c r="C174" s="1658" t="s">
        <v>1300</v>
      </c>
      <c r="D174" s="1658" t="s">
        <v>1300</v>
      </c>
      <c r="E174" s="1659" t="s">
        <v>1300</v>
      </c>
      <c r="F174" s="1653" t="s">
        <v>1300</v>
      </c>
      <c r="G174" s="1653" t="s">
        <v>1300</v>
      </c>
      <c r="H174" s="1653">
        <v>8.1199999999999992</v>
      </c>
      <c r="I174" s="1653">
        <v>8.02</v>
      </c>
    </row>
    <row r="175" spans="1:9">
      <c r="A175" s="1658" t="s">
        <v>1300</v>
      </c>
      <c r="B175" s="1658" t="s">
        <v>1300</v>
      </c>
      <c r="C175" s="1658" t="s">
        <v>1300</v>
      </c>
      <c r="D175" s="1658" t="s">
        <v>1300</v>
      </c>
      <c r="E175" s="1659" t="s">
        <v>1300</v>
      </c>
      <c r="F175" s="1653" t="s">
        <v>1300</v>
      </c>
      <c r="G175" s="1653" t="s">
        <v>1300</v>
      </c>
      <c r="H175" s="1653">
        <v>9.01</v>
      </c>
      <c r="I175" s="1653">
        <v>9.01</v>
      </c>
    </row>
    <row r="176" spans="1:9">
      <c r="A176" s="1658" t="s">
        <v>1300</v>
      </c>
      <c r="B176" s="1658" t="s">
        <v>1300</v>
      </c>
      <c r="C176" s="1658" t="s">
        <v>1300</v>
      </c>
      <c r="D176" s="1658" t="s">
        <v>1300</v>
      </c>
      <c r="E176" s="1659" t="s">
        <v>1300</v>
      </c>
      <c r="F176" s="1653" t="s">
        <v>1300</v>
      </c>
      <c r="G176" s="1653" t="s">
        <v>1300</v>
      </c>
      <c r="H176" s="1653">
        <v>9.1999999999999993</v>
      </c>
      <c r="I176" s="1653">
        <v>9.1999999999999993</v>
      </c>
    </row>
    <row r="177" spans="1:9">
      <c r="A177" s="1658" t="s">
        <v>1300</v>
      </c>
      <c r="B177" s="1658" t="s">
        <v>1300</v>
      </c>
      <c r="C177" s="1658" t="s">
        <v>1300</v>
      </c>
      <c r="D177" s="1658" t="s">
        <v>1300</v>
      </c>
      <c r="E177" s="1659" t="s">
        <v>1300</v>
      </c>
      <c r="F177" s="1653" t="s">
        <v>1300</v>
      </c>
      <c r="G177" s="1653" t="s">
        <v>1300</v>
      </c>
      <c r="H177" s="1653" t="s">
        <v>1300</v>
      </c>
      <c r="I177" s="1653">
        <v>1.51</v>
      </c>
    </row>
    <row r="178" spans="1:9">
      <c r="A178" s="1658" t="s">
        <v>1300</v>
      </c>
      <c r="B178" s="1658" t="s">
        <v>1300</v>
      </c>
      <c r="C178" s="1658" t="s">
        <v>1300</v>
      </c>
      <c r="D178" s="1658" t="s">
        <v>1300</v>
      </c>
      <c r="E178" s="1659" t="s">
        <v>1300</v>
      </c>
      <c r="F178" s="1653" t="s">
        <v>1300</v>
      </c>
      <c r="G178" s="1653" t="s">
        <v>1300</v>
      </c>
      <c r="H178" s="1653" t="s">
        <v>1300</v>
      </c>
      <c r="I178" s="1653">
        <v>2.0099999999999998</v>
      </c>
    </row>
    <row r="179" spans="1:9">
      <c r="A179" s="1658" t="s">
        <v>1300</v>
      </c>
      <c r="B179" s="1658" t="s">
        <v>1300</v>
      </c>
      <c r="C179" s="1658" t="s">
        <v>1300</v>
      </c>
      <c r="D179" s="1658" t="s">
        <v>1300</v>
      </c>
      <c r="E179" s="1659" t="s">
        <v>1300</v>
      </c>
      <c r="F179" s="1653" t="s">
        <v>1300</v>
      </c>
      <c r="G179" s="1653" t="s">
        <v>1300</v>
      </c>
      <c r="H179" s="1653" t="s">
        <v>1300</v>
      </c>
      <c r="I179" s="1653">
        <v>2.12</v>
      </c>
    </row>
    <row r="180" spans="1:9">
      <c r="A180" s="1658" t="s">
        <v>1300</v>
      </c>
      <c r="B180" s="1658" t="s">
        <v>1300</v>
      </c>
      <c r="C180" s="1658" t="s">
        <v>1300</v>
      </c>
      <c r="D180" s="1658" t="s">
        <v>1300</v>
      </c>
      <c r="E180" s="1659" t="s">
        <v>1300</v>
      </c>
      <c r="F180" s="1653" t="s">
        <v>1300</v>
      </c>
      <c r="G180" s="1653" t="s">
        <v>1300</v>
      </c>
      <c r="H180" s="1653" t="s">
        <v>1300</v>
      </c>
      <c r="I180" s="1653">
        <v>2.13</v>
      </c>
    </row>
    <row r="181" spans="1:9">
      <c r="A181" s="1658" t="s">
        <v>1300</v>
      </c>
      <c r="B181" s="1658" t="s">
        <v>1300</v>
      </c>
      <c r="C181" s="1658" t="s">
        <v>1300</v>
      </c>
      <c r="D181" s="1658" t="s">
        <v>1300</v>
      </c>
      <c r="E181" s="1659" t="s">
        <v>1300</v>
      </c>
      <c r="F181" s="1653" t="s">
        <v>1300</v>
      </c>
      <c r="G181" s="1653" t="s">
        <v>1300</v>
      </c>
      <c r="H181" s="1653" t="s">
        <v>1300</v>
      </c>
      <c r="I181" s="1653">
        <v>3.1</v>
      </c>
    </row>
    <row r="182" spans="1:9">
      <c r="A182" s="1658" t="s">
        <v>1300</v>
      </c>
      <c r="B182" s="1658" t="s">
        <v>1300</v>
      </c>
      <c r="C182" s="1658" t="s">
        <v>1300</v>
      </c>
      <c r="D182" s="1658" t="s">
        <v>1300</v>
      </c>
      <c r="E182" s="1659" t="s">
        <v>1300</v>
      </c>
      <c r="F182" s="1653" t="s">
        <v>1300</v>
      </c>
      <c r="G182" s="1653" t="s">
        <v>1300</v>
      </c>
      <c r="H182" s="1653" t="s">
        <v>1300</v>
      </c>
      <c r="I182" s="1653">
        <v>9.2100000000000009</v>
      </c>
    </row>
    <row r="184" spans="1:9">
      <c r="A184" s="1640" t="s">
        <v>1089</v>
      </c>
    </row>
    <row r="187" spans="1:9">
      <c r="A187" s="1660" t="s">
        <v>104</v>
      </c>
    </row>
  </sheetData>
  <phoneticPr fontId="39" type="noConversion"/>
  <pageMargins left="0.55000000000000004" right="0.35" top="0.46" bottom="0.56000000000000005" header="0.36" footer="0.28000000000000003"/>
  <pageSetup paperSize="9" scale="89" fitToHeight="2" orientation="portrait"/>
  <headerFooter alignWithMargins="0">
    <oddFooter>&amp;R&amp;P/&amp;N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CABAB-F48F-894C-9BAE-E60BF751B6BC}">
  <sheetPr>
    <pageSetUpPr fitToPage="1"/>
  </sheetPr>
  <dimension ref="A1:N186"/>
  <sheetViews>
    <sheetView workbookViewId="0">
      <selection activeCell="A5" sqref="A5:I5"/>
    </sheetView>
  </sheetViews>
  <sheetFormatPr baseColWidth="10" defaultColWidth="11.3984375" defaultRowHeight="11"/>
  <cols>
    <col min="1" max="1" width="11.3984375" style="1640"/>
    <col min="2" max="2" width="11.19921875" style="1639" customWidth="1"/>
    <col min="3" max="3" width="10.19921875" style="1639" customWidth="1"/>
    <col min="4" max="6" width="11.3984375" style="1639"/>
    <col min="7" max="7" width="10.796875" style="1639" customWidth="1"/>
    <col min="8" max="9" width="9.796875" style="1640" customWidth="1"/>
    <col min="10" max="11" width="11.3984375" style="1640"/>
    <col min="12" max="13" width="11.3984375" style="1639"/>
    <col min="14" max="16384" width="11.3984375" style="1640"/>
  </cols>
  <sheetData>
    <row r="1" spans="1:14" ht="16">
      <c r="A1" s="1637" t="s">
        <v>1090</v>
      </c>
    </row>
    <row r="2" spans="1:14" ht="12.75" customHeight="1">
      <c r="E2" s="1638"/>
      <c r="F2" s="1638"/>
    </row>
    <row r="3" spans="1:14" ht="16">
      <c r="A3" s="1637" t="s">
        <v>1091</v>
      </c>
      <c r="E3" s="1638"/>
      <c r="F3" s="1638"/>
    </row>
    <row r="4" spans="1:14" ht="15" customHeight="1">
      <c r="B4" s="1638"/>
      <c r="C4" s="1638"/>
      <c r="D4" s="1641"/>
      <c r="E4" s="1641"/>
      <c r="F4" s="1641"/>
      <c r="G4" s="1641"/>
      <c r="J4" s="1642"/>
      <c r="K4" s="1642"/>
      <c r="L4" s="1638"/>
      <c r="M4" s="1638"/>
    </row>
    <row r="5" spans="1:14" s="1646" customFormat="1" ht="28.5" customHeight="1">
      <c r="A5" s="1643" t="s">
        <v>972</v>
      </c>
      <c r="B5" s="1643" t="s">
        <v>971</v>
      </c>
      <c r="C5" s="1643" t="s">
        <v>970</v>
      </c>
      <c r="D5" s="1643" t="s">
        <v>969</v>
      </c>
      <c r="E5" s="1643" t="s">
        <v>1092</v>
      </c>
      <c r="F5" s="1643" t="s">
        <v>967</v>
      </c>
      <c r="G5" s="1643" t="s">
        <v>966</v>
      </c>
      <c r="H5" s="1643" t="s">
        <v>965</v>
      </c>
      <c r="I5" s="1643" t="s">
        <v>964</v>
      </c>
      <c r="K5" s="1644"/>
      <c r="L5" s="1644"/>
      <c r="M5" s="1645"/>
      <c r="N5" s="1645"/>
    </row>
    <row r="6" spans="1:14" ht="14.25" customHeight="1">
      <c r="A6" s="1661"/>
      <c r="B6" s="1661"/>
      <c r="C6" s="1661"/>
      <c r="D6" s="1647"/>
      <c r="E6" s="1647"/>
      <c r="F6" s="1647"/>
      <c r="G6" s="1647"/>
      <c r="H6" s="1647"/>
      <c r="I6" s="1647"/>
      <c r="L6" s="1640"/>
      <c r="N6" s="1639"/>
    </row>
    <row r="7" spans="1:14">
      <c r="A7" s="1650">
        <v>1.01</v>
      </c>
      <c r="B7" s="1650">
        <v>1.01</v>
      </c>
      <c r="C7" s="1650">
        <v>1.01</v>
      </c>
      <c r="D7" s="1650">
        <v>1.01</v>
      </c>
      <c r="E7" s="1649">
        <v>1.01</v>
      </c>
      <c r="F7" s="1662" t="s">
        <v>1300</v>
      </c>
      <c r="G7" s="1662" t="s">
        <v>1300</v>
      </c>
      <c r="H7" s="1662" t="s">
        <v>1300</v>
      </c>
      <c r="I7" s="1662" t="s">
        <v>1300</v>
      </c>
      <c r="L7" s="1640"/>
      <c r="N7" s="1639"/>
    </row>
    <row r="8" spans="1:14">
      <c r="A8" s="1650">
        <v>1.02</v>
      </c>
      <c r="B8" s="1650">
        <v>1.02</v>
      </c>
      <c r="C8" s="1650">
        <v>1.02</v>
      </c>
      <c r="D8" s="1650">
        <v>1.02</v>
      </c>
      <c r="E8" s="1649">
        <v>1.02</v>
      </c>
      <c r="F8" s="1662" t="s">
        <v>1300</v>
      </c>
      <c r="G8" s="1662" t="s">
        <v>1300</v>
      </c>
      <c r="H8" s="1662" t="s">
        <v>1300</v>
      </c>
      <c r="I8" s="1662" t="s">
        <v>1300</v>
      </c>
      <c r="L8" s="1640"/>
      <c r="N8" s="1639"/>
    </row>
    <row r="9" spans="1:14">
      <c r="A9" s="1650">
        <v>1.03</v>
      </c>
      <c r="B9" s="1650">
        <v>1.03</v>
      </c>
      <c r="C9" s="1650">
        <v>1.03</v>
      </c>
      <c r="D9" s="1650">
        <v>1.03</v>
      </c>
      <c r="E9" s="1649">
        <v>1.03</v>
      </c>
      <c r="F9" s="1648" t="s">
        <v>995</v>
      </c>
      <c r="G9" s="1648" t="s">
        <v>995</v>
      </c>
      <c r="H9" s="1648" t="s">
        <v>995</v>
      </c>
      <c r="I9" s="1648" t="s">
        <v>995</v>
      </c>
      <c r="L9" s="1640"/>
      <c r="N9" s="1639"/>
    </row>
    <row r="10" spans="1:14">
      <c r="A10" s="1653">
        <v>1.04</v>
      </c>
      <c r="B10" s="1653">
        <v>1.04</v>
      </c>
      <c r="C10" s="1653">
        <v>1.04</v>
      </c>
      <c r="D10" s="1653">
        <v>1.04</v>
      </c>
      <c r="E10" s="1652">
        <v>1.04</v>
      </c>
      <c r="F10" s="1651" t="s">
        <v>996</v>
      </c>
      <c r="G10" s="1651" t="s">
        <v>996</v>
      </c>
      <c r="H10" s="1651" t="s">
        <v>996</v>
      </c>
      <c r="I10" s="1651" t="s">
        <v>996</v>
      </c>
      <c r="L10" s="1640"/>
      <c r="N10" s="1639"/>
    </row>
    <row r="11" spans="1:14">
      <c r="A11" s="1653">
        <v>1.05</v>
      </c>
      <c r="B11" s="1653">
        <v>1.05</v>
      </c>
      <c r="C11" s="1653">
        <v>1.05</v>
      </c>
      <c r="D11" s="1653">
        <v>1.05</v>
      </c>
      <c r="E11" s="1652">
        <v>1.05</v>
      </c>
      <c r="F11" s="1651" t="s">
        <v>999</v>
      </c>
      <c r="G11" s="1651" t="s">
        <v>999</v>
      </c>
      <c r="H11" s="1651" t="s">
        <v>999</v>
      </c>
      <c r="I11" s="1651" t="s">
        <v>999</v>
      </c>
      <c r="L11" s="1640"/>
      <c r="N11" s="1639"/>
    </row>
    <row r="12" spans="1:14">
      <c r="A12" s="1653">
        <v>1.06</v>
      </c>
      <c r="B12" s="1653">
        <v>1.06</v>
      </c>
      <c r="C12" s="1653">
        <v>1.06</v>
      </c>
      <c r="D12" s="1653">
        <v>1.06</v>
      </c>
      <c r="E12" s="1652">
        <v>1.06</v>
      </c>
      <c r="F12" s="1651" t="s">
        <v>1000</v>
      </c>
      <c r="G12" s="1651" t="s">
        <v>1000</v>
      </c>
      <c r="H12" s="1651" t="s">
        <v>1000</v>
      </c>
      <c r="I12" s="1651" t="s">
        <v>1000</v>
      </c>
      <c r="L12" s="1640"/>
      <c r="N12" s="1639"/>
    </row>
    <row r="13" spans="1:14">
      <c r="A13" s="1653">
        <v>1.07</v>
      </c>
      <c r="B13" s="1653">
        <v>1.07</v>
      </c>
      <c r="C13" s="1653">
        <v>1.07</v>
      </c>
      <c r="D13" s="1653">
        <v>1.07</v>
      </c>
      <c r="E13" s="1652">
        <v>1.07</v>
      </c>
      <c r="F13" s="1651" t="s">
        <v>1015</v>
      </c>
      <c r="G13" s="1651" t="s">
        <v>1015</v>
      </c>
      <c r="H13" s="1651" t="s">
        <v>1015</v>
      </c>
      <c r="I13" s="1651" t="s">
        <v>1015</v>
      </c>
      <c r="L13" s="1640"/>
      <c r="N13" s="1639"/>
    </row>
    <row r="14" spans="1:14">
      <c r="A14" s="1653">
        <v>1.08</v>
      </c>
      <c r="B14" s="1653">
        <v>1.08</v>
      </c>
      <c r="C14" s="1653">
        <v>1.08</v>
      </c>
      <c r="D14" s="1653">
        <v>1.08</v>
      </c>
      <c r="E14" s="1652">
        <v>1.08</v>
      </c>
      <c r="F14" s="1651" t="s">
        <v>1016</v>
      </c>
      <c r="G14" s="1651" t="s">
        <v>1016</v>
      </c>
      <c r="H14" s="1651" t="s">
        <v>1016</v>
      </c>
      <c r="I14" s="1651" t="s">
        <v>1016</v>
      </c>
      <c r="L14" s="1640"/>
      <c r="N14" s="1639"/>
    </row>
    <row r="15" spans="1:14">
      <c r="A15" s="1653">
        <v>1.0900000000000001</v>
      </c>
      <c r="B15" s="1653">
        <v>1.0900000000000001</v>
      </c>
      <c r="C15" s="1653">
        <v>1.0900000000000001</v>
      </c>
      <c r="D15" s="1653">
        <v>1.0900000000000001</v>
      </c>
      <c r="E15" s="1652">
        <v>1.0900000000000001</v>
      </c>
      <c r="F15" s="1651" t="s">
        <v>1001</v>
      </c>
      <c r="G15" s="1651" t="s">
        <v>1001</v>
      </c>
      <c r="H15" s="1651" t="s">
        <v>1001</v>
      </c>
      <c r="I15" s="1651" t="s">
        <v>1001</v>
      </c>
      <c r="L15" s="1640"/>
      <c r="N15" s="1639"/>
    </row>
    <row r="16" spans="1:14">
      <c r="A16" s="1653">
        <v>1.1000000000000001</v>
      </c>
      <c r="B16" s="1653">
        <v>1.1000000000000001</v>
      </c>
      <c r="C16" s="1653">
        <v>1.1000000000000001</v>
      </c>
      <c r="D16" s="1653">
        <v>1.1000000000000001</v>
      </c>
      <c r="E16" s="1652">
        <v>1.1000000000000001</v>
      </c>
      <c r="F16" s="1651" t="s">
        <v>1003</v>
      </c>
      <c r="G16" s="1651" t="s">
        <v>1003</v>
      </c>
      <c r="H16" s="1651" t="s">
        <v>1003</v>
      </c>
      <c r="I16" s="1651" t="s">
        <v>1003</v>
      </c>
      <c r="L16" s="1640"/>
      <c r="N16" s="1639"/>
    </row>
    <row r="17" spans="1:14">
      <c r="A17" s="1653">
        <v>1.1100000000000001</v>
      </c>
      <c r="B17" s="1653">
        <v>1.1100000000000001</v>
      </c>
      <c r="C17" s="1653">
        <v>1.1100000000000001</v>
      </c>
      <c r="D17" s="1653">
        <v>1.1100000000000001</v>
      </c>
      <c r="E17" s="1652">
        <v>1.1100000000000001</v>
      </c>
      <c r="F17" s="1651" t="s">
        <v>1002</v>
      </c>
      <c r="G17" s="1651" t="s">
        <v>1002</v>
      </c>
      <c r="H17" s="1651" t="s">
        <v>1002</v>
      </c>
      <c r="I17" s="1651" t="s">
        <v>1002</v>
      </c>
      <c r="L17" s="1640"/>
      <c r="N17" s="1639"/>
    </row>
    <row r="18" spans="1:14">
      <c r="A18" s="1653">
        <v>1.1200000000000001</v>
      </c>
      <c r="B18" s="1653">
        <v>1.1200000000000001</v>
      </c>
      <c r="C18" s="1653">
        <v>1.1200000000000001</v>
      </c>
      <c r="D18" s="1653">
        <v>1.1200000000000001</v>
      </c>
      <c r="E18" s="1652">
        <v>1.1200000000000001</v>
      </c>
      <c r="F18" s="1651" t="s">
        <v>1004</v>
      </c>
      <c r="G18" s="1651" t="s">
        <v>1004</v>
      </c>
      <c r="H18" s="1651" t="s">
        <v>1004</v>
      </c>
      <c r="I18" s="1651" t="s">
        <v>1004</v>
      </c>
      <c r="L18" s="1640"/>
      <c r="N18" s="1639"/>
    </row>
    <row r="19" spans="1:14">
      <c r="A19" s="1653">
        <v>1.1299999999999999</v>
      </c>
      <c r="B19" s="1653">
        <v>1.1299999999999999</v>
      </c>
      <c r="C19" s="1653">
        <v>1.1299999999999999</v>
      </c>
      <c r="D19" s="1653">
        <v>1.1299999999999999</v>
      </c>
      <c r="E19" s="1652">
        <v>1.1299999999999999</v>
      </c>
      <c r="F19" s="1651" t="s">
        <v>1005</v>
      </c>
      <c r="G19" s="1651" t="s">
        <v>1005</v>
      </c>
      <c r="H19" s="1651" t="s">
        <v>1005</v>
      </c>
      <c r="I19" s="1651" t="s">
        <v>1005</v>
      </c>
      <c r="L19" s="1640"/>
      <c r="N19" s="1639"/>
    </row>
    <row r="20" spans="1:14">
      <c r="A20" s="1653">
        <v>1.1399999999999999</v>
      </c>
      <c r="B20" s="1653">
        <v>1.1399999999999999</v>
      </c>
      <c r="C20" s="1653">
        <v>1.1399999999999999</v>
      </c>
      <c r="D20" s="1653">
        <v>1.1399999999999999</v>
      </c>
      <c r="E20" s="1652">
        <v>1.1399999999999999</v>
      </c>
      <c r="F20" s="1651" t="s">
        <v>1007</v>
      </c>
      <c r="G20" s="1651" t="s">
        <v>1007</v>
      </c>
      <c r="H20" s="1651" t="s">
        <v>1007</v>
      </c>
      <c r="I20" s="1651" t="s">
        <v>1007</v>
      </c>
      <c r="L20" s="1640"/>
      <c r="N20" s="1639"/>
    </row>
    <row r="21" spans="1:14">
      <c r="A21" s="1653">
        <v>1.1499999999999999</v>
      </c>
      <c r="B21" s="1653">
        <v>1.1499999999999999</v>
      </c>
      <c r="C21" s="1653">
        <v>1.1499999999999999</v>
      </c>
      <c r="D21" s="1653">
        <v>1.1499999999999999</v>
      </c>
      <c r="E21" s="1652">
        <v>1.1499999999999999</v>
      </c>
      <c r="F21" s="1651" t="s">
        <v>1009</v>
      </c>
      <c r="G21" s="1651" t="s">
        <v>1009</v>
      </c>
      <c r="H21" s="1651" t="s">
        <v>1009</v>
      </c>
      <c r="I21" s="1651" t="s">
        <v>1009</v>
      </c>
      <c r="L21" s="1640"/>
      <c r="N21" s="1639"/>
    </row>
    <row r="22" spans="1:14">
      <c r="A22" s="1653">
        <v>1.1599999999999999</v>
      </c>
      <c r="B22" s="1653">
        <v>1.1599999999999999</v>
      </c>
      <c r="C22" s="1653">
        <v>1.1599999999999999</v>
      </c>
      <c r="D22" s="1653">
        <v>1.1599999999999999</v>
      </c>
      <c r="E22" s="1652">
        <v>1.1599999999999999</v>
      </c>
      <c r="F22" s="1651" t="s">
        <v>1010</v>
      </c>
      <c r="G22" s="1651" t="s">
        <v>1010</v>
      </c>
      <c r="H22" s="1651" t="s">
        <v>1010</v>
      </c>
      <c r="I22" s="1651" t="s">
        <v>1010</v>
      </c>
      <c r="L22" s="1640"/>
      <c r="N22" s="1639"/>
    </row>
    <row r="23" spans="1:14">
      <c r="A23" s="1653">
        <v>1.17</v>
      </c>
      <c r="B23" s="1653">
        <v>1.17</v>
      </c>
      <c r="C23" s="1653">
        <v>1.17</v>
      </c>
      <c r="D23" s="1653">
        <v>1.17</v>
      </c>
      <c r="E23" s="1652">
        <v>1.17</v>
      </c>
      <c r="F23" s="1651" t="s">
        <v>1011</v>
      </c>
      <c r="G23" s="1651" t="s">
        <v>1011</v>
      </c>
      <c r="H23" s="1651" t="s">
        <v>1011</v>
      </c>
      <c r="I23" s="1651" t="s">
        <v>1011</v>
      </c>
      <c r="L23" s="1640"/>
      <c r="N23" s="1639"/>
    </row>
    <row r="24" spans="1:14">
      <c r="A24" s="1653">
        <v>1.18</v>
      </c>
      <c r="B24" s="1653">
        <v>1.18</v>
      </c>
      <c r="C24" s="1653">
        <v>1.18</v>
      </c>
      <c r="D24" s="1653">
        <v>1.18</v>
      </c>
      <c r="E24" s="1652">
        <v>1.18</v>
      </c>
      <c r="F24" s="1651" t="s">
        <v>1012</v>
      </c>
      <c r="G24" s="1651" t="s">
        <v>1012</v>
      </c>
      <c r="H24" s="1651" t="s">
        <v>1012</v>
      </c>
      <c r="I24" s="1651" t="s">
        <v>1012</v>
      </c>
      <c r="L24" s="1640"/>
      <c r="N24" s="1639"/>
    </row>
    <row r="25" spans="1:14">
      <c r="A25" s="1653">
        <v>1.19</v>
      </c>
      <c r="B25" s="1653">
        <v>1.19</v>
      </c>
      <c r="C25" s="1653">
        <v>1.19</v>
      </c>
      <c r="D25" s="1653">
        <v>1.19</v>
      </c>
      <c r="E25" s="1652">
        <v>1.19</v>
      </c>
      <c r="F25" s="1658" t="s">
        <v>1300</v>
      </c>
      <c r="G25" s="1658" t="s">
        <v>1300</v>
      </c>
      <c r="H25" s="1658" t="s">
        <v>1300</v>
      </c>
      <c r="I25" s="1658" t="s">
        <v>1300</v>
      </c>
      <c r="L25" s="1640"/>
      <c r="N25" s="1639"/>
    </row>
    <row r="26" spans="1:14">
      <c r="A26" s="1653">
        <v>1.2</v>
      </c>
      <c r="B26" s="1653">
        <v>1.2</v>
      </c>
      <c r="C26" s="1653">
        <v>1.2</v>
      </c>
      <c r="D26" s="1653">
        <v>1.2</v>
      </c>
      <c r="E26" s="1652">
        <v>1.2</v>
      </c>
      <c r="F26" s="1658" t="s">
        <v>1300</v>
      </c>
      <c r="G26" s="1658" t="s">
        <v>1300</v>
      </c>
      <c r="H26" s="1658" t="s">
        <v>1300</v>
      </c>
      <c r="I26" s="1658" t="s">
        <v>1300</v>
      </c>
      <c r="L26" s="1640"/>
      <c r="N26" s="1639"/>
    </row>
    <row r="27" spans="1:14">
      <c r="A27" s="1653">
        <v>1.21</v>
      </c>
      <c r="B27" s="1653">
        <v>1.21</v>
      </c>
      <c r="C27" s="1653">
        <v>1.21</v>
      </c>
      <c r="D27" s="1653">
        <v>1.21</v>
      </c>
      <c r="E27" s="1652">
        <v>1.21</v>
      </c>
      <c r="F27" s="1658" t="s">
        <v>1300</v>
      </c>
      <c r="G27" s="1658" t="s">
        <v>1300</v>
      </c>
      <c r="H27" s="1658" t="s">
        <v>1300</v>
      </c>
      <c r="I27" s="1658" t="s">
        <v>1300</v>
      </c>
      <c r="L27" s="1640"/>
      <c r="N27" s="1639"/>
    </row>
    <row r="28" spans="1:14">
      <c r="A28" s="1653">
        <v>1.22</v>
      </c>
      <c r="B28" s="1653">
        <v>1.22</v>
      </c>
      <c r="C28" s="1653">
        <v>1.22</v>
      </c>
      <c r="D28" s="1653">
        <v>1.22</v>
      </c>
      <c r="E28" s="1652">
        <v>1.22</v>
      </c>
      <c r="F28" s="1658" t="s">
        <v>1300</v>
      </c>
      <c r="G28" s="1658" t="s">
        <v>1300</v>
      </c>
      <c r="H28" s="1658" t="s">
        <v>1300</v>
      </c>
      <c r="I28" s="1658" t="s">
        <v>1300</v>
      </c>
      <c r="L28" s="1640"/>
      <c r="N28" s="1639"/>
    </row>
    <row r="29" spans="1:14">
      <c r="A29" s="1653">
        <v>1.23</v>
      </c>
      <c r="B29" s="1653">
        <v>1.23</v>
      </c>
      <c r="C29" s="1653">
        <v>1.23</v>
      </c>
      <c r="D29" s="1653">
        <v>1.23</v>
      </c>
      <c r="E29" s="1652">
        <v>1.23</v>
      </c>
      <c r="F29" s="1658" t="s">
        <v>1300</v>
      </c>
      <c r="G29" s="1658" t="s">
        <v>1300</v>
      </c>
      <c r="H29" s="1658" t="s">
        <v>1300</v>
      </c>
      <c r="I29" s="1658" t="s">
        <v>1300</v>
      </c>
      <c r="L29" s="1640"/>
      <c r="N29" s="1639"/>
    </row>
    <row r="30" spans="1:14">
      <c r="A30" s="1653">
        <v>1.24</v>
      </c>
      <c r="B30" s="1653">
        <v>1.24</v>
      </c>
      <c r="C30" s="1653">
        <v>1.24</v>
      </c>
      <c r="D30" s="1653">
        <v>1.24</v>
      </c>
      <c r="E30" s="1652">
        <v>1.24</v>
      </c>
      <c r="F30" s="1658" t="s">
        <v>1300</v>
      </c>
      <c r="G30" s="1658" t="s">
        <v>1300</v>
      </c>
      <c r="H30" s="1658" t="s">
        <v>1300</v>
      </c>
      <c r="I30" s="1658" t="s">
        <v>1300</v>
      </c>
      <c r="L30" s="1640"/>
      <c r="N30" s="1639"/>
    </row>
    <row r="31" spans="1:14">
      <c r="A31" s="1653">
        <v>1.25</v>
      </c>
      <c r="B31" s="1653">
        <v>1.25</v>
      </c>
      <c r="C31" s="1653">
        <v>1.25</v>
      </c>
      <c r="D31" s="1653">
        <v>1.25</v>
      </c>
      <c r="E31" s="1652">
        <v>1.25</v>
      </c>
      <c r="F31" s="1658" t="s">
        <v>1300</v>
      </c>
      <c r="G31" s="1658" t="s">
        <v>1300</v>
      </c>
      <c r="H31" s="1658" t="s">
        <v>1300</v>
      </c>
      <c r="I31" s="1658" t="s">
        <v>1300</v>
      </c>
      <c r="L31" s="1640"/>
      <c r="N31" s="1639"/>
    </row>
    <row r="32" spans="1:14">
      <c r="A32" s="1653">
        <v>1.26</v>
      </c>
      <c r="B32" s="1653">
        <v>1.26</v>
      </c>
      <c r="C32" s="1653">
        <v>1.26</v>
      </c>
      <c r="D32" s="1653">
        <v>1.26</v>
      </c>
      <c r="E32" s="1652">
        <v>1.26</v>
      </c>
      <c r="F32" s="1658" t="s">
        <v>1300</v>
      </c>
      <c r="G32" s="1658" t="s">
        <v>1300</v>
      </c>
      <c r="H32" s="1658" t="s">
        <v>1300</v>
      </c>
      <c r="I32" s="1658" t="s">
        <v>1300</v>
      </c>
      <c r="L32" s="1640"/>
      <c r="N32" s="1639"/>
    </row>
    <row r="33" spans="1:14">
      <c r="A33" s="1653">
        <v>1.27</v>
      </c>
      <c r="B33" s="1653">
        <v>1.27</v>
      </c>
      <c r="C33" s="1653">
        <v>1.27</v>
      </c>
      <c r="D33" s="1653">
        <v>1.27</v>
      </c>
      <c r="E33" s="1652">
        <v>1.27</v>
      </c>
      <c r="F33" s="1651" t="s">
        <v>1019</v>
      </c>
      <c r="G33" s="1651" t="s">
        <v>1019</v>
      </c>
      <c r="H33" s="1651" t="s">
        <v>1019</v>
      </c>
      <c r="I33" s="1651" t="s">
        <v>1019</v>
      </c>
      <c r="L33" s="1640"/>
      <c r="N33" s="1639"/>
    </row>
    <row r="34" spans="1:14">
      <c r="A34" s="1653">
        <v>1.28</v>
      </c>
      <c r="B34" s="1653">
        <v>1.28</v>
      </c>
      <c r="C34" s="1653">
        <v>1.28</v>
      </c>
      <c r="D34" s="1653">
        <v>1.28</v>
      </c>
      <c r="E34" s="1652">
        <v>1.28</v>
      </c>
      <c r="F34" s="1651" t="s">
        <v>1020</v>
      </c>
      <c r="G34" s="1651" t="s">
        <v>1020</v>
      </c>
      <c r="H34" s="1651" t="s">
        <v>1020</v>
      </c>
      <c r="I34" s="1651" t="s">
        <v>1020</v>
      </c>
      <c r="L34" s="1640"/>
      <c r="N34" s="1639"/>
    </row>
    <row r="35" spans="1:14">
      <c r="A35" s="1653">
        <v>1.29</v>
      </c>
      <c r="B35" s="1653">
        <v>1.29</v>
      </c>
      <c r="C35" s="1653">
        <v>1.29</v>
      </c>
      <c r="D35" s="1653">
        <v>1.29</v>
      </c>
      <c r="E35" s="1652">
        <v>1.29</v>
      </c>
      <c r="F35" s="1651" t="s">
        <v>1021</v>
      </c>
      <c r="G35" s="1651" t="s">
        <v>1021</v>
      </c>
      <c r="H35" s="1651" t="s">
        <v>1021</v>
      </c>
      <c r="I35" s="1651" t="s">
        <v>1021</v>
      </c>
      <c r="L35" s="1640"/>
      <c r="N35" s="1639"/>
    </row>
    <row r="36" spans="1:14">
      <c r="A36" s="1653">
        <v>1.3</v>
      </c>
      <c r="B36" s="1653">
        <v>1.3</v>
      </c>
      <c r="C36" s="1653">
        <v>1.3</v>
      </c>
      <c r="D36" s="1653">
        <v>1.3</v>
      </c>
      <c r="E36" s="1652">
        <v>1.3</v>
      </c>
      <c r="F36" s="1651" t="s">
        <v>1022</v>
      </c>
      <c r="G36" s="1651" t="s">
        <v>1022</v>
      </c>
      <c r="H36" s="1651" t="s">
        <v>1022</v>
      </c>
      <c r="I36" s="1651" t="s">
        <v>1022</v>
      </c>
      <c r="L36" s="1640"/>
      <c r="N36" s="1639"/>
    </row>
    <row r="37" spans="1:14">
      <c r="A37" s="1653">
        <v>1.31</v>
      </c>
      <c r="B37" s="1653">
        <v>1.31</v>
      </c>
      <c r="C37" s="1653">
        <v>1.31</v>
      </c>
      <c r="D37" s="1653">
        <v>1.31</v>
      </c>
      <c r="E37" s="1652">
        <v>1.31</v>
      </c>
      <c r="F37" s="1651" t="s">
        <v>1023</v>
      </c>
      <c r="G37" s="1651" t="s">
        <v>1023</v>
      </c>
      <c r="H37" s="1651" t="s">
        <v>1023</v>
      </c>
      <c r="I37" s="1651" t="s">
        <v>1023</v>
      </c>
      <c r="L37" s="1640"/>
      <c r="N37" s="1639"/>
    </row>
    <row r="38" spans="1:14">
      <c r="A38" s="1653">
        <v>1.32</v>
      </c>
      <c r="B38" s="1653">
        <v>1.32</v>
      </c>
      <c r="C38" s="1653">
        <v>1.32</v>
      </c>
      <c r="D38" s="1653">
        <v>1.32</v>
      </c>
      <c r="E38" s="1652">
        <v>1.32</v>
      </c>
      <c r="F38" s="1651" t="s">
        <v>1017</v>
      </c>
      <c r="G38" s="1651" t="s">
        <v>1017</v>
      </c>
      <c r="H38" s="1651" t="s">
        <v>1017</v>
      </c>
      <c r="I38" s="1651" t="s">
        <v>1017</v>
      </c>
      <c r="L38" s="1640"/>
      <c r="N38" s="1639"/>
    </row>
    <row r="39" spans="1:14">
      <c r="A39" s="1653">
        <v>1.33</v>
      </c>
      <c r="B39" s="1653">
        <v>1.33</v>
      </c>
      <c r="C39" s="1653">
        <v>1.33</v>
      </c>
      <c r="D39" s="1653">
        <v>1.33</v>
      </c>
      <c r="E39" s="1652">
        <v>1.33</v>
      </c>
      <c r="F39" s="1658" t="s">
        <v>1300</v>
      </c>
      <c r="G39" s="1658" t="s">
        <v>1300</v>
      </c>
      <c r="H39" s="1658" t="s">
        <v>1300</v>
      </c>
      <c r="I39" s="1658" t="s">
        <v>1300</v>
      </c>
      <c r="L39" s="1640"/>
      <c r="N39" s="1639"/>
    </row>
    <row r="40" spans="1:14">
      <c r="A40" s="1653">
        <v>1.34</v>
      </c>
      <c r="B40" s="1653">
        <v>1.34</v>
      </c>
      <c r="C40" s="1653">
        <v>1.34</v>
      </c>
      <c r="D40" s="1653">
        <v>1.34</v>
      </c>
      <c r="E40" s="1652" t="s">
        <v>1300</v>
      </c>
      <c r="F40" s="1658" t="s">
        <v>1300</v>
      </c>
      <c r="G40" s="1658" t="s">
        <v>1300</v>
      </c>
      <c r="H40" s="1658" t="s">
        <v>1300</v>
      </c>
      <c r="I40" s="1658" t="s">
        <v>1300</v>
      </c>
      <c r="L40" s="1640"/>
      <c r="N40" s="1639"/>
    </row>
    <row r="41" spans="1:14">
      <c r="A41" s="1653">
        <v>1.35</v>
      </c>
      <c r="B41" s="1653">
        <v>1.35</v>
      </c>
      <c r="C41" s="1653">
        <v>1.35</v>
      </c>
      <c r="D41" s="1653">
        <v>1.35</v>
      </c>
      <c r="E41" s="1652" t="s">
        <v>1300</v>
      </c>
      <c r="F41" s="1658" t="s">
        <v>1300</v>
      </c>
      <c r="G41" s="1658" t="s">
        <v>1300</v>
      </c>
      <c r="H41" s="1658" t="s">
        <v>1300</v>
      </c>
      <c r="I41" s="1658" t="s">
        <v>1300</v>
      </c>
      <c r="L41" s="1640"/>
      <c r="N41" s="1639"/>
    </row>
    <row r="42" spans="1:14">
      <c r="A42" s="1653">
        <v>1.36</v>
      </c>
      <c r="B42" s="1653">
        <v>1.36</v>
      </c>
      <c r="C42" s="1653">
        <v>1.36</v>
      </c>
      <c r="D42" s="1653">
        <v>1.36</v>
      </c>
      <c r="E42" s="1652" t="s">
        <v>1300</v>
      </c>
      <c r="F42" s="1658" t="s">
        <v>1300</v>
      </c>
      <c r="G42" s="1658" t="s">
        <v>1300</v>
      </c>
      <c r="H42" s="1658" t="s">
        <v>1300</v>
      </c>
      <c r="I42" s="1658" t="s">
        <v>1300</v>
      </c>
      <c r="L42" s="1640"/>
      <c r="N42" s="1639"/>
    </row>
    <row r="43" spans="1:14">
      <c r="A43" s="1653">
        <v>1.37</v>
      </c>
      <c r="B43" s="1653">
        <v>1.37</v>
      </c>
      <c r="C43" s="1653">
        <v>1.37</v>
      </c>
      <c r="D43" s="1653">
        <v>1.37</v>
      </c>
      <c r="E43" s="1652" t="s">
        <v>1300</v>
      </c>
      <c r="F43" s="1658" t="s">
        <v>1300</v>
      </c>
      <c r="G43" s="1658" t="s">
        <v>1300</v>
      </c>
      <c r="H43" s="1658" t="s">
        <v>1300</v>
      </c>
      <c r="I43" s="1658" t="s">
        <v>1300</v>
      </c>
      <c r="L43" s="1640"/>
      <c r="N43" s="1639"/>
    </row>
    <row r="44" spans="1:14">
      <c r="A44" s="1653">
        <v>1.38</v>
      </c>
      <c r="B44" s="1653">
        <v>1.38</v>
      </c>
      <c r="C44" s="1653">
        <v>1.38</v>
      </c>
      <c r="D44" s="1653">
        <v>1.38</v>
      </c>
      <c r="E44" s="1652" t="s">
        <v>1300</v>
      </c>
      <c r="F44" s="1658" t="s">
        <v>1300</v>
      </c>
      <c r="G44" s="1658" t="s">
        <v>1300</v>
      </c>
      <c r="H44" s="1658" t="s">
        <v>1300</v>
      </c>
      <c r="I44" s="1658" t="s">
        <v>1300</v>
      </c>
      <c r="L44" s="1640"/>
      <c r="N44" s="1639"/>
    </row>
    <row r="45" spans="1:14">
      <c r="A45" s="1653">
        <v>1.39</v>
      </c>
      <c r="B45" s="1653">
        <v>1.39</v>
      </c>
      <c r="C45" s="1653">
        <v>1.39</v>
      </c>
      <c r="D45" s="1653">
        <v>1.39</v>
      </c>
      <c r="E45" s="1652" t="s">
        <v>1300</v>
      </c>
      <c r="F45" s="1651" t="s">
        <v>1006</v>
      </c>
      <c r="G45" s="1651" t="s">
        <v>1006</v>
      </c>
      <c r="H45" s="1651" t="s">
        <v>1006</v>
      </c>
      <c r="I45" s="1651" t="s">
        <v>1006</v>
      </c>
      <c r="L45" s="1640"/>
      <c r="N45" s="1639"/>
    </row>
    <row r="46" spans="1:14">
      <c r="A46" s="1653">
        <v>1.4</v>
      </c>
      <c r="B46" s="1653">
        <v>1.4</v>
      </c>
      <c r="C46" s="1653">
        <v>1.4</v>
      </c>
      <c r="D46" s="1653">
        <v>1.4</v>
      </c>
      <c r="E46" s="1652" t="s">
        <v>1300</v>
      </c>
      <c r="F46" s="1651" t="s">
        <v>1008</v>
      </c>
      <c r="G46" s="1651" t="s">
        <v>1008</v>
      </c>
      <c r="H46" s="1651" t="s">
        <v>1008</v>
      </c>
      <c r="I46" s="1651" t="s">
        <v>1008</v>
      </c>
      <c r="L46" s="1640"/>
      <c r="N46" s="1639"/>
    </row>
    <row r="47" spans="1:14">
      <c r="A47" s="1653">
        <v>1.41</v>
      </c>
      <c r="B47" s="1653" t="s">
        <v>1300</v>
      </c>
      <c r="C47" s="1653" t="s">
        <v>1300</v>
      </c>
      <c r="D47" s="1653" t="s">
        <v>1300</v>
      </c>
      <c r="E47" s="1653" t="s">
        <v>1300</v>
      </c>
      <c r="F47" s="1653" t="s">
        <v>1300</v>
      </c>
      <c r="G47" s="1653" t="s">
        <v>1300</v>
      </c>
      <c r="H47" s="1653" t="s">
        <v>1300</v>
      </c>
      <c r="I47" s="1653" t="s">
        <v>1300</v>
      </c>
      <c r="L47" s="1640"/>
      <c r="N47" s="1639"/>
    </row>
    <row r="48" spans="1:14">
      <c r="A48" s="1653">
        <v>1.42</v>
      </c>
      <c r="B48" s="1653">
        <v>1.42</v>
      </c>
      <c r="C48" s="1653">
        <v>1.42</v>
      </c>
      <c r="D48" s="1653">
        <v>1.42</v>
      </c>
      <c r="E48" s="1652">
        <v>8.02</v>
      </c>
      <c r="F48" s="1651" t="s">
        <v>977</v>
      </c>
      <c r="G48" s="1651" t="s">
        <v>977</v>
      </c>
      <c r="H48" s="1651" t="s">
        <v>977</v>
      </c>
      <c r="I48" s="1651" t="s">
        <v>977</v>
      </c>
      <c r="L48" s="1640"/>
      <c r="N48" s="1639"/>
    </row>
    <row r="49" spans="1:14">
      <c r="A49" s="1653">
        <v>1.43</v>
      </c>
      <c r="B49" s="1653">
        <v>1.43</v>
      </c>
      <c r="C49" s="1653">
        <v>1.43</v>
      </c>
      <c r="D49" s="1653">
        <v>1.43</v>
      </c>
      <c r="E49" s="1652" t="s">
        <v>1300</v>
      </c>
      <c r="F49" s="1658" t="s">
        <v>1300</v>
      </c>
      <c r="G49" s="1658" t="s">
        <v>1300</v>
      </c>
      <c r="H49" s="1658" t="s">
        <v>1300</v>
      </c>
      <c r="I49" s="1658" t="s">
        <v>1300</v>
      </c>
      <c r="L49" s="1640"/>
      <c r="N49" s="1639"/>
    </row>
    <row r="50" spans="1:14">
      <c r="A50" s="1653">
        <v>1.44</v>
      </c>
      <c r="B50" s="1653">
        <v>1.44</v>
      </c>
      <c r="C50" s="1653">
        <v>1.44</v>
      </c>
      <c r="D50" s="1653" t="s">
        <v>1300</v>
      </c>
      <c r="E50" s="1653" t="s">
        <v>1300</v>
      </c>
      <c r="F50" s="1653" t="s">
        <v>1300</v>
      </c>
      <c r="G50" s="1653" t="s">
        <v>1300</v>
      </c>
      <c r="H50" s="1653" t="s">
        <v>1300</v>
      </c>
      <c r="I50" s="1653" t="s">
        <v>1300</v>
      </c>
      <c r="L50" s="1640"/>
      <c r="N50" s="1639"/>
    </row>
    <row r="51" spans="1:14">
      <c r="A51" s="1653">
        <v>1.45</v>
      </c>
      <c r="B51" s="1653">
        <v>1.45</v>
      </c>
      <c r="C51" s="1653" t="s">
        <v>1300</v>
      </c>
      <c r="D51" s="1653" t="s">
        <v>1300</v>
      </c>
      <c r="E51" s="1653" t="s">
        <v>1300</v>
      </c>
      <c r="F51" s="1653" t="s">
        <v>1300</v>
      </c>
      <c r="G51" s="1653" t="s">
        <v>1300</v>
      </c>
      <c r="H51" s="1653" t="s">
        <v>1300</v>
      </c>
      <c r="I51" s="1653" t="s">
        <v>1300</v>
      </c>
      <c r="L51" s="1640"/>
      <c r="N51" s="1639"/>
    </row>
    <row r="52" spans="1:14">
      <c r="A52" s="1653">
        <v>1.46</v>
      </c>
      <c r="B52" s="1653">
        <v>1.46</v>
      </c>
      <c r="C52" s="1653" t="s">
        <v>1300</v>
      </c>
      <c r="D52" s="1653" t="s">
        <v>1300</v>
      </c>
      <c r="E52" s="1653" t="s">
        <v>1300</v>
      </c>
      <c r="F52" s="1653" t="s">
        <v>1300</v>
      </c>
      <c r="G52" s="1653" t="s">
        <v>1300</v>
      </c>
      <c r="H52" s="1653" t="s">
        <v>1300</v>
      </c>
      <c r="I52" s="1653" t="s">
        <v>1300</v>
      </c>
      <c r="L52" s="1640"/>
      <c r="N52" s="1639"/>
    </row>
    <row r="53" spans="1:14">
      <c r="A53" s="1653">
        <v>1.47</v>
      </c>
      <c r="B53" s="1653">
        <v>1.47</v>
      </c>
      <c r="C53" s="1653" t="s">
        <v>1300</v>
      </c>
      <c r="D53" s="1653" t="s">
        <v>1300</v>
      </c>
      <c r="E53" s="1653" t="s">
        <v>1300</v>
      </c>
      <c r="F53" s="1653" t="s">
        <v>1300</v>
      </c>
      <c r="G53" s="1653" t="s">
        <v>1300</v>
      </c>
      <c r="H53" s="1653" t="s">
        <v>1300</v>
      </c>
      <c r="I53" s="1653" t="s">
        <v>1300</v>
      </c>
      <c r="L53" s="1640"/>
      <c r="N53" s="1639"/>
    </row>
    <row r="54" spans="1:14">
      <c r="A54" s="1653">
        <v>1.48</v>
      </c>
      <c r="B54" s="1653">
        <v>1.48</v>
      </c>
      <c r="C54" s="1653" t="s">
        <v>1300</v>
      </c>
      <c r="D54" s="1653" t="s">
        <v>1300</v>
      </c>
      <c r="E54" s="1653" t="s">
        <v>1300</v>
      </c>
      <c r="F54" s="1653" t="s">
        <v>1300</v>
      </c>
      <c r="G54" s="1653" t="s">
        <v>1300</v>
      </c>
      <c r="H54" s="1653" t="s">
        <v>1300</v>
      </c>
      <c r="I54" s="1653" t="s">
        <v>1300</v>
      </c>
      <c r="L54" s="1640"/>
      <c r="N54" s="1639"/>
    </row>
    <row r="55" spans="1:14">
      <c r="A55" s="1653">
        <v>1.49</v>
      </c>
      <c r="B55" s="1653">
        <v>1.49</v>
      </c>
      <c r="C55" s="1653" t="s">
        <v>1300</v>
      </c>
      <c r="D55" s="1653" t="s">
        <v>1300</v>
      </c>
      <c r="E55" s="1653" t="s">
        <v>1300</v>
      </c>
      <c r="F55" s="1653" t="s">
        <v>1300</v>
      </c>
      <c r="G55" s="1653" t="s">
        <v>1300</v>
      </c>
      <c r="H55" s="1653" t="s">
        <v>1300</v>
      </c>
      <c r="I55" s="1653" t="s">
        <v>1300</v>
      </c>
      <c r="L55" s="1640"/>
      <c r="N55" s="1639"/>
    </row>
    <row r="56" spans="1:14">
      <c r="A56" s="1656" t="s">
        <v>1420</v>
      </c>
      <c r="B56" s="1654">
        <v>7.06</v>
      </c>
      <c r="C56" s="1654">
        <v>7.06</v>
      </c>
      <c r="D56" s="1654" t="s">
        <v>1300</v>
      </c>
      <c r="E56" s="1654" t="s">
        <v>1300</v>
      </c>
      <c r="F56" s="1654" t="s">
        <v>1300</v>
      </c>
      <c r="G56" s="1654" t="s">
        <v>1300</v>
      </c>
      <c r="H56" s="1654" t="s">
        <v>1300</v>
      </c>
      <c r="I56" s="1654" t="s">
        <v>1300</v>
      </c>
      <c r="L56" s="1640"/>
      <c r="N56" s="1639"/>
    </row>
    <row r="57" spans="1:14">
      <c r="A57" s="1656">
        <v>1.51</v>
      </c>
      <c r="B57" s="1654" t="s">
        <v>1300</v>
      </c>
      <c r="C57" s="1654" t="s">
        <v>1300</v>
      </c>
      <c r="D57" s="1654" t="s">
        <v>1300</v>
      </c>
      <c r="E57" s="1654" t="s">
        <v>1300</v>
      </c>
      <c r="F57" s="1654" t="s">
        <v>1300</v>
      </c>
      <c r="G57" s="1654" t="s">
        <v>1300</v>
      </c>
      <c r="H57" s="1654" t="s">
        <v>1300</v>
      </c>
      <c r="I57" s="1654" t="s">
        <v>1300</v>
      </c>
      <c r="L57" s="1640"/>
      <c r="N57" s="1639"/>
    </row>
    <row r="58" spans="1:14">
      <c r="A58" s="1656">
        <v>2.0099999999999998</v>
      </c>
      <c r="B58" s="1654" t="s">
        <v>1300</v>
      </c>
      <c r="C58" s="1654" t="s">
        <v>1300</v>
      </c>
      <c r="D58" s="1654" t="s">
        <v>1300</v>
      </c>
      <c r="E58" s="1654" t="s">
        <v>1300</v>
      </c>
      <c r="F58" s="1654" t="s">
        <v>1300</v>
      </c>
      <c r="G58" s="1654" t="s">
        <v>1300</v>
      </c>
      <c r="H58" s="1654" t="s">
        <v>1300</v>
      </c>
      <c r="I58" s="1654" t="s">
        <v>1300</v>
      </c>
      <c r="L58" s="1640"/>
      <c r="N58" s="1639"/>
    </row>
    <row r="59" spans="1:14">
      <c r="A59" s="1653">
        <v>2.02</v>
      </c>
      <c r="B59" s="1653">
        <v>2.12</v>
      </c>
      <c r="C59" s="1653">
        <v>2.12</v>
      </c>
      <c r="D59" s="1653" t="s">
        <v>1300</v>
      </c>
      <c r="E59" s="1653" t="s">
        <v>1300</v>
      </c>
      <c r="F59" s="1653" t="s">
        <v>1300</v>
      </c>
      <c r="G59" s="1653" t="s">
        <v>1300</v>
      </c>
      <c r="H59" s="1653" t="s">
        <v>1300</v>
      </c>
      <c r="I59" s="1653" t="s">
        <v>1300</v>
      </c>
      <c r="L59" s="1640"/>
      <c r="N59" s="1639"/>
    </row>
    <row r="60" spans="1:14">
      <c r="A60" s="1656">
        <v>2.13</v>
      </c>
      <c r="B60" s="1654"/>
      <c r="C60" s="1654"/>
      <c r="D60" s="1654"/>
      <c r="E60" s="1654"/>
      <c r="F60" s="1654"/>
      <c r="G60" s="1654"/>
      <c r="H60" s="1654"/>
      <c r="I60" s="1654"/>
      <c r="L60" s="1640"/>
      <c r="N60" s="1639"/>
    </row>
    <row r="61" spans="1:14">
      <c r="A61" s="1654">
        <v>2.0299999999999998</v>
      </c>
      <c r="B61" s="1654">
        <v>2.0299999999999998</v>
      </c>
      <c r="C61" s="1654">
        <v>2.0299999999999998</v>
      </c>
      <c r="D61" s="1654">
        <v>2.0299999999999998</v>
      </c>
      <c r="E61" s="1651">
        <v>2.0299999999999998</v>
      </c>
      <c r="F61" s="1651" t="s">
        <v>1083</v>
      </c>
      <c r="G61" s="1651" t="s">
        <v>1083</v>
      </c>
      <c r="H61" s="1651" t="s">
        <v>1083</v>
      </c>
      <c r="I61" s="1651" t="s">
        <v>1300</v>
      </c>
      <c r="L61" s="1640"/>
      <c r="N61" s="1639"/>
    </row>
    <row r="62" spans="1:14">
      <c r="A62" s="1654">
        <v>2.04</v>
      </c>
      <c r="B62" s="1654">
        <v>2.04</v>
      </c>
      <c r="C62" s="1654">
        <v>2.04</v>
      </c>
      <c r="D62" s="1654">
        <v>2.04</v>
      </c>
      <c r="E62" s="1651">
        <v>2.04</v>
      </c>
      <c r="F62" s="1651" t="s">
        <v>1066</v>
      </c>
      <c r="G62" s="1651" t="s">
        <v>1066</v>
      </c>
      <c r="H62" s="1651" t="s">
        <v>1300</v>
      </c>
      <c r="I62" s="1651" t="s">
        <v>1300</v>
      </c>
      <c r="L62" s="1640"/>
      <c r="N62" s="1639"/>
    </row>
    <row r="63" spans="1:14">
      <c r="A63" s="1654">
        <v>2.0499999999999998</v>
      </c>
      <c r="B63" s="1654">
        <v>2.0499999999999998</v>
      </c>
      <c r="C63" s="1654">
        <v>2.0499999999999998</v>
      </c>
      <c r="D63" s="1654">
        <v>2.0499999999999998</v>
      </c>
      <c r="E63" s="1651">
        <v>2.0499999999999998</v>
      </c>
      <c r="F63" s="1651" t="s">
        <v>1084</v>
      </c>
      <c r="G63" s="1651" t="s">
        <v>1084</v>
      </c>
      <c r="H63" s="1651" t="s">
        <v>1300</v>
      </c>
      <c r="I63" s="1651" t="s">
        <v>1300</v>
      </c>
      <c r="L63" s="1640"/>
      <c r="N63" s="1639"/>
    </row>
    <row r="64" spans="1:14">
      <c r="A64" s="1654">
        <v>2.06</v>
      </c>
      <c r="B64" s="1654">
        <v>2.06</v>
      </c>
      <c r="C64" s="1654">
        <v>2.06</v>
      </c>
      <c r="D64" s="1654">
        <v>2.06</v>
      </c>
      <c r="E64" s="1651">
        <v>2.06</v>
      </c>
      <c r="F64" s="1651" t="s">
        <v>1073</v>
      </c>
      <c r="G64" s="1651" t="s">
        <v>1073</v>
      </c>
      <c r="H64" s="1651" t="s">
        <v>1300</v>
      </c>
      <c r="I64" s="1651" t="s">
        <v>1300</v>
      </c>
      <c r="L64" s="1640"/>
      <c r="N64" s="1639"/>
    </row>
    <row r="65" spans="1:14">
      <c r="A65" s="1654">
        <v>2.0699999999999998</v>
      </c>
      <c r="B65" s="1654">
        <v>2.0699999999999998</v>
      </c>
      <c r="C65" s="1654">
        <v>2.0699999999999998</v>
      </c>
      <c r="D65" s="1654">
        <v>2.0699999999999998</v>
      </c>
      <c r="E65" s="1651">
        <v>2.0699999999999998</v>
      </c>
      <c r="F65" s="1651" t="s">
        <v>1076</v>
      </c>
      <c r="G65" s="1651" t="s">
        <v>1076</v>
      </c>
      <c r="H65" s="1651" t="s">
        <v>1066</v>
      </c>
      <c r="I65" s="1651" t="s">
        <v>1300</v>
      </c>
      <c r="L65" s="1640"/>
      <c r="N65" s="1639"/>
    </row>
    <row r="66" spans="1:14">
      <c r="A66" s="1654">
        <v>2.08</v>
      </c>
      <c r="B66" s="1654">
        <v>2.08</v>
      </c>
      <c r="C66" s="1654">
        <v>2.08</v>
      </c>
      <c r="D66" s="1654">
        <v>2.08</v>
      </c>
      <c r="E66" s="1651">
        <v>2.08</v>
      </c>
      <c r="F66" s="1651" t="s">
        <v>1085</v>
      </c>
      <c r="G66" s="1651" t="s">
        <v>1085</v>
      </c>
      <c r="H66" s="1651" t="s">
        <v>1084</v>
      </c>
      <c r="I66" s="1651" t="s">
        <v>1300</v>
      </c>
      <c r="L66" s="1640"/>
      <c r="N66" s="1639"/>
    </row>
    <row r="67" spans="1:14">
      <c r="A67" s="1654">
        <v>2.09</v>
      </c>
      <c r="B67" s="1654">
        <v>2.09</v>
      </c>
      <c r="C67" s="1654">
        <v>2.09</v>
      </c>
      <c r="D67" s="1654">
        <v>2.09</v>
      </c>
      <c r="E67" s="1651">
        <v>2.09</v>
      </c>
      <c r="F67" s="1651" t="s">
        <v>1087</v>
      </c>
      <c r="G67" s="1651" t="s">
        <v>1300</v>
      </c>
      <c r="H67" s="1651" t="s">
        <v>1300</v>
      </c>
      <c r="I67" s="1651" t="s">
        <v>1300</v>
      </c>
      <c r="L67" s="1640"/>
      <c r="N67" s="1639"/>
    </row>
    <row r="68" spans="1:14">
      <c r="A68" s="1657" t="s">
        <v>1088</v>
      </c>
      <c r="B68" s="1657" t="s">
        <v>1088</v>
      </c>
      <c r="C68" s="1657" t="s">
        <v>1088</v>
      </c>
      <c r="D68" s="1657" t="s">
        <v>1088</v>
      </c>
      <c r="E68" s="1652" t="s">
        <v>1300</v>
      </c>
      <c r="F68" s="1658" t="s">
        <v>1300</v>
      </c>
      <c r="G68" s="1658" t="s">
        <v>1300</v>
      </c>
      <c r="H68" s="1658" t="s">
        <v>1300</v>
      </c>
      <c r="I68" s="1658" t="s">
        <v>1300</v>
      </c>
      <c r="L68" s="1640"/>
      <c r="N68" s="1639"/>
    </row>
    <row r="69" spans="1:14">
      <c r="A69" s="1653">
        <v>2.11</v>
      </c>
      <c r="B69" s="1653">
        <v>2.11</v>
      </c>
      <c r="C69" s="1653">
        <v>2.11</v>
      </c>
      <c r="D69" s="1653">
        <v>2.11</v>
      </c>
      <c r="E69" s="1652" t="s">
        <v>1300</v>
      </c>
      <c r="F69" s="1658" t="s">
        <v>1300</v>
      </c>
      <c r="G69" s="1658" t="s">
        <v>1300</v>
      </c>
      <c r="H69" s="1658" t="s">
        <v>1300</v>
      </c>
      <c r="I69" s="1658" t="s">
        <v>1300</v>
      </c>
      <c r="L69" s="1640"/>
      <c r="N69" s="1639"/>
    </row>
    <row r="70" spans="1:14">
      <c r="A70" s="1653">
        <v>2.12</v>
      </c>
      <c r="B70" s="1653" t="s">
        <v>1300</v>
      </c>
      <c r="C70" s="1653" t="s">
        <v>1300</v>
      </c>
      <c r="D70" s="1653" t="s">
        <v>1300</v>
      </c>
      <c r="E70" s="1653" t="s">
        <v>1300</v>
      </c>
      <c r="F70" s="1653" t="s">
        <v>1300</v>
      </c>
      <c r="G70" s="1653" t="s">
        <v>1300</v>
      </c>
      <c r="H70" s="1653" t="s">
        <v>1300</v>
      </c>
      <c r="I70" s="1653" t="s">
        <v>1300</v>
      </c>
      <c r="L70" s="1640"/>
      <c r="N70" s="1639"/>
    </row>
    <row r="71" spans="1:14">
      <c r="A71" s="1653">
        <v>2.13</v>
      </c>
      <c r="B71" s="1653" t="s">
        <v>1300</v>
      </c>
      <c r="C71" s="1653" t="s">
        <v>1300</v>
      </c>
      <c r="D71" s="1653" t="s">
        <v>1300</v>
      </c>
      <c r="E71" s="1653" t="s">
        <v>1300</v>
      </c>
      <c r="F71" s="1653" t="s">
        <v>1300</v>
      </c>
      <c r="G71" s="1653" t="s">
        <v>1300</v>
      </c>
      <c r="H71" s="1653" t="s">
        <v>1300</v>
      </c>
      <c r="I71" s="1653" t="s">
        <v>1300</v>
      </c>
      <c r="L71" s="1640"/>
      <c r="N71" s="1639"/>
    </row>
    <row r="72" spans="1:14">
      <c r="A72" s="1654">
        <v>3.01</v>
      </c>
      <c r="B72" s="1654">
        <v>3.01</v>
      </c>
      <c r="C72" s="1654">
        <v>3.01</v>
      </c>
      <c r="D72" s="1654">
        <v>3.01</v>
      </c>
      <c r="E72" s="1651">
        <v>3.01</v>
      </c>
      <c r="F72" s="1651" t="s">
        <v>1049</v>
      </c>
      <c r="G72" s="1651" t="s">
        <v>1049</v>
      </c>
      <c r="H72" s="1651" t="s">
        <v>1093</v>
      </c>
      <c r="I72" s="1651" t="s">
        <v>1094</v>
      </c>
      <c r="L72" s="1640"/>
      <c r="N72" s="1639"/>
    </row>
    <row r="73" spans="1:14">
      <c r="A73" s="1654">
        <v>3.02</v>
      </c>
      <c r="B73" s="1654">
        <v>3.02</v>
      </c>
      <c r="C73" s="1654">
        <v>3.02</v>
      </c>
      <c r="D73" s="1654">
        <v>3.02</v>
      </c>
      <c r="E73" s="1651">
        <v>3.02</v>
      </c>
      <c r="F73" s="1658" t="s">
        <v>1300</v>
      </c>
      <c r="G73" s="1658" t="s">
        <v>1300</v>
      </c>
      <c r="H73" s="1658" t="s">
        <v>1300</v>
      </c>
      <c r="I73" s="1658" t="s">
        <v>1300</v>
      </c>
      <c r="L73" s="1640"/>
      <c r="N73" s="1639"/>
    </row>
    <row r="74" spans="1:14">
      <c r="A74" s="1654">
        <v>3.03</v>
      </c>
      <c r="B74" s="1654">
        <v>3.03</v>
      </c>
      <c r="C74" s="1654">
        <v>3.03</v>
      </c>
      <c r="D74" s="1654">
        <v>3.03</v>
      </c>
      <c r="E74" s="1651">
        <v>3.03</v>
      </c>
      <c r="F74" s="1651" t="s">
        <v>1050</v>
      </c>
      <c r="G74" s="1651" t="s">
        <v>1050</v>
      </c>
      <c r="H74" s="1651" t="s">
        <v>1300</v>
      </c>
      <c r="I74" s="1651" t="s">
        <v>1300</v>
      </c>
      <c r="L74" s="1640"/>
      <c r="N74" s="1639"/>
    </row>
    <row r="75" spans="1:14">
      <c r="A75" s="1654">
        <v>3.05</v>
      </c>
      <c r="B75" s="1654">
        <v>3.05</v>
      </c>
      <c r="C75" s="1654">
        <v>3.05</v>
      </c>
      <c r="D75" s="1654">
        <v>3.05</v>
      </c>
      <c r="E75" s="1651">
        <v>3.05</v>
      </c>
      <c r="F75" s="1651" t="s">
        <v>1051</v>
      </c>
      <c r="G75" s="1651" t="s">
        <v>1051</v>
      </c>
      <c r="H75" s="1651" t="s">
        <v>1300</v>
      </c>
      <c r="I75" s="1651" t="s">
        <v>1300</v>
      </c>
      <c r="L75" s="1640"/>
      <c r="N75" s="1639"/>
    </row>
    <row r="76" spans="1:14">
      <c r="A76" s="1654">
        <v>3.06</v>
      </c>
      <c r="B76" s="1654">
        <v>3.06</v>
      </c>
      <c r="C76" s="1654">
        <v>3.06</v>
      </c>
      <c r="D76" s="1654">
        <v>3.06</v>
      </c>
      <c r="E76" s="1651">
        <v>3.06</v>
      </c>
      <c r="F76" s="1658" t="s">
        <v>1300</v>
      </c>
      <c r="G76" s="1658" t="s">
        <v>1300</v>
      </c>
      <c r="H76" s="1658" t="s">
        <v>1300</v>
      </c>
      <c r="I76" s="1658" t="s">
        <v>1300</v>
      </c>
      <c r="L76" s="1640"/>
      <c r="N76" s="1639"/>
    </row>
    <row r="77" spans="1:14">
      <c r="A77" s="1654">
        <v>3.07</v>
      </c>
      <c r="B77" s="1654">
        <v>3.07</v>
      </c>
      <c r="C77" s="1654">
        <v>3.07</v>
      </c>
      <c r="D77" s="1654">
        <v>3.07</v>
      </c>
      <c r="E77" s="1651" t="s">
        <v>1300</v>
      </c>
      <c r="F77" s="1658" t="s">
        <v>1300</v>
      </c>
      <c r="G77" s="1658" t="s">
        <v>1300</v>
      </c>
      <c r="H77" s="1658" t="s">
        <v>1300</v>
      </c>
      <c r="I77" s="1658" t="s">
        <v>1300</v>
      </c>
      <c r="L77" s="1640"/>
      <c r="N77" s="1639"/>
    </row>
    <row r="78" spans="1:14">
      <c r="A78" s="1654">
        <v>3.08</v>
      </c>
      <c r="B78" s="1654">
        <v>3.08</v>
      </c>
      <c r="C78" s="1654">
        <v>3.08</v>
      </c>
      <c r="D78" s="1654">
        <v>3.08</v>
      </c>
      <c r="E78" s="1651" t="s">
        <v>1300</v>
      </c>
      <c r="F78" s="1658" t="s">
        <v>1300</v>
      </c>
      <c r="G78" s="1658" t="s">
        <v>1300</v>
      </c>
      <c r="H78" s="1658" t="s">
        <v>1300</v>
      </c>
      <c r="I78" s="1658" t="s">
        <v>1300</v>
      </c>
      <c r="L78" s="1640"/>
      <c r="N78" s="1639"/>
    </row>
    <row r="79" spans="1:14">
      <c r="A79" s="1654">
        <v>3.09</v>
      </c>
      <c r="B79" s="1654">
        <v>3.09</v>
      </c>
      <c r="C79" s="1654">
        <v>3.09</v>
      </c>
      <c r="D79" s="1654">
        <v>3.09</v>
      </c>
      <c r="E79" s="1651" t="s">
        <v>1300</v>
      </c>
      <c r="F79" s="1658" t="s">
        <v>1300</v>
      </c>
      <c r="G79" s="1658" t="s">
        <v>1300</v>
      </c>
      <c r="H79" s="1658" t="s">
        <v>1300</v>
      </c>
      <c r="I79" s="1658" t="s">
        <v>1300</v>
      </c>
      <c r="L79" s="1640"/>
      <c r="N79" s="1639"/>
    </row>
    <row r="80" spans="1:14">
      <c r="A80" s="1663" t="s">
        <v>2213</v>
      </c>
      <c r="B80" s="1655" t="s">
        <v>1300</v>
      </c>
      <c r="C80" s="1655" t="s">
        <v>1300</v>
      </c>
      <c r="D80" s="1655" t="s">
        <v>1300</v>
      </c>
      <c r="E80" s="1655" t="s">
        <v>1300</v>
      </c>
      <c r="F80" s="1655" t="s">
        <v>1300</v>
      </c>
      <c r="G80" s="1655" t="s">
        <v>1300</v>
      </c>
      <c r="H80" s="1655" t="s">
        <v>1300</v>
      </c>
      <c r="I80" s="1655" t="s">
        <v>1300</v>
      </c>
      <c r="L80" s="1640"/>
      <c r="N80" s="1639"/>
    </row>
    <row r="81" spans="1:14">
      <c r="A81" s="1663" t="s">
        <v>1095</v>
      </c>
      <c r="B81" s="1663" t="s">
        <v>1095</v>
      </c>
      <c r="C81" s="1663" t="s">
        <v>1095</v>
      </c>
      <c r="D81" s="1655" t="s">
        <v>1300</v>
      </c>
      <c r="E81" s="1655" t="s">
        <v>1300</v>
      </c>
      <c r="F81" s="1655" t="s">
        <v>1300</v>
      </c>
      <c r="G81" s="1655" t="s">
        <v>1300</v>
      </c>
      <c r="H81" s="1655" t="s">
        <v>1300</v>
      </c>
      <c r="I81" s="1655" t="s">
        <v>1300</v>
      </c>
      <c r="L81" s="1640"/>
      <c r="N81" s="1639"/>
    </row>
    <row r="82" spans="1:14">
      <c r="A82" s="1663" t="s">
        <v>1096</v>
      </c>
      <c r="B82" s="1663" t="s">
        <v>1096</v>
      </c>
      <c r="C82" s="1663" t="s">
        <v>1096</v>
      </c>
      <c r="D82" s="1655" t="s">
        <v>1300</v>
      </c>
      <c r="E82" s="1655" t="s">
        <v>1300</v>
      </c>
      <c r="F82" s="1655" t="s">
        <v>1300</v>
      </c>
      <c r="G82" s="1655" t="s">
        <v>1300</v>
      </c>
      <c r="H82" s="1655" t="s">
        <v>1300</v>
      </c>
      <c r="I82" s="1655" t="s">
        <v>1300</v>
      </c>
      <c r="L82" s="1640"/>
      <c r="N82" s="1639"/>
    </row>
    <row r="83" spans="1:14">
      <c r="A83" s="1663" t="s">
        <v>1097</v>
      </c>
      <c r="B83" s="1663" t="s">
        <v>1097</v>
      </c>
      <c r="C83" s="1663" t="s">
        <v>1097</v>
      </c>
      <c r="D83" s="1655" t="s">
        <v>1300</v>
      </c>
      <c r="E83" s="1655" t="s">
        <v>1300</v>
      </c>
      <c r="F83" s="1655" t="s">
        <v>1300</v>
      </c>
      <c r="G83" s="1655" t="s">
        <v>1300</v>
      </c>
      <c r="H83" s="1655" t="s">
        <v>1300</v>
      </c>
      <c r="I83" s="1655" t="s">
        <v>1300</v>
      </c>
      <c r="L83" s="1640"/>
      <c r="N83" s="1639"/>
    </row>
    <row r="84" spans="1:14">
      <c r="A84" s="1655">
        <v>4.01</v>
      </c>
      <c r="B84" s="1655">
        <v>4.01</v>
      </c>
      <c r="C84" s="1655">
        <v>4.01</v>
      </c>
      <c r="D84" s="1655">
        <v>4.01</v>
      </c>
      <c r="E84" s="1648">
        <v>4.01</v>
      </c>
      <c r="F84" s="1648" t="s">
        <v>1037</v>
      </c>
      <c r="G84" s="1648" t="s">
        <v>1037</v>
      </c>
      <c r="H84" s="1648" t="s">
        <v>1300</v>
      </c>
      <c r="I84" s="1648" t="s">
        <v>1300</v>
      </c>
      <c r="L84" s="1640"/>
      <c r="N84" s="1639"/>
    </row>
    <row r="85" spans="1:14">
      <c r="A85" s="1654">
        <v>4.0199999999999996</v>
      </c>
      <c r="B85" s="1654">
        <v>4.0199999999999996</v>
      </c>
      <c r="C85" s="1654">
        <v>4.0199999999999996</v>
      </c>
      <c r="D85" s="1654">
        <v>4.0199999999999996</v>
      </c>
      <c r="E85" s="1651">
        <v>4.0199999999999996</v>
      </c>
      <c r="F85" s="1651" t="s">
        <v>1042</v>
      </c>
      <c r="G85" s="1651" t="s">
        <v>1042</v>
      </c>
      <c r="H85" s="1648" t="s">
        <v>1041</v>
      </c>
      <c r="I85" s="1648" t="s">
        <v>1041</v>
      </c>
      <c r="L85" s="1640"/>
      <c r="N85" s="1639"/>
    </row>
    <row r="86" spans="1:14">
      <c r="A86" s="1654">
        <v>4.03</v>
      </c>
      <c r="B86" s="1654">
        <v>4.03</v>
      </c>
      <c r="C86" s="1654">
        <v>4.03</v>
      </c>
      <c r="D86" s="1654">
        <v>4.03</v>
      </c>
      <c r="E86" s="1651">
        <v>4.03</v>
      </c>
      <c r="F86" s="1658" t="s">
        <v>1300</v>
      </c>
      <c r="G86" s="1658" t="s">
        <v>1300</v>
      </c>
      <c r="H86" s="1658" t="s">
        <v>1300</v>
      </c>
      <c r="I86" s="1658" t="s">
        <v>1300</v>
      </c>
      <c r="L86" s="1640"/>
      <c r="N86" s="1639"/>
    </row>
    <row r="87" spans="1:14">
      <c r="A87" s="1654">
        <v>4.04</v>
      </c>
      <c r="B87" s="1654">
        <v>4.04</v>
      </c>
      <c r="C87" s="1654">
        <v>4.04</v>
      </c>
      <c r="D87" s="1654">
        <v>4.04</v>
      </c>
      <c r="E87" s="1651">
        <v>4.04</v>
      </c>
      <c r="F87" s="1651" t="s">
        <v>1046</v>
      </c>
      <c r="G87" s="1651" t="s">
        <v>1046</v>
      </c>
      <c r="H87" s="1651" t="s">
        <v>1045</v>
      </c>
      <c r="I87" s="1651" t="s">
        <v>1045</v>
      </c>
      <c r="L87" s="1640"/>
      <c r="N87" s="1639"/>
    </row>
    <row r="88" spans="1:14">
      <c r="A88" s="1654">
        <v>4.05</v>
      </c>
      <c r="B88" s="1654">
        <v>4.05</v>
      </c>
      <c r="C88" s="1654">
        <v>4.05</v>
      </c>
      <c r="D88" s="1654">
        <v>4.05</v>
      </c>
      <c r="E88" s="1651">
        <v>4.05</v>
      </c>
      <c r="F88" s="1651" t="s">
        <v>1047</v>
      </c>
      <c r="G88" s="1651" t="s">
        <v>1047</v>
      </c>
      <c r="H88" s="1651" t="s">
        <v>1046</v>
      </c>
      <c r="I88" s="1651" t="s">
        <v>1046</v>
      </c>
      <c r="L88" s="1640"/>
      <c r="N88" s="1639"/>
    </row>
    <row r="89" spans="1:14">
      <c r="A89" s="1654">
        <v>4.0599999999999996</v>
      </c>
      <c r="B89" s="1654">
        <v>4.0599999999999996</v>
      </c>
      <c r="C89" s="1654">
        <v>4.0599999999999996</v>
      </c>
      <c r="D89" s="1654">
        <v>4.0599999999999996</v>
      </c>
      <c r="E89" s="1651">
        <v>4.0599999999999996</v>
      </c>
      <c r="F89" s="1651" t="s">
        <v>1048</v>
      </c>
      <c r="G89" s="1651" t="s">
        <v>1048</v>
      </c>
      <c r="H89" s="1651" t="s">
        <v>1047</v>
      </c>
      <c r="I89" s="1651" t="s">
        <v>1047</v>
      </c>
      <c r="L89" s="1640"/>
      <c r="N89" s="1639"/>
    </row>
    <row r="90" spans="1:14">
      <c r="A90" s="1654">
        <v>4.07</v>
      </c>
      <c r="B90" s="1654">
        <v>4.07</v>
      </c>
      <c r="C90" s="1654">
        <v>4.07</v>
      </c>
      <c r="D90" s="1654">
        <v>4.07</v>
      </c>
      <c r="E90" s="1651">
        <v>4.07</v>
      </c>
      <c r="F90" s="1651" t="s">
        <v>1036</v>
      </c>
      <c r="G90" s="1651" t="s">
        <v>1036</v>
      </c>
      <c r="H90" s="1651" t="s">
        <v>1300</v>
      </c>
      <c r="I90" s="1651" t="s">
        <v>1300</v>
      </c>
      <c r="L90" s="1640"/>
      <c r="N90" s="1639"/>
    </row>
    <row r="91" spans="1:14">
      <c r="A91" s="1654">
        <v>4.08</v>
      </c>
      <c r="B91" s="1654">
        <v>4.08</v>
      </c>
      <c r="C91" s="1654">
        <v>4.08</v>
      </c>
      <c r="D91" s="1654">
        <v>4.08</v>
      </c>
      <c r="E91" s="1651">
        <v>4.08</v>
      </c>
      <c r="F91" s="1651" t="s">
        <v>1039</v>
      </c>
      <c r="G91" s="1651" t="s">
        <v>1039</v>
      </c>
      <c r="H91" s="1651" t="s">
        <v>1038</v>
      </c>
      <c r="I91" s="1651" t="s">
        <v>1038</v>
      </c>
      <c r="L91" s="1640"/>
      <c r="N91" s="1639"/>
    </row>
    <row r="92" spans="1:14">
      <c r="A92" s="1654">
        <v>4.09</v>
      </c>
      <c r="B92" s="1654">
        <v>4.09</v>
      </c>
      <c r="C92" s="1654">
        <v>4.09</v>
      </c>
      <c r="D92" s="1654">
        <v>4.09</v>
      </c>
      <c r="E92" s="1651">
        <v>4.09</v>
      </c>
      <c r="F92" s="1651" t="s">
        <v>1040</v>
      </c>
      <c r="G92" s="1651" t="s">
        <v>1040</v>
      </c>
      <c r="H92" s="1651" t="s">
        <v>1039</v>
      </c>
      <c r="I92" s="1651" t="s">
        <v>1039</v>
      </c>
      <c r="L92" s="1640"/>
      <c r="N92" s="1639"/>
    </row>
    <row r="93" spans="1:14">
      <c r="A93" s="1653">
        <v>4.0999999999999996</v>
      </c>
      <c r="B93" s="1653">
        <v>4.0999999999999996</v>
      </c>
      <c r="C93" s="1653">
        <v>4.0999999999999996</v>
      </c>
      <c r="D93" s="1653">
        <v>4.0999999999999996</v>
      </c>
      <c r="E93" s="1652">
        <v>4.0999999999999996</v>
      </c>
      <c r="F93" s="1651" t="s">
        <v>1041</v>
      </c>
      <c r="G93" s="1651" t="s">
        <v>1041</v>
      </c>
      <c r="H93" s="1651" t="s">
        <v>1040</v>
      </c>
      <c r="I93" s="1651" t="s">
        <v>1040</v>
      </c>
      <c r="L93" s="1640"/>
      <c r="N93" s="1639"/>
    </row>
    <row r="94" spans="1:14">
      <c r="A94" s="1653">
        <v>4.1100000000000003</v>
      </c>
      <c r="B94" s="1653">
        <v>4.1100000000000003</v>
      </c>
      <c r="C94" s="1653">
        <v>4.1100000000000003</v>
      </c>
      <c r="D94" s="1653" t="s">
        <v>1300</v>
      </c>
      <c r="E94" s="1653" t="s">
        <v>1300</v>
      </c>
      <c r="F94" s="1653" t="s">
        <v>1300</v>
      </c>
      <c r="G94" s="1653" t="s">
        <v>1300</v>
      </c>
      <c r="H94" s="1653" t="s">
        <v>1300</v>
      </c>
      <c r="I94" s="1653" t="s">
        <v>1300</v>
      </c>
      <c r="L94" s="1640"/>
      <c r="N94" s="1639"/>
    </row>
    <row r="95" spans="1:14">
      <c r="A95" s="1653">
        <v>4.12</v>
      </c>
      <c r="B95" s="1653">
        <v>4.12</v>
      </c>
      <c r="C95" s="1653">
        <v>4.12</v>
      </c>
      <c r="D95" s="1653" t="s">
        <v>1300</v>
      </c>
      <c r="E95" s="1653" t="s">
        <v>1300</v>
      </c>
      <c r="F95" s="1653" t="s">
        <v>1300</v>
      </c>
      <c r="G95" s="1653" t="s">
        <v>1300</v>
      </c>
      <c r="H95" s="1653" t="s">
        <v>1300</v>
      </c>
      <c r="I95" s="1653" t="s">
        <v>1300</v>
      </c>
      <c r="L95" s="1640"/>
      <c r="N95" s="1639"/>
    </row>
    <row r="96" spans="1:14">
      <c r="A96" s="1653">
        <v>4.13</v>
      </c>
      <c r="B96" s="1653">
        <v>4.13</v>
      </c>
      <c r="C96" s="1653">
        <v>4.13</v>
      </c>
      <c r="D96" s="1653" t="s">
        <v>1300</v>
      </c>
      <c r="E96" s="1653" t="s">
        <v>1300</v>
      </c>
      <c r="F96" s="1653" t="s">
        <v>1300</v>
      </c>
      <c r="G96" s="1653" t="s">
        <v>1300</v>
      </c>
      <c r="H96" s="1653" t="s">
        <v>1300</v>
      </c>
      <c r="I96" s="1653" t="s">
        <v>1300</v>
      </c>
      <c r="L96" s="1640"/>
      <c r="N96" s="1639"/>
    </row>
    <row r="97" spans="1:14">
      <c r="A97" s="1654">
        <v>5.01</v>
      </c>
      <c r="B97" s="1654">
        <v>5.01</v>
      </c>
      <c r="C97" s="1654">
        <v>5.01</v>
      </c>
      <c r="D97" s="1654">
        <v>5.0199999999999996</v>
      </c>
      <c r="E97" s="1651" t="s">
        <v>1098</v>
      </c>
      <c r="F97" s="1658" t="s">
        <v>1300</v>
      </c>
      <c r="G97" s="1658" t="s">
        <v>1300</v>
      </c>
      <c r="H97" s="1658" t="s">
        <v>1300</v>
      </c>
      <c r="I97" s="1658" t="s">
        <v>1300</v>
      </c>
      <c r="L97" s="1640"/>
      <c r="N97" s="1639"/>
    </row>
    <row r="98" spans="1:14">
      <c r="A98" s="1654">
        <v>5.0199999999999996</v>
      </c>
      <c r="B98" s="1654">
        <v>5.0199999999999996</v>
      </c>
      <c r="C98" s="1654">
        <v>5.0199999999999996</v>
      </c>
      <c r="D98" s="1654">
        <v>5.01</v>
      </c>
      <c r="E98" s="1658" t="s">
        <v>1099</v>
      </c>
      <c r="F98" s="1651" t="s">
        <v>1300</v>
      </c>
      <c r="G98" s="1651" t="s">
        <v>1300</v>
      </c>
      <c r="H98" s="1651" t="s">
        <v>1300</v>
      </c>
      <c r="I98" s="1651" t="s">
        <v>1300</v>
      </c>
      <c r="L98" s="1640"/>
      <c r="N98" s="1639"/>
    </row>
    <row r="99" spans="1:14">
      <c r="A99" s="1654">
        <v>5.03</v>
      </c>
      <c r="B99" s="1654">
        <v>5.03</v>
      </c>
      <c r="C99" s="1654">
        <v>5.03</v>
      </c>
      <c r="D99" s="1654" t="s">
        <v>1300</v>
      </c>
      <c r="E99" s="1654" t="s">
        <v>1300</v>
      </c>
      <c r="F99" s="1654" t="s">
        <v>1300</v>
      </c>
      <c r="G99" s="1654" t="s">
        <v>1300</v>
      </c>
      <c r="H99" s="1654" t="s">
        <v>1300</v>
      </c>
      <c r="I99" s="1654" t="s">
        <v>1300</v>
      </c>
      <c r="L99" s="1640"/>
      <c r="N99" s="1639"/>
    </row>
    <row r="100" spans="1:14">
      <c r="A100" s="1654">
        <v>5.04</v>
      </c>
      <c r="B100" s="1654">
        <v>5.04</v>
      </c>
      <c r="C100" s="1654">
        <v>5.04</v>
      </c>
      <c r="D100" s="1654" t="s">
        <v>1300</v>
      </c>
      <c r="E100" s="1654" t="s">
        <v>1300</v>
      </c>
      <c r="F100" s="1654" t="s">
        <v>1300</v>
      </c>
      <c r="G100" s="1654" t="s">
        <v>1300</v>
      </c>
      <c r="H100" s="1654" t="s">
        <v>1300</v>
      </c>
      <c r="I100" s="1654" t="s">
        <v>1300</v>
      </c>
      <c r="L100" s="1640"/>
      <c r="N100" s="1639"/>
    </row>
    <row r="101" spans="1:14">
      <c r="A101" s="1654">
        <v>6.01</v>
      </c>
      <c r="B101" s="1654">
        <v>6.01</v>
      </c>
      <c r="C101" s="1654">
        <v>6.01</v>
      </c>
      <c r="D101" s="1654">
        <v>6.01</v>
      </c>
      <c r="E101" s="1651">
        <v>6.01</v>
      </c>
      <c r="F101" s="1651" t="s">
        <v>1024</v>
      </c>
      <c r="G101" s="1651" t="s">
        <v>1024</v>
      </c>
      <c r="H101" s="1651" t="s">
        <v>1024</v>
      </c>
      <c r="I101" s="1651" t="s">
        <v>1024</v>
      </c>
      <c r="L101" s="1640"/>
      <c r="N101" s="1639"/>
    </row>
    <row r="102" spans="1:14">
      <c r="A102" s="1654">
        <v>6.02</v>
      </c>
      <c r="B102" s="1654">
        <v>6.02</v>
      </c>
      <c r="C102" s="1654">
        <v>6.02</v>
      </c>
      <c r="D102" s="1654">
        <v>6.02</v>
      </c>
      <c r="E102" s="1651">
        <v>6.02</v>
      </c>
      <c r="F102" s="1651" t="s">
        <v>1026</v>
      </c>
      <c r="G102" s="1651" t="s">
        <v>1026</v>
      </c>
      <c r="H102" s="1651" t="s">
        <v>1026</v>
      </c>
      <c r="I102" s="1651" t="s">
        <v>1026</v>
      </c>
      <c r="L102" s="1640"/>
      <c r="N102" s="1639"/>
    </row>
    <row r="103" spans="1:14">
      <c r="A103" s="1654">
        <v>6.03</v>
      </c>
      <c r="B103" s="1654">
        <v>6.03</v>
      </c>
      <c r="C103" s="1654">
        <v>6.03</v>
      </c>
      <c r="D103" s="1654">
        <v>6.03</v>
      </c>
      <c r="E103" s="1651">
        <v>6.03</v>
      </c>
      <c r="F103" s="1651" t="s">
        <v>1025</v>
      </c>
      <c r="G103" s="1651" t="s">
        <v>1025</v>
      </c>
      <c r="H103" s="1651" t="s">
        <v>1025</v>
      </c>
      <c r="I103" s="1651" t="s">
        <v>1025</v>
      </c>
      <c r="L103" s="1640"/>
      <c r="N103" s="1639"/>
    </row>
    <row r="104" spans="1:14">
      <c r="A104" s="1654">
        <v>6.04</v>
      </c>
      <c r="B104" s="1654">
        <v>6.04</v>
      </c>
      <c r="C104" s="1654">
        <v>6.04</v>
      </c>
      <c r="D104" s="1654">
        <v>6.04</v>
      </c>
      <c r="E104" s="1651">
        <v>6.04</v>
      </c>
      <c r="F104" s="1651" t="s">
        <v>1028</v>
      </c>
      <c r="G104" s="1651" t="s">
        <v>1028</v>
      </c>
      <c r="H104" s="1651" t="s">
        <v>1028</v>
      </c>
      <c r="I104" s="1651" t="s">
        <v>1028</v>
      </c>
      <c r="L104" s="1640"/>
      <c r="N104" s="1639"/>
    </row>
    <row r="105" spans="1:14">
      <c r="A105" s="1654">
        <v>6.05</v>
      </c>
      <c r="B105" s="1654">
        <v>6.05</v>
      </c>
      <c r="C105" s="1654">
        <v>6.05</v>
      </c>
      <c r="D105" s="1654">
        <v>6.05</v>
      </c>
      <c r="E105" s="1651">
        <v>6.05</v>
      </c>
      <c r="F105" s="1651" t="s">
        <v>1029</v>
      </c>
      <c r="G105" s="1651" t="s">
        <v>1029</v>
      </c>
      <c r="H105" s="1651" t="s">
        <v>1029</v>
      </c>
      <c r="I105" s="1651" t="s">
        <v>1029</v>
      </c>
      <c r="L105" s="1640"/>
      <c r="N105" s="1639"/>
    </row>
    <row r="106" spans="1:14">
      <c r="A106" s="1654">
        <v>6.06</v>
      </c>
      <c r="B106" s="1654">
        <v>6.06</v>
      </c>
      <c r="C106" s="1654">
        <v>6.06</v>
      </c>
      <c r="D106" s="1654">
        <v>6.06</v>
      </c>
      <c r="E106" s="1651">
        <v>6.06</v>
      </c>
      <c r="F106" s="1651" t="s">
        <v>1030</v>
      </c>
      <c r="G106" s="1651" t="s">
        <v>1030</v>
      </c>
      <c r="H106" s="1651" t="s">
        <v>1030</v>
      </c>
      <c r="I106" s="1651" t="s">
        <v>1030</v>
      </c>
      <c r="L106" s="1640"/>
      <c r="N106" s="1639"/>
    </row>
    <row r="107" spans="1:14">
      <c r="A107" s="1654">
        <v>7.01</v>
      </c>
      <c r="B107" s="1654">
        <v>7.01</v>
      </c>
      <c r="C107" s="1654">
        <v>7.01</v>
      </c>
      <c r="D107" s="1654">
        <v>7.01</v>
      </c>
      <c r="E107" s="1651">
        <v>7.01</v>
      </c>
      <c r="F107" s="1651" t="s">
        <v>1031</v>
      </c>
      <c r="G107" s="1651" t="s">
        <v>1031</v>
      </c>
      <c r="H107" s="1651" t="s">
        <v>1031</v>
      </c>
      <c r="I107" s="1651" t="s">
        <v>1031</v>
      </c>
      <c r="L107" s="1640"/>
      <c r="N107" s="1639"/>
    </row>
    <row r="108" spans="1:14">
      <c r="A108" s="1654">
        <v>7.02</v>
      </c>
      <c r="B108" s="1654">
        <v>7.02</v>
      </c>
      <c r="C108" s="1654">
        <v>7.02</v>
      </c>
      <c r="D108" s="1654">
        <v>7.02</v>
      </c>
      <c r="E108" s="1651">
        <v>7.02</v>
      </c>
      <c r="F108" s="1651" t="s">
        <v>1032</v>
      </c>
      <c r="G108" s="1651" t="s">
        <v>1032</v>
      </c>
      <c r="H108" s="1651" t="s">
        <v>1032</v>
      </c>
      <c r="I108" s="1651" t="s">
        <v>1032</v>
      </c>
      <c r="L108" s="1640"/>
      <c r="N108" s="1639"/>
    </row>
    <row r="109" spans="1:14">
      <c r="A109" s="1654">
        <v>7.03</v>
      </c>
      <c r="B109" s="1654">
        <v>7.03</v>
      </c>
      <c r="C109" s="1654">
        <v>7.03</v>
      </c>
      <c r="D109" s="1654">
        <v>7.03</v>
      </c>
      <c r="E109" s="1651">
        <v>7.03</v>
      </c>
      <c r="F109" s="1651" t="s">
        <v>1033</v>
      </c>
      <c r="G109" s="1651" t="s">
        <v>1033</v>
      </c>
      <c r="H109" s="1651" t="s">
        <v>1033</v>
      </c>
      <c r="I109" s="1651" t="s">
        <v>1033</v>
      </c>
      <c r="L109" s="1640"/>
      <c r="N109" s="1639"/>
    </row>
    <row r="110" spans="1:14">
      <c r="A110" s="1654">
        <v>7.04</v>
      </c>
      <c r="B110" s="1654">
        <v>7.04</v>
      </c>
      <c r="C110" s="1654">
        <v>7.04</v>
      </c>
      <c r="D110" s="1654">
        <v>7.04</v>
      </c>
      <c r="E110" s="1651">
        <v>7.04</v>
      </c>
      <c r="F110" s="1651" t="s">
        <v>1034</v>
      </c>
      <c r="G110" s="1651" t="s">
        <v>1034</v>
      </c>
      <c r="H110" s="1651" t="s">
        <v>1034</v>
      </c>
      <c r="I110" s="1651" t="s">
        <v>1034</v>
      </c>
      <c r="L110" s="1640"/>
      <c r="N110" s="1639"/>
    </row>
    <row r="111" spans="1:14">
      <c r="A111" s="1654">
        <v>7.05</v>
      </c>
      <c r="B111" s="1654">
        <v>7.05</v>
      </c>
      <c r="C111" s="1654">
        <v>7.05</v>
      </c>
      <c r="D111" s="1654">
        <v>7.05</v>
      </c>
      <c r="E111" s="1651">
        <v>7.05</v>
      </c>
      <c r="F111" s="1651" t="s">
        <v>1035</v>
      </c>
      <c r="G111" s="1651" t="s">
        <v>1035</v>
      </c>
      <c r="H111" s="1651" t="s">
        <v>1035</v>
      </c>
      <c r="I111" s="1651" t="s">
        <v>1035</v>
      </c>
      <c r="L111" s="1640"/>
      <c r="N111" s="1639"/>
    </row>
    <row r="112" spans="1:14">
      <c r="A112" s="1653">
        <v>8.01</v>
      </c>
      <c r="B112" s="1653">
        <v>8.01</v>
      </c>
      <c r="C112" s="1653">
        <v>8.01</v>
      </c>
      <c r="D112" s="1653">
        <v>8.01</v>
      </c>
      <c r="E112" s="1652">
        <v>8.01</v>
      </c>
      <c r="F112" s="1651" t="s">
        <v>973</v>
      </c>
      <c r="G112" s="1651" t="s">
        <v>973</v>
      </c>
      <c r="H112" s="1651" t="s">
        <v>973</v>
      </c>
      <c r="I112" s="1651" t="s">
        <v>973</v>
      </c>
      <c r="L112" s="1640"/>
      <c r="N112" s="1639"/>
    </row>
    <row r="113" spans="1:14">
      <c r="A113" s="1653">
        <v>8.02</v>
      </c>
      <c r="B113" s="1653">
        <v>8.1199999999999992</v>
      </c>
      <c r="C113" s="1653" t="s">
        <v>1300</v>
      </c>
      <c r="D113" s="1653" t="s">
        <v>1300</v>
      </c>
      <c r="E113" s="1653" t="s">
        <v>1300</v>
      </c>
      <c r="F113" s="1653" t="s">
        <v>1300</v>
      </c>
      <c r="G113" s="1653" t="s">
        <v>1300</v>
      </c>
      <c r="H113" s="1653" t="s">
        <v>1300</v>
      </c>
      <c r="I113" s="1653" t="s">
        <v>1300</v>
      </c>
      <c r="L113" s="1640"/>
      <c r="N113" s="1639"/>
    </row>
    <row r="114" spans="1:14">
      <c r="A114" s="1653">
        <v>8.0299999999999994</v>
      </c>
      <c r="B114" s="1653">
        <v>8.0299999999999994</v>
      </c>
      <c r="C114" s="1653">
        <v>8.0299999999999994</v>
      </c>
      <c r="D114" s="1653">
        <v>8.0299999999999994</v>
      </c>
      <c r="E114" s="1652">
        <v>8.0299999999999994</v>
      </c>
      <c r="F114" s="1651" t="s">
        <v>979</v>
      </c>
      <c r="G114" s="1651" t="s">
        <v>979</v>
      </c>
      <c r="H114" s="1651" t="s">
        <v>979</v>
      </c>
      <c r="I114" s="1651" t="s">
        <v>979</v>
      </c>
      <c r="L114" s="1640"/>
      <c r="N114" s="1639"/>
    </row>
    <row r="115" spans="1:14">
      <c r="A115" s="1653">
        <v>8.0399999999999991</v>
      </c>
      <c r="B115" s="1653">
        <v>8.0399999999999991</v>
      </c>
      <c r="C115" s="1653">
        <v>8.0399999999999991</v>
      </c>
      <c r="D115" s="1653">
        <v>8.0399999999999991</v>
      </c>
      <c r="E115" s="1652">
        <v>8.0399999999999991</v>
      </c>
      <c r="F115" s="1651" t="s">
        <v>981</v>
      </c>
      <c r="G115" s="1651" t="s">
        <v>981</v>
      </c>
      <c r="H115" s="1651" t="s">
        <v>981</v>
      </c>
      <c r="I115" s="1651" t="s">
        <v>981</v>
      </c>
      <c r="L115" s="1640"/>
      <c r="N115" s="1639"/>
    </row>
    <row r="116" spans="1:14">
      <c r="A116" s="1653">
        <v>8.0500000000000007</v>
      </c>
      <c r="B116" s="1653">
        <v>8.0500000000000007</v>
      </c>
      <c r="C116" s="1653">
        <v>8.0500000000000007</v>
      </c>
      <c r="D116" s="1653">
        <v>8.0500000000000007</v>
      </c>
      <c r="E116" s="1652">
        <v>8.0500000000000007</v>
      </c>
      <c r="F116" s="1651" t="s">
        <v>983</v>
      </c>
      <c r="G116" s="1651" t="s">
        <v>983</v>
      </c>
      <c r="H116" s="1651" t="s">
        <v>983</v>
      </c>
      <c r="I116" s="1651" t="s">
        <v>983</v>
      </c>
      <c r="L116" s="1640"/>
      <c r="N116" s="1639"/>
    </row>
    <row r="117" spans="1:14">
      <c r="A117" s="1653">
        <v>8.06</v>
      </c>
      <c r="B117" s="1653">
        <v>8.06</v>
      </c>
      <c r="C117" s="1653">
        <v>8.06</v>
      </c>
      <c r="D117" s="1653">
        <v>8.06</v>
      </c>
      <c r="E117" s="1652">
        <v>8.06</v>
      </c>
      <c r="F117" s="1651" t="s">
        <v>984</v>
      </c>
      <c r="G117" s="1651" t="s">
        <v>984</v>
      </c>
      <c r="H117" s="1651" t="s">
        <v>984</v>
      </c>
      <c r="I117" s="1651" t="s">
        <v>984</v>
      </c>
      <c r="L117" s="1640"/>
      <c r="N117" s="1639"/>
    </row>
    <row r="118" spans="1:14">
      <c r="A118" s="1653">
        <v>8.07</v>
      </c>
      <c r="B118" s="1653">
        <v>8.07</v>
      </c>
      <c r="C118" s="1653">
        <v>8.07</v>
      </c>
      <c r="D118" s="1653">
        <v>8.07</v>
      </c>
      <c r="E118" s="1652">
        <v>8.07</v>
      </c>
      <c r="F118" s="1651" t="s">
        <v>987</v>
      </c>
      <c r="G118" s="1651" t="s">
        <v>987</v>
      </c>
      <c r="H118" s="1651" t="s">
        <v>987</v>
      </c>
      <c r="I118" s="1651" t="s">
        <v>987</v>
      </c>
      <c r="L118" s="1640"/>
      <c r="N118" s="1639"/>
    </row>
    <row r="119" spans="1:14">
      <c r="A119" s="1653">
        <v>8.08</v>
      </c>
      <c r="B119" s="1653">
        <v>8.08</v>
      </c>
      <c r="C119" s="1653">
        <v>8.08</v>
      </c>
      <c r="D119" s="1653">
        <v>8.08</v>
      </c>
      <c r="E119" s="1652">
        <v>8.08</v>
      </c>
      <c r="F119" s="1651" t="s">
        <v>991</v>
      </c>
      <c r="G119" s="1651" t="s">
        <v>991</v>
      </c>
      <c r="H119" s="1651" t="s">
        <v>991</v>
      </c>
      <c r="I119" s="1651" t="s">
        <v>991</v>
      </c>
      <c r="L119" s="1640"/>
      <c r="N119" s="1639"/>
    </row>
    <row r="120" spans="1:14">
      <c r="A120" s="1653">
        <v>8.09</v>
      </c>
      <c r="B120" s="1653">
        <v>8.09</v>
      </c>
      <c r="C120" s="1653">
        <v>8.09</v>
      </c>
      <c r="D120" s="1653">
        <v>8.09</v>
      </c>
      <c r="E120" s="1652">
        <v>8.09</v>
      </c>
      <c r="F120" s="1651" t="s">
        <v>989</v>
      </c>
      <c r="G120" s="1651" t="s">
        <v>989</v>
      </c>
      <c r="H120" s="1651" t="s">
        <v>989</v>
      </c>
      <c r="I120" s="1651" t="s">
        <v>989</v>
      </c>
      <c r="L120" s="1640"/>
      <c r="N120" s="1639"/>
    </row>
    <row r="121" spans="1:14">
      <c r="A121" s="1653">
        <v>8.1</v>
      </c>
      <c r="B121" s="1653">
        <v>8.1</v>
      </c>
      <c r="C121" s="1653">
        <v>8.1</v>
      </c>
      <c r="D121" s="1653">
        <v>8.1</v>
      </c>
      <c r="E121" s="1652">
        <v>8.1</v>
      </c>
      <c r="F121" s="1651" t="s">
        <v>990</v>
      </c>
      <c r="G121" s="1651" t="s">
        <v>990</v>
      </c>
      <c r="H121" s="1651" t="s">
        <v>990</v>
      </c>
      <c r="I121" s="1651" t="s">
        <v>990</v>
      </c>
      <c r="L121" s="1640"/>
      <c r="N121" s="1639"/>
    </row>
    <row r="122" spans="1:14">
      <c r="A122" s="1653">
        <v>8.11</v>
      </c>
      <c r="B122" s="1653">
        <v>8.11</v>
      </c>
      <c r="C122" s="1653" t="s">
        <v>1300</v>
      </c>
      <c r="D122" s="1653" t="s">
        <v>1300</v>
      </c>
      <c r="E122" s="1653" t="s">
        <v>1300</v>
      </c>
      <c r="F122" s="1653" t="s">
        <v>1300</v>
      </c>
      <c r="G122" s="1653" t="s">
        <v>1300</v>
      </c>
      <c r="H122" s="1653" t="s">
        <v>1300</v>
      </c>
      <c r="I122" s="1653" t="s">
        <v>1300</v>
      </c>
      <c r="L122" s="1640"/>
      <c r="N122" s="1639"/>
    </row>
    <row r="123" spans="1:14">
      <c r="A123" s="1653">
        <v>9.01</v>
      </c>
      <c r="B123" s="1653">
        <v>9.01</v>
      </c>
      <c r="C123" s="1653" t="s">
        <v>1300</v>
      </c>
      <c r="D123" s="1653" t="s">
        <v>1300</v>
      </c>
      <c r="E123" s="1653" t="s">
        <v>1300</v>
      </c>
      <c r="F123" s="1658" t="s">
        <v>1300</v>
      </c>
      <c r="G123" s="1658" t="s">
        <v>1300</v>
      </c>
      <c r="H123" s="1658" t="s">
        <v>1300</v>
      </c>
      <c r="I123" s="1658" t="s">
        <v>1300</v>
      </c>
      <c r="L123" s="1640"/>
      <c r="N123" s="1639"/>
    </row>
    <row r="124" spans="1:14">
      <c r="A124" s="1653">
        <v>9.02</v>
      </c>
      <c r="B124" s="1653">
        <v>9.02</v>
      </c>
      <c r="C124" s="1653">
        <v>9.02</v>
      </c>
      <c r="D124" s="1653">
        <v>9.02</v>
      </c>
      <c r="E124" s="1652">
        <v>9.02</v>
      </c>
      <c r="F124" s="1658" t="s">
        <v>1300</v>
      </c>
      <c r="G124" s="1658" t="s">
        <v>1300</v>
      </c>
      <c r="H124" s="1658" t="s">
        <v>1300</v>
      </c>
      <c r="I124" s="1658" t="s">
        <v>1300</v>
      </c>
      <c r="L124" s="1640"/>
      <c r="N124" s="1639"/>
    </row>
    <row r="125" spans="1:14">
      <c r="A125" s="1653">
        <v>9.0299999999999994</v>
      </c>
      <c r="B125" s="1653">
        <v>9.0299999999999994</v>
      </c>
      <c r="C125" s="1653">
        <v>9.0299999999999994</v>
      </c>
      <c r="D125" s="1653">
        <v>9.0299999999999994</v>
      </c>
      <c r="E125" s="1652">
        <v>9.0299999999999994</v>
      </c>
      <c r="F125" s="1658" t="s">
        <v>1300</v>
      </c>
      <c r="G125" s="1658" t="s">
        <v>1300</v>
      </c>
      <c r="H125" s="1658" t="s">
        <v>1300</v>
      </c>
      <c r="I125" s="1658" t="s">
        <v>1300</v>
      </c>
      <c r="L125" s="1640"/>
      <c r="N125" s="1639"/>
    </row>
    <row r="126" spans="1:14">
      <c r="A126" s="1653">
        <v>9.0399999999999991</v>
      </c>
      <c r="B126" s="1653">
        <v>9.0399999999999991</v>
      </c>
      <c r="C126" s="1653">
        <v>9.0399999999999991</v>
      </c>
      <c r="D126" s="1653">
        <v>9.0399999999999991</v>
      </c>
      <c r="E126" s="1659" t="s">
        <v>1300</v>
      </c>
      <c r="F126" s="1658" t="s">
        <v>1300</v>
      </c>
      <c r="G126" s="1658" t="s">
        <v>1300</v>
      </c>
      <c r="H126" s="1658" t="s">
        <v>1300</v>
      </c>
      <c r="I126" s="1658" t="s">
        <v>1300</v>
      </c>
      <c r="L126" s="1640"/>
      <c r="N126" s="1639"/>
    </row>
    <row r="127" spans="1:14">
      <c r="A127" s="1653">
        <v>9.0500000000000007</v>
      </c>
      <c r="B127" s="1653">
        <v>9.0500000000000007</v>
      </c>
      <c r="C127" s="1653">
        <v>9.0500000000000007</v>
      </c>
      <c r="D127" s="1653">
        <v>9.0500000000000007</v>
      </c>
      <c r="E127" s="1659" t="s">
        <v>1300</v>
      </c>
      <c r="F127" s="1658" t="s">
        <v>1300</v>
      </c>
      <c r="G127" s="1658" t="s">
        <v>1300</v>
      </c>
      <c r="H127" s="1658" t="s">
        <v>1300</v>
      </c>
      <c r="I127" s="1658" t="s">
        <v>1300</v>
      </c>
      <c r="L127" s="1640"/>
      <c r="N127" s="1639"/>
    </row>
    <row r="128" spans="1:14">
      <c r="A128" s="1653">
        <v>9.06</v>
      </c>
      <c r="B128" s="1653">
        <v>9.06</v>
      </c>
      <c r="C128" s="1653">
        <v>9.06</v>
      </c>
      <c r="D128" s="1653">
        <v>9.06</v>
      </c>
      <c r="E128" s="1652" t="s">
        <v>1300</v>
      </c>
      <c r="F128" s="1651" t="s">
        <v>1300</v>
      </c>
      <c r="G128" s="1651" t="s">
        <v>1300</v>
      </c>
      <c r="H128" s="1651" t="s">
        <v>1300</v>
      </c>
      <c r="I128" s="1651" t="s">
        <v>1300</v>
      </c>
      <c r="L128" s="1640"/>
      <c r="N128" s="1639"/>
    </row>
    <row r="129" spans="1:14">
      <c r="A129" s="1653">
        <v>9.07</v>
      </c>
      <c r="B129" s="1653">
        <v>9.07</v>
      </c>
      <c r="C129" s="1653">
        <v>9.07</v>
      </c>
      <c r="D129" s="1653">
        <v>9.07</v>
      </c>
      <c r="E129" s="1652" t="s">
        <v>1300</v>
      </c>
      <c r="F129" s="1651" t="s">
        <v>1300</v>
      </c>
      <c r="G129" s="1651" t="s">
        <v>1300</v>
      </c>
      <c r="H129" s="1651" t="s">
        <v>1300</v>
      </c>
      <c r="I129" s="1651" t="s">
        <v>1300</v>
      </c>
      <c r="L129" s="1640"/>
      <c r="N129" s="1639"/>
    </row>
    <row r="130" spans="1:14">
      <c r="A130" s="1653">
        <v>9.08</v>
      </c>
      <c r="B130" s="1653">
        <v>9.08</v>
      </c>
      <c r="C130" s="1653">
        <v>9.08</v>
      </c>
      <c r="D130" s="1653">
        <v>9.08</v>
      </c>
      <c r="E130" s="1652" t="s">
        <v>1300</v>
      </c>
      <c r="F130" s="1651" t="s">
        <v>1300</v>
      </c>
      <c r="G130" s="1651" t="s">
        <v>1300</v>
      </c>
      <c r="H130" s="1651" t="s">
        <v>1300</v>
      </c>
      <c r="I130" s="1651" t="s">
        <v>1300</v>
      </c>
      <c r="L130" s="1640"/>
      <c r="N130" s="1639"/>
    </row>
    <row r="131" spans="1:14">
      <c r="A131" s="1653">
        <v>9.09</v>
      </c>
      <c r="B131" s="1653">
        <v>9.09</v>
      </c>
      <c r="C131" s="1653">
        <v>9.09</v>
      </c>
      <c r="D131" s="1653">
        <v>9.09</v>
      </c>
      <c r="E131" s="1652">
        <v>9.09</v>
      </c>
      <c r="F131" s="1651" t="s">
        <v>1100</v>
      </c>
      <c r="G131" s="1651" t="s">
        <v>1100</v>
      </c>
      <c r="H131" s="1651" t="s">
        <v>1100</v>
      </c>
      <c r="I131" s="1651" t="s">
        <v>1101</v>
      </c>
      <c r="L131" s="1640"/>
      <c r="N131" s="1639"/>
    </row>
    <row r="132" spans="1:14">
      <c r="A132" s="1657" t="s">
        <v>1075</v>
      </c>
      <c r="B132" s="1653">
        <v>9.09</v>
      </c>
      <c r="C132" s="1653">
        <v>9.09</v>
      </c>
      <c r="D132" s="1657" t="s">
        <v>1075</v>
      </c>
      <c r="E132" s="1652">
        <v>9.08</v>
      </c>
      <c r="F132" s="1651" t="s">
        <v>1077</v>
      </c>
      <c r="G132" s="1651" t="s">
        <v>1074</v>
      </c>
      <c r="H132" s="1651" t="s">
        <v>1074</v>
      </c>
      <c r="I132" s="1651" t="s">
        <v>1073</v>
      </c>
      <c r="L132" s="1640"/>
      <c r="N132" s="1639"/>
    </row>
    <row r="133" spans="1:14">
      <c r="A133" s="1653">
        <v>9.11</v>
      </c>
      <c r="B133" s="1653">
        <v>9.11</v>
      </c>
      <c r="C133" s="1653">
        <v>9.11</v>
      </c>
      <c r="D133" s="1653">
        <v>9.11</v>
      </c>
      <c r="E133" s="1652">
        <v>9.11</v>
      </c>
      <c r="F133" s="1658" t="s">
        <v>1300</v>
      </c>
      <c r="G133" s="1658" t="s">
        <v>1300</v>
      </c>
      <c r="H133" s="1658" t="s">
        <v>1300</v>
      </c>
      <c r="I133" s="1658" t="s">
        <v>1300</v>
      </c>
      <c r="L133" s="1640"/>
      <c r="N133" s="1639"/>
    </row>
    <row r="134" spans="1:14">
      <c r="A134" s="1653">
        <v>9.1199999999999992</v>
      </c>
      <c r="B134" s="1653">
        <v>9.1199999999999992</v>
      </c>
      <c r="C134" s="1653">
        <v>9.1199999999999992</v>
      </c>
      <c r="D134" s="1653">
        <v>9.1199999999999992</v>
      </c>
      <c r="E134" s="1652">
        <v>9.0399999999999991</v>
      </c>
      <c r="F134" s="1651" t="s">
        <v>1057</v>
      </c>
      <c r="G134" s="1651" t="s">
        <v>1057</v>
      </c>
      <c r="H134" s="1651" t="s">
        <v>1057</v>
      </c>
      <c r="I134" s="1651" t="s">
        <v>1056</v>
      </c>
      <c r="L134" s="1640"/>
      <c r="N134" s="1639"/>
    </row>
    <row r="135" spans="1:14">
      <c r="A135" s="1653">
        <v>9.1300000000000008</v>
      </c>
      <c r="B135" s="1653">
        <v>9.1300000000000008</v>
      </c>
      <c r="C135" s="1653">
        <v>9.1300000000000008</v>
      </c>
      <c r="D135" s="1653">
        <v>9.1300000000000008</v>
      </c>
      <c r="E135" s="1652">
        <v>9.0500000000000007</v>
      </c>
      <c r="F135" s="1651" t="s">
        <v>1059</v>
      </c>
      <c r="G135" s="1651" t="s">
        <v>1059</v>
      </c>
      <c r="H135" s="1651" t="s">
        <v>1059</v>
      </c>
      <c r="I135" s="1651" t="s">
        <v>1058</v>
      </c>
      <c r="L135" s="1640"/>
      <c r="N135" s="1639"/>
    </row>
    <row r="136" spans="1:14">
      <c r="A136" s="1653">
        <v>9.14</v>
      </c>
      <c r="B136" s="1653">
        <v>9.14</v>
      </c>
      <c r="C136" s="1653">
        <v>9.14</v>
      </c>
      <c r="D136" s="1653">
        <v>9.14</v>
      </c>
      <c r="E136" s="1652">
        <v>9.06</v>
      </c>
      <c r="F136" s="1651" t="s">
        <v>1055</v>
      </c>
      <c r="G136" s="1651" t="s">
        <v>1055</v>
      </c>
      <c r="H136" s="1651" t="s">
        <v>1055</v>
      </c>
      <c r="I136" s="1651" t="s">
        <v>1054</v>
      </c>
      <c r="L136" s="1640"/>
      <c r="N136" s="1639"/>
    </row>
    <row r="137" spans="1:14">
      <c r="A137" s="1653">
        <v>9.15</v>
      </c>
      <c r="B137" s="1653">
        <v>9.15</v>
      </c>
      <c r="C137" s="1653">
        <v>9.15</v>
      </c>
      <c r="D137" s="1653">
        <v>9.15</v>
      </c>
      <c r="E137" s="1652" t="s">
        <v>1300</v>
      </c>
      <c r="F137" s="1658" t="s">
        <v>1300</v>
      </c>
      <c r="G137" s="1658" t="s">
        <v>1300</v>
      </c>
      <c r="H137" s="1658" t="s">
        <v>1300</v>
      </c>
      <c r="I137" s="1658" t="s">
        <v>1300</v>
      </c>
      <c r="L137" s="1640"/>
      <c r="N137" s="1639"/>
    </row>
    <row r="138" spans="1:14">
      <c r="A138" s="1653">
        <v>9.16</v>
      </c>
      <c r="B138" s="1653">
        <v>9.16</v>
      </c>
      <c r="C138" s="1653">
        <v>9.16</v>
      </c>
      <c r="D138" s="1653">
        <v>9.16</v>
      </c>
      <c r="E138" s="1652">
        <v>9.1</v>
      </c>
      <c r="F138" s="1651" t="s">
        <v>1077</v>
      </c>
      <c r="G138" s="1651" t="s">
        <v>1077</v>
      </c>
      <c r="H138" s="1651" t="s">
        <v>1077</v>
      </c>
      <c r="I138" s="1651" t="s">
        <v>1076</v>
      </c>
      <c r="L138" s="1640"/>
      <c r="N138" s="1639"/>
    </row>
    <row r="139" spans="1:14">
      <c r="A139" s="1653">
        <v>9.17</v>
      </c>
      <c r="B139" s="1653">
        <v>9.17</v>
      </c>
      <c r="C139" s="1653">
        <v>9.17</v>
      </c>
      <c r="D139" s="1653">
        <v>9.17</v>
      </c>
      <c r="E139" s="1659" t="s">
        <v>1300</v>
      </c>
      <c r="F139" s="1658" t="s">
        <v>1300</v>
      </c>
      <c r="G139" s="1658" t="s">
        <v>1300</v>
      </c>
      <c r="H139" s="1658" t="s">
        <v>1300</v>
      </c>
      <c r="I139" s="1658" t="s">
        <v>1300</v>
      </c>
      <c r="L139" s="1640"/>
      <c r="N139" s="1639"/>
    </row>
    <row r="140" spans="1:14">
      <c r="A140" s="1653">
        <v>9.18</v>
      </c>
      <c r="B140" s="1653">
        <v>9.18</v>
      </c>
      <c r="C140" s="1653">
        <v>9.18</v>
      </c>
      <c r="D140" s="1653">
        <v>9.18</v>
      </c>
      <c r="E140" s="1659" t="s">
        <v>1300</v>
      </c>
      <c r="F140" s="1658" t="s">
        <v>1300</v>
      </c>
      <c r="G140" s="1658" t="s">
        <v>1300</v>
      </c>
      <c r="H140" s="1658" t="s">
        <v>1300</v>
      </c>
      <c r="I140" s="1658" t="s">
        <v>1300</v>
      </c>
      <c r="L140" s="1640"/>
      <c r="N140" s="1639"/>
    </row>
    <row r="141" spans="1:14">
      <c r="A141" s="1653">
        <v>9.19</v>
      </c>
      <c r="B141" s="1653">
        <v>9.19</v>
      </c>
      <c r="C141" s="1653">
        <v>9.01</v>
      </c>
      <c r="D141" s="1653">
        <v>9.01</v>
      </c>
      <c r="E141" s="1652">
        <v>9.01</v>
      </c>
      <c r="F141" s="1658" t="s">
        <v>1300</v>
      </c>
      <c r="G141" s="1658" t="s">
        <v>1300</v>
      </c>
      <c r="H141" s="1658" t="s">
        <v>1300</v>
      </c>
      <c r="I141" s="1658" t="s">
        <v>1300</v>
      </c>
      <c r="L141" s="1640"/>
      <c r="N141" s="1639"/>
    </row>
    <row r="142" spans="1:14">
      <c r="A142" s="1653">
        <v>9.1999999999999993</v>
      </c>
      <c r="B142" s="1653">
        <v>9.1999999999999993</v>
      </c>
      <c r="C142" s="1653" t="s">
        <v>1300</v>
      </c>
      <c r="D142" s="1653" t="s">
        <v>1300</v>
      </c>
      <c r="E142" s="1653" t="s">
        <v>1300</v>
      </c>
      <c r="F142" s="1653" t="s">
        <v>1300</v>
      </c>
      <c r="G142" s="1653" t="s">
        <v>1300</v>
      </c>
      <c r="H142" s="1653" t="s">
        <v>1300</v>
      </c>
      <c r="I142" s="1653" t="s">
        <v>1300</v>
      </c>
      <c r="L142" s="1640"/>
      <c r="N142" s="1639"/>
    </row>
    <row r="143" spans="1:14">
      <c r="A143" s="1656">
        <v>9.2100000000000009</v>
      </c>
      <c r="B143" s="1654" t="s">
        <v>1300</v>
      </c>
      <c r="C143" s="1654" t="s">
        <v>1300</v>
      </c>
      <c r="D143" s="1654" t="s">
        <v>1300</v>
      </c>
      <c r="E143" s="1654" t="s">
        <v>1300</v>
      </c>
      <c r="F143" s="1654" t="s">
        <v>1300</v>
      </c>
      <c r="G143" s="1654" t="s">
        <v>1300</v>
      </c>
      <c r="H143" s="1654" t="s">
        <v>1300</v>
      </c>
      <c r="I143" s="1654" t="s">
        <v>1300</v>
      </c>
      <c r="L143" s="1640"/>
      <c r="N143" s="1639"/>
    </row>
    <row r="144" spans="1:14" ht="9.75" customHeight="1">
      <c r="A144" s="1656" t="s">
        <v>422</v>
      </c>
      <c r="B144" s="1654">
        <v>2.0099999999999998</v>
      </c>
      <c r="C144" s="1654">
        <v>2.0099999999999998</v>
      </c>
      <c r="D144" s="1654">
        <v>2.0099999999999998</v>
      </c>
      <c r="E144" s="1654">
        <v>2.0099999999999998</v>
      </c>
      <c r="F144" s="1651" t="s">
        <v>1078</v>
      </c>
      <c r="G144" s="1651" t="s">
        <v>1078</v>
      </c>
      <c r="H144" s="1651" t="s">
        <v>1078</v>
      </c>
      <c r="I144" s="1651" t="s">
        <v>1300</v>
      </c>
      <c r="L144" s="1640"/>
      <c r="N144" s="1639"/>
    </row>
    <row r="145" spans="1:14" ht="9.75" customHeight="1">
      <c r="A145" s="1656" t="s">
        <v>424</v>
      </c>
      <c r="B145" s="1654">
        <v>2.02</v>
      </c>
      <c r="C145" s="1654">
        <v>2.02</v>
      </c>
      <c r="D145" s="1654">
        <v>2.02</v>
      </c>
      <c r="E145" s="1654">
        <v>2.02</v>
      </c>
      <c r="F145" s="1651" t="s">
        <v>1078</v>
      </c>
      <c r="G145" s="1651" t="s">
        <v>1078</v>
      </c>
      <c r="H145" s="1651" t="s">
        <v>1078</v>
      </c>
      <c r="I145" s="1651" t="s">
        <v>1300</v>
      </c>
      <c r="L145" s="1640"/>
      <c r="N145" s="1639"/>
    </row>
    <row r="146" spans="1:14">
      <c r="A146" s="1657" t="s">
        <v>426</v>
      </c>
      <c r="B146" s="1653">
        <v>2.13</v>
      </c>
      <c r="C146" s="1653" t="s">
        <v>1300</v>
      </c>
      <c r="D146" s="1653" t="s">
        <v>1300</v>
      </c>
      <c r="E146" s="1653" t="s">
        <v>1300</v>
      </c>
      <c r="F146" s="1653" t="s">
        <v>1300</v>
      </c>
      <c r="G146" s="1653" t="s">
        <v>1300</v>
      </c>
      <c r="H146" s="1653" t="s">
        <v>1300</v>
      </c>
      <c r="I146" s="1653" t="s">
        <v>1300</v>
      </c>
      <c r="L146" s="1640"/>
      <c r="N146" s="1639"/>
    </row>
    <row r="147" spans="1:14">
      <c r="A147" s="1653" t="s">
        <v>1300</v>
      </c>
      <c r="B147" s="1653">
        <v>1.41</v>
      </c>
      <c r="C147" s="1653">
        <v>1.41</v>
      </c>
      <c r="D147" s="1653">
        <v>1.41</v>
      </c>
      <c r="E147" s="1652">
        <v>9.07</v>
      </c>
      <c r="F147" s="1658" t="s">
        <v>1300</v>
      </c>
      <c r="G147" s="1658" t="s">
        <v>1300</v>
      </c>
      <c r="H147" s="1658" t="s">
        <v>1300</v>
      </c>
      <c r="I147" s="1658" t="s">
        <v>1300</v>
      </c>
      <c r="L147" s="1640"/>
      <c r="N147" s="1639"/>
    </row>
    <row r="148" spans="1:14">
      <c r="A148" s="1655" t="s">
        <v>1300</v>
      </c>
      <c r="B148" s="1663" t="s">
        <v>2213</v>
      </c>
      <c r="C148" s="1663" t="s">
        <v>2213</v>
      </c>
      <c r="D148" s="1655" t="s">
        <v>1300</v>
      </c>
      <c r="E148" s="1655" t="s">
        <v>1300</v>
      </c>
      <c r="F148" s="1655" t="s">
        <v>1300</v>
      </c>
      <c r="G148" s="1655" t="s">
        <v>1052</v>
      </c>
      <c r="H148" s="1655" t="s">
        <v>1300</v>
      </c>
      <c r="I148" s="1655" t="s">
        <v>1300</v>
      </c>
      <c r="L148" s="1640"/>
      <c r="N148" s="1639"/>
    </row>
    <row r="149" spans="1:14">
      <c r="A149" s="1653" t="s">
        <v>1300</v>
      </c>
      <c r="B149" s="1653">
        <v>8.02</v>
      </c>
      <c r="C149" s="1653">
        <v>8.02</v>
      </c>
      <c r="D149" s="1653">
        <v>8.02</v>
      </c>
      <c r="E149" s="1652">
        <v>8.01</v>
      </c>
      <c r="F149" s="1651" t="s">
        <v>973</v>
      </c>
      <c r="G149" s="1651" t="s">
        <v>973</v>
      </c>
      <c r="H149" s="1651" t="s">
        <v>973</v>
      </c>
      <c r="I149" s="1651" t="s">
        <v>973</v>
      </c>
      <c r="L149" s="1640"/>
      <c r="N149" s="1639"/>
    </row>
    <row r="150" spans="1:14">
      <c r="A150" s="1653" t="s">
        <v>1300</v>
      </c>
      <c r="B150" s="1653" t="s">
        <v>1300</v>
      </c>
      <c r="C150" s="1653" t="s">
        <v>1300</v>
      </c>
      <c r="D150" s="1653" t="s">
        <v>1300</v>
      </c>
      <c r="E150" s="1652" t="s">
        <v>1300</v>
      </c>
      <c r="F150" s="1651" t="s">
        <v>975</v>
      </c>
      <c r="G150" s="1651" t="s">
        <v>975</v>
      </c>
      <c r="H150" s="1651" t="s">
        <v>975</v>
      </c>
      <c r="I150" s="1651" t="s">
        <v>975</v>
      </c>
      <c r="L150" s="1640"/>
      <c r="N150" s="1639"/>
    </row>
    <row r="151" spans="1:14">
      <c r="A151" s="1653" t="s">
        <v>1300</v>
      </c>
      <c r="B151" s="1653" t="s">
        <v>1300</v>
      </c>
      <c r="C151" s="1653" t="s">
        <v>1300</v>
      </c>
      <c r="D151" s="1653" t="s">
        <v>1300</v>
      </c>
      <c r="E151" s="1652" t="s">
        <v>1300</v>
      </c>
      <c r="F151" s="1651" t="s">
        <v>976</v>
      </c>
      <c r="G151" s="1651" t="s">
        <v>976</v>
      </c>
      <c r="H151" s="1651" t="s">
        <v>976</v>
      </c>
      <c r="I151" s="1651" t="s">
        <v>976</v>
      </c>
      <c r="L151" s="1640"/>
      <c r="N151" s="1639"/>
    </row>
    <row r="152" spans="1:14">
      <c r="A152" s="1653" t="s">
        <v>1300</v>
      </c>
      <c r="B152" s="1653" t="s">
        <v>1300</v>
      </c>
      <c r="C152" s="1653" t="s">
        <v>1300</v>
      </c>
      <c r="D152" s="1653" t="s">
        <v>1300</v>
      </c>
      <c r="E152" s="1652" t="s">
        <v>1300</v>
      </c>
      <c r="F152" s="1651" t="s">
        <v>978</v>
      </c>
      <c r="G152" s="1651" t="s">
        <v>978</v>
      </c>
      <c r="H152" s="1651" t="s">
        <v>978</v>
      </c>
      <c r="I152" s="1651" t="s">
        <v>978</v>
      </c>
      <c r="L152" s="1640"/>
      <c r="N152" s="1639"/>
    </row>
    <row r="153" spans="1:14">
      <c r="A153" s="1653" t="s">
        <v>1300</v>
      </c>
      <c r="B153" s="1653" t="s">
        <v>1300</v>
      </c>
      <c r="C153" s="1653" t="s">
        <v>1300</v>
      </c>
      <c r="D153" s="1653" t="s">
        <v>1300</v>
      </c>
      <c r="E153" s="1652" t="s">
        <v>1300</v>
      </c>
      <c r="F153" s="1651" t="s">
        <v>980</v>
      </c>
      <c r="G153" s="1651" t="s">
        <v>980</v>
      </c>
      <c r="H153" s="1651" t="s">
        <v>980</v>
      </c>
      <c r="I153" s="1651" t="s">
        <v>980</v>
      </c>
      <c r="L153" s="1640"/>
      <c r="N153" s="1639"/>
    </row>
    <row r="154" spans="1:14">
      <c r="A154" s="1653" t="s">
        <v>1300</v>
      </c>
      <c r="B154" s="1653" t="s">
        <v>1300</v>
      </c>
      <c r="C154" s="1653" t="s">
        <v>1300</v>
      </c>
      <c r="D154" s="1653" t="s">
        <v>1300</v>
      </c>
      <c r="E154" s="1652" t="s">
        <v>1300</v>
      </c>
      <c r="F154" s="1651" t="s">
        <v>982</v>
      </c>
      <c r="G154" s="1651" t="s">
        <v>982</v>
      </c>
      <c r="H154" s="1651" t="s">
        <v>982</v>
      </c>
      <c r="I154" s="1651" t="s">
        <v>982</v>
      </c>
      <c r="L154" s="1640"/>
      <c r="N154" s="1639"/>
    </row>
    <row r="155" spans="1:14">
      <c r="A155" s="1653" t="s">
        <v>1300</v>
      </c>
      <c r="B155" s="1653" t="s">
        <v>1300</v>
      </c>
      <c r="C155" s="1653" t="s">
        <v>1300</v>
      </c>
      <c r="D155" s="1653" t="s">
        <v>1300</v>
      </c>
      <c r="E155" s="1652" t="s">
        <v>1300</v>
      </c>
      <c r="F155" s="1651" t="s">
        <v>985</v>
      </c>
      <c r="G155" s="1651" t="s">
        <v>985</v>
      </c>
      <c r="H155" s="1651" t="s">
        <v>985</v>
      </c>
      <c r="I155" s="1651" t="s">
        <v>985</v>
      </c>
      <c r="L155" s="1640"/>
      <c r="N155" s="1639"/>
    </row>
    <row r="156" spans="1:14">
      <c r="A156" s="1653" t="s">
        <v>1300</v>
      </c>
      <c r="B156" s="1653" t="s">
        <v>1300</v>
      </c>
      <c r="C156" s="1653" t="s">
        <v>1300</v>
      </c>
      <c r="D156" s="1653" t="s">
        <v>1300</v>
      </c>
      <c r="E156" s="1652" t="s">
        <v>1300</v>
      </c>
      <c r="F156" s="1651" t="s">
        <v>986</v>
      </c>
      <c r="G156" s="1651" t="s">
        <v>986</v>
      </c>
      <c r="H156" s="1651" t="s">
        <v>986</v>
      </c>
      <c r="I156" s="1651" t="s">
        <v>986</v>
      </c>
      <c r="L156" s="1640"/>
      <c r="N156" s="1639"/>
    </row>
    <row r="157" spans="1:14">
      <c r="A157" s="1653" t="s">
        <v>1300</v>
      </c>
      <c r="B157" s="1653" t="s">
        <v>1300</v>
      </c>
      <c r="C157" s="1653" t="s">
        <v>1300</v>
      </c>
      <c r="D157" s="1653" t="s">
        <v>1300</v>
      </c>
      <c r="E157" s="1652" t="s">
        <v>1300</v>
      </c>
      <c r="F157" s="1651" t="s">
        <v>988</v>
      </c>
      <c r="G157" s="1651" t="s">
        <v>988</v>
      </c>
      <c r="H157" s="1651" t="s">
        <v>988</v>
      </c>
      <c r="I157" s="1651" t="s">
        <v>988</v>
      </c>
      <c r="L157" s="1640"/>
      <c r="N157" s="1639"/>
    </row>
    <row r="158" spans="1:14">
      <c r="A158" s="1653" t="s">
        <v>1300</v>
      </c>
      <c r="B158" s="1653" t="s">
        <v>1300</v>
      </c>
      <c r="C158" s="1653" t="s">
        <v>1300</v>
      </c>
      <c r="D158" s="1653" t="s">
        <v>1300</v>
      </c>
      <c r="E158" s="1652" t="s">
        <v>1300</v>
      </c>
      <c r="F158" s="1651" t="s">
        <v>992</v>
      </c>
      <c r="G158" s="1651" t="s">
        <v>992</v>
      </c>
      <c r="H158" s="1651" t="s">
        <v>992</v>
      </c>
      <c r="I158" s="1651" t="s">
        <v>992</v>
      </c>
      <c r="L158" s="1640"/>
      <c r="N158" s="1639"/>
    </row>
    <row r="159" spans="1:14">
      <c r="A159" s="1653" t="s">
        <v>1300</v>
      </c>
      <c r="B159" s="1653" t="s">
        <v>1300</v>
      </c>
      <c r="C159" s="1653" t="s">
        <v>1300</v>
      </c>
      <c r="D159" s="1653" t="s">
        <v>1300</v>
      </c>
      <c r="E159" s="1652" t="s">
        <v>1300</v>
      </c>
      <c r="F159" s="1651" t="s">
        <v>993</v>
      </c>
      <c r="G159" s="1651" t="s">
        <v>993</v>
      </c>
      <c r="H159" s="1651" t="s">
        <v>993</v>
      </c>
      <c r="I159" s="1651" t="s">
        <v>993</v>
      </c>
      <c r="L159" s="1640"/>
      <c r="N159" s="1639"/>
    </row>
    <row r="160" spans="1:14">
      <c r="A160" s="1653" t="s">
        <v>1300</v>
      </c>
      <c r="B160" s="1653" t="s">
        <v>1300</v>
      </c>
      <c r="C160" s="1653" t="s">
        <v>1300</v>
      </c>
      <c r="D160" s="1653" t="s">
        <v>1300</v>
      </c>
      <c r="E160" s="1652" t="s">
        <v>1300</v>
      </c>
      <c r="F160" s="1651" t="s">
        <v>994</v>
      </c>
      <c r="G160" s="1651" t="s">
        <v>994</v>
      </c>
      <c r="H160" s="1651" t="s">
        <v>994</v>
      </c>
      <c r="I160" s="1651" t="s">
        <v>994</v>
      </c>
      <c r="L160" s="1640"/>
      <c r="N160" s="1639"/>
    </row>
    <row r="161" spans="1:14">
      <c r="A161" s="1653" t="s">
        <v>1300</v>
      </c>
      <c r="B161" s="1653" t="s">
        <v>1300</v>
      </c>
      <c r="C161" s="1653" t="s">
        <v>1300</v>
      </c>
      <c r="D161" s="1653" t="s">
        <v>1300</v>
      </c>
      <c r="E161" s="1652" t="s">
        <v>1300</v>
      </c>
      <c r="F161" s="1651" t="s">
        <v>997</v>
      </c>
      <c r="G161" s="1651" t="s">
        <v>997</v>
      </c>
      <c r="H161" s="1651" t="s">
        <v>997</v>
      </c>
      <c r="I161" s="1651" t="s">
        <v>997</v>
      </c>
      <c r="L161" s="1640"/>
      <c r="N161" s="1639"/>
    </row>
    <row r="162" spans="1:14">
      <c r="A162" s="1653" t="s">
        <v>1300</v>
      </c>
      <c r="B162" s="1653" t="s">
        <v>1300</v>
      </c>
      <c r="C162" s="1653" t="s">
        <v>1300</v>
      </c>
      <c r="D162" s="1653" t="s">
        <v>1300</v>
      </c>
      <c r="E162" s="1652" t="s">
        <v>1300</v>
      </c>
      <c r="F162" s="1651" t="s">
        <v>998</v>
      </c>
      <c r="G162" s="1651" t="s">
        <v>998</v>
      </c>
      <c r="H162" s="1651" t="s">
        <v>998</v>
      </c>
      <c r="I162" s="1651" t="s">
        <v>998</v>
      </c>
      <c r="L162" s="1640"/>
      <c r="N162" s="1639"/>
    </row>
    <row r="163" spans="1:14">
      <c r="A163" s="1653" t="s">
        <v>1300</v>
      </c>
      <c r="B163" s="1653" t="s">
        <v>1300</v>
      </c>
      <c r="C163" s="1653" t="s">
        <v>1300</v>
      </c>
      <c r="D163" s="1653" t="s">
        <v>1300</v>
      </c>
      <c r="E163" s="1652" t="s">
        <v>1300</v>
      </c>
      <c r="F163" s="1651" t="s">
        <v>1013</v>
      </c>
      <c r="G163" s="1651" t="s">
        <v>1013</v>
      </c>
      <c r="H163" s="1651" t="s">
        <v>1013</v>
      </c>
      <c r="I163" s="1651" t="s">
        <v>1013</v>
      </c>
      <c r="L163" s="1640"/>
      <c r="N163" s="1639"/>
    </row>
    <row r="164" spans="1:14">
      <c r="A164" s="1653" t="s">
        <v>1300</v>
      </c>
      <c r="B164" s="1653" t="s">
        <v>1300</v>
      </c>
      <c r="C164" s="1653" t="s">
        <v>1300</v>
      </c>
      <c r="D164" s="1653" t="s">
        <v>1300</v>
      </c>
      <c r="E164" s="1652" t="s">
        <v>1300</v>
      </c>
      <c r="F164" s="1651" t="s">
        <v>1014</v>
      </c>
      <c r="G164" s="1651" t="s">
        <v>1014</v>
      </c>
      <c r="H164" s="1651" t="s">
        <v>1014</v>
      </c>
      <c r="I164" s="1651" t="s">
        <v>1014</v>
      </c>
      <c r="L164" s="1640"/>
      <c r="N164" s="1639"/>
    </row>
    <row r="165" spans="1:14">
      <c r="A165" s="1653" t="s">
        <v>1300</v>
      </c>
      <c r="B165" s="1653" t="s">
        <v>1300</v>
      </c>
      <c r="C165" s="1653" t="s">
        <v>1300</v>
      </c>
      <c r="D165" s="1653" t="s">
        <v>1300</v>
      </c>
      <c r="E165" s="1652" t="s">
        <v>1300</v>
      </c>
      <c r="F165" s="1651" t="s">
        <v>1018</v>
      </c>
      <c r="G165" s="1651" t="s">
        <v>1018</v>
      </c>
      <c r="H165" s="1651" t="s">
        <v>1018</v>
      </c>
      <c r="I165" s="1651" t="s">
        <v>1018</v>
      </c>
      <c r="L165" s="1640"/>
      <c r="N165" s="1639"/>
    </row>
    <row r="166" spans="1:14">
      <c r="A166" s="1653" t="s">
        <v>1300</v>
      </c>
      <c r="B166" s="1653" t="s">
        <v>1300</v>
      </c>
      <c r="C166" s="1653" t="s">
        <v>1300</v>
      </c>
      <c r="D166" s="1653" t="s">
        <v>1300</v>
      </c>
      <c r="E166" s="1652" t="s">
        <v>1300</v>
      </c>
      <c r="F166" s="1651" t="s">
        <v>1027</v>
      </c>
      <c r="G166" s="1651" t="s">
        <v>1027</v>
      </c>
      <c r="H166" s="1651" t="s">
        <v>1027</v>
      </c>
      <c r="I166" s="1651" t="s">
        <v>1027</v>
      </c>
      <c r="L166" s="1640"/>
      <c r="N166" s="1639"/>
    </row>
    <row r="167" spans="1:14">
      <c r="A167" s="1653" t="s">
        <v>1300</v>
      </c>
      <c r="B167" s="1653" t="s">
        <v>1300</v>
      </c>
      <c r="C167" s="1653" t="s">
        <v>1300</v>
      </c>
      <c r="D167" s="1653" t="s">
        <v>1300</v>
      </c>
      <c r="E167" s="1652" t="s">
        <v>1300</v>
      </c>
      <c r="F167" s="1651" t="s">
        <v>1043</v>
      </c>
      <c r="G167" s="1651" t="s">
        <v>1043</v>
      </c>
      <c r="H167" s="1651" t="s">
        <v>1042</v>
      </c>
      <c r="I167" s="1651" t="s">
        <v>1042</v>
      </c>
      <c r="L167" s="1640"/>
      <c r="N167" s="1639"/>
    </row>
    <row r="168" spans="1:14">
      <c r="A168" s="1653" t="s">
        <v>1300</v>
      </c>
      <c r="B168" s="1653" t="s">
        <v>1300</v>
      </c>
      <c r="C168" s="1653" t="s">
        <v>1300</v>
      </c>
      <c r="D168" s="1653" t="s">
        <v>1300</v>
      </c>
      <c r="E168" s="1652" t="s">
        <v>1300</v>
      </c>
      <c r="F168" s="1651" t="s">
        <v>1044</v>
      </c>
      <c r="G168" s="1651" t="s">
        <v>1044</v>
      </c>
      <c r="H168" s="1651" t="s">
        <v>1043</v>
      </c>
      <c r="I168" s="1651" t="s">
        <v>1043</v>
      </c>
      <c r="L168" s="1640"/>
      <c r="N168" s="1639"/>
    </row>
    <row r="169" spans="1:14">
      <c r="A169" s="1653" t="s">
        <v>1300</v>
      </c>
      <c r="B169" s="1653" t="s">
        <v>1300</v>
      </c>
      <c r="C169" s="1653" t="s">
        <v>1300</v>
      </c>
      <c r="D169" s="1653" t="s">
        <v>1300</v>
      </c>
      <c r="E169" s="1652" t="s">
        <v>1300</v>
      </c>
      <c r="F169" s="1651" t="s">
        <v>1045</v>
      </c>
      <c r="G169" s="1651" t="s">
        <v>1045</v>
      </c>
      <c r="H169" s="1651" t="s">
        <v>1044</v>
      </c>
      <c r="I169" s="1651" t="s">
        <v>1044</v>
      </c>
      <c r="L169" s="1640"/>
      <c r="N169" s="1639"/>
    </row>
    <row r="170" spans="1:14">
      <c r="A170" s="1653" t="s">
        <v>1300</v>
      </c>
      <c r="B170" s="1653" t="s">
        <v>1300</v>
      </c>
      <c r="C170" s="1653" t="s">
        <v>1300</v>
      </c>
      <c r="D170" s="1653" t="s">
        <v>1300</v>
      </c>
      <c r="E170" s="1652" t="s">
        <v>1300</v>
      </c>
      <c r="F170" s="1651" t="s">
        <v>1056</v>
      </c>
      <c r="G170" s="1651" t="s">
        <v>1056</v>
      </c>
      <c r="H170" s="1651" t="s">
        <v>1056</v>
      </c>
      <c r="I170" s="1651" t="s">
        <v>1300</v>
      </c>
      <c r="L170" s="1640"/>
      <c r="N170" s="1639"/>
    </row>
    <row r="171" spans="1:14">
      <c r="A171" s="1653" t="s">
        <v>1300</v>
      </c>
      <c r="B171" s="1653" t="s">
        <v>1300</v>
      </c>
      <c r="C171" s="1653" t="s">
        <v>1300</v>
      </c>
      <c r="D171" s="1653" t="s">
        <v>1300</v>
      </c>
      <c r="E171" s="1652" t="s">
        <v>1300</v>
      </c>
      <c r="F171" s="1651" t="s">
        <v>1058</v>
      </c>
      <c r="G171" s="1651" t="s">
        <v>1058</v>
      </c>
      <c r="H171" s="1651" t="s">
        <v>1058</v>
      </c>
      <c r="I171" s="1651" t="s">
        <v>1300</v>
      </c>
      <c r="L171" s="1640"/>
      <c r="N171" s="1639"/>
    </row>
    <row r="172" spans="1:14">
      <c r="A172" s="1653" t="s">
        <v>1300</v>
      </c>
      <c r="B172" s="1653" t="s">
        <v>1300</v>
      </c>
      <c r="C172" s="1653" t="s">
        <v>1300</v>
      </c>
      <c r="D172" s="1653" t="s">
        <v>1300</v>
      </c>
      <c r="E172" s="1652" t="s">
        <v>1300</v>
      </c>
      <c r="F172" s="1651" t="s">
        <v>1081</v>
      </c>
      <c r="G172" s="1651" t="s">
        <v>1081</v>
      </c>
      <c r="H172" s="1651" t="s">
        <v>1081</v>
      </c>
      <c r="I172" s="1651" t="s">
        <v>1300</v>
      </c>
      <c r="L172" s="1640"/>
      <c r="N172" s="1639"/>
    </row>
    <row r="173" spans="1:14">
      <c r="A173" s="1653" t="s">
        <v>1300</v>
      </c>
      <c r="B173" s="1653" t="s">
        <v>1300</v>
      </c>
      <c r="C173" s="1653" t="s">
        <v>1300</v>
      </c>
      <c r="D173" s="1653" t="s">
        <v>1300</v>
      </c>
      <c r="E173" s="1652" t="s">
        <v>1300</v>
      </c>
      <c r="F173" s="1651" t="s">
        <v>1082</v>
      </c>
      <c r="G173" s="1651" t="s">
        <v>1082</v>
      </c>
      <c r="H173" s="1651" t="s">
        <v>1082</v>
      </c>
      <c r="I173" s="1651" t="s">
        <v>1300</v>
      </c>
      <c r="L173" s="1640"/>
      <c r="N173" s="1639"/>
    </row>
    <row r="174" spans="1:14">
      <c r="A174" s="1653" t="s">
        <v>1300</v>
      </c>
      <c r="B174" s="1653" t="s">
        <v>1300</v>
      </c>
      <c r="C174" s="1653" t="s">
        <v>1300</v>
      </c>
      <c r="D174" s="1653" t="s">
        <v>1300</v>
      </c>
      <c r="E174" s="1652" t="s">
        <v>1300</v>
      </c>
      <c r="F174" s="1651" t="s">
        <v>1071</v>
      </c>
      <c r="G174" s="1651" t="s">
        <v>1071</v>
      </c>
      <c r="H174" s="1651" t="s">
        <v>1300</v>
      </c>
      <c r="I174" s="1651" t="s">
        <v>1300</v>
      </c>
      <c r="L174" s="1640"/>
      <c r="N174" s="1639"/>
    </row>
    <row r="175" spans="1:14">
      <c r="A175" s="1653" t="s">
        <v>1300</v>
      </c>
      <c r="B175" s="1653" t="s">
        <v>1300</v>
      </c>
      <c r="C175" s="1653" t="s">
        <v>1300</v>
      </c>
      <c r="D175" s="1653" t="s">
        <v>1300</v>
      </c>
      <c r="E175" s="1652" t="s">
        <v>1300</v>
      </c>
      <c r="F175" s="1651" t="s">
        <v>1086</v>
      </c>
      <c r="G175" s="1651" t="s">
        <v>1300</v>
      </c>
      <c r="H175" s="1651" t="s">
        <v>1300</v>
      </c>
      <c r="I175" s="1651" t="s">
        <v>1300</v>
      </c>
      <c r="L175" s="1640"/>
      <c r="N175" s="1639"/>
    </row>
    <row r="176" spans="1:14">
      <c r="A176" s="1653" t="s">
        <v>1300</v>
      </c>
      <c r="B176" s="1653" t="s">
        <v>1300</v>
      </c>
      <c r="C176" s="1653" t="s">
        <v>1300</v>
      </c>
      <c r="D176" s="1653" t="s">
        <v>1300</v>
      </c>
      <c r="E176" s="1652" t="s">
        <v>1300</v>
      </c>
      <c r="F176" s="1651" t="s">
        <v>1061</v>
      </c>
      <c r="G176" s="1651" t="s">
        <v>1061</v>
      </c>
      <c r="H176" s="1651" t="s">
        <v>1061</v>
      </c>
      <c r="I176" s="1651" t="s">
        <v>1060</v>
      </c>
      <c r="L176" s="1640"/>
      <c r="N176" s="1639"/>
    </row>
    <row r="177" spans="1:14">
      <c r="A177" s="1653" t="s">
        <v>1300</v>
      </c>
      <c r="B177" s="1653" t="s">
        <v>1300</v>
      </c>
      <c r="C177" s="1653" t="s">
        <v>1300</v>
      </c>
      <c r="D177" s="1653" t="s">
        <v>1300</v>
      </c>
      <c r="E177" s="1652" t="s">
        <v>1300</v>
      </c>
      <c r="F177" s="1651" t="s">
        <v>1063</v>
      </c>
      <c r="G177" s="1651" t="s">
        <v>1063</v>
      </c>
      <c r="H177" s="1651" t="s">
        <v>1063</v>
      </c>
      <c r="I177" s="1651" t="s">
        <v>1062</v>
      </c>
      <c r="L177" s="1640"/>
      <c r="N177" s="1639"/>
    </row>
    <row r="178" spans="1:14">
      <c r="A178" s="1653" t="s">
        <v>1300</v>
      </c>
      <c r="B178" s="1653" t="s">
        <v>1300</v>
      </c>
      <c r="C178" s="1653" t="s">
        <v>1300</v>
      </c>
      <c r="D178" s="1653" t="s">
        <v>1300</v>
      </c>
      <c r="E178" s="1652" t="s">
        <v>1300</v>
      </c>
      <c r="F178" s="1651" t="s">
        <v>1065</v>
      </c>
      <c r="G178" s="1651" t="s">
        <v>1065</v>
      </c>
      <c r="H178" s="1651" t="s">
        <v>1065</v>
      </c>
      <c r="I178" s="1651" t="s">
        <v>1064</v>
      </c>
      <c r="L178" s="1640"/>
      <c r="N178" s="1639"/>
    </row>
    <row r="179" spans="1:14">
      <c r="A179" s="1653" t="s">
        <v>1300</v>
      </c>
      <c r="B179" s="1653" t="s">
        <v>1300</v>
      </c>
      <c r="C179" s="1653" t="s">
        <v>1300</v>
      </c>
      <c r="D179" s="1653" t="s">
        <v>1300</v>
      </c>
      <c r="E179" s="1652" t="s">
        <v>1300</v>
      </c>
      <c r="F179" s="1651" t="s">
        <v>1067</v>
      </c>
      <c r="G179" s="1651" t="s">
        <v>1067</v>
      </c>
      <c r="H179" s="1651" t="s">
        <v>1067</v>
      </c>
      <c r="I179" s="1651" t="s">
        <v>1066</v>
      </c>
      <c r="L179" s="1640"/>
      <c r="N179" s="1639"/>
    </row>
    <row r="180" spans="1:14">
      <c r="A180" s="1654" t="s">
        <v>1300</v>
      </c>
      <c r="B180" s="1654" t="s">
        <v>1300</v>
      </c>
      <c r="C180" s="1654" t="s">
        <v>1300</v>
      </c>
      <c r="D180" s="1654" t="s">
        <v>1300</v>
      </c>
      <c r="E180" s="1651" t="s">
        <v>1300</v>
      </c>
      <c r="F180" s="1651" t="s">
        <v>1300</v>
      </c>
      <c r="G180" s="1651" t="s">
        <v>1052</v>
      </c>
      <c r="H180" s="1651" t="s">
        <v>1300</v>
      </c>
      <c r="I180" s="1651" t="s">
        <v>1300</v>
      </c>
      <c r="L180" s="1640"/>
      <c r="N180" s="1639"/>
    </row>
    <row r="181" spans="1:14">
      <c r="A181" s="1654" t="s">
        <v>1300</v>
      </c>
      <c r="B181" s="1654" t="s">
        <v>1300</v>
      </c>
      <c r="C181" s="1654" t="s">
        <v>1300</v>
      </c>
      <c r="D181" s="1654" t="s">
        <v>1300</v>
      </c>
      <c r="E181" s="1651" t="s">
        <v>1300</v>
      </c>
      <c r="F181" s="1651" t="s">
        <v>1300</v>
      </c>
      <c r="G181" s="1651" t="s">
        <v>1300</v>
      </c>
      <c r="H181" s="1651" t="s">
        <v>1049</v>
      </c>
      <c r="I181" s="1651" t="s">
        <v>1052</v>
      </c>
      <c r="L181" s="1640"/>
      <c r="N181" s="1639"/>
    </row>
    <row r="182" spans="1:14">
      <c r="B182" s="1640"/>
      <c r="H182" s="1639"/>
      <c r="L182" s="1640"/>
      <c r="N182" s="1639"/>
    </row>
    <row r="183" spans="1:14" ht="13">
      <c r="A183" s="1640" t="s">
        <v>1089</v>
      </c>
      <c r="B183" s="1640"/>
      <c r="C183" s="1664"/>
      <c r="D183" s="1664"/>
      <c r="H183" s="1639"/>
      <c r="L183" s="1640"/>
      <c r="N183" s="1639"/>
    </row>
    <row r="184" spans="1:14" ht="9.75" customHeight="1">
      <c r="B184" s="1640"/>
      <c r="C184" s="1664"/>
      <c r="D184" s="1664"/>
      <c r="H184" s="1639"/>
      <c r="L184" s="1640"/>
      <c r="N184" s="1639"/>
    </row>
    <row r="185" spans="1:14">
      <c r="B185" s="1640"/>
      <c r="H185" s="1639"/>
      <c r="L185" s="1640"/>
      <c r="N185" s="1639"/>
    </row>
    <row r="186" spans="1:14">
      <c r="A186" s="1640" t="s">
        <v>104</v>
      </c>
      <c r="B186" s="1640"/>
      <c r="H186" s="1639"/>
      <c r="L186" s="1640"/>
      <c r="N186" s="1639"/>
    </row>
  </sheetData>
  <phoneticPr fontId="39" type="noConversion"/>
  <pageMargins left="0.55000000000000004" right="0.41" top="0.46" bottom="0.48" header="0.36" footer="0.28000000000000003"/>
  <pageSetup paperSize="9" scale="89" fitToHeight="2" orientation="portrait"/>
  <headerFooter alignWithMargins="0">
    <oddFooter>&amp;R&amp;P/&amp;N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56DAB-EF4E-6447-A1CD-A24BD87BBBCE}">
  <sheetPr>
    <pageSetUpPr fitToPage="1"/>
  </sheetPr>
  <dimension ref="A1:B56"/>
  <sheetViews>
    <sheetView topLeftCell="A38" workbookViewId="0">
      <selection activeCell="A54" sqref="A54:IV54"/>
    </sheetView>
  </sheetViews>
  <sheetFormatPr baseColWidth="10" defaultColWidth="11.3984375" defaultRowHeight="13"/>
  <cols>
    <col min="1" max="1" width="5.59765625" style="439" customWidth="1"/>
    <col min="2" max="16384" width="11.3984375" style="439"/>
  </cols>
  <sheetData>
    <row r="1" spans="1:2" ht="16">
      <c r="A1" s="438" t="s">
        <v>1806</v>
      </c>
    </row>
    <row r="3" spans="1:2">
      <c r="A3" s="440">
        <v>1.01</v>
      </c>
      <c r="B3" s="439" t="s">
        <v>1807</v>
      </c>
    </row>
    <row r="4" spans="1:2">
      <c r="A4" s="440">
        <v>1.02</v>
      </c>
      <c r="B4" s="439" t="s">
        <v>1808</v>
      </c>
    </row>
    <row r="5" spans="1:2">
      <c r="A5" s="440">
        <v>1.03</v>
      </c>
      <c r="B5" s="439" t="s">
        <v>1809</v>
      </c>
    </row>
    <row r="6" spans="1:2">
      <c r="A6" s="440">
        <v>1.04</v>
      </c>
      <c r="B6" s="439" t="s">
        <v>1810</v>
      </c>
    </row>
    <row r="7" spans="1:2">
      <c r="A7" s="440">
        <v>1.05</v>
      </c>
      <c r="B7" s="439" t="s">
        <v>1811</v>
      </c>
    </row>
    <row r="8" spans="1:2">
      <c r="A8" s="440">
        <v>1.06</v>
      </c>
      <c r="B8" s="439" t="s">
        <v>1812</v>
      </c>
    </row>
    <row r="9" spans="1:2">
      <c r="A9" s="440">
        <v>1.07</v>
      </c>
      <c r="B9" s="439" t="s">
        <v>1813</v>
      </c>
    </row>
    <row r="10" spans="1:2">
      <c r="A10" s="440">
        <v>1.08</v>
      </c>
      <c r="B10" s="439" t="s">
        <v>1814</v>
      </c>
    </row>
    <row r="11" spans="1:2">
      <c r="A11" s="440">
        <v>1.0900000000000001</v>
      </c>
      <c r="B11" s="439" t="s">
        <v>1815</v>
      </c>
    </row>
    <row r="12" spans="1:2">
      <c r="A12" s="440">
        <v>1.1000000000000001</v>
      </c>
      <c r="B12" s="439" t="s">
        <v>1837</v>
      </c>
    </row>
    <row r="13" spans="1:2">
      <c r="A13" s="440">
        <v>1.1100000000000001</v>
      </c>
      <c r="B13" s="439" t="s">
        <v>1838</v>
      </c>
    </row>
    <row r="14" spans="1:2">
      <c r="A14" s="440">
        <v>1.1200000000000001</v>
      </c>
      <c r="B14" s="439" t="s">
        <v>1837</v>
      </c>
    </row>
    <row r="15" spans="1:2">
      <c r="A15" s="440">
        <v>1.1299999999999999</v>
      </c>
      <c r="B15" s="439" t="s">
        <v>1839</v>
      </c>
    </row>
    <row r="16" spans="1:2">
      <c r="A16" s="440">
        <v>1.1399999999999999</v>
      </c>
      <c r="B16" s="439" t="s">
        <v>1840</v>
      </c>
    </row>
    <row r="17" spans="1:2">
      <c r="A17" s="440">
        <v>1.1499999999999999</v>
      </c>
      <c r="B17" s="439" t="s">
        <v>1841</v>
      </c>
    </row>
    <row r="18" spans="1:2">
      <c r="A18" s="440">
        <v>1.1599999999999999</v>
      </c>
      <c r="B18" s="439" t="s">
        <v>1842</v>
      </c>
    </row>
    <row r="19" spans="1:2">
      <c r="A19" s="440">
        <v>1.17</v>
      </c>
      <c r="B19" s="439" t="s">
        <v>1843</v>
      </c>
    </row>
    <row r="20" spans="1:2">
      <c r="A20" s="440">
        <v>1.18</v>
      </c>
      <c r="B20" s="439" t="s">
        <v>1844</v>
      </c>
    </row>
    <row r="21" spans="1:2">
      <c r="A21" s="440">
        <v>1.19</v>
      </c>
      <c r="B21" s="439" t="s">
        <v>1845</v>
      </c>
    </row>
    <row r="22" spans="1:2">
      <c r="A22" s="440">
        <v>1.2</v>
      </c>
      <c r="B22" s="439" t="s">
        <v>1846</v>
      </c>
    </row>
    <row r="23" spans="1:2">
      <c r="A23" s="440">
        <v>1.21</v>
      </c>
      <c r="B23" s="439" t="s">
        <v>1847</v>
      </c>
    </row>
    <row r="24" spans="1:2">
      <c r="A24" s="440">
        <v>1.22</v>
      </c>
      <c r="B24" s="439" t="s">
        <v>1848</v>
      </c>
    </row>
    <row r="25" spans="1:2">
      <c r="A25" s="440">
        <v>1.23</v>
      </c>
      <c r="B25" s="439" t="s">
        <v>1849</v>
      </c>
    </row>
    <row r="26" spans="1:2">
      <c r="A26" s="440">
        <v>1.24</v>
      </c>
      <c r="B26" s="439" t="s">
        <v>97</v>
      </c>
    </row>
    <row r="27" spans="1:2">
      <c r="A27" s="440">
        <v>1.25</v>
      </c>
      <c r="B27" s="439" t="s">
        <v>98</v>
      </c>
    </row>
    <row r="28" spans="1:2">
      <c r="A28" s="440">
        <v>1.26</v>
      </c>
      <c r="B28" s="439" t="s">
        <v>1757</v>
      </c>
    </row>
    <row r="29" spans="1:2">
      <c r="A29" s="440">
        <v>1.27</v>
      </c>
      <c r="B29" s="439" t="s">
        <v>1758</v>
      </c>
    </row>
    <row r="30" spans="1:2">
      <c r="A30" s="440">
        <v>1.28</v>
      </c>
      <c r="B30" s="439" t="s">
        <v>1760</v>
      </c>
    </row>
    <row r="31" spans="1:2">
      <c r="A31" s="440">
        <v>1.29</v>
      </c>
      <c r="B31" s="439" t="s">
        <v>1761</v>
      </c>
    </row>
    <row r="32" spans="1:2">
      <c r="A32" s="440">
        <v>1.3</v>
      </c>
      <c r="B32" s="439" t="s">
        <v>1762</v>
      </c>
    </row>
    <row r="33" spans="1:2">
      <c r="A33" s="440">
        <v>1.31</v>
      </c>
      <c r="B33" s="439" t="s">
        <v>1763</v>
      </c>
    </row>
    <row r="34" spans="1:2">
      <c r="A34" s="440">
        <v>1.32</v>
      </c>
      <c r="B34" s="439" t="s">
        <v>936</v>
      </c>
    </row>
    <row r="35" spans="1:2">
      <c r="A35" s="440">
        <v>1.33</v>
      </c>
      <c r="B35" s="439" t="s">
        <v>937</v>
      </c>
    </row>
    <row r="36" spans="1:2">
      <c r="A36" s="440">
        <v>1.34</v>
      </c>
      <c r="B36" s="439" t="s">
        <v>1764</v>
      </c>
    </row>
    <row r="37" spans="1:2">
      <c r="A37" s="440">
        <v>1.35</v>
      </c>
      <c r="B37" s="439" t="s">
        <v>938</v>
      </c>
    </row>
    <row r="38" spans="1:2">
      <c r="A38" s="440">
        <v>1.36</v>
      </c>
      <c r="B38" s="439" t="s">
        <v>1765</v>
      </c>
    </row>
    <row r="39" spans="1:2">
      <c r="A39" s="440">
        <v>1.37</v>
      </c>
      <c r="B39" s="439" t="s">
        <v>939</v>
      </c>
    </row>
    <row r="40" spans="1:2">
      <c r="A40" s="440">
        <v>1.38</v>
      </c>
      <c r="B40" s="439" t="s">
        <v>1766</v>
      </c>
    </row>
    <row r="41" spans="1:2">
      <c r="A41" s="440">
        <v>1.39</v>
      </c>
      <c r="B41" s="439" t="s">
        <v>1767</v>
      </c>
    </row>
    <row r="42" spans="1:2">
      <c r="A42" s="440">
        <v>1.4</v>
      </c>
      <c r="B42" s="439" t="s">
        <v>1768</v>
      </c>
    </row>
    <row r="43" spans="1:2">
      <c r="A43" s="440">
        <v>1.41</v>
      </c>
      <c r="B43" s="439" t="s">
        <v>1506</v>
      </c>
    </row>
    <row r="44" spans="1:2">
      <c r="A44" s="440">
        <v>1.42</v>
      </c>
      <c r="B44" s="439" t="s">
        <v>1769</v>
      </c>
    </row>
    <row r="45" spans="1:2">
      <c r="A45" s="440">
        <v>1.43</v>
      </c>
      <c r="B45" s="439" t="s">
        <v>1770</v>
      </c>
    </row>
    <row r="46" spans="1:2">
      <c r="A46" s="440">
        <v>1.44</v>
      </c>
      <c r="B46" s="439" t="s">
        <v>1771</v>
      </c>
    </row>
    <row r="47" spans="1:2">
      <c r="A47" s="440">
        <v>1.45</v>
      </c>
      <c r="B47" s="439" t="s">
        <v>1772</v>
      </c>
    </row>
    <row r="48" spans="1:2">
      <c r="A48" s="440">
        <v>1.46</v>
      </c>
      <c r="B48" s="439" t="s">
        <v>1416</v>
      </c>
    </row>
    <row r="49" spans="1:2">
      <c r="A49" s="440">
        <v>1.47</v>
      </c>
      <c r="B49" s="439" t="s">
        <v>1417</v>
      </c>
    </row>
    <row r="50" spans="1:2">
      <c r="A50" s="440">
        <v>1.48</v>
      </c>
      <c r="B50" s="439" t="s">
        <v>1418</v>
      </c>
    </row>
    <row r="51" spans="1:2">
      <c r="A51" s="440">
        <v>1.49</v>
      </c>
      <c r="B51" s="439" t="s">
        <v>1419</v>
      </c>
    </row>
    <row r="52" spans="1:2">
      <c r="A52" s="441" t="s">
        <v>1420</v>
      </c>
      <c r="B52" s="442" t="s">
        <v>1421</v>
      </c>
    </row>
    <row r="53" spans="1:2">
      <c r="A53" s="969">
        <v>1.51</v>
      </c>
      <c r="B53" s="80" t="s">
        <v>2007</v>
      </c>
    </row>
    <row r="54" spans="1:2">
      <c r="A54" s="969"/>
      <c r="B54" s="80"/>
    </row>
    <row r="56" spans="1:2">
      <c r="A56" s="443" t="s">
        <v>104</v>
      </c>
    </row>
  </sheetData>
  <phoneticPr fontId="39" type="noConversion"/>
  <pageMargins left="0.46" right="0.46" top="0.63" bottom="0.984251969" header="0.38" footer="0.4921259845"/>
  <pageSetup paperSize="9" scale="88"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4E623-11F7-E046-93A1-A2FBC18CE2B2}">
  <sheetPr>
    <pageSetUpPr fitToPage="1"/>
  </sheetPr>
  <dimension ref="A1:M23"/>
  <sheetViews>
    <sheetView topLeftCell="A6" zoomScale="75" workbookViewId="0">
      <selection activeCell="B15" sqref="B15"/>
    </sheetView>
  </sheetViews>
  <sheetFormatPr baseColWidth="10" defaultColWidth="11.3984375" defaultRowHeight="13"/>
  <cols>
    <col min="1" max="1" width="12.796875" style="2" customWidth="1"/>
    <col min="2" max="9" width="11.796875" style="2" customWidth="1"/>
    <col min="10" max="16384" width="11.3984375" style="2"/>
  </cols>
  <sheetData>
    <row r="1" spans="1:13" s="1" customFormat="1" ht="14" customHeight="1"/>
    <row r="2" spans="1:13" s="1" customFormat="1" ht="28" customHeight="1">
      <c r="A2" s="178" t="s">
        <v>1174</v>
      </c>
      <c r="I2" s="370">
        <v>2004</v>
      </c>
    </row>
    <row r="3" spans="1:13" ht="24" customHeight="1">
      <c r="A3" s="596" t="s">
        <v>1250</v>
      </c>
      <c r="B3" s="597" t="s">
        <v>1166</v>
      </c>
      <c r="C3" s="598" t="s">
        <v>1167</v>
      </c>
      <c r="D3" s="164" t="s">
        <v>1168</v>
      </c>
      <c r="E3" s="598" t="s">
        <v>1169</v>
      </c>
      <c r="F3" s="164" t="s">
        <v>1170</v>
      </c>
      <c r="G3" s="598" t="s">
        <v>1171</v>
      </c>
      <c r="H3" s="164" t="s">
        <v>652</v>
      </c>
      <c r="I3" s="598" t="s">
        <v>451</v>
      </c>
    </row>
    <row r="4" spans="1:13" ht="15" customHeight="1">
      <c r="A4" s="599"/>
      <c r="B4" s="600"/>
      <c r="C4" s="601">
        <v>10000</v>
      </c>
      <c r="D4" s="143">
        <v>50000</v>
      </c>
      <c r="E4" s="601">
        <v>100000</v>
      </c>
      <c r="F4" s="143">
        <v>500000</v>
      </c>
      <c r="G4" s="601">
        <v>500000</v>
      </c>
      <c r="H4" s="166"/>
      <c r="I4" s="602" t="s">
        <v>486</v>
      </c>
    </row>
    <row r="5" spans="1:13" ht="15" customHeight="1">
      <c r="A5" s="599"/>
      <c r="B5" s="600"/>
      <c r="C5" s="602"/>
      <c r="D5" s="166"/>
      <c r="E5" s="602"/>
      <c r="F5" s="166"/>
      <c r="G5" s="602"/>
      <c r="H5" s="166"/>
      <c r="I5" s="602" t="s">
        <v>454</v>
      </c>
    </row>
    <row r="6" spans="1:13" ht="24" customHeight="1">
      <c r="A6" s="603"/>
      <c r="B6" s="604"/>
      <c r="C6" s="605"/>
      <c r="D6" s="168"/>
      <c r="E6" s="605"/>
      <c r="F6" s="168"/>
      <c r="G6" s="605"/>
      <c r="H6" s="168"/>
      <c r="I6" s="605"/>
    </row>
    <row r="7" spans="1:13" ht="21.75" customHeight="1" thickBot="1">
      <c r="A7" s="606">
        <v>1996</v>
      </c>
      <c r="B7" s="607">
        <v>90</v>
      </c>
      <c r="C7" s="608">
        <v>14</v>
      </c>
      <c r="D7" s="149">
        <v>20</v>
      </c>
      <c r="E7" s="608">
        <v>6</v>
      </c>
      <c r="F7" s="149">
        <v>12</v>
      </c>
      <c r="G7" s="608">
        <v>3</v>
      </c>
      <c r="H7" s="149">
        <v>145</v>
      </c>
      <c r="I7" s="609">
        <v>-0.12650602409638553</v>
      </c>
    </row>
    <row r="8" spans="1:13" ht="20" customHeight="1" thickBot="1">
      <c r="A8" s="610">
        <v>1997</v>
      </c>
      <c r="B8" s="611">
        <v>76</v>
      </c>
      <c r="C8" s="612">
        <v>14</v>
      </c>
      <c r="D8" s="153">
        <v>20</v>
      </c>
      <c r="E8" s="612">
        <v>4</v>
      </c>
      <c r="F8" s="153">
        <v>11</v>
      </c>
      <c r="G8" s="612">
        <v>4</v>
      </c>
      <c r="H8" s="153">
        <v>129</v>
      </c>
      <c r="I8" s="613">
        <v>-0.1103448275862069</v>
      </c>
      <c r="K8" s="10"/>
      <c r="L8" s="10"/>
      <c r="M8" s="10"/>
    </row>
    <row r="9" spans="1:13" ht="20" customHeight="1" thickBot="1">
      <c r="A9" s="610">
        <v>1998</v>
      </c>
      <c r="B9" s="611">
        <v>64</v>
      </c>
      <c r="C9" s="612">
        <v>13</v>
      </c>
      <c r="D9" s="153">
        <v>21</v>
      </c>
      <c r="E9" s="612">
        <v>6</v>
      </c>
      <c r="F9" s="153">
        <v>10</v>
      </c>
      <c r="G9" s="612">
        <v>4</v>
      </c>
      <c r="H9" s="153">
        <v>118</v>
      </c>
      <c r="I9" s="613">
        <v>-8.5271317829457363E-2</v>
      </c>
    </row>
    <row r="10" spans="1:13" ht="20" customHeight="1" thickBot="1">
      <c r="A10" s="610">
        <v>1999</v>
      </c>
      <c r="B10" s="611">
        <v>56</v>
      </c>
      <c r="C10" s="612">
        <v>12</v>
      </c>
      <c r="D10" s="153">
        <v>19</v>
      </c>
      <c r="E10" s="612">
        <v>8</v>
      </c>
      <c r="F10" s="153">
        <v>10</v>
      </c>
      <c r="G10" s="612">
        <v>4</v>
      </c>
      <c r="H10" s="153">
        <v>109</v>
      </c>
      <c r="I10" s="613">
        <v>-7.6271186440677971E-2</v>
      </c>
    </row>
    <row r="11" spans="1:13" ht="20" customHeight="1" thickBot="1">
      <c r="A11" s="610">
        <v>2000</v>
      </c>
      <c r="B11" s="611">
        <v>48</v>
      </c>
      <c r="C11" s="612">
        <v>11</v>
      </c>
      <c r="D11" s="153">
        <v>19</v>
      </c>
      <c r="E11" s="612">
        <v>9</v>
      </c>
      <c r="F11" s="153">
        <v>10</v>
      </c>
      <c r="G11" s="612">
        <v>4</v>
      </c>
      <c r="H11" s="153">
        <v>101</v>
      </c>
      <c r="I11" s="613">
        <v>-7.3394495412844041E-2</v>
      </c>
    </row>
    <row r="12" spans="1:13" ht="20" customHeight="1" thickBot="1">
      <c r="A12" s="610">
        <v>2001</v>
      </c>
      <c r="B12" s="611">
        <v>43</v>
      </c>
      <c r="C12" s="612">
        <v>9</v>
      </c>
      <c r="D12" s="153">
        <v>23</v>
      </c>
      <c r="E12" s="612">
        <v>9</v>
      </c>
      <c r="F12" s="153">
        <v>11</v>
      </c>
      <c r="G12" s="612">
        <v>4</v>
      </c>
      <c r="H12" s="153">
        <v>99</v>
      </c>
      <c r="I12" s="613">
        <v>-1.9801980198019802E-2</v>
      </c>
    </row>
    <row r="13" spans="1:13" ht="20" customHeight="1" thickBot="1">
      <c r="A13" s="610">
        <v>2002</v>
      </c>
      <c r="B13" s="611">
        <v>33</v>
      </c>
      <c r="C13" s="612">
        <v>10</v>
      </c>
      <c r="D13" s="153">
        <v>25</v>
      </c>
      <c r="E13" s="612">
        <v>9</v>
      </c>
      <c r="F13" s="153">
        <v>13</v>
      </c>
      <c r="G13" s="612">
        <v>3</v>
      </c>
      <c r="H13" s="153">
        <v>93</v>
      </c>
      <c r="I13" s="613">
        <v>-6.0606060606060608E-2</v>
      </c>
    </row>
    <row r="14" spans="1:13" ht="20" customHeight="1" thickBot="1">
      <c r="A14" s="610">
        <v>2003</v>
      </c>
      <c r="B14" s="611">
        <v>32</v>
      </c>
      <c r="C14" s="612">
        <v>10</v>
      </c>
      <c r="D14" s="153">
        <v>26</v>
      </c>
      <c r="E14" s="612">
        <v>9</v>
      </c>
      <c r="F14" s="153">
        <v>12</v>
      </c>
      <c r="G14" s="612">
        <v>4</v>
      </c>
      <c r="H14" s="153">
        <v>93</v>
      </c>
      <c r="I14" s="613">
        <v>0</v>
      </c>
    </row>
    <row r="15" spans="1:13" ht="30" customHeight="1" thickBot="1">
      <c r="A15" s="614">
        <v>2004</v>
      </c>
      <c r="B15" s="615">
        <v>32</v>
      </c>
      <c r="C15" s="616">
        <v>11</v>
      </c>
      <c r="D15" s="392">
        <v>24</v>
      </c>
      <c r="E15" s="616">
        <v>9</v>
      </c>
      <c r="F15" s="392">
        <v>12</v>
      </c>
      <c r="G15" s="616">
        <v>4</v>
      </c>
      <c r="H15" s="392">
        <v>92</v>
      </c>
      <c r="I15" s="617">
        <v>-1.0752688172043012E-2</v>
      </c>
    </row>
    <row r="16" spans="1:13" ht="20" customHeight="1">
      <c r="A16" s="155" t="s">
        <v>146</v>
      </c>
      <c r="B16" s="489"/>
      <c r="C16" s="489"/>
      <c r="D16" s="489"/>
      <c r="E16" s="489"/>
      <c r="F16" s="489"/>
      <c r="G16" s="489"/>
      <c r="H16" s="489"/>
      <c r="I16" s="490"/>
    </row>
    <row r="17" spans="1:9" ht="13.5" customHeight="1">
      <c r="A17" s="4"/>
      <c r="B17" s="491"/>
      <c r="C17" s="491"/>
      <c r="D17" s="491"/>
      <c r="E17" s="491"/>
      <c r="F17" s="491"/>
      <c r="G17" s="491"/>
      <c r="H17" s="491"/>
      <c r="I17" s="492"/>
    </row>
    <row r="18" spans="1:9" ht="14.25" customHeight="1">
      <c r="A18" s="4" t="s">
        <v>1172</v>
      </c>
      <c r="B18" s="491"/>
      <c r="C18" s="491"/>
      <c r="D18" s="491"/>
      <c r="E18" s="491"/>
      <c r="F18" s="491"/>
      <c r="G18" s="491"/>
      <c r="H18" s="491"/>
      <c r="I18" s="492"/>
    </row>
    <row r="20" spans="1:9">
      <c r="A20" s="2" t="s">
        <v>1173</v>
      </c>
    </row>
    <row r="23" spans="1:9">
      <c r="A23" s="2" t="s">
        <v>104</v>
      </c>
    </row>
  </sheetData>
  <phoneticPr fontId="0" type="noConversion"/>
  <pageMargins left="0.53" right="0.61" top="1.03" bottom="0.49" header="0.56000000000000005" footer="0.4921259845"/>
  <pageSetup paperSize="9" scale="86" orientation="portrait" horizontalDpi="4294967292" verticalDpi="4294967292"/>
  <headerFooter alignWithMargins="0">
    <oddHeader>&amp;L&amp;"Arial,Bold"Versicherte und Finanzen in der OKP</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A5F68-2C83-4140-8C57-DD34215CA6C1}">
  <sheetPr>
    <pageSetUpPr fitToPage="1"/>
  </sheetPr>
  <dimension ref="A1:K26"/>
  <sheetViews>
    <sheetView topLeftCell="A4" zoomScale="75" workbookViewId="0">
      <selection activeCell="A18" sqref="A18:A21"/>
    </sheetView>
  </sheetViews>
  <sheetFormatPr baseColWidth="10" defaultColWidth="11.3984375" defaultRowHeight="13"/>
  <cols>
    <col min="1" max="1" width="20.796875" style="2" customWidth="1"/>
    <col min="2" max="3" width="14" style="2" customWidth="1"/>
    <col min="4" max="4" width="15.3984375" style="2" customWidth="1"/>
    <col min="5" max="5" width="14" style="2" customWidth="1"/>
    <col min="6" max="6" width="14.796875" style="2" customWidth="1"/>
    <col min="7" max="7" width="13.796875" style="2" customWidth="1"/>
    <col min="8" max="16384" width="11.3984375" style="2"/>
  </cols>
  <sheetData>
    <row r="1" spans="1:11" s="1" customFormat="1" ht="14" customHeight="1"/>
    <row r="2" spans="1:11" s="1" customFormat="1" ht="28" customHeight="1">
      <c r="A2" s="178" t="s">
        <v>1543</v>
      </c>
      <c r="G2" s="370">
        <v>2004</v>
      </c>
    </row>
    <row r="3" spans="1:11" ht="24" customHeight="1">
      <c r="A3" s="139" t="s">
        <v>1549</v>
      </c>
      <c r="B3" s="164" t="s">
        <v>2063</v>
      </c>
      <c r="C3" s="141" t="s">
        <v>2064</v>
      </c>
      <c r="D3" s="164" t="s">
        <v>506</v>
      </c>
      <c r="E3" s="141" t="s">
        <v>1550</v>
      </c>
      <c r="F3" s="164" t="s">
        <v>652</v>
      </c>
      <c r="G3" s="141" t="s">
        <v>451</v>
      </c>
    </row>
    <row r="4" spans="1:11" ht="15" customHeight="1">
      <c r="A4" s="165"/>
      <c r="B4" s="166"/>
      <c r="C4" s="144"/>
      <c r="D4" s="166"/>
      <c r="E4" s="197"/>
      <c r="F4" s="166"/>
      <c r="G4" s="144" t="s">
        <v>486</v>
      </c>
    </row>
    <row r="5" spans="1:11" ht="15" customHeight="1">
      <c r="A5" s="165"/>
      <c r="B5" s="166"/>
      <c r="C5" s="144"/>
      <c r="D5" s="166"/>
      <c r="E5" s="197"/>
      <c r="F5" s="166"/>
      <c r="G5" s="144" t="s">
        <v>454</v>
      </c>
    </row>
    <row r="6" spans="1:11" ht="24" customHeight="1">
      <c r="A6" s="167"/>
      <c r="B6" s="168"/>
      <c r="C6" s="147"/>
      <c r="D6" s="168"/>
      <c r="E6" s="200"/>
      <c r="F6" s="168"/>
      <c r="G6" s="147"/>
    </row>
    <row r="7" spans="1:11" ht="20" customHeight="1" thickBot="1">
      <c r="A7" s="169">
        <v>1996</v>
      </c>
      <c r="B7" s="149">
        <v>2760146</v>
      </c>
      <c r="C7" s="225">
        <v>2938608</v>
      </c>
      <c r="D7" s="149">
        <v>5698754</v>
      </c>
      <c r="E7" s="225">
        <v>1496000</v>
      </c>
      <c r="F7" s="149">
        <v>7194754</v>
      </c>
      <c r="G7" s="150">
        <v>4.3855246833913626E-3</v>
      </c>
    </row>
    <row r="8" spans="1:11" ht="20" customHeight="1" thickBot="1">
      <c r="A8" s="171">
        <v>1997</v>
      </c>
      <c r="B8" s="153">
        <v>2725064</v>
      </c>
      <c r="C8" s="228">
        <v>2902973</v>
      </c>
      <c r="D8" s="153">
        <v>5628037</v>
      </c>
      <c r="E8" s="228">
        <v>1586768</v>
      </c>
      <c r="F8" s="153">
        <v>7214805</v>
      </c>
      <c r="G8" s="154">
        <v>2.7868916713483186E-3</v>
      </c>
      <c r="I8" s="10"/>
      <c r="J8" s="10"/>
      <c r="K8" s="10"/>
    </row>
    <row r="9" spans="1:11" ht="20" customHeight="1" thickBot="1">
      <c r="A9" s="171">
        <v>1998</v>
      </c>
      <c r="B9" s="153">
        <v>2736949</v>
      </c>
      <c r="C9" s="228">
        <v>2915969</v>
      </c>
      <c r="D9" s="153">
        <v>5652918</v>
      </c>
      <c r="E9" s="228">
        <v>1595685</v>
      </c>
      <c r="F9" s="153">
        <v>7248603</v>
      </c>
      <c r="G9" s="154">
        <v>4.6845340934370365E-3</v>
      </c>
    </row>
    <row r="10" spans="1:11" ht="20" customHeight="1" thickBot="1">
      <c r="A10" s="171">
        <v>1999</v>
      </c>
      <c r="B10" s="153">
        <v>2741177</v>
      </c>
      <c r="C10" s="228">
        <v>2926032</v>
      </c>
      <c r="D10" s="153">
        <v>5667209</v>
      </c>
      <c r="E10" s="228">
        <v>1599325</v>
      </c>
      <c r="F10" s="153">
        <v>7266534</v>
      </c>
      <c r="G10" s="154">
        <v>2.4737180391863093E-3</v>
      </c>
    </row>
    <row r="11" spans="1:11" ht="20" customHeight="1" thickBot="1">
      <c r="A11" s="171">
        <v>2000</v>
      </c>
      <c r="B11" s="153">
        <v>2746615</v>
      </c>
      <c r="C11" s="228">
        <v>2936748</v>
      </c>
      <c r="D11" s="153">
        <v>5683363</v>
      </c>
      <c r="E11" s="228">
        <v>1584748</v>
      </c>
      <c r="F11" s="153">
        <v>7268111</v>
      </c>
      <c r="G11" s="154">
        <v>2.1702231077429761E-4</v>
      </c>
    </row>
    <row r="12" spans="1:11" ht="20" customHeight="1" thickBot="1">
      <c r="A12" s="171">
        <v>2001</v>
      </c>
      <c r="B12" s="153">
        <v>2775829</v>
      </c>
      <c r="C12" s="228">
        <v>2962533</v>
      </c>
      <c r="D12" s="153">
        <v>5738362</v>
      </c>
      <c r="E12" s="228">
        <v>1582925</v>
      </c>
      <c r="F12" s="153">
        <v>7321287</v>
      </c>
      <c r="G12" s="154">
        <v>7.3163439578729601E-3</v>
      </c>
    </row>
    <row r="13" spans="1:11" ht="20" customHeight="1" thickBot="1">
      <c r="A13" s="171">
        <v>2002</v>
      </c>
      <c r="B13" s="153">
        <v>2798041</v>
      </c>
      <c r="C13" s="228">
        <v>2982916</v>
      </c>
      <c r="D13" s="153">
        <v>5780957</v>
      </c>
      <c r="E13" s="228">
        <v>1578408</v>
      </c>
      <c r="F13" s="153">
        <v>7359365</v>
      </c>
      <c r="G13" s="154">
        <v>5.2009981305199482E-3</v>
      </c>
    </row>
    <row r="14" spans="1:11" ht="20" customHeight="1" thickBot="1">
      <c r="A14" s="171">
        <v>2003</v>
      </c>
      <c r="B14" s="153">
        <v>2818135</v>
      </c>
      <c r="C14" s="228">
        <v>3002978</v>
      </c>
      <c r="D14" s="153">
        <v>5821113</v>
      </c>
      <c r="E14" s="228">
        <v>1572075</v>
      </c>
      <c r="F14" s="153">
        <v>7393188</v>
      </c>
      <c r="G14" s="154">
        <v>4.5959128267180661E-3</v>
      </c>
    </row>
    <row r="15" spans="1:11" ht="30" customHeight="1" thickBot="1">
      <c r="A15" s="488">
        <v>2004</v>
      </c>
      <c r="B15" s="392">
        <v>2834642</v>
      </c>
      <c r="C15" s="393">
        <v>3021025</v>
      </c>
      <c r="D15" s="392">
        <v>5855667</v>
      </c>
      <c r="E15" s="393">
        <v>1564307</v>
      </c>
      <c r="F15" s="392">
        <v>7419974</v>
      </c>
      <c r="G15" s="204">
        <v>3.623064907858423E-3</v>
      </c>
    </row>
    <row r="16" spans="1:11" ht="20" customHeight="1">
      <c r="A16" s="155" t="s">
        <v>146</v>
      </c>
      <c r="B16" s="489"/>
      <c r="C16" s="489"/>
      <c r="D16" s="489"/>
      <c r="E16" s="489"/>
      <c r="F16" s="489"/>
      <c r="G16" s="490"/>
    </row>
    <row r="17" spans="1:7" ht="13.5" customHeight="1">
      <c r="A17" s="4"/>
      <c r="B17" s="491"/>
      <c r="C17" s="491"/>
      <c r="D17" s="491"/>
      <c r="E17" s="491"/>
      <c r="F17" s="491"/>
      <c r="G17" s="492"/>
    </row>
    <row r="18" spans="1:7" ht="12.75" customHeight="1">
      <c r="A18" s="2" t="s">
        <v>1544</v>
      </c>
    </row>
    <row r="19" spans="1:7" ht="12.75" customHeight="1">
      <c r="A19" s="215" t="s">
        <v>1545</v>
      </c>
    </row>
    <row r="20" spans="1:7" ht="12.75" customHeight="1">
      <c r="A20" s="493" t="s">
        <v>1546</v>
      </c>
    </row>
    <row r="21" spans="1:7">
      <c r="A21" s="493" t="s">
        <v>1547</v>
      </c>
    </row>
    <row r="22" spans="1:7">
      <c r="A22" s="347"/>
    </row>
    <row r="23" spans="1:7">
      <c r="A23" s="2" t="s">
        <v>1548</v>
      </c>
    </row>
    <row r="26" spans="1:7">
      <c r="A26" s="2" t="s">
        <v>104</v>
      </c>
    </row>
  </sheetData>
  <phoneticPr fontId="0" type="noConversion"/>
  <pageMargins left="0.49" right="0.56000000000000005" top="0.96" bottom="0.49" header="0.53" footer="0.4921259845"/>
  <pageSetup paperSize="9" scale="87" orientation="portrait" horizontalDpi="1200" verticalDpi="1200"/>
  <headerFooter alignWithMargins="0">
    <oddHeader>&amp;L&amp;"Arial,Bold"Versicherte und Finanzen in der OKP</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0383C-41F2-C848-86DB-0A3CDEDBDFB8}">
  <sheetPr>
    <pageSetUpPr fitToPage="1"/>
  </sheetPr>
  <dimension ref="A1:F43"/>
  <sheetViews>
    <sheetView zoomScale="75" workbookViewId="0">
      <selection activeCell="F2" sqref="F2"/>
    </sheetView>
  </sheetViews>
  <sheetFormatPr baseColWidth="10" defaultColWidth="11.3984375" defaultRowHeight="13"/>
  <cols>
    <col min="1" max="1" width="16.19921875" style="2" customWidth="1"/>
    <col min="2" max="5" width="17.3984375" style="2" customWidth="1"/>
    <col min="6" max="6" width="17.3984375" style="487" customWidth="1"/>
    <col min="7" max="8" width="11.3984375" style="2"/>
    <col min="9" max="9" width="14.796875" style="2" customWidth="1"/>
    <col min="10" max="16384" width="11.3984375" style="2"/>
  </cols>
  <sheetData>
    <row r="1" spans="1:6" s="1" customFormat="1" ht="14" customHeight="1">
      <c r="F1" s="474"/>
    </row>
    <row r="2" spans="1:6" s="1" customFormat="1" ht="28" customHeight="1">
      <c r="A2" s="178" t="s">
        <v>1536</v>
      </c>
      <c r="F2" s="370">
        <v>2004</v>
      </c>
    </row>
    <row r="3" spans="1:6" ht="27" customHeight="1">
      <c r="A3" s="139" t="s">
        <v>503</v>
      </c>
      <c r="B3" s="164" t="s">
        <v>2063</v>
      </c>
      <c r="C3" s="141" t="s">
        <v>2064</v>
      </c>
      <c r="D3" s="164" t="s">
        <v>504</v>
      </c>
      <c r="E3" s="141" t="s">
        <v>652</v>
      </c>
      <c r="F3" s="475" t="s">
        <v>1537</v>
      </c>
    </row>
    <row r="4" spans="1:6" ht="12" customHeight="1">
      <c r="A4" s="142"/>
      <c r="B4" s="179"/>
      <c r="C4" s="142"/>
      <c r="D4" s="179"/>
      <c r="E4" s="142"/>
      <c r="F4" s="476" t="s">
        <v>1538</v>
      </c>
    </row>
    <row r="5" spans="1:6" ht="30.75" customHeight="1">
      <c r="A5" s="145"/>
      <c r="B5" s="180"/>
      <c r="C5" s="145"/>
      <c r="D5" s="180"/>
      <c r="E5" s="145"/>
      <c r="F5" s="477" t="s">
        <v>454</v>
      </c>
    </row>
    <row r="6" spans="1:6" ht="30" customHeight="1" thickBot="1">
      <c r="A6" s="148" t="s">
        <v>510</v>
      </c>
      <c r="B6" s="182">
        <v>494453</v>
      </c>
      <c r="C6" s="183">
        <v>526923</v>
      </c>
      <c r="D6" s="182">
        <v>246710</v>
      </c>
      <c r="E6" s="183">
        <v>1268086</v>
      </c>
      <c r="F6" s="478">
        <v>8.0992258513805648E-3</v>
      </c>
    </row>
    <row r="7" spans="1:6" ht="20" customHeight="1" thickBot="1">
      <c r="A7" s="152" t="s">
        <v>511</v>
      </c>
      <c r="B7" s="176">
        <v>367213</v>
      </c>
      <c r="C7" s="222">
        <v>398656</v>
      </c>
      <c r="D7" s="176">
        <v>192515</v>
      </c>
      <c r="E7" s="222">
        <v>958384</v>
      </c>
      <c r="F7" s="479">
        <v>4.4574025765253822E-4</v>
      </c>
    </row>
    <row r="8" spans="1:6" ht="20" customHeight="1" thickBot="1">
      <c r="A8" s="152" t="s">
        <v>512</v>
      </c>
      <c r="B8" s="176">
        <v>135251</v>
      </c>
      <c r="C8" s="222">
        <v>142157</v>
      </c>
      <c r="D8" s="176">
        <v>80919</v>
      </c>
      <c r="E8" s="222">
        <v>358327</v>
      </c>
      <c r="F8" s="479">
        <v>2.1647140423937117E-3</v>
      </c>
    </row>
    <row r="9" spans="1:6" ht="20" customHeight="1" thickBot="1">
      <c r="A9" s="152" t="s">
        <v>513</v>
      </c>
      <c r="B9" s="176">
        <v>13655</v>
      </c>
      <c r="C9" s="222">
        <v>13790</v>
      </c>
      <c r="D9" s="176">
        <v>7939</v>
      </c>
      <c r="E9" s="222">
        <v>35384</v>
      </c>
      <c r="F9" s="479">
        <v>-3.632472615661908E-3</v>
      </c>
    </row>
    <row r="10" spans="1:6" ht="20" customHeight="1" thickBot="1">
      <c r="A10" s="152" t="s">
        <v>514</v>
      </c>
      <c r="B10" s="176">
        <v>53237</v>
      </c>
      <c r="C10" s="222">
        <v>52296</v>
      </c>
      <c r="D10" s="176">
        <v>31103</v>
      </c>
      <c r="E10" s="222">
        <v>136636</v>
      </c>
      <c r="F10" s="479">
        <v>8.2423866764069764E-3</v>
      </c>
    </row>
    <row r="11" spans="1:6" ht="20" customHeight="1" thickBot="1">
      <c r="A11" s="152" t="s">
        <v>515</v>
      </c>
      <c r="B11" s="176">
        <v>12950</v>
      </c>
      <c r="C11" s="222">
        <v>13026</v>
      </c>
      <c r="D11" s="176">
        <v>7994</v>
      </c>
      <c r="E11" s="222">
        <v>33970</v>
      </c>
      <c r="F11" s="479">
        <v>-3.2371030870192996E-4</v>
      </c>
    </row>
    <row r="12" spans="1:6" ht="20" customHeight="1" thickBot="1">
      <c r="A12" s="152" t="s">
        <v>516</v>
      </c>
      <c r="B12" s="176">
        <v>15389</v>
      </c>
      <c r="C12" s="222">
        <v>15341</v>
      </c>
      <c r="D12" s="176">
        <v>8380</v>
      </c>
      <c r="E12" s="222">
        <v>39110</v>
      </c>
      <c r="F12" s="479">
        <v>5.2950853382685015E-3</v>
      </c>
    </row>
    <row r="13" spans="1:6" ht="20" customHeight="1" thickBot="1">
      <c r="A13" s="152" t="s">
        <v>517</v>
      </c>
      <c r="B13" s="176">
        <v>14804</v>
      </c>
      <c r="C13" s="222">
        <v>15359</v>
      </c>
      <c r="D13" s="176">
        <v>8495</v>
      </c>
      <c r="E13" s="222">
        <v>38658</v>
      </c>
      <c r="F13" s="479">
        <v>-4.6346361810597481E-3</v>
      </c>
    </row>
    <row r="14" spans="1:6" ht="20" customHeight="1" thickBot="1">
      <c r="A14" s="152" t="s">
        <v>518</v>
      </c>
      <c r="B14" s="176">
        <v>41267</v>
      </c>
      <c r="C14" s="222">
        <v>41570</v>
      </c>
      <c r="D14" s="176">
        <v>21850</v>
      </c>
      <c r="E14" s="222">
        <v>104687</v>
      </c>
      <c r="F14" s="479">
        <v>1.6506937768844709E-2</v>
      </c>
    </row>
    <row r="15" spans="1:6" ht="20" customHeight="1" thickBot="1">
      <c r="A15" s="152" t="s">
        <v>519</v>
      </c>
      <c r="B15" s="176">
        <v>93821</v>
      </c>
      <c r="C15" s="222">
        <v>97051</v>
      </c>
      <c r="D15" s="176">
        <v>60674</v>
      </c>
      <c r="E15" s="222">
        <v>251546</v>
      </c>
      <c r="F15" s="479">
        <v>1.1297118229769643E-2</v>
      </c>
    </row>
    <row r="16" spans="1:6" ht="20" customHeight="1" thickBot="1">
      <c r="A16" s="152" t="s">
        <v>520</v>
      </c>
      <c r="B16" s="176">
        <v>96037</v>
      </c>
      <c r="C16" s="222">
        <v>101139</v>
      </c>
      <c r="D16" s="176">
        <v>52511</v>
      </c>
      <c r="E16" s="222">
        <v>249687</v>
      </c>
      <c r="F16" s="479">
        <v>1.4519201844982454E-3</v>
      </c>
    </row>
    <row r="17" spans="1:6" ht="20" customHeight="1" thickBot="1">
      <c r="A17" s="152" t="s">
        <v>521</v>
      </c>
      <c r="B17" s="176">
        <v>69442</v>
      </c>
      <c r="C17" s="222">
        <v>80036</v>
      </c>
      <c r="D17" s="176">
        <v>29428</v>
      </c>
      <c r="E17" s="222">
        <v>178906</v>
      </c>
      <c r="F17" s="479">
        <v>-7.6324868816631808E-3</v>
      </c>
    </row>
    <row r="18" spans="1:6" ht="20" customHeight="1" thickBot="1">
      <c r="A18" s="152" t="s">
        <v>522</v>
      </c>
      <c r="B18" s="176">
        <v>103128</v>
      </c>
      <c r="C18" s="222">
        <v>109751</v>
      </c>
      <c r="D18" s="176">
        <v>52531</v>
      </c>
      <c r="E18" s="222">
        <v>265410</v>
      </c>
      <c r="F18" s="479">
        <v>1.392237427416898E-3</v>
      </c>
    </row>
    <row r="19" spans="1:6" ht="20" customHeight="1" thickBot="1">
      <c r="A19" s="152" t="s">
        <v>523</v>
      </c>
      <c r="B19" s="176">
        <v>28453</v>
      </c>
      <c r="C19" s="222">
        <v>30853</v>
      </c>
      <c r="D19" s="176">
        <v>15175</v>
      </c>
      <c r="E19" s="222">
        <v>74481</v>
      </c>
      <c r="F19" s="479">
        <v>-1.3140428270692617E-3</v>
      </c>
    </row>
    <row r="20" spans="1:6" ht="20" customHeight="1" thickBot="1">
      <c r="A20" s="152" t="s">
        <v>2047</v>
      </c>
      <c r="B20" s="176">
        <v>20194</v>
      </c>
      <c r="C20" s="222">
        <v>21064</v>
      </c>
      <c r="D20" s="176">
        <v>12227</v>
      </c>
      <c r="E20" s="222">
        <v>53485</v>
      </c>
      <c r="F20" s="479">
        <v>-5.1523380826605791E-3</v>
      </c>
    </row>
    <row r="21" spans="1:6" ht="20" customHeight="1" thickBot="1">
      <c r="A21" s="152" t="s">
        <v>2048</v>
      </c>
      <c r="B21" s="176">
        <v>5638</v>
      </c>
      <c r="C21" s="222">
        <v>5447</v>
      </c>
      <c r="D21" s="176">
        <v>3888</v>
      </c>
      <c r="E21" s="222">
        <v>14973</v>
      </c>
      <c r="F21" s="479">
        <v>-7.3411639081688573E-4</v>
      </c>
    </row>
    <row r="22" spans="1:6" ht="20" customHeight="1" thickBot="1">
      <c r="A22" s="152" t="s">
        <v>2049</v>
      </c>
      <c r="B22" s="176">
        <v>173654</v>
      </c>
      <c r="C22" s="222">
        <v>181982</v>
      </c>
      <c r="D22" s="176">
        <v>106604</v>
      </c>
      <c r="E22" s="222">
        <v>462240</v>
      </c>
      <c r="F22" s="479">
        <v>2.1441687931300635E-3</v>
      </c>
    </row>
    <row r="23" spans="1:6" ht="20" customHeight="1" thickBot="1">
      <c r="A23" s="152" t="s">
        <v>2050</v>
      </c>
      <c r="B23" s="176">
        <v>77606</v>
      </c>
      <c r="C23" s="222">
        <v>79185</v>
      </c>
      <c r="D23" s="176">
        <v>39216</v>
      </c>
      <c r="E23" s="222">
        <v>196007</v>
      </c>
      <c r="F23" s="479">
        <v>8.2560879003301668E-3</v>
      </c>
    </row>
    <row r="24" spans="1:6" ht="20" customHeight="1" thickBot="1">
      <c r="A24" s="152" t="s">
        <v>2051</v>
      </c>
      <c r="B24" s="176">
        <v>219785</v>
      </c>
      <c r="C24" s="222">
        <v>226593</v>
      </c>
      <c r="D24" s="176">
        <v>124396</v>
      </c>
      <c r="E24" s="222">
        <v>570774</v>
      </c>
      <c r="F24" s="479">
        <v>7.6779803151343362E-3</v>
      </c>
    </row>
    <row r="25" spans="1:6" ht="20" customHeight="1" thickBot="1">
      <c r="A25" s="152" t="s">
        <v>2052</v>
      </c>
      <c r="B25" s="176">
        <v>87939</v>
      </c>
      <c r="C25" s="222">
        <v>90785</v>
      </c>
      <c r="D25" s="176">
        <v>55160</v>
      </c>
      <c r="E25" s="222">
        <v>233884</v>
      </c>
      <c r="F25" s="479">
        <v>4.9671719775876699E-3</v>
      </c>
    </row>
    <row r="26" spans="1:6" ht="20" customHeight="1" thickBot="1">
      <c r="A26" s="152" t="s">
        <v>2053</v>
      </c>
      <c r="B26" s="176">
        <v>121688</v>
      </c>
      <c r="C26" s="222">
        <v>135985</v>
      </c>
      <c r="D26" s="176">
        <v>58870</v>
      </c>
      <c r="E26" s="222">
        <v>316543</v>
      </c>
      <c r="F26" s="479">
        <v>3.557150601893877E-3</v>
      </c>
    </row>
    <row r="27" spans="1:6" ht="20" customHeight="1" thickBot="1">
      <c r="A27" s="152" t="s">
        <v>2054</v>
      </c>
      <c r="B27" s="176">
        <v>237650</v>
      </c>
      <c r="C27" s="222">
        <v>261495</v>
      </c>
      <c r="D27" s="176">
        <v>144028</v>
      </c>
      <c r="E27" s="222">
        <v>643173</v>
      </c>
      <c r="F27" s="479">
        <v>4.7866847677504598E-3</v>
      </c>
    </row>
    <row r="28" spans="1:6" ht="20" customHeight="1" thickBot="1">
      <c r="A28" s="152" t="s">
        <v>2055</v>
      </c>
      <c r="B28" s="176">
        <v>112786</v>
      </c>
      <c r="C28" s="222">
        <v>117826</v>
      </c>
      <c r="D28" s="176">
        <v>63394</v>
      </c>
      <c r="E28" s="222">
        <v>294006</v>
      </c>
      <c r="F28" s="479">
        <v>8.9603459222018511E-3</v>
      </c>
    </row>
    <row r="29" spans="1:6" ht="20" customHeight="1" thickBot="1">
      <c r="A29" s="152" t="s">
        <v>2056</v>
      </c>
      <c r="B29" s="176">
        <v>62995</v>
      </c>
      <c r="C29" s="222">
        <v>69108</v>
      </c>
      <c r="D29" s="176">
        <v>36793</v>
      </c>
      <c r="E29" s="222">
        <v>168896</v>
      </c>
      <c r="F29" s="479">
        <v>1.5002105038453006E-3</v>
      </c>
    </row>
    <row r="30" spans="1:6" ht="20" customHeight="1" thickBot="1">
      <c r="A30" s="152" t="s">
        <v>2057</v>
      </c>
      <c r="B30" s="176">
        <v>147809</v>
      </c>
      <c r="C30" s="222">
        <v>165073</v>
      </c>
      <c r="D30" s="176">
        <v>86883</v>
      </c>
      <c r="E30" s="222">
        <v>399765</v>
      </c>
      <c r="F30" s="479">
        <v>7.7999147908467403E-3</v>
      </c>
    </row>
    <row r="31" spans="1:6" ht="22" customHeight="1" thickBot="1">
      <c r="A31" s="186" t="s">
        <v>2058</v>
      </c>
      <c r="B31" s="468">
        <v>25901</v>
      </c>
      <c r="C31" s="334">
        <v>27563</v>
      </c>
      <c r="D31" s="468">
        <v>16147</v>
      </c>
      <c r="E31" s="334">
        <v>69611</v>
      </c>
      <c r="F31" s="480">
        <v>-2.8505944707062358E-3</v>
      </c>
    </row>
    <row r="32" spans="1:6" ht="21.75" customHeight="1" thickBot="1">
      <c r="A32" s="186" t="s">
        <v>1539</v>
      </c>
      <c r="B32" s="468">
        <v>2832745</v>
      </c>
      <c r="C32" s="334">
        <v>3020054</v>
      </c>
      <c r="D32" s="468">
        <v>1563830</v>
      </c>
      <c r="E32" s="334">
        <v>7416629</v>
      </c>
      <c r="F32" s="480">
        <v>4.5938390678550434E-3</v>
      </c>
    </row>
    <row r="33" spans="1:6" ht="18.75" customHeight="1" thickBot="1">
      <c r="A33" s="358" t="s">
        <v>1542</v>
      </c>
      <c r="B33" s="468">
        <v>1896</v>
      </c>
      <c r="C33" s="334">
        <v>971</v>
      </c>
      <c r="D33" s="468">
        <v>477</v>
      </c>
      <c r="E33" s="334">
        <v>3344</v>
      </c>
      <c r="F33" s="480">
        <v>-0.67963211343169183</v>
      </c>
    </row>
    <row r="34" spans="1:6" ht="22" customHeight="1" thickBot="1">
      <c r="A34" s="186" t="s">
        <v>1532</v>
      </c>
      <c r="B34" s="468">
        <v>1</v>
      </c>
      <c r="C34" s="334">
        <v>0</v>
      </c>
      <c r="D34" s="468">
        <v>0</v>
      </c>
      <c r="E34" s="334">
        <v>1</v>
      </c>
      <c r="F34" s="481">
        <v>-0.97222222222222221</v>
      </c>
    </row>
    <row r="35" spans="1:6" s="219" customFormat="1" ht="30" customHeight="1" thickBot="1">
      <c r="A35" s="482" t="s">
        <v>1247</v>
      </c>
      <c r="B35" s="483">
        <v>2834642</v>
      </c>
      <c r="C35" s="484">
        <v>3021025</v>
      </c>
      <c r="D35" s="483">
        <v>1564307</v>
      </c>
      <c r="E35" s="485">
        <v>7419974</v>
      </c>
      <c r="F35" s="486">
        <v>5.042023636179005E-3</v>
      </c>
    </row>
    <row r="36" spans="1:6">
      <c r="A36" s="4" t="s">
        <v>146</v>
      </c>
    </row>
    <row r="38" spans="1:6">
      <c r="A38" s="4" t="s">
        <v>1540</v>
      </c>
    </row>
    <row r="40" spans="1:6">
      <c r="A40" s="2" t="s">
        <v>1541</v>
      </c>
    </row>
    <row r="43" spans="1:6">
      <c r="A43" s="231" t="s">
        <v>104</v>
      </c>
    </row>
  </sheetData>
  <phoneticPr fontId="0" type="noConversion"/>
  <pageMargins left="0.62" right="0.52" top="0.74803149606299213" bottom="0.47244094488188981" header="0.43307086614173229" footer="0.31496062992125984"/>
  <pageSetup paperSize="9" scale="89" orientation="portrait" horizontalDpi="1200" verticalDpi="1200"/>
  <headerFooter alignWithMargins="0">
    <oddHeader>&amp;L&amp;"Arial,Bold"Versicherte und Finanzen in der OKP</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DA675-19C7-F241-B8AE-166934451EA7}">
  <sheetPr>
    <pageSetUpPr fitToPage="1"/>
  </sheetPr>
  <dimension ref="A1:G41"/>
  <sheetViews>
    <sheetView zoomScale="75" workbookViewId="0"/>
  </sheetViews>
  <sheetFormatPr baseColWidth="10" defaultColWidth="11.3984375" defaultRowHeight="13"/>
  <cols>
    <col min="1" max="1" width="18.3984375" style="2" customWidth="1"/>
    <col min="2" max="7" width="14.3984375" style="2" customWidth="1"/>
    <col min="8" max="16384" width="11.3984375" style="2"/>
  </cols>
  <sheetData>
    <row r="1" spans="1:7" ht="14" customHeight="1">
      <c r="A1" s="1"/>
      <c r="B1" s="4"/>
      <c r="C1" s="4"/>
      <c r="D1" s="4"/>
      <c r="E1" s="4"/>
      <c r="F1" s="4"/>
      <c r="G1" s="4"/>
    </row>
    <row r="2" spans="1:7" ht="28" customHeight="1">
      <c r="A2" s="178" t="s">
        <v>1535</v>
      </c>
      <c r="G2" s="370">
        <v>2004</v>
      </c>
    </row>
    <row r="3" spans="1:7" ht="36" customHeight="1">
      <c r="A3" s="461" t="s">
        <v>1516</v>
      </c>
      <c r="B3" s="462" t="s">
        <v>1517</v>
      </c>
      <c r="C3" s="463"/>
      <c r="D3" s="462" t="s">
        <v>1518</v>
      </c>
      <c r="E3" s="463"/>
      <c r="F3" s="462" t="s">
        <v>652</v>
      </c>
      <c r="G3" s="463"/>
    </row>
    <row r="4" spans="1:7" ht="15" customHeight="1">
      <c r="A4" s="312"/>
      <c r="B4" s="464" t="s">
        <v>1519</v>
      </c>
      <c r="C4" s="465" t="s">
        <v>1509</v>
      </c>
      <c r="D4" s="464" t="s">
        <v>1519</v>
      </c>
      <c r="E4" s="465" t="s">
        <v>1509</v>
      </c>
      <c r="F4" s="464" t="s">
        <v>1519</v>
      </c>
      <c r="G4" s="465" t="s">
        <v>1509</v>
      </c>
    </row>
    <row r="5" spans="1:7" ht="15" customHeight="1">
      <c r="A5" s="165"/>
      <c r="B5" s="166" t="s">
        <v>703</v>
      </c>
      <c r="C5" s="144" t="s">
        <v>529</v>
      </c>
      <c r="D5" s="166" t="s">
        <v>703</v>
      </c>
      <c r="E5" s="144" t="s">
        <v>529</v>
      </c>
      <c r="F5" s="143" t="s">
        <v>703</v>
      </c>
      <c r="G5" s="144" t="s">
        <v>529</v>
      </c>
    </row>
    <row r="6" spans="1:7" ht="21" customHeight="1">
      <c r="A6" s="167"/>
      <c r="B6" s="168"/>
      <c r="C6" s="147" t="s">
        <v>1510</v>
      </c>
      <c r="D6" s="168"/>
      <c r="E6" s="147" t="s">
        <v>1510</v>
      </c>
      <c r="F6" s="168"/>
      <c r="G6" s="147" t="s">
        <v>1510</v>
      </c>
    </row>
    <row r="7" spans="1:7" ht="30" customHeight="1" thickBot="1">
      <c r="A7" s="148" t="s">
        <v>1520</v>
      </c>
      <c r="B7" s="182">
        <v>228795</v>
      </c>
      <c r="C7" s="466">
        <v>3.0835013707595203E-2</v>
      </c>
      <c r="D7" s="182">
        <v>217236</v>
      </c>
      <c r="E7" s="466">
        <v>2.9277191537328839E-2</v>
      </c>
      <c r="F7" s="182">
        <v>446031</v>
      </c>
      <c r="G7" s="466">
        <v>6.0112205244924041E-2</v>
      </c>
    </row>
    <row r="8" spans="1:7" ht="20" customHeight="1" thickBot="1">
      <c r="A8" s="467" t="s">
        <v>1521</v>
      </c>
      <c r="B8" s="176">
        <v>211812</v>
      </c>
      <c r="C8" s="466">
        <v>2.8546191671291569E-2</v>
      </c>
      <c r="D8" s="176">
        <v>201160</v>
      </c>
      <c r="E8" s="466">
        <v>2.7110607126116616E-2</v>
      </c>
      <c r="F8" s="176">
        <v>412972</v>
      </c>
      <c r="G8" s="466">
        <v>5.5656798797408182E-2</v>
      </c>
    </row>
    <row r="9" spans="1:7" ht="20" customHeight="1" thickBot="1">
      <c r="A9" s="152" t="s">
        <v>1522</v>
      </c>
      <c r="B9" s="176">
        <v>227421</v>
      </c>
      <c r="C9" s="466">
        <v>3.0649837856574699E-2</v>
      </c>
      <c r="D9" s="176">
        <v>216797</v>
      </c>
      <c r="E9" s="466">
        <v>2.9218026909528256E-2</v>
      </c>
      <c r="F9" s="176">
        <v>444218</v>
      </c>
      <c r="G9" s="466">
        <v>5.9867864766102952E-2</v>
      </c>
    </row>
    <row r="10" spans="1:7" ht="20" customHeight="1" thickBot="1">
      <c r="A10" s="152" t="s">
        <v>1523</v>
      </c>
      <c r="B10" s="176">
        <v>133748</v>
      </c>
      <c r="C10" s="466">
        <v>1.8025400089003007E-2</v>
      </c>
      <c r="D10" s="176">
        <v>127338</v>
      </c>
      <c r="E10" s="466">
        <v>1.7161515660297461E-2</v>
      </c>
      <c r="F10" s="176">
        <v>261086</v>
      </c>
      <c r="G10" s="466">
        <v>3.5186915749300468E-2</v>
      </c>
    </row>
    <row r="11" spans="1:7" ht="31" customHeight="1" thickBot="1">
      <c r="A11" s="186" t="s">
        <v>1524</v>
      </c>
      <c r="B11" s="468">
        <v>801776</v>
      </c>
      <c r="C11" s="469">
        <v>0.10805644332446449</v>
      </c>
      <c r="D11" s="468">
        <v>762531</v>
      </c>
      <c r="E11" s="469">
        <v>0.10276734123327116</v>
      </c>
      <c r="F11" s="468">
        <v>1564307</v>
      </c>
      <c r="G11" s="469">
        <v>0.21082378455773565</v>
      </c>
    </row>
    <row r="12" spans="1:7" ht="19" customHeight="1" thickBot="1">
      <c r="A12" s="152" t="s">
        <v>1525</v>
      </c>
      <c r="B12" s="176">
        <v>88917</v>
      </c>
      <c r="C12" s="466">
        <v>1.1983465171171759E-2</v>
      </c>
      <c r="D12" s="176">
        <v>84732</v>
      </c>
      <c r="E12" s="466">
        <v>1.1419447022321103E-2</v>
      </c>
      <c r="F12" s="176">
        <v>173649</v>
      </c>
      <c r="G12" s="466">
        <v>2.3402912193492862E-2</v>
      </c>
    </row>
    <row r="13" spans="1:7" ht="19" customHeight="1" thickBot="1">
      <c r="A13" s="152" t="s">
        <v>1526</v>
      </c>
      <c r="B13" s="176">
        <v>228932</v>
      </c>
      <c r="C13" s="466">
        <v>3.0853477384152558E-2</v>
      </c>
      <c r="D13" s="176">
        <v>223398</v>
      </c>
      <c r="E13" s="466">
        <v>3.0107652668324714E-2</v>
      </c>
      <c r="F13" s="176">
        <v>452330</v>
      </c>
      <c r="G13" s="466">
        <v>6.0961130052477275E-2</v>
      </c>
    </row>
    <row r="14" spans="1:7" ht="19" customHeight="1" thickBot="1">
      <c r="A14" s="152" t="s">
        <v>457</v>
      </c>
      <c r="B14" s="176">
        <v>237431</v>
      </c>
      <c r="C14" s="466">
        <v>3.1998899187517367E-2</v>
      </c>
      <c r="D14" s="176">
        <v>237887</v>
      </c>
      <c r="E14" s="466">
        <v>3.2060354928467406E-2</v>
      </c>
      <c r="F14" s="176">
        <v>475318</v>
      </c>
      <c r="G14" s="466">
        <v>6.4059254115984773E-2</v>
      </c>
    </row>
    <row r="15" spans="1:7" ht="19" customHeight="1" thickBot="1">
      <c r="A15" s="152" t="s">
        <v>458</v>
      </c>
      <c r="B15" s="176">
        <v>274670</v>
      </c>
      <c r="C15" s="466">
        <v>3.7017649927075215E-2</v>
      </c>
      <c r="D15" s="176">
        <v>276853</v>
      </c>
      <c r="E15" s="466">
        <v>3.7311855809737338E-2</v>
      </c>
      <c r="F15" s="176">
        <v>551523</v>
      </c>
      <c r="G15" s="466">
        <v>7.4329505736812559E-2</v>
      </c>
    </row>
    <row r="16" spans="1:7" ht="19" customHeight="1" thickBot="1">
      <c r="A16" s="152" t="s">
        <v>459</v>
      </c>
      <c r="B16" s="176">
        <v>317600</v>
      </c>
      <c r="C16" s="466">
        <v>4.280338448625292E-2</v>
      </c>
      <c r="D16" s="176">
        <v>314676</v>
      </c>
      <c r="E16" s="466">
        <v>4.2409313024546987E-2</v>
      </c>
      <c r="F16" s="176">
        <v>632276</v>
      </c>
      <c r="G16" s="466">
        <v>8.5212697510799906E-2</v>
      </c>
    </row>
    <row r="17" spans="1:7" ht="19" customHeight="1" thickBot="1">
      <c r="A17" s="152" t="s">
        <v>460</v>
      </c>
      <c r="B17" s="176">
        <v>305497</v>
      </c>
      <c r="C17" s="466">
        <v>4.1172246695204057E-2</v>
      </c>
      <c r="D17" s="176">
        <v>300697</v>
      </c>
      <c r="E17" s="466">
        <v>4.0525344158887887E-2</v>
      </c>
      <c r="F17" s="176">
        <v>606194</v>
      </c>
      <c r="G17" s="466">
        <v>8.1697590854091937E-2</v>
      </c>
    </row>
    <row r="18" spans="1:7" ht="19" customHeight="1" thickBot="1">
      <c r="A18" s="152" t="s">
        <v>461</v>
      </c>
      <c r="B18" s="176">
        <v>270248</v>
      </c>
      <c r="C18" s="466">
        <v>3.6421690965493948E-2</v>
      </c>
      <c r="D18" s="176">
        <v>263664</v>
      </c>
      <c r="E18" s="466">
        <v>3.5534356319846944E-2</v>
      </c>
      <c r="F18" s="176">
        <v>533912</v>
      </c>
      <c r="G18" s="466">
        <v>7.1956047285340899E-2</v>
      </c>
    </row>
    <row r="19" spans="1:7" ht="19" customHeight="1" thickBot="1">
      <c r="A19" s="152" t="s">
        <v>462</v>
      </c>
      <c r="B19" s="176">
        <v>242253</v>
      </c>
      <c r="C19" s="466">
        <v>3.2648766693791652E-2</v>
      </c>
      <c r="D19" s="176">
        <v>241565</v>
      </c>
      <c r="E19" s="466">
        <v>3.2556043996919665E-2</v>
      </c>
      <c r="F19" s="176">
        <v>483818</v>
      </c>
      <c r="G19" s="466">
        <v>6.520481069071131E-2</v>
      </c>
    </row>
    <row r="20" spans="1:7" ht="19" customHeight="1" thickBot="1">
      <c r="A20" s="152" t="s">
        <v>463</v>
      </c>
      <c r="B20" s="176">
        <v>233284</v>
      </c>
      <c r="C20" s="466">
        <v>3.1440002350412548E-2</v>
      </c>
      <c r="D20" s="176">
        <v>234120</v>
      </c>
      <c r="E20" s="466">
        <v>3.1552671208820944E-2</v>
      </c>
      <c r="F20" s="176">
        <v>467404</v>
      </c>
      <c r="G20" s="466">
        <v>6.2992673559233492E-2</v>
      </c>
    </row>
    <row r="21" spans="1:7" ht="19" customHeight="1" thickBot="1">
      <c r="A21" s="152" t="s">
        <v>464</v>
      </c>
      <c r="B21" s="176">
        <v>185969</v>
      </c>
      <c r="C21" s="466">
        <v>2.5063295370037684E-2</v>
      </c>
      <c r="D21" s="176">
        <v>196416</v>
      </c>
      <c r="E21" s="466">
        <v>2.647125178605747E-2</v>
      </c>
      <c r="F21" s="176">
        <v>382385</v>
      </c>
      <c r="G21" s="466">
        <v>5.1534547156095158E-2</v>
      </c>
    </row>
    <row r="22" spans="1:7" ht="30" customHeight="1" thickBot="1">
      <c r="A22" s="186" t="s">
        <v>1527</v>
      </c>
      <c r="B22" s="468">
        <v>2384801</v>
      </c>
      <c r="C22" s="469">
        <v>0.32140287823110969</v>
      </c>
      <c r="D22" s="468">
        <v>2374008</v>
      </c>
      <c r="E22" s="469">
        <v>0.31994829092393046</v>
      </c>
      <c r="F22" s="468">
        <v>4758809</v>
      </c>
      <c r="G22" s="469">
        <v>0.6413511691550402</v>
      </c>
    </row>
    <row r="23" spans="1:7" ht="20" customHeight="1" thickBot="1">
      <c r="A23" s="152" t="s">
        <v>465</v>
      </c>
      <c r="B23" s="176">
        <v>146225</v>
      </c>
      <c r="C23" s="466">
        <v>1.9706942369339838E-2</v>
      </c>
      <c r="D23" s="176">
        <v>167679</v>
      </c>
      <c r="E23" s="466">
        <v>2.259832716394963E-2</v>
      </c>
      <c r="F23" s="176">
        <v>313904</v>
      </c>
      <c r="G23" s="466">
        <v>4.2305269533289468E-2</v>
      </c>
    </row>
    <row r="24" spans="1:7" ht="20" customHeight="1" thickBot="1">
      <c r="A24" s="152" t="s">
        <v>466</v>
      </c>
      <c r="B24" s="176">
        <v>120495</v>
      </c>
      <c r="C24" s="466">
        <v>1.6239275231961729E-2</v>
      </c>
      <c r="D24" s="176">
        <v>154952</v>
      </c>
      <c r="E24" s="466">
        <v>2.0883092043179667E-2</v>
      </c>
      <c r="F24" s="176">
        <v>275447</v>
      </c>
      <c r="G24" s="466">
        <v>3.7122367275141392E-2</v>
      </c>
    </row>
    <row r="25" spans="1:7" ht="20" customHeight="1" thickBot="1">
      <c r="A25" s="152" t="s">
        <v>467</v>
      </c>
      <c r="B25" s="176">
        <v>89805</v>
      </c>
      <c r="C25" s="466">
        <v>1.2103142140390249E-2</v>
      </c>
      <c r="D25" s="176">
        <v>135211</v>
      </c>
      <c r="E25" s="466">
        <v>1.8222570591217704E-2</v>
      </c>
      <c r="F25" s="176">
        <v>225016</v>
      </c>
      <c r="G25" s="466">
        <v>3.0325712731607956E-2</v>
      </c>
    </row>
    <row r="26" spans="1:7" ht="20" customHeight="1" thickBot="1">
      <c r="A26" s="152" t="s">
        <v>468</v>
      </c>
      <c r="B26" s="176">
        <v>58296</v>
      </c>
      <c r="C26" s="466">
        <v>7.8566313035598242E-3</v>
      </c>
      <c r="D26" s="176">
        <v>102833</v>
      </c>
      <c r="E26" s="466">
        <v>1.3858943441041707E-2</v>
      </c>
      <c r="F26" s="176">
        <v>161129</v>
      </c>
      <c r="G26" s="466">
        <v>2.1715574744601531E-2</v>
      </c>
    </row>
    <row r="27" spans="1:7" ht="20" customHeight="1" thickBot="1">
      <c r="A27" s="152" t="s">
        <v>469</v>
      </c>
      <c r="B27" s="176">
        <v>25277</v>
      </c>
      <c r="C27" s="466">
        <v>3.4066157105132715E-3</v>
      </c>
      <c r="D27" s="176">
        <v>55444</v>
      </c>
      <c r="E27" s="466">
        <v>7.4722633798986358E-3</v>
      </c>
      <c r="F27" s="176">
        <v>80721</v>
      </c>
      <c r="G27" s="466">
        <v>1.0878879090411906E-2</v>
      </c>
    </row>
    <row r="28" spans="1:7" ht="20" customHeight="1" thickBot="1">
      <c r="A28" s="152" t="s">
        <v>1528</v>
      </c>
      <c r="B28" s="176">
        <v>8470</v>
      </c>
      <c r="C28" s="466">
        <v>1.1415134338745661E-3</v>
      </c>
      <c r="D28" s="176">
        <v>25329</v>
      </c>
      <c r="E28" s="466">
        <v>3.4136238213233632E-3</v>
      </c>
      <c r="F28" s="176">
        <v>33799</v>
      </c>
      <c r="G28" s="466">
        <v>4.5551372551979295E-3</v>
      </c>
    </row>
    <row r="29" spans="1:7" ht="20" customHeight="1" thickBot="1">
      <c r="A29" s="152" t="s">
        <v>1529</v>
      </c>
      <c r="B29" s="176">
        <v>1176</v>
      </c>
      <c r="C29" s="466">
        <v>1.5849112139746041E-4</v>
      </c>
      <c r="D29" s="176">
        <v>5062</v>
      </c>
      <c r="E29" s="466">
        <v>6.82212633090089E-4</v>
      </c>
      <c r="F29" s="176">
        <v>6238</v>
      </c>
      <c r="G29" s="466">
        <v>8.4070375448754941E-4</v>
      </c>
    </row>
    <row r="30" spans="1:7" ht="20" customHeight="1" thickBot="1">
      <c r="A30" s="152" t="s">
        <v>1530</v>
      </c>
      <c r="B30" s="176">
        <v>96</v>
      </c>
      <c r="C30" s="466">
        <v>1.2938050726323299E-5</v>
      </c>
      <c r="D30" s="176">
        <v>505</v>
      </c>
      <c r="E30" s="466">
        <v>6.8059537674929855E-5</v>
      </c>
      <c r="F30" s="176">
        <v>601</v>
      </c>
      <c r="G30" s="466">
        <v>8.099758840125316E-5</v>
      </c>
    </row>
    <row r="31" spans="1:7" ht="30" customHeight="1" thickBot="1">
      <c r="A31" s="186" t="s">
        <v>1531</v>
      </c>
      <c r="B31" s="468">
        <v>449840</v>
      </c>
      <c r="C31" s="469">
        <v>6.0625549361763259E-2</v>
      </c>
      <c r="D31" s="468">
        <v>647015</v>
      </c>
      <c r="E31" s="469">
        <v>8.7199092611375734E-2</v>
      </c>
      <c r="F31" s="468">
        <v>1096855</v>
      </c>
      <c r="G31" s="469">
        <v>0.14782464197313899</v>
      </c>
    </row>
    <row r="32" spans="1:7" ht="30" customHeight="1" thickBot="1">
      <c r="A32" s="186" t="s">
        <v>1532</v>
      </c>
      <c r="B32" s="468">
        <v>1</v>
      </c>
      <c r="C32" s="469">
        <v>1.3477136173253436E-7</v>
      </c>
      <c r="D32" s="468">
        <v>2</v>
      </c>
      <c r="E32" s="469">
        <v>2.6954272346506873E-7</v>
      </c>
      <c r="F32" s="468">
        <v>3</v>
      </c>
      <c r="G32" s="469">
        <v>4.0431408519760309E-7</v>
      </c>
    </row>
    <row r="33" spans="1:7" s="219" customFormat="1" ht="30" customHeight="1" thickBot="1">
      <c r="A33" s="470" t="s">
        <v>652</v>
      </c>
      <c r="B33" s="471">
        <v>3636418</v>
      </c>
      <c r="C33" s="472">
        <v>0.49008500568869917</v>
      </c>
      <c r="D33" s="471">
        <v>3783556</v>
      </c>
      <c r="E33" s="472">
        <v>0.50991499431130083</v>
      </c>
      <c r="F33" s="471">
        <v>7419974</v>
      </c>
      <c r="G33" s="472">
        <v>1</v>
      </c>
    </row>
    <row r="34" spans="1:7" ht="19.5" customHeight="1">
      <c r="A34" s="155" t="s">
        <v>146</v>
      </c>
    </row>
    <row r="35" spans="1:7" ht="10.5" customHeight="1"/>
    <row r="36" spans="1:7">
      <c r="A36" s="473" t="s">
        <v>1533</v>
      </c>
    </row>
    <row r="38" spans="1:7">
      <c r="A38" s="2" t="s">
        <v>1534</v>
      </c>
    </row>
    <row r="41" spans="1:7">
      <c r="A41" s="231" t="s">
        <v>104</v>
      </c>
    </row>
  </sheetData>
  <phoneticPr fontId="0" type="noConversion"/>
  <pageMargins left="0.57999999999999996" right="0.65" top="0.74" bottom="0.49" header="0.42" footer="0.4921259845"/>
  <pageSetup paperSize="9" scale="87" orientation="portrait" horizontalDpi="1200" verticalDpi="1200"/>
  <headerFooter alignWithMargins="0">
    <oddHeader>&amp;L&amp;"Arial,Bold"Versicherte und Finanzen in der OKP</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78879-CAA5-D142-8820-32D0F30CC0A1}">
  <sheetPr>
    <pageSetUpPr fitToPage="1"/>
  </sheetPr>
  <dimension ref="A1:G21"/>
  <sheetViews>
    <sheetView zoomScale="75" workbookViewId="0">
      <selection activeCell="B4" sqref="B4"/>
    </sheetView>
  </sheetViews>
  <sheetFormatPr baseColWidth="10" defaultColWidth="11.3984375" defaultRowHeight="13"/>
  <cols>
    <col min="1" max="1" width="18.19921875" style="2" customWidth="1"/>
    <col min="2" max="7" width="14.796875" style="2" customWidth="1"/>
    <col min="8" max="16384" width="11.3984375" style="2"/>
  </cols>
  <sheetData>
    <row r="1" spans="1:7" s="1" customFormat="1" ht="14" customHeight="1"/>
    <row r="2" spans="1:7" s="1" customFormat="1" ht="28" customHeight="1">
      <c r="A2" s="178" t="s">
        <v>1164</v>
      </c>
      <c r="G2" s="370">
        <v>2004</v>
      </c>
    </row>
    <row r="3" spans="1:7" ht="24" customHeight="1">
      <c r="A3" s="139" t="s">
        <v>1346</v>
      </c>
      <c r="B3" s="164" t="s">
        <v>1571</v>
      </c>
      <c r="C3" s="141" t="s">
        <v>1572</v>
      </c>
      <c r="D3" s="164" t="s">
        <v>1573</v>
      </c>
      <c r="E3" s="194" t="s">
        <v>1574</v>
      </c>
      <c r="F3" s="164" t="s">
        <v>652</v>
      </c>
      <c r="G3" s="141" t="s">
        <v>451</v>
      </c>
    </row>
    <row r="4" spans="1:7" ht="15" customHeight="1">
      <c r="A4" s="165"/>
      <c r="B4" s="166" t="s">
        <v>1575</v>
      </c>
      <c r="C4" s="144" t="s">
        <v>1576</v>
      </c>
      <c r="D4" s="166" t="s">
        <v>1577</v>
      </c>
      <c r="E4" s="197" t="s">
        <v>1578</v>
      </c>
      <c r="F4" s="166"/>
      <c r="G4" s="144" t="s">
        <v>486</v>
      </c>
    </row>
    <row r="5" spans="1:7" ht="15" customHeight="1">
      <c r="A5" s="165"/>
      <c r="B5" s="166" t="s">
        <v>1579</v>
      </c>
      <c r="C5" s="144" t="s">
        <v>1580</v>
      </c>
      <c r="D5" s="166" t="s">
        <v>1281</v>
      </c>
      <c r="E5" s="197" t="s">
        <v>1581</v>
      </c>
      <c r="F5" s="166"/>
      <c r="G5" s="144" t="s">
        <v>454</v>
      </c>
    </row>
    <row r="6" spans="1:7" ht="24" customHeight="1">
      <c r="A6" s="167"/>
      <c r="B6" s="168"/>
      <c r="C6" s="147"/>
      <c r="D6" s="168"/>
      <c r="E6" s="200" t="s">
        <v>1582</v>
      </c>
      <c r="F6" s="168"/>
      <c r="G6" s="147"/>
    </row>
    <row r="7" spans="1:7" ht="22.5" customHeight="1" thickBot="1">
      <c r="A7" s="169">
        <v>1996</v>
      </c>
      <c r="B7" s="149">
        <v>4739640</v>
      </c>
      <c r="C7" s="225">
        <v>2305688</v>
      </c>
      <c r="D7" s="149">
        <v>27828</v>
      </c>
      <c r="E7" s="225">
        <v>121598</v>
      </c>
      <c r="F7" s="175">
        <v>7194754</v>
      </c>
      <c r="G7" s="150">
        <v>3.9681470970374319E-3</v>
      </c>
    </row>
    <row r="8" spans="1:7" ht="20" customHeight="1" thickBot="1">
      <c r="A8" s="171">
        <v>1997</v>
      </c>
      <c r="B8" s="153">
        <v>4083854</v>
      </c>
      <c r="C8" s="228">
        <v>2736364</v>
      </c>
      <c r="D8" s="153">
        <v>11494</v>
      </c>
      <c r="E8" s="228">
        <v>383093</v>
      </c>
      <c r="F8" s="153">
        <v>7214805</v>
      </c>
      <c r="G8" s="154">
        <v>2.7868916713483186E-3</v>
      </c>
    </row>
    <row r="9" spans="1:7" ht="20" customHeight="1" thickBot="1">
      <c r="A9" s="171">
        <v>1998</v>
      </c>
      <c r="B9" s="153">
        <v>4016267</v>
      </c>
      <c r="C9" s="228">
        <v>2726468</v>
      </c>
      <c r="D9" s="153">
        <v>11828</v>
      </c>
      <c r="E9" s="228">
        <v>494040</v>
      </c>
      <c r="F9" s="153">
        <v>7248603</v>
      </c>
      <c r="G9" s="154">
        <v>4.6845340934370365E-3</v>
      </c>
    </row>
    <row r="10" spans="1:7" ht="20" customHeight="1" thickBot="1">
      <c r="A10" s="171">
        <v>1999</v>
      </c>
      <c r="B10" s="153">
        <v>3998744</v>
      </c>
      <c r="C10" s="228">
        <v>2715642</v>
      </c>
      <c r="D10" s="153">
        <v>10258</v>
      </c>
      <c r="E10" s="228">
        <v>541890</v>
      </c>
      <c r="F10" s="153">
        <v>7266534</v>
      </c>
      <c r="G10" s="154">
        <v>2.4737180391863093E-3</v>
      </c>
    </row>
    <row r="11" spans="1:7" ht="20" customHeight="1" thickBot="1">
      <c r="A11" s="171">
        <v>2000</v>
      </c>
      <c r="B11" s="153">
        <v>3921920</v>
      </c>
      <c r="C11" s="228">
        <v>2758539</v>
      </c>
      <c r="D11" s="153">
        <v>9811</v>
      </c>
      <c r="E11" s="228">
        <v>577841</v>
      </c>
      <c r="F11" s="153">
        <v>7268111</v>
      </c>
      <c r="G11" s="154">
        <v>2.1702231077429761E-4</v>
      </c>
    </row>
    <row r="12" spans="1:7" ht="20" customHeight="1" thickBot="1">
      <c r="A12" s="171">
        <v>2001</v>
      </c>
      <c r="B12" s="153">
        <v>3882191</v>
      </c>
      <c r="C12" s="228">
        <v>2833816</v>
      </c>
      <c r="D12" s="153">
        <v>9341</v>
      </c>
      <c r="E12" s="228">
        <v>595939</v>
      </c>
      <c r="F12" s="153">
        <v>7321287</v>
      </c>
      <c r="G12" s="154">
        <v>7.3163439578729601E-3</v>
      </c>
    </row>
    <row r="13" spans="1:7" ht="20" customHeight="1" thickBot="1">
      <c r="A13" s="171">
        <v>2002</v>
      </c>
      <c r="B13" s="153">
        <v>3812675</v>
      </c>
      <c r="C13" s="228">
        <v>2980820</v>
      </c>
      <c r="D13" s="153">
        <v>8835</v>
      </c>
      <c r="E13" s="228">
        <v>557035</v>
      </c>
      <c r="F13" s="153">
        <v>7359365</v>
      </c>
      <c r="G13" s="154">
        <v>5.2009981305199482E-3</v>
      </c>
    </row>
    <row r="14" spans="1:7" ht="20" customHeight="1" thickBot="1">
      <c r="A14" s="171">
        <v>2003</v>
      </c>
      <c r="B14" s="153">
        <v>3674270</v>
      </c>
      <c r="C14" s="228">
        <v>3107097</v>
      </c>
      <c r="D14" s="153">
        <v>8317</v>
      </c>
      <c r="E14" s="228">
        <v>603504</v>
      </c>
      <c r="F14" s="153">
        <v>7393188</v>
      </c>
      <c r="G14" s="154">
        <v>4.5959128267180661E-3</v>
      </c>
    </row>
    <row r="15" spans="1:7" ht="30" customHeight="1" thickBot="1">
      <c r="A15" s="488">
        <v>2004</v>
      </c>
      <c r="B15" s="392">
        <v>3639287</v>
      </c>
      <c r="C15" s="393">
        <v>3024823</v>
      </c>
      <c r="D15" s="392">
        <v>8098</v>
      </c>
      <c r="E15" s="393">
        <v>747766</v>
      </c>
      <c r="F15" s="392">
        <v>7419974</v>
      </c>
      <c r="G15" s="204">
        <v>3.623064907858423E-3</v>
      </c>
    </row>
    <row r="16" spans="1:7" ht="19.5" customHeight="1">
      <c r="A16" s="155" t="s">
        <v>146</v>
      </c>
      <c r="B16" s="155"/>
      <c r="C16" s="155"/>
      <c r="D16" s="155"/>
      <c r="E16" s="155"/>
      <c r="F16" s="155"/>
      <c r="G16" s="155"/>
    </row>
    <row r="18" spans="1:1">
      <c r="A18" s="2" t="s">
        <v>1165</v>
      </c>
    </row>
    <row r="21" spans="1:1">
      <c r="A21" s="2" t="s">
        <v>104</v>
      </c>
    </row>
  </sheetData>
  <phoneticPr fontId="0" type="noConversion"/>
  <pageMargins left="0.56000000000000005" right="0.54" top="0.96" bottom="0.49" header="0.57999999999999996" footer="0.4921259845"/>
  <pageSetup paperSize="9" scale="87" orientation="portrait" horizontalDpi="4294967292" verticalDpi="4294967292"/>
  <headerFooter alignWithMargins="0">
    <oddHeader>&amp;L&amp;"Arial,Bold"Versicherte und Finanzen in der OKP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A8BEC-EE97-BB44-B07E-7F9BD05F2A60}">
  <sheetPr>
    <pageSetUpPr fitToPage="1"/>
  </sheetPr>
  <dimension ref="A1:G18"/>
  <sheetViews>
    <sheetView zoomScale="75" workbookViewId="0">
      <selection activeCell="A2" sqref="A2:F2"/>
    </sheetView>
  </sheetViews>
  <sheetFormatPr baseColWidth="10" defaultColWidth="11.3984375" defaultRowHeight="13"/>
  <cols>
    <col min="1" max="1" width="19.3984375" style="2" customWidth="1"/>
    <col min="2" max="7" width="14.3984375" style="2" customWidth="1"/>
    <col min="8" max="16384" width="11.3984375" style="2"/>
  </cols>
  <sheetData>
    <row r="1" spans="1:7" ht="14" customHeight="1">
      <c r="A1" s="444"/>
      <c r="B1" s="4"/>
      <c r="C1" s="4"/>
      <c r="D1" s="4"/>
      <c r="E1" s="4"/>
      <c r="F1" s="4"/>
      <c r="G1" s="4"/>
    </row>
    <row r="2" spans="1:7" ht="39.75" customHeight="1">
      <c r="A2" s="1715" t="s">
        <v>1507</v>
      </c>
      <c r="B2" s="1716"/>
      <c r="C2" s="1716"/>
      <c r="D2" s="1716"/>
      <c r="E2" s="1716"/>
      <c r="F2" s="1716"/>
      <c r="G2" s="445">
        <v>2004</v>
      </c>
    </row>
    <row r="3" spans="1:7" ht="24" customHeight="1">
      <c r="A3" s="139" t="s">
        <v>1508</v>
      </c>
      <c r="B3" s="164" t="s">
        <v>2063</v>
      </c>
      <c r="C3" s="141" t="s">
        <v>2064</v>
      </c>
      <c r="D3" s="164" t="s">
        <v>504</v>
      </c>
      <c r="E3" s="141" t="s">
        <v>652</v>
      </c>
      <c r="F3" s="164" t="s">
        <v>1509</v>
      </c>
      <c r="G3" s="141" t="s">
        <v>451</v>
      </c>
    </row>
    <row r="4" spans="1:7" ht="15" customHeight="1">
      <c r="A4" s="165"/>
      <c r="B4" s="166"/>
      <c r="C4" s="144"/>
      <c r="D4" s="166"/>
      <c r="E4" s="197"/>
      <c r="F4" s="166" t="s">
        <v>529</v>
      </c>
      <c r="G4" s="144" t="s">
        <v>486</v>
      </c>
    </row>
    <row r="5" spans="1:7" ht="15" customHeight="1">
      <c r="A5" s="142"/>
      <c r="B5" s="166"/>
      <c r="C5" s="144"/>
      <c r="D5" s="166"/>
      <c r="E5" s="144"/>
      <c r="F5" s="166" t="s">
        <v>1510</v>
      </c>
      <c r="G5" s="144" t="s">
        <v>454</v>
      </c>
    </row>
    <row r="6" spans="1:7" ht="24" customHeight="1">
      <c r="A6" s="307"/>
      <c r="B6" s="446"/>
      <c r="C6" s="447"/>
      <c r="D6" s="446"/>
      <c r="E6" s="447"/>
      <c r="F6" s="446"/>
      <c r="G6" s="147"/>
    </row>
    <row r="7" spans="1:7" ht="37.5" customHeight="1" thickBot="1">
      <c r="A7" s="448" t="s">
        <v>1511</v>
      </c>
      <c r="B7" s="175">
        <v>1063518</v>
      </c>
      <c r="C7" s="201">
        <v>1341662</v>
      </c>
      <c r="D7" s="175">
        <v>1234107</v>
      </c>
      <c r="E7" s="201">
        <v>3639287</v>
      </c>
      <c r="F7" s="449">
        <v>0.49047166472550979</v>
      </c>
      <c r="G7" s="450">
        <v>-9.521074934612862E-3</v>
      </c>
    </row>
    <row r="8" spans="1:7" ht="34.5" customHeight="1" thickBot="1">
      <c r="A8" s="448" t="s">
        <v>1512</v>
      </c>
      <c r="B8" s="175">
        <v>1461772</v>
      </c>
      <c r="C8" s="201">
        <v>1383893</v>
      </c>
      <c r="D8" s="175">
        <v>179158</v>
      </c>
      <c r="E8" s="201">
        <v>3024823</v>
      </c>
      <c r="F8" s="449">
        <v>0.40765951470988981</v>
      </c>
      <c r="G8" s="450">
        <v>-2.6479379304862383E-2</v>
      </c>
    </row>
    <row r="9" spans="1:7" ht="31.5" customHeight="1" thickBot="1">
      <c r="A9" s="448" t="s">
        <v>1513</v>
      </c>
      <c r="B9" s="175">
        <v>5110</v>
      </c>
      <c r="C9" s="201">
        <v>2719</v>
      </c>
      <c r="D9" s="175">
        <v>269</v>
      </c>
      <c r="E9" s="201">
        <v>8098</v>
      </c>
      <c r="F9" s="449">
        <v>1.0913784873100634E-3</v>
      </c>
      <c r="G9" s="450">
        <v>-2.6331609955512807E-2</v>
      </c>
    </row>
    <row r="10" spans="1:7" ht="33" customHeight="1" thickBot="1">
      <c r="A10" s="448" t="s">
        <v>1514</v>
      </c>
      <c r="B10" s="175">
        <v>304242</v>
      </c>
      <c r="C10" s="201">
        <v>292751</v>
      </c>
      <c r="D10" s="175">
        <v>150773</v>
      </c>
      <c r="E10" s="201">
        <v>747766</v>
      </c>
      <c r="F10" s="449">
        <v>0.10077744207729029</v>
      </c>
      <c r="G10" s="450">
        <v>0.23904066915877939</v>
      </c>
    </row>
    <row r="11" spans="1:7" ht="15" customHeight="1">
      <c r="A11" s="451"/>
      <c r="B11" s="452"/>
      <c r="C11" s="453"/>
      <c r="D11" s="452"/>
      <c r="E11" s="453"/>
      <c r="F11" s="454"/>
      <c r="G11" s="455" t="s">
        <v>106</v>
      </c>
    </row>
    <row r="12" spans="1:7" ht="23.25" customHeight="1" thickBot="1">
      <c r="A12" s="456" t="s">
        <v>652</v>
      </c>
      <c r="B12" s="457">
        <v>2834642</v>
      </c>
      <c r="C12" s="458">
        <v>3021025</v>
      </c>
      <c r="D12" s="457">
        <v>1564307</v>
      </c>
      <c r="E12" s="458">
        <v>7419974</v>
      </c>
      <c r="F12" s="459">
        <v>1</v>
      </c>
      <c r="G12" s="460">
        <v>3.623064907858423E-3</v>
      </c>
    </row>
    <row r="13" spans="1:7" ht="19.5" customHeight="1">
      <c r="A13" s="155" t="s">
        <v>146</v>
      </c>
      <c r="B13" s="155"/>
      <c r="C13" s="155"/>
      <c r="D13" s="155"/>
      <c r="E13" s="155"/>
      <c r="F13" s="155"/>
      <c r="G13" s="155"/>
    </row>
    <row r="15" spans="1:7">
      <c r="A15" s="2" t="s">
        <v>1515</v>
      </c>
    </row>
    <row r="18" spans="1:1">
      <c r="A18" s="2" t="s">
        <v>104</v>
      </c>
    </row>
  </sheetData>
  <mergeCells count="1">
    <mergeCell ref="A2:F2"/>
  </mergeCells>
  <phoneticPr fontId="0" type="noConversion"/>
  <pageMargins left="0.53" right="0.54" top="0.79" bottom="0.49" header="0.42" footer="0.4921259845"/>
  <pageSetup paperSize="9" scale="88" orientation="portrait" horizontalDpi="1200" verticalDpi="1200"/>
  <headerFooter alignWithMargins="0">
    <oddHeader>&amp;L&amp;"Arial,Bold"Versicherte und Finanzen in der OKP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21884-CA2E-CA41-A014-45D791BD2A4D}">
  <sheetPr>
    <pageSetUpPr fitToPage="1"/>
  </sheetPr>
  <dimension ref="A1:K28"/>
  <sheetViews>
    <sheetView zoomScale="75" workbookViewId="0">
      <selection activeCell="G14" sqref="G14"/>
    </sheetView>
  </sheetViews>
  <sheetFormatPr baseColWidth="10" defaultColWidth="11.3984375" defaultRowHeight="13"/>
  <cols>
    <col min="1" max="1" width="20.796875" style="2" customWidth="1"/>
    <col min="2" max="7" width="14.19921875" style="2" customWidth="1"/>
    <col min="8" max="16384" width="11.3984375" style="2"/>
  </cols>
  <sheetData>
    <row r="1" spans="1:11" s="1" customFormat="1" ht="14" customHeight="1"/>
    <row r="2" spans="1:11" s="1" customFormat="1" ht="28" customHeight="1">
      <c r="A2" s="21" t="s">
        <v>954</v>
      </c>
      <c r="G2" s="370">
        <v>2004</v>
      </c>
    </row>
    <row r="3" spans="1:11" ht="24" customHeight="1">
      <c r="A3" s="139" t="s">
        <v>1250</v>
      </c>
      <c r="B3" s="164" t="s">
        <v>1567</v>
      </c>
      <c r="C3" s="141" t="s">
        <v>451</v>
      </c>
      <c r="D3" s="164" t="s">
        <v>955</v>
      </c>
      <c r="E3" s="141" t="s">
        <v>451</v>
      </c>
      <c r="F3" s="164" t="s">
        <v>1162</v>
      </c>
      <c r="G3" s="141" t="s">
        <v>451</v>
      </c>
    </row>
    <row r="4" spans="1:11" ht="15" customHeight="1">
      <c r="A4" s="165"/>
      <c r="B4" s="166"/>
      <c r="C4" s="144" t="s">
        <v>486</v>
      </c>
      <c r="D4" s="166" t="s">
        <v>1163</v>
      </c>
      <c r="E4" s="144" t="s">
        <v>486</v>
      </c>
      <c r="F4" s="166"/>
      <c r="G4" s="144" t="s">
        <v>486</v>
      </c>
    </row>
    <row r="5" spans="1:11" ht="15" customHeight="1">
      <c r="A5" s="165"/>
      <c r="B5" s="166"/>
      <c r="C5" s="144" t="s">
        <v>454</v>
      </c>
      <c r="D5" s="166"/>
      <c r="E5" s="144" t="s">
        <v>454</v>
      </c>
      <c r="F5" s="166"/>
      <c r="G5" s="144" t="s">
        <v>454</v>
      </c>
    </row>
    <row r="6" spans="1:11" ht="24" customHeight="1">
      <c r="A6" s="167"/>
      <c r="B6" s="168"/>
      <c r="C6" s="147"/>
      <c r="D6" s="168"/>
      <c r="E6" s="147"/>
      <c r="F6" s="168"/>
      <c r="G6" s="147"/>
    </row>
    <row r="7" spans="1:11" ht="23.25" customHeight="1" thickBot="1">
      <c r="A7" s="169">
        <v>1996</v>
      </c>
      <c r="B7" s="149">
        <v>5599991</v>
      </c>
      <c r="C7" s="150">
        <v>-1.7950663164953688E-2</v>
      </c>
      <c r="D7" s="149">
        <v>1117084</v>
      </c>
      <c r="E7" s="150">
        <v>-7.0395014962435803E-2</v>
      </c>
      <c r="F7" s="149">
        <v>18812841</v>
      </c>
      <c r="G7" s="150">
        <v>-0.15548674078736344</v>
      </c>
    </row>
    <row r="8" spans="1:11" ht="20" customHeight="1" thickBot="1">
      <c r="A8" s="171">
        <v>1997</v>
      </c>
      <c r="B8" s="153">
        <v>5669325</v>
      </c>
      <c r="C8" s="154">
        <v>1.2381091326753918E-2</v>
      </c>
      <c r="D8" s="153">
        <v>1150122</v>
      </c>
      <c r="E8" s="154">
        <v>2.9575215471710273E-2</v>
      </c>
      <c r="F8" s="153">
        <v>18987651</v>
      </c>
      <c r="G8" s="154">
        <v>9.2920574835028899E-3</v>
      </c>
      <c r="I8" s="10"/>
      <c r="J8" s="10"/>
      <c r="K8" s="10"/>
    </row>
    <row r="9" spans="1:11" ht="20" customHeight="1" thickBot="1">
      <c r="A9" s="171">
        <v>1998</v>
      </c>
      <c r="B9" s="153">
        <v>5768621</v>
      </c>
      <c r="C9" s="154">
        <v>1.7514607118131346E-2</v>
      </c>
      <c r="D9" s="153">
        <v>1154759</v>
      </c>
      <c r="E9" s="154">
        <v>4.0317461973599323E-3</v>
      </c>
      <c r="F9" s="153">
        <v>17067058</v>
      </c>
      <c r="G9" s="154">
        <v>-0.10114958401120813</v>
      </c>
    </row>
    <row r="10" spans="1:11" ht="20" customHeight="1" thickBot="1">
      <c r="A10" s="171">
        <v>1999</v>
      </c>
      <c r="B10" s="153">
        <v>5833167</v>
      </c>
      <c r="C10" s="154">
        <v>1.1189155952523141E-2</v>
      </c>
      <c r="D10" s="153">
        <v>1096033</v>
      </c>
      <c r="E10" s="154">
        <v>-5.085563308014919E-2</v>
      </c>
      <c r="F10" s="153">
        <v>12747160</v>
      </c>
      <c r="G10" s="154">
        <v>-0.25311321963047173</v>
      </c>
    </row>
    <row r="11" spans="1:11" ht="19.5" customHeight="1" thickBot="1">
      <c r="A11" s="171">
        <v>2000</v>
      </c>
      <c r="B11" s="153">
        <v>5947035</v>
      </c>
      <c r="C11" s="154">
        <v>1.9520785192674923E-2</v>
      </c>
      <c r="D11" s="153">
        <v>1097932</v>
      </c>
      <c r="E11" s="154">
        <v>1.7326120655126261E-3</v>
      </c>
      <c r="F11" s="153">
        <v>12447351</v>
      </c>
      <c r="G11" s="154">
        <v>-2.3519670263807781E-2</v>
      </c>
    </row>
    <row r="12" spans="1:11" ht="19.5" customHeight="1" thickBot="1">
      <c r="A12" s="171">
        <v>2001</v>
      </c>
      <c r="B12" s="153">
        <v>6043905</v>
      </c>
      <c r="C12" s="154">
        <v>1.6288789287434831E-2</v>
      </c>
      <c r="D12" s="153">
        <v>1193315</v>
      </c>
      <c r="E12" s="154">
        <v>8.6875143451507014E-2</v>
      </c>
      <c r="F12" s="153">
        <v>12514126</v>
      </c>
      <c r="G12" s="154">
        <v>5.3645952460085683E-3</v>
      </c>
    </row>
    <row r="13" spans="1:11" ht="19.5" customHeight="1" thickBot="1">
      <c r="A13" s="171">
        <v>2002</v>
      </c>
      <c r="B13" s="153">
        <v>6170788</v>
      </c>
      <c r="C13" s="154">
        <v>2.0993546390950885E-2</v>
      </c>
      <c r="D13" s="153">
        <v>1207239</v>
      </c>
      <c r="E13" s="154">
        <v>1.1668335686721444E-2</v>
      </c>
      <c r="F13" s="153">
        <v>12391461</v>
      </c>
      <c r="G13" s="154">
        <v>-9.8021228170469109E-3</v>
      </c>
    </row>
    <row r="14" spans="1:11" ht="19.5" customHeight="1" thickBot="1">
      <c r="A14" s="171">
        <v>2003</v>
      </c>
      <c r="B14" s="153">
        <v>6105077</v>
      </c>
      <c r="C14" s="154">
        <v>-1.0648721038544834E-2</v>
      </c>
      <c r="D14" s="153">
        <v>1148028</v>
      </c>
      <c r="E14" s="154">
        <v>-4.904662622728391E-2</v>
      </c>
      <c r="F14" s="153">
        <v>11395671</v>
      </c>
      <c r="G14" s="154">
        <v>-8.0360984067980368E-2</v>
      </c>
    </row>
    <row r="15" spans="1:11" ht="30" customHeight="1" thickBot="1">
      <c r="A15" s="488">
        <v>2004</v>
      </c>
      <c r="B15" s="392">
        <v>6076231</v>
      </c>
      <c r="C15" s="204">
        <v>-4.7249199313948043E-3</v>
      </c>
      <c r="D15" s="392">
        <v>1196146</v>
      </c>
      <c r="E15" s="204">
        <v>4.191361186312529E-2</v>
      </c>
      <c r="F15" s="392">
        <v>11754955</v>
      </c>
      <c r="G15" s="204">
        <v>3.1528112736845422E-2</v>
      </c>
    </row>
    <row r="16" spans="1:11" ht="19.5" customHeight="1">
      <c r="A16" s="155" t="s">
        <v>146</v>
      </c>
      <c r="B16" s="155"/>
      <c r="C16" s="155"/>
      <c r="D16" s="155"/>
      <c r="E16" s="155"/>
      <c r="F16" s="155"/>
      <c r="G16" s="155"/>
    </row>
    <row r="17" spans="1:7" ht="12.75" customHeight="1">
      <c r="A17" s="4"/>
      <c r="B17" s="4"/>
      <c r="C17" s="4"/>
      <c r="D17" s="4"/>
      <c r="E17" s="4"/>
      <c r="F17" s="4"/>
      <c r="G17" s="4"/>
    </row>
    <row r="18" spans="1:7" ht="12.75" customHeight="1">
      <c r="A18" s="4" t="s">
        <v>1564</v>
      </c>
      <c r="B18" s="4"/>
      <c r="C18" s="4"/>
      <c r="D18" s="4"/>
      <c r="E18" s="4"/>
      <c r="F18" s="4"/>
      <c r="G18" s="4"/>
    </row>
    <row r="19" spans="1:7" ht="12.75" customHeight="1">
      <c r="A19" s="4" t="s">
        <v>956</v>
      </c>
      <c r="B19" s="4"/>
      <c r="C19" s="4"/>
      <c r="D19" s="4"/>
      <c r="E19" s="4"/>
      <c r="F19" s="4"/>
      <c r="G19" s="4"/>
    </row>
    <row r="20" spans="1:7" ht="12.75" customHeight="1">
      <c r="A20" s="2" t="s">
        <v>957</v>
      </c>
    </row>
    <row r="21" spans="1:7" ht="12.75" customHeight="1">
      <c r="A21" s="2" t="s">
        <v>958</v>
      </c>
    </row>
    <row r="22" spans="1:7" ht="12.75" customHeight="1">
      <c r="A22" s="2" t="s">
        <v>959</v>
      </c>
    </row>
    <row r="23" spans="1:7" ht="12.75" customHeight="1">
      <c r="A23" s="2" t="s">
        <v>960</v>
      </c>
    </row>
    <row r="25" spans="1:7">
      <c r="A25" s="2" t="s">
        <v>961</v>
      </c>
    </row>
    <row r="28" spans="1:7">
      <c r="A28" s="2" t="s">
        <v>104</v>
      </c>
    </row>
  </sheetData>
  <phoneticPr fontId="0" type="noConversion"/>
  <pageMargins left="0.53" right="0.47" top="0.92" bottom="0.49" header="0.54" footer="0.4921259845"/>
  <pageSetup paperSize="9" scale="88" orientation="portrait" horizontalDpi="4294967292" verticalDpi="4294967292"/>
  <headerFooter alignWithMargins="0">
    <oddHeader>&amp;L&amp;"Arial,Bold"Versicherte und Finanzen in der OKP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EEB00-B914-794C-9FA5-EFDB6FA4D60D}">
  <sheetPr>
    <pageSetUpPr fitToPage="1"/>
  </sheetPr>
  <dimension ref="A1:G25"/>
  <sheetViews>
    <sheetView zoomScale="75" workbookViewId="0">
      <selection activeCell="A9" sqref="A9"/>
    </sheetView>
  </sheetViews>
  <sheetFormatPr baseColWidth="10" defaultColWidth="10.796875" defaultRowHeight="13"/>
  <cols>
    <col min="1" max="1" width="35.796875" style="2" customWidth="1"/>
    <col min="2" max="3" width="12.796875" style="9" customWidth="1"/>
    <col min="4" max="4" width="14.19921875" style="9" customWidth="1"/>
    <col min="5" max="5" width="12.796875" style="9" customWidth="1"/>
    <col min="6" max="6" width="14.19921875" style="9" customWidth="1"/>
    <col min="7" max="7" width="12.796875" style="2" customWidth="1"/>
    <col min="8" max="16384" width="10.796875" style="2"/>
  </cols>
  <sheetData>
    <row r="1" spans="1:7" ht="14" customHeight="1">
      <c r="A1" s="444"/>
    </row>
    <row r="2" spans="1:7" ht="28" customHeight="1">
      <c r="A2" s="21" t="s">
        <v>1558</v>
      </c>
      <c r="G2" s="370">
        <v>2004</v>
      </c>
    </row>
    <row r="3" spans="1:7" s="23" customFormat="1" ht="25" customHeight="1">
      <c r="A3" s="499" t="s">
        <v>1559</v>
      </c>
      <c r="B3" s="140" t="s">
        <v>2063</v>
      </c>
      <c r="C3" s="194" t="s">
        <v>2064</v>
      </c>
      <c r="D3" s="140" t="s">
        <v>506</v>
      </c>
      <c r="E3" s="141" t="s">
        <v>504</v>
      </c>
      <c r="F3" s="321" t="s">
        <v>652</v>
      </c>
      <c r="G3" s="141" t="s">
        <v>451</v>
      </c>
    </row>
    <row r="4" spans="1:7" s="23" customFormat="1" ht="15" customHeight="1">
      <c r="A4" s="500"/>
      <c r="B4" s="143"/>
      <c r="C4" s="197"/>
      <c r="D4" s="143"/>
      <c r="E4" s="197"/>
      <c r="F4" s="166"/>
      <c r="G4" s="144" t="s">
        <v>486</v>
      </c>
    </row>
    <row r="5" spans="1:7" s="23" customFormat="1" ht="15" customHeight="1">
      <c r="A5" s="500"/>
      <c r="B5" s="143"/>
      <c r="C5" s="197"/>
      <c r="D5" s="143"/>
      <c r="E5" s="197"/>
      <c r="F5" s="166"/>
      <c r="G5" s="144" t="s">
        <v>454</v>
      </c>
    </row>
    <row r="6" spans="1:7" s="23" customFormat="1" ht="24" customHeight="1">
      <c r="A6" s="501"/>
      <c r="B6" s="502"/>
      <c r="C6" s="503"/>
      <c r="D6" s="502"/>
      <c r="E6" s="503"/>
      <c r="F6" s="446"/>
      <c r="G6" s="147"/>
    </row>
    <row r="7" spans="1:7" ht="30" customHeight="1" thickBot="1">
      <c r="A7" s="504" t="s">
        <v>703</v>
      </c>
      <c r="B7" s="330">
        <v>2834642</v>
      </c>
      <c r="C7" s="381">
        <v>3021025</v>
      </c>
      <c r="D7" s="330">
        <v>5855667</v>
      </c>
      <c r="E7" s="381">
        <v>1564307</v>
      </c>
      <c r="F7" s="505">
        <v>7419974</v>
      </c>
      <c r="G7" s="466">
        <v>3.623064907858423E-3</v>
      </c>
    </row>
    <row r="8" spans="1:7" ht="24" customHeight="1" thickBot="1">
      <c r="A8" s="506" t="s">
        <v>1567</v>
      </c>
      <c r="B8" s="153">
        <v>2035004</v>
      </c>
      <c r="C8" s="228">
        <v>2698196</v>
      </c>
      <c r="D8" s="153">
        <v>4733200</v>
      </c>
      <c r="E8" s="228">
        <v>1343031</v>
      </c>
      <c r="F8" s="173">
        <v>6076231</v>
      </c>
      <c r="G8" s="466">
        <v>-4.7249199313948043E-3</v>
      </c>
    </row>
    <row r="9" spans="1:7" ht="20" customHeight="1" thickBot="1">
      <c r="A9" s="506" t="s">
        <v>1560</v>
      </c>
      <c r="B9" s="507">
        <v>71.8</v>
      </c>
      <c r="C9" s="508">
        <v>89.3</v>
      </c>
      <c r="D9" s="507">
        <v>80.831099172818398</v>
      </c>
      <c r="E9" s="508">
        <v>85.9</v>
      </c>
      <c r="F9" s="509">
        <v>81.900000000000006</v>
      </c>
      <c r="G9" s="466">
        <v>-8.4745762711863036E-3</v>
      </c>
    </row>
    <row r="10" spans="1:7" ht="24" customHeight="1" thickBot="1">
      <c r="A10" s="506" t="s">
        <v>1568</v>
      </c>
      <c r="B10" s="153">
        <v>472438</v>
      </c>
      <c r="C10" s="228">
        <v>650255</v>
      </c>
      <c r="D10" s="153">
        <v>1122693</v>
      </c>
      <c r="E10" s="228">
        <v>73453</v>
      </c>
      <c r="F10" s="173">
        <v>1196146</v>
      </c>
      <c r="G10" s="466">
        <v>4.191361186312529E-2</v>
      </c>
    </row>
    <row r="11" spans="1:7" ht="20" customHeight="1" thickBot="1">
      <c r="A11" s="506" t="s">
        <v>1289</v>
      </c>
      <c r="B11" s="153" t="s">
        <v>1300</v>
      </c>
      <c r="C11" s="228">
        <v>89014</v>
      </c>
      <c r="D11" s="153">
        <v>89014</v>
      </c>
      <c r="E11" s="228">
        <v>583</v>
      </c>
      <c r="F11" s="173">
        <v>89597</v>
      </c>
      <c r="G11" s="466">
        <v>5.4938714956847323E-2</v>
      </c>
    </row>
    <row r="12" spans="1:7" ht="20" customHeight="1" thickBot="1">
      <c r="A12" s="510" t="s">
        <v>1561</v>
      </c>
      <c r="B12" s="507">
        <v>16.7</v>
      </c>
      <c r="C12" s="508">
        <v>21.5</v>
      </c>
      <c r="D12" s="507">
        <v>19.172760336269121</v>
      </c>
      <c r="E12" s="508">
        <v>4.7</v>
      </c>
      <c r="F12" s="509">
        <v>16.100000000000001</v>
      </c>
      <c r="G12" s="466">
        <v>3.8709677419354931E-2</v>
      </c>
    </row>
    <row r="13" spans="1:7" ht="24" customHeight="1" thickBot="1">
      <c r="A13" s="506" t="s">
        <v>1569</v>
      </c>
      <c r="B13" s="153">
        <v>4843592</v>
      </c>
      <c r="C13" s="228">
        <v>6467371</v>
      </c>
      <c r="D13" s="153">
        <v>11310963</v>
      </c>
      <c r="E13" s="228">
        <v>443992</v>
      </c>
      <c r="F13" s="173">
        <v>11754955</v>
      </c>
      <c r="G13" s="466">
        <v>3.1528112736845422E-2</v>
      </c>
    </row>
    <row r="14" spans="1:7" ht="20" customHeight="1" thickBot="1">
      <c r="A14" s="506" t="s">
        <v>1289</v>
      </c>
      <c r="B14" s="511" t="s">
        <v>1300</v>
      </c>
      <c r="C14" s="228">
        <v>520246</v>
      </c>
      <c r="D14" s="153">
        <v>520246</v>
      </c>
      <c r="E14" s="228">
        <v>3677</v>
      </c>
      <c r="F14" s="173">
        <v>523923</v>
      </c>
      <c r="G14" s="466">
        <v>7.5435215005757714E-2</v>
      </c>
    </row>
    <row r="15" spans="1:7" ht="20" customHeight="1" thickBot="1">
      <c r="A15" s="506" t="s">
        <v>1562</v>
      </c>
      <c r="B15" s="507">
        <v>170.9</v>
      </c>
      <c r="C15" s="508">
        <v>214.1</v>
      </c>
      <c r="D15" s="507">
        <v>193.16267472176952</v>
      </c>
      <c r="E15" s="508">
        <v>28.4</v>
      </c>
      <c r="F15" s="509">
        <v>158.4</v>
      </c>
      <c r="G15" s="466">
        <v>2.7903958468527005E-2</v>
      </c>
    </row>
    <row r="16" spans="1:7" ht="30" customHeight="1" thickBot="1">
      <c r="A16" s="456" t="s">
        <v>1563</v>
      </c>
      <c r="B16" s="512">
        <v>10.252333639546354</v>
      </c>
      <c r="C16" s="513">
        <v>9.9458996855079924</v>
      </c>
      <c r="D16" s="512">
        <v>10.074849491356943</v>
      </c>
      <c r="E16" s="513">
        <v>6.0445727199705939</v>
      </c>
      <c r="F16" s="514">
        <v>9.8273580315446445</v>
      </c>
      <c r="G16" s="469">
        <v>-9.9677161407928996E-3</v>
      </c>
    </row>
    <row r="17" spans="1:7" ht="20" customHeight="1">
      <c r="A17" s="155" t="s">
        <v>146</v>
      </c>
      <c r="B17" s="207"/>
      <c r="C17" s="207"/>
      <c r="D17" s="207"/>
      <c r="E17" s="207"/>
      <c r="F17" s="207"/>
      <c r="G17" s="155"/>
    </row>
    <row r="18" spans="1:7" ht="13.5" customHeight="1">
      <c r="A18" s="4"/>
      <c r="B18" s="208"/>
      <c r="C18" s="208"/>
      <c r="D18" s="208"/>
      <c r="E18" s="208"/>
      <c r="F18" s="208"/>
      <c r="G18" s="4"/>
    </row>
    <row r="19" spans="1:7" ht="12.75" customHeight="1">
      <c r="A19" s="4" t="s">
        <v>1564</v>
      </c>
      <c r="B19" s="208"/>
      <c r="C19" s="208"/>
      <c r="D19" s="208"/>
      <c r="E19" s="208"/>
      <c r="F19" s="208"/>
      <c r="G19" s="4"/>
    </row>
    <row r="20" spans="1:7" ht="12.75" customHeight="1">
      <c r="A20" s="2" t="s">
        <v>1565</v>
      </c>
    </row>
    <row r="22" spans="1:7">
      <c r="A22" s="2" t="s">
        <v>1566</v>
      </c>
    </row>
    <row r="25" spans="1:7">
      <c r="A25" s="231" t="s">
        <v>104</v>
      </c>
    </row>
  </sheetData>
  <phoneticPr fontId="0" type="noConversion"/>
  <pageMargins left="0.57999999999999996" right="0.65" top="0.85" bottom="0.47244094488188981" header="0.49" footer="0.51181102362204722"/>
  <pageSetup paperSize="9" scale="79" orientation="portrait" horizontalDpi="1200" verticalDpi="1200"/>
  <headerFooter alignWithMargins="0">
    <oddHeader>&amp;L&amp;"Arial,Bold"Versicherte und Finanzen in der OKP</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659D7-2FF5-AC4A-815F-887AF786BDE9}">
  <sheetPr>
    <pageSetUpPr fitToPage="1"/>
  </sheetPr>
  <dimension ref="A1:K23"/>
  <sheetViews>
    <sheetView zoomScale="75" workbookViewId="0">
      <selection activeCell="A3" sqref="A3"/>
    </sheetView>
  </sheetViews>
  <sheetFormatPr baseColWidth="10" defaultColWidth="11.3984375" defaultRowHeight="13"/>
  <cols>
    <col min="1" max="1" width="14.3984375" style="2" customWidth="1"/>
    <col min="2" max="2" width="17" style="2" customWidth="1"/>
    <col min="3" max="3" width="16.3984375" style="2" customWidth="1"/>
    <col min="4" max="4" width="15.796875" style="2" customWidth="1"/>
    <col min="5" max="5" width="17" style="2" customWidth="1"/>
    <col min="6" max="6" width="18" style="2" customWidth="1"/>
    <col min="7" max="7" width="13.19921875" style="2" customWidth="1"/>
    <col min="8" max="16384" width="11.3984375" style="2"/>
  </cols>
  <sheetData>
    <row r="1" spans="1:11" s="1" customFormat="1" ht="14" customHeight="1"/>
    <row r="2" spans="1:11" s="1" customFormat="1" ht="28" customHeight="1">
      <c r="A2" s="178" t="s">
        <v>952</v>
      </c>
      <c r="G2" s="370">
        <v>2004</v>
      </c>
    </row>
    <row r="3" spans="1:11" ht="24" customHeight="1">
      <c r="A3" s="139" t="s">
        <v>1267</v>
      </c>
      <c r="B3" s="164" t="s">
        <v>1571</v>
      </c>
      <c r="C3" s="141" t="s">
        <v>1572</v>
      </c>
      <c r="D3" s="164" t="s">
        <v>1573</v>
      </c>
      <c r="E3" s="141" t="s">
        <v>1574</v>
      </c>
      <c r="F3" s="164" t="s">
        <v>652</v>
      </c>
      <c r="G3" s="141" t="s">
        <v>451</v>
      </c>
    </row>
    <row r="4" spans="1:11" ht="15" customHeight="1">
      <c r="A4" s="165"/>
      <c r="B4" s="166" t="s">
        <v>1575</v>
      </c>
      <c r="C4" s="144" t="s">
        <v>1576</v>
      </c>
      <c r="D4" s="166" t="s">
        <v>1577</v>
      </c>
      <c r="E4" s="197" t="s">
        <v>1578</v>
      </c>
      <c r="F4" s="166"/>
      <c r="G4" s="144" t="s">
        <v>486</v>
      </c>
    </row>
    <row r="5" spans="1:11" ht="15" customHeight="1">
      <c r="A5" s="165"/>
      <c r="B5" s="166" t="s">
        <v>1579</v>
      </c>
      <c r="C5" s="144" t="s">
        <v>1580</v>
      </c>
      <c r="D5" s="166" t="s">
        <v>1281</v>
      </c>
      <c r="E5" s="197" t="s">
        <v>1581</v>
      </c>
      <c r="F5" s="166"/>
      <c r="G5" s="144" t="s">
        <v>454</v>
      </c>
    </row>
    <row r="6" spans="1:11" ht="24" customHeight="1">
      <c r="A6" s="167"/>
      <c r="B6" s="168"/>
      <c r="C6" s="147"/>
      <c r="D6" s="168"/>
      <c r="E6" s="200" t="s">
        <v>1582</v>
      </c>
      <c r="F6" s="168"/>
      <c r="G6" s="147"/>
    </row>
    <row r="7" spans="1:11" ht="23.25" customHeight="1" thickBot="1">
      <c r="A7" s="169">
        <v>1996</v>
      </c>
      <c r="B7" s="149">
        <v>7263879193.6000004</v>
      </c>
      <c r="C7" s="225">
        <v>3689716942.5</v>
      </c>
      <c r="D7" s="149">
        <v>38020066.050000004</v>
      </c>
      <c r="E7" s="225">
        <v>139019617.94999999</v>
      </c>
      <c r="F7" s="149">
        <v>11130635820.099998</v>
      </c>
      <c r="G7" s="150">
        <v>0.21512868002751498</v>
      </c>
    </row>
    <row r="8" spans="1:11" ht="20" customHeight="1" thickBot="1">
      <c r="A8" s="171">
        <v>1997</v>
      </c>
      <c r="B8" s="153">
        <v>6540588878</v>
      </c>
      <c r="C8" s="228">
        <v>4995296573</v>
      </c>
      <c r="D8" s="153">
        <v>16474356</v>
      </c>
      <c r="E8" s="228">
        <v>488324321</v>
      </c>
      <c r="F8" s="153">
        <v>12040684128</v>
      </c>
      <c r="G8" s="154">
        <v>8.1760675904660546E-2</v>
      </c>
      <c r="I8" s="10"/>
      <c r="J8" s="10"/>
      <c r="K8" s="10"/>
    </row>
    <row r="9" spans="1:11" ht="20" customHeight="1" thickBot="1">
      <c r="A9" s="171">
        <v>1998</v>
      </c>
      <c r="B9" s="153">
        <v>6687491385</v>
      </c>
      <c r="C9" s="228">
        <v>5281034163</v>
      </c>
      <c r="D9" s="153">
        <v>17124804</v>
      </c>
      <c r="E9" s="228">
        <v>722619796</v>
      </c>
      <c r="F9" s="153">
        <v>12708270148</v>
      </c>
      <c r="G9" s="154">
        <v>5.5444193444753077E-2</v>
      </c>
    </row>
    <row r="10" spans="1:11" ht="20" customHeight="1" thickBot="1">
      <c r="A10" s="171">
        <v>1999</v>
      </c>
      <c r="B10" s="153">
        <v>6794064715</v>
      </c>
      <c r="C10" s="228">
        <v>5396193285</v>
      </c>
      <c r="D10" s="153">
        <v>15330070</v>
      </c>
      <c r="E10" s="228">
        <v>828254703</v>
      </c>
      <c r="F10" s="153">
        <v>13033842773</v>
      </c>
      <c r="G10" s="154">
        <v>2.5618956884642392E-2</v>
      </c>
    </row>
    <row r="11" spans="1:11" ht="20" customHeight="1" thickBot="1">
      <c r="A11" s="171">
        <v>2000</v>
      </c>
      <c r="B11" s="153">
        <v>6892066397</v>
      </c>
      <c r="C11" s="228">
        <v>5620040093</v>
      </c>
      <c r="D11" s="153">
        <v>15057027</v>
      </c>
      <c r="E11" s="228">
        <v>914491167</v>
      </c>
      <c r="F11" s="153">
        <v>13441654684</v>
      </c>
      <c r="G11" s="154">
        <v>3.1288693450008058E-2</v>
      </c>
    </row>
    <row r="12" spans="1:11" ht="20" customHeight="1" thickBot="1">
      <c r="A12" s="171">
        <v>2001</v>
      </c>
      <c r="B12" s="153">
        <v>7135000924</v>
      </c>
      <c r="C12" s="228">
        <v>5862096902</v>
      </c>
      <c r="D12" s="153">
        <v>14859371</v>
      </c>
      <c r="E12" s="228">
        <v>985355210</v>
      </c>
      <c r="F12" s="153">
        <v>13997312407</v>
      </c>
      <c r="G12" s="154">
        <v>4.133849113542664E-2</v>
      </c>
    </row>
    <row r="13" spans="1:11" ht="20" customHeight="1" thickBot="1">
      <c r="A13" s="171">
        <v>2002</v>
      </c>
      <c r="B13" s="153">
        <v>7607493462</v>
      </c>
      <c r="C13" s="228">
        <v>6653772458</v>
      </c>
      <c r="D13" s="153">
        <v>15940357</v>
      </c>
      <c r="E13" s="228">
        <v>1077838954</v>
      </c>
      <c r="F13" s="153">
        <v>15355045231</v>
      </c>
      <c r="G13" s="154">
        <v>9.69995370912064E-2</v>
      </c>
    </row>
    <row r="14" spans="1:11" ht="20" customHeight="1" thickBot="1">
      <c r="A14" s="171">
        <v>2003</v>
      </c>
      <c r="B14" s="153">
        <v>8119693916</v>
      </c>
      <c r="C14" s="228">
        <v>7519644296</v>
      </c>
      <c r="D14" s="153">
        <v>16399234</v>
      </c>
      <c r="E14" s="228">
        <v>1164373707</v>
      </c>
      <c r="F14" s="153">
        <v>16820111153</v>
      </c>
      <c r="G14" s="154">
        <v>9.5412673812396667E-2</v>
      </c>
    </row>
    <row r="15" spans="1:11" ht="30" customHeight="1" thickBot="1">
      <c r="A15" s="594">
        <v>2004</v>
      </c>
      <c r="B15" s="595">
        <v>8488170971</v>
      </c>
      <c r="C15" s="585">
        <v>7961860655.6000004</v>
      </c>
      <c r="D15" s="595">
        <v>16728842</v>
      </c>
      <c r="E15" s="585">
        <v>1562944367</v>
      </c>
      <c r="F15" s="595">
        <v>18029704835.599998</v>
      </c>
      <c r="G15" s="204">
        <v>7.1913536812998877E-2</v>
      </c>
    </row>
    <row r="16" spans="1:11" ht="20" customHeight="1">
      <c r="A16" s="155" t="s">
        <v>146</v>
      </c>
      <c r="B16" s="489"/>
      <c r="C16" s="489"/>
      <c r="D16" s="489"/>
      <c r="E16" s="489"/>
      <c r="F16" s="489"/>
      <c r="G16" s="490"/>
    </row>
    <row r="17" spans="1:7" ht="14.25" customHeight="1">
      <c r="A17" s="4"/>
      <c r="B17" s="491"/>
      <c r="C17" s="491"/>
      <c r="D17" s="491"/>
      <c r="E17" s="491"/>
      <c r="F17" s="491"/>
      <c r="G17" s="492"/>
    </row>
    <row r="18" spans="1:7" ht="12.75" customHeight="1">
      <c r="A18" s="473" t="s">
        <v>1533</v>
      </c>
    </row>
    <row r="20" spans="1:7">
      <c r="A20" s="2" t="s">
        <v>953</v>
      </c>
    </row>
    <row r="23" spans="1:7">
      <c r="A23" s="2" t="s">
        <v>104</v>
      </c>
    </row>
  </sheetData>
  <phoneticPr fontId="0" type="noConversion"/>
  <pageMargins left="0.56000000000000005" right="0.51" top="0.94" bottom="0.49" header="0.51" footer="0.4921259845"/>
  <pageSetup paperSize="9" scale="83" orientation="portrait" horizontalDpi="4294967292" verticalDpi="4294967292"/>
  <headerFooter alignWithMargins="0">
    <oddHeader>&amp;L&amp;"Arial,Bold"Versicherte und Finanzen in der OKP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36BE6-4D3A-714E-97F0-222DE1C5FDE7}">
  <sheetPr>
    <pageSetUpPr fitToPage="1"/>
  </sheetPr>
  <dimension ref="A1:K76"/>
  <sheetViews>
    <sheetView topLeftCell="A55" zoomScale="75" workbookViewId="0">
      <selection activeCell="A22" sqref="A22"/>
    </sheetView>
  </sheetViews>
  <sheetFormatPr baseColWidth="10" defaultColWidth="11.3984375" defaultRowHeight="13"/>
  <cols>
    <col min="1" max="1" width="21.59765625" style="2" customWidth="1"/>
    <col min="2" max="3" width="14.3984375" style="2" customWidth="1"/>
    <col min="4" max="6" width="13.19921875" style="2" customWidth="1"/>
    <col min="7" max="7" width="14.3984375" style="2" customWidth="1"/>
    <col min="8" max="10" width="13.796875" style="2" customWidth="1"/>
    <col min="11" max="16384" width="11.3984375" style="2"/>
  </cols>
  <sheetData>
    <row r="1" spans="1:11" s="1" customFormat="1" ht="14" customHeight="1"/>
    <row r="2" spans="1:11" s="1" customFormat="1" ht="35.25" customHeight="1">
      <c r="A2" s="1715" t="s">
        <v>934</v>
      </c>
      <c r="B2" s="1716"/>
      <c r="C2" s="1716"/>
      <c r="D2" s="1716"/>
      <c r="E2" s="1716"/>
      <c r="F2" s="178">
        <v>2004</v>
      </c>
    </row>
    <row r="3" spans="1:11" ht="24" customHeight="1">
      <c r="A3" s="316" t="s">
        <v>1570</v>
      </c>
      <c r="B3" s="164" t="s">
        <v>1571</v>
      </c>
      <c r="C3" s="141" t="s">
        <v>1572</v>
      </c>
      <c r="D3" s="164" t="s">
        <v>1573</v>
      </c>
      <c r="E3" s="141" t="s">
        <v>1574</v>
      </c>
      <c r="F3" s="164" t="s">
        <v>652</v>
      </c>
      <c r="G3"/>
    </row>
    <row r="4" spans="1:11" ht="15" customHeight="1">
      <c r="A4" s="165"/>
      <c r="B4" s="166" t="s">
        <v>1575</v>
      </c>
      <c r="C4" s="144" t="s">
        <v>1576</v>
      </c>
      <c r="D4" s="166" t="s">
        <v>1577</v>
      </c>
      <c r="E4" s="197" t="s">
        <v>1578</v>
      </c>
      <c r="F4" s="166"/>
      <c r="G4"/>
    </row>
    <row r="5" spans="1:11" ht="15" customHeight="1">
      <c r="A5" s="165" t="s">
        <v>1267</v>
      </c>
      <c r="B5" s="166" t="s">
        <v>1579</v>
      </c>
      <c r="C5" s="144" t="s">
        <v>1580</v>
      </c>
      <c r="D5" s="166" t="s">
        <v>1281</v>
      </c>
      <c r="E5" s="197" t="s">
        <v>1581</v>
      </c>
      <c r="F5" s="166"/>
      <c r="G5"/>
    </row>
    <row r="6" spans="1:11" ht="24" customHeight="1">
      <c r="A6" s="306"/>
      <c r="B6" s="168"/>
      <c r="C6" s="147"/>
      <c r="D6" s="168"/>
      <c r="E6" s="200" t="s">
        <v>1582</v>
      </c>
      <c r="F6" s="168"/>
      <c r="G6"/>
    </row>
    <row r="7" spans="1:11" ht="20" customHeight="1" thickBot="1">
      <c r="A7" s="169">
        <v>1996</v>
      </c>
      <c r="B7" s="149">
        <v>1532.58</v>
      </c>
      <c r="C7" s="225">
        <v>1600.27</v>
      </c>
      <c r="D7" s="149">
        <v>1366.25</v>
      </c>
      <c r="E7" s="225">
        <v>1143.27</v>
      </c>
      <c r="F7" s="149">
        <v>1547.05</v>
      </c>
      <c r="G7"/>
    </row>
    <row r="8" spans="1:11" ht="20" customHeight="1" thickBot="1">
      <c r="A8" s="171">
        <v>1997</v>
      </c>
      <c r="B8" s="153">
        <v>1601.57</v>
      </c>
      <c r="C8" s="228">
        <v>1825.52</v>
      </c>
      <c r="D8" s="153">
        <v>1433.3</v>
      </c>
      <c r="E8" s="228">
        <v>1274.69</v>
      </c>
      <c r="F8" s="153">
        <v>1668.89</v>
      </c>
      <c r="G8"/>
      <c r="I8" s="10"/>
      <c r="J8" s="10"/>
      <c r="K8" s="10"/>
    </row>
    <row r="9" spans="1:11" ht="20" customHeight="1" thickBot="1">
      <c r="A9" s="171">
        <v>1998</v>
      </c>
      <c r="B9" s="153">
        <v>1665.1</v>
      </c>
      <c r="C9" s="228">
        <v>1936.95</v>
      </c>
      <c r="D9" s="153">
        <v>1447.82</v>
      </c>
      <c r="E9" s="228">
        <v>1462.67</v>
      </c>
      <c r="F9" s="153">
        <v>1753.2</v>
      </c>
      <c r="G9"/>
    </row>
    <row r="10" spans="1:11" ht="20" customHeight="1" thickBot="1">
      <c r="A10" s="171">
        <v>1999</v>
      </c>
      <c r="B10" s="153">
        <v>1699.05</v>
      </c>
      <c r="C10" s="228">
        <v>1987.08</v>
      </c>
      <c r="D10" s="153">
        <v>1494.45</v>
      </c>
      <c r="E10" s="228">
        <v>1528.46</v>
      </c>
      <c r="F10" s="153">
        <v>1793.68</v>
      </c>
      <c r="G10"/>
    </row>
    <row r="11" spans="1:11" ht="20" customHeight="1" thickBot="1">
      <c r="A11" s="171">
        <v>2000</v>
      </c>
      <c r="B11" s="153">
        <v>1757.32</v>
      </c>
      <c r="C11" s="228">
        <v>2037.32</v>
      </c>
      <c r="D11" s="153">
        <v>1534.71</v>
      </c>
      <c r="E11" s="228">
        <v>1582.6</v>
      </c>
      <c r="F11" s="153">
        <v>1849.4</v>
      </c>
      <c r="G11"/>
    </row>
    <row r="12" spans="1:11" ht="20" customHeight="1" thickBot="1">
      <c r="A12" s="171">
        <v>2001</v>
      </c>
      <c r="B12" s="153">
        <v>1837.88</v>
      </c>
      <c r="C12" s="228">
        <v>2068.62</v>
      </c>
      <c r="D12" s="153">
        <v>1590.77</v>
      </c>
      <c r="E12" s="228">
        <v>1653.45</v>
      </c>
      <c r="F12" s="153">
        <v>1911.87</v>
      </c>
      <c r="G12"/>
    </row>
    <row r="13" spans="1:11" ht="20" customHeight="1" thickBot="1">
      <c r="A13" s="171">
        <v>2002</v>
      </c>
      <c r="B13" s="153">
        <v>1995.32</v>
      </c>
      <c r="C13" s="228">
        <v>2232.1999999999998</v>
      </c>
      <c r="D13" s="153">
        <v>1804.23</v>
      </c>
      <c r="E13" s="228">
        <v>1934.96</v>
      </c>
      <c r="F13" s="153">
        <v>2086.46</v>
      </c>
      <c r="G13"/>
    </row>
    <row r="14" spans="1:11" ht="20" customHeight="1" thickBot="1">
      <c r="A14" s="171">
        <v>2003</v>
      </c>
      <c r="B14" s="153">
        <v>2209.88</v>
      </c>
      <c r="C14" s="228">
        <v>2420.15</v>
      </c>
      <c r="D14" s="153">
        <v>1971.77</v>
      </c>
      <c r="E14" s="228">
        <v>1929.36</v>
      </c>
      <c r="F14" s="153">
        <v>2275.08</v>
      </c>
      <c r="G14"/>
    </row>
    <row r="15" spans="1:11" ht="30" customHeight="1" thickBot="1">
      <c r="A15" s="488">
        <v>2004</v>
      </c>
      <c r="B15" s="392">
        <v>2332.37</v>
      </c>
      <c r="C15" s="393">
        <v>2632.17</v>
      </c>
      <c r="D15" s="392">
        <v>2065.8000000000002</v>
      </c>
      <c r="E15" s="393">
        <v>2090.15</v>
      </c>
      <c r="F15" s="392">
        <v>2429.89</v>
      </c>
      <c r="G15" s="230"/>
    </row>
    <row r="16" spans="1:11" ht="20" customHeight="1">
      <c r="A16" s="155" t="s">
        <v>146</v>
      </c>
      <c r="B16" s="489"/>
      <c r="C16" s="489"/>
      <c r="D16" s="489"/>
      <c r="E16" s="489"/>
      <c r="F16" s="489"/>
      <c r="G16" s="492"/>
    </row>
    <row r="17" spans="1:9" ht="13.5" customHeight="1">
      <c r="A17" s="4"/>
      <c r="B17" s="491"/>
      <c r="C17" s="491"/>
      <c r="D17" s="491"/>
      <c r="E17" s="491"/>
      <c r="F17" s="491"/>
      <c r="G17" s="492"/>
    </row>
    <row r="18" spans="1:9">
      <c r="A18" s="2" t="s">
        <v>1583</v>
      </c>
    </row>
    <row r="21" spans="1:9" ht="18">
      <c r="A21" s="515" t="s">
        <v>935</v>
      </c>
    </row>
    <row r="23" spans="1:9" ht="19.5" customHeight="1">
      <c r="A23" s="316" t="s">
        <v>504</v>
      </c>
      <c r="B23" s="164" t="s">
        <v>1571</v>
      </c>
      <c r="C23" s="141" t="s">
        <v>1572</v>
      </c>
      <c r="D23" s="164"/>
      <c r="E23" s="141"/>
      <c r="F23" s="164"/>
      <c r="G23" s="141" t="s">
        <v>1573</v>
      </c>
      <c r="H23" s="164" t="s">
        <v>1574</v>
      </c>
      <c r="I23" s="141" t="s">
        <v>652</v>
      </c>
    </row>
    <row r="24" spans="1:9" ht="19.5" customHeight="1">
      <c r="A24" s="516" t="s">
        <v>507</v>
      </c>
      <c r="B24" s="166" t="s">
        <v>1575</v>
      </c>
      <c r="C24" s="144" t="s">
        <v>1576</v>
      </c>
      <c r="D24" s="166"/>
      <c r="E24" s="197"/>
      <c r="F24" s="166"/>
      <c r="G24" s="144" t="s">
        <v>1577</v>
      </c>
      <c r="H24" s="143" t="s">
        <v>1578</v>
      </c>
      <c r="I24" s="144"/>
    </row>
    <row r="25" spans="1:9" ht="19.5" customHeight="1">
      <c r="A25" s="165"/>
      <c r="B25" s="166" t="s">
        <v>1579</v>
      </c>
      <c r="C25" s="447" t="s">
        <v>1580</v>
      </c>
      <c r="D25" s="446"/>
      <c r="E25" s="503"/>
      <c r="F25" s="446"/>
      <c r="G25" s="144" t="s">
        <v>1281</v>
      </c>
      <c r="H25" s="143" t="s">
        <v>1581</v>
      </c>
      <c r="I25" s="144"/>
    </row>
    <row r="26" spans="1:9" ht="19.5" customHeight="1">
      <c r="A26" s="167" t="s">
        <v>1250</v>
      </c>
      <c r="B26" s="168"/>
      <c r="C26" s="147"/>
      <c r="D26" s="446" t="s">
        <v>1584</v>
      </c>
      <c r="E26" s="447" t="s">
        <v>1585</v>
      </c>
      <c r="F26" s="446" t="s">
        <v>1586</v>
      </c>
      <c r="G26" s="147"/>
      <c r="H26" s="146" t="s">
        <v>1582</v>
      </c>
      <c r="I26" s="147"/>
    </row>
    <row r="27" spans="1:9" ht="19.5" customHeight="1" thickBot="1">
      <c r="A27" s="169">
        <v>1996</v>
      </c>
      <c r="B27" s="149" t="s">
        <v>1300</v>
      </c>
      <c r="C27" s="225" t="s">
        <v>1300</v>
      </c>
      <c r="D27" s="149" t="s">
        <v>1300</v>
      </c>
      <c r="E27" s="225" t="s">
        <v>1300</v>
      </c>
      <c r="F27" s="149" t="s">
        <v>1300</v>
      </c>
      <c r="G27" s="225" t="s">
        <v>1300</v>
      </c>
      <c r="H27" s="149" t="s">
        <v>1300</v>
      </c>
      <c r="I27" s="225" t="s">
        <v>1300</v>
      </c>
    </row>
    <row r="28" spans="1:9" ht="19.5" customHeight="1" thickBot="1">
      <c r="A28" s="171">
        <v>1997</v>
      </c>
      <c r="B28" s="149">
        <v>580.09</v>
      </c>
      <c r="C28" s="225">
        <v>550.25</v>
      </c>
      <c r="D28" s="149">
        <v>567.16</v>
      </c>
      <c r="E28" s="225">
        <v>540.54</v>
      </c>
      <c r="F28" s="149">
        <v>428.01</v>
      </c>
      <c r="G28" s="225">
        <v>481.77</v>
      </c>
      <c r="H28" s="149">
        <v>467.21</v>
      </c>
      <c r="I28" s="225">
        <v>571.27</v>
      </c>
    </row>
    <row r="29" spans="1:9" ht="19.5" customHeight="1" thickBot="1">
      <c r="A29" s="171">
        <v>1998</v>
      </c>
      <c r="B29" s="153">
        <v>596.35</v>
      </c>
      <c r="C29" s="228">
        <v>598.24</v>
      </c>
      <c r="D29" s="153">
        <v>626.75</v>
      </c>
      <c r="E29" s="228">
        <v>590.58000000000004</v>
      </c>
      <c r="F29" s="153">
        <v>457.52</v>
      </c>
      <c r="G29" s="228">
        <v>486.78</v>
      </c>
      <c r="H29" s="153">
        <v>475.12</v>
      </c>
      <c r="I29" s="228">
        <v>588.77</v>
      </c>
    </row>
    <row r="30" spans="1:9" ht="19.5" customHeight="1" thickBot="1">
      <c r="A30" s="171">
        <v>1999</v>
      </c>
      <c r="B30" s="153">
        <v>613.13</v>
      </c>
      <c r="C30" s="228">
        <v>598.32000000000005</v>
      </c>
      <c r="D30" s="153">
        <v>640.1</v>
      </c>
      <c r="E30" s="228">
        <v>584.41999999999996</v>
      </c>
      <c r="F30" s="153">
        <v>457.82</v>
      </c>
      <c r="G30" s="228">
        <v>530.1</v>
      </c>
      <c r="H30" s="153">
        <v>498.95</v>
      </c>
      <c r="I30" s="228">
        <v>603.19000000000005</v>
      </c>
    </row>
    <row r="31" spans="1:9" ht="19.5" customHeight="1" thickBot="1">
      <c r="A31" s="171">
        <v>2000</v>
      </c>
      <c r="B31" s="153">
        <v>634.51</v>
      </c>
      <c r="C31" s="228">
        <v>602.96</v>
      </c>
      <c r="D31" s="153">
        <v>651.79999999999995</v>
      </c>
      <c r="E31" s="228">
        <v>585.79999999999995</v>
      </c>
      <c r="F31" s="153">
        <v>475.4</v>
      </c>
      <c r="G31" s="228">
        <v>556.69000000000005</v>
      </c>
      <c r="H31" s="153">
        <v>513.95000000000005</v>
      </c>
      <c r="I31" s="228">
        <v>621.73</v>
      </c>
    </row>
    <row r="32" spans="1:9" ht="19.5" customHeight="1" thickBot="1">
      <c r="A32" s="171">
        <v>2001</v>
      </c>
      <c r="B32" s="153">
        <v>669.16</v>
      </c>
      <c r="C32" s="228">
        <v>610.58000000000004</v>
      </c>
      <c r="D32" s="153">
        <v>662.96</v>
      </c>
      <c r="E32" s="228">
        <v>588.95000000000005</v>
      </c>
      <c r="F32" s="153">
        <v>495.97</v>
      </c>
      <c r="G32" s="228">
        <v>579.95000000000005</v>
      </c>
      <c r="H32" s="153">
        <v>545.02</v>
      </c>
      <c r="I32" s="228">
        <v>652.66999999999996</v>
      </c>
    </row>
    <row r="33" spans="1:10" ht="19.5" customHeight="1" thickBot="1">
      <c r="A33" s="171">
        <v>2002</v>
      </c>
      <c r="B33" s="153">
        <v>733.02</v>
      </c>
      <c r="C33" s="228">
        <v>642.46</v>
      </c>
      <c r="D33" s="153">
        <v>709.46</v>
      </c>
      <c r="E33" s="228">
        <v>622.85</v>
      </c>
      <c r="F33" s="153">
        <v>515.69000000000005</v>
      </c>
      <c r="G33" s="228">
        <v>644.12</v>
      </c>
      <c r="H33" s="153">
        <v>599.79999999999995</v>
      </c>
      <c r="I33" s="228">
        <v>712.31</v>
      </c>
    </row>
    <row r="34" spans="1:10" ht="19.5" customHeight="1" thickBot="1">
      <c r="A34" s="171">
        <v>2003</v>
      </c>
      <c r="B34" s="153">
        <v>802.85</v>
      </c>
      <c r="C34" s="228">
        <v>678.78</v>
      </c>
      <c r="D34" s="153">
        <v>759.74</v>
      </c>
      <c r="E34" s="228">
        <v>665.78</v>
      </c>
      <c r="F34" s="153">
        <v>559.95000000000005</v>
      </c>
      <c r="G34" s="228">
        <v>685.16</v>
      </c>
      <c r="H34" s="153">
        <v>639.15</v>
      </c>
      <c r="I34" s="228">
        <v>775.13</v>
      </c>
    </row>
    <row r="35" spans="1:10" ht="19.5" customHeight="1" thickBot="1">
      <c r="A35" s="517">
        <v>2004</v>
      </c>
      <c r="B35" s="483">
        <v>842.54</v>
      </c>
      <c r="C35" s="484">
        <v>700.46</v>
      </c>
      <c r="D35" s="483">
        <v>792.13</v>
      </c>
      <c r="E35" s="484">
        <v>711.45</v>
      </c>
      <c r="F35" s="483">
        <v>590.74</v>
      </c>
      <c r="G35" s="484">
        <v>714.47</v>
      </c>
      <c r="H35" s="483">
        <v>676.24</v>
      </c>
      <c r="I35" s="484">
        <v>811.85</v>
      </c>
    </row>
    <row r="36" spans="1:10">
      <c r="A36" s="155"/>
    </row>
    <row r="38" spans="1:10" ht="18" customHeight="1">
      <c r="A38" s="316" t="s">
        <v>1587</v>
      </c>
      <c r="B38" s="164" t="s">
        <v>1571</v>
      </c>
      <c r="C38" s="141" t="s">
        <v>1572</v>
      </c>
      <c r="D38" s="164"/>
      <c r="E38" s="141"/>
      <c r="F38" s="164"/>
      <c r="G38" s="141"/>
      <c r="H38" s="164" t="s">
        <v>1573</v>
      </c>
      <c r="I38" s="141" t="s">
        <v>1574</v>
      </c>
      <c r="J38" s="164" t="s">
        <v>652</v>
      </c>
    </row>
    <row r="39" spans="1:10" ht="18" customHeight="1">
      <c r="A39" s="516" t="s">
        <v>508</v>
      </c>
      <c r="B39" s="166" t="s">
        <v>1575</v>
      </c>
      <c r="C39" s="144" t="s">
        <v>1576</v>
      </c>
      <c r="D39" s="166"/>
      <c r="E39" s="197"/>
      <c r="F39" s="166"/>
      <c r="G39" s="197"/>
      <c r="H39" s="166" t="s">
        <v>1577</v>
      </c>
      <c r="I39" s="197" t="s">
        <v>1578</v>
      </c>
      <c r="J39" s="166"/>
    </row>
    <row r="40" spans="1:10" ht="18" customHeight="1">
      <c r="A40" s="165"/>
      <c r="B40" s="166" t="s">
        <v>1579</v>
      </c>
      <c r="C40" s="447" t="s">
        <v>1580</v>
      </c>
      <c r="D40" s="446"/>
      <c r="E40" s="503"/>
      <c r="F40" s="446"/>
      <c r="G40" s="503"/>
      <c r="H40" s="166" t="s">
        <v>1281</v>
      </c>
      <c r="I40" s="197" t="s">
        <v>1581</v>
      </c>
      <c r="J40" s="166"/>
    </row>
    <row r="41" spans="1:10" ht="18" customHeight="1">
      <c r="A41" s="167" t="s">
        <v>1250</v>
      </c>
      <c r="B41" s="168"/>
      <c r="C41" s="147"/>
      <c r="D41" s="446" t="s">
        <v>1588</v>
      </c>
      <c r="E41" s="447" t="s">
        <v>1589</v>
      </c>
      <c r="F41" s="446" t="s">
        <v>1590</v>
      </c>
      <c r="G41" s="447" t="s">
        <v>1591</v>
      </c>
      <c r="H41" s="168"/>
      <c r="I41" s="200" t="s">
        <v>1582</v>
      </c>
      <c r="J41" s="168"/>
    </row>
    <row r="42" spans="1:10" ht="18" customHeight="1" thickBot="1">
      <c r="A42" s="391" t="s">
        <v>1600</v>
      </c>
      <c r="B42" s="149" t="s">
        <v>1300</v>
      </c>
      <c r="C42" s="225" t="s">
        <v>1300</v>
      </c>
      <c r="D42" s="149" t="s">
        <v>1300</v>
      </c>
      <c r="E42" s="225" t="s">
        <v>1300</v>
      </c>
      <c r="F42" s="149" t="s">
        <v>1300</v>
      </c>
      <c r="G42" s="225" t="s">
        <v>1300</v>
      </c>
      <c r="H42" s="149" t="s">
        <v>1300</v>
      </c>
      <c r="I42" s="225" t="s">
        <v>1300</v>
      </c>
      <c r="J42" s="149" t="s">
        <v>1300</v>
      </c>
    </row>
    <row r="43" spans="1:10" ht="18" customHeight="1" thickBot="1">
      <c r="A43" s="152" t="s">
        <v>1601</v>
      </c>
      <c r="B43" s="149">
        <v>1482.21</v>
      </c>
      <c r="C43" s="225">
        <v>1451.36</v>
      </c>
      <c r="D43" s="149">
        <v>1471.82</v>
      </c>
      <c r="E43" s="225">
        <v>1517.49</v>
      </c>
      <c r="F43" s="149">
        <v>1353.42</v>
      </c>
      <c r="G43" s="225">
        <v>1076.26</v>
      </c>
      <c r="H43" s="149">
        <v>1026.33</v>
      </c>
      <c r="I43" s="225">
        <v>1192.1400000000001</v>
      </c>
      <c r="J43" s="149">
        <v>1459.12</v>
      </c>
    </row>
    <row r="44" spans="1:10" ht="18" customHeight="1" thickBot="1">
      <c r="A44" s="171">
        <v>1998</v>
      </c>
      <c r="B44" s="153">
        <v>1603.6</v>
      </c>
      <c r="C44" s="228">
        <v>1550.75</v>
      </c>
      <c r="D44" s="153">
        <v>1553.98</v>
      </c>
      <c r="E44" s="228">
        <v>1680.46</v>
      </c>
      <c r="F44" s="153">
        <v>1662.38</v>
      </c>
      <c r="G44" s="228">
        <v>1184.01</v>
      </c>
      <c r="H44" s="153">
        <v>1128.4000000000001</v>
      </c>
      <c r="I44" s="228">
        <v>1346.71</v>
      </c>
      <c r="J44" s="153">
        <v>1563.95</v>
      </c>
    </row>
    <row r="45" spans="1:10" ht="18" customHeight="1" thickBot="1">
      <c r="A45" s="171">
        <v>1999</v>
      </c>
      <c r="B45" s="153">
        <v>1573.73</v>
      </c>
      <c r="C45" s="228">
        <v>1627.32</v>
      </c>
      <c r="D45" s="153">
        <v>1682.9</v>
      </c>
      <c r="E45" s="228">
        <v>1712.08</v>
      </c>
      <c r="F45" s="153">
        <v>1362.2</v>
      </c>
      <c r="G45" s="228">
        <v>1162.25</v>
      </c>
      <c r="H45" s="153">
        <v>1190.3499999999999</v>
      </c>
      <c r="I45" s="228">
        <v>1353.56</v>
      </c>
      <c r="J45" s="153">
        <v>1581.32</v>
      </c>
    </row>
    <row r="46" spans="1:10" ht="18" customHeight="1" thickBot="1">
      <c r="A46" s="171">
        <v>2000</v>
      </c>
      <c r="B46" s="153">
        <v>1562.73</v>
      </c>
      <c r="C46" s="228">
        <v>1613.39</v>
      </c>
      <c r="D46" s="153">
        <v>1695.59</v>
      </c>
      <c r="E46" s="228">
        <v>1689.93</v>
      </c>
      <c r="F46" s="153">
        <v>1321.76</v>
      </c>
      <c r="G46" s="228">
        <v>1138.24</v>
      </c>
      <c r="H46" s="153">
        <v>1195.6199999999999</v>
      </c>
      <c r="I46" s="228">
        <v>1337.81</v>
      </c>
      <c r="J46" s="153">
        <v>1566.95</v>
      </c>
    </row>
    <row r="47" spans="1:10" ht="18" customHeight="1" thickBot="1">
      <c r="A47" s="171">
        <v>2001</v>
      </c>
      <c r="B47" s="153">
        <v>1634.37</v>
      </c>
      <c r="C47" s="228">
        <v>1563.11</v>
      </c>
      <c r="D47" s="153">
        <v>1677.07</v>
      </c>
      <c r="E47" s="228">
        <v>1622.87</v>
      </c>
      <c r="F47" s="153">
        <v>1302.7</v>
      </c>
      <c r="G47" s="228">
        <v>1110.5</v>
      </c>
      <c r="H47" s="153">
        <v>1089.92</v>
      </c>
      <c r="I47" s="228">
        <v>1329.03</v>
      </c>
      <c r="J47" s="153">
        <v>1580.79</v>
      </c>
    </row>
    <row r="48" spans="1:10" ht="18" customHeight="1" thickBot="1">
      <c r="A48" s="171">
        <v>2002</v>
      </c>
      <c r="B48" s="153">
        <v>1877.87</v>
      </c>
      <c r="C48" s="228">
        <v>1730.62</v>
      </c>
      <c r="D48" s="153">
        <v>1903.02</v>
      </c>
      <c r="E48" s="228">
        <v>1806.41</v>
      </c>
      <c r="F48" s="153">
        <v>1455.65</v>
      </c>
      <c r="G48" s="228">
        <v>1252.17</v>
      </c>
      <c r="H48" s="153">
        <v>1097.75</v>
      </c>
      <c r="I48" s="228">
        <v>1513.19</v>
      </c>
      <c r="J48" s="153">
        <v>1782.56</v>
      </c>
    </row>
    <row r="49" spans="1:10" ht="18" customHeight="1" thickBot="1">
      <c r="A49" s="171">
        <v>2003</v>
      </c>
      <c r="B49" s="153">
        <v>2190.81</v>
      </c>
      <c r="C49" s="228">
        <v>1928.08</v>
      </c>
      <c r="D49" s="153">
        <v>2203</v>
      </c>
      <c r="E49" s="228">
        <v>2063.61</v>
      </c>
      <c r="F49" s="153">
        <v>1668.03</v>
      </c>
      <c r="G49" s="228">
        <v>1449.75</v>
      </c>
      <c r="H49" s="153" t="s">
        <v>1300</v>
      </c>
      <c r="I49" s="228">
        <v>1700.21</v>
      </c>
      <c r="J49" s="153">
        <v>2027.01</v>
      </c>
    </row>
    <row r="50" spans="1:10" ht="18" customHeight="1" thickBot="1">
      <c r="A50" s="517">
        <v>2004</v>
      </c>
      <c r="B50" s="483">
        <v>2378.7399999999998</v>
      </c>
      <c r="C50" s="484">
        <v>2151.4699999999998</v>
      </c>
      <c r="D50" s="483">
        <v>2443.1</v>
      </c>
      <c r="E50" s="484">
        <v>2339.79</v>
      </c>
      <c r="F50" s="483">
        <v>1923.39</v>
      </c>
      <c r="G50" s="484">
        <v>1784.85</v>
      </c>
      <c r="H50" s="483" t="s">
        <v>1300</v>
      </c>
      <c r="I50" s="484">
        <v>1884.42</v>
      </c>
      <c r="J50" s="483">
        <v>2229.4699999999998</v>
      </c>
    </row>
    <row r="51" spans="1:10">
      <c r="H51" s="5"/>
      <c r="I51" s="5"/>
      <c r="J51" s="5"/>
    </row>
    <row r="52" spans="1:10">
      <c r="H52" s="5"/>
      <c r="I52" s="5"/>
      <c r="J52" s="5"/>
    </row>
    <row r="53" spans="1:10" ht="17.25" customHeight="1">
      <c r="A53" s="316" t="s">
        <v>1592</v>
      </c>
      <c r="B53" s="164" t="s">
        <v>1571</v>
      </c>
      <c r="C53" s="141" t="s">
        <v>1572</v>
      </c>
      <c r="D53" s="164"/>
      <c r="E53" s="141"/>
      <c r="F53" s="164"/>
      <c r="G53" s="141"/>
      <c r="H53" s="164" t="s">
        <v>1573</v>
      </c>
      <c r="I53" s="141" t="s">
        <v>1574</v>
      </c>
      <c r="J53" s="164" t="s">
        <v>652</v>
      </c>
    </row>
    <row r="54" spans="1:10" ht="17.25" customHeight="1">
      <c r="A54" s="516" t="s">
        <v>1593</v>
      </c>
      <c r="B54" s="166" t="s">
        <v>1575</v>
      </c>
      <c r="C54" s="144" t="s">
        <v>1576</v>
      </c>
      <c r="D54" s="166"/>
      <c r="E54" s="197"/>
      <c r="F54" s="166"/>
      <c r="G54" s="197"/>
      <c r="H54" s="166" t="s">
        <v>1577</v>
      </c>
      <c r="I54" s="197" t="s">
        <v>1578</v>
      </c>
      <c r="J54" s="166"/>
    </row>
    <row r="55" spans="1:10" ht="17.25" customHeight="1">
      <c r="A55" s="165"/>
      <c r="B55" s="166" t="s">
        <v>1579</v>
      </c>
      <c r="C55" s="447" t="s">
        <v>1580</v>
      </c>
      <c r="D55" s="446"/>
      <c r="E55" s="503"/>
      <c r="F55" s="446"/>
      <c r="G55" s="503"/>
      <c r="H55" s="166" t="s">
        <v>1281</v>
      </c>
      <c r="I55" s="197" t="s">
        <v>1581</v>
      </c>
      <c r="J55" s="166"/>
    </row>
    <row r="56" spans="1:10" ht="17.25" customHeight="1">
      <c r="A56" s="167" t="s">
        <v>1250</v>
      </c>
      <c r="B56" s="168"/>
      <c r="C56" s="147"/>
      <c r="D56" s="446" t="s">
        <v>1588</v>
      </c>
      <c r="E56" s="447" t="s">
        <v>1589</v>
      </c>
      <c r="F56" s="446" t="s">
        <v>1590</v>
      </c>
      <c r="G56" s="447" t="s">
        <v>1591</v>
      </c>
      <c r="H56" s="168"/>
      <c r="I56" s="200" t="s">
        <v>1582</v>
      </c>
      <c r="J56" s="168"/>
    </row>
    <row r="57" spans="1:10" ht="18" customHeight="1" thickBot="1">
      <c r="A57" s="391" t="s">
        <v>1600</v>
      </c>
      <c r="B57" s="149" t="s">
        <v>1300</v>
      </c>
      <c r="C57" s="225" t="s">
        <v>1300</v>
      </c>
      <c r="D57" s="149" t="s">
        <v>1300</v>
      </c>
      <c r="E57" s="225" t="s">
        <v>1300</v>
      </c>
      <c r="F57" s="149" t="s">
        <v>1300</v>
      </c>
      <c r="G57" s="225" t="s">
        <v>1300</v>
      </c>
      <c r="H57" s="149" t="s">
        <v>1300</v>
      </c>
      <c r="I57" s="225" t="s">
        <v>1300</v>
      </c>
      <c r="J57" s="149" t="s">
        <v>1300</v>
      </c>
    </row>
    <row r="58" spans="1:10" ht="18" customHeight="1" thickBot="1">
      <c r="A58" s="152" t="s">
        <v>1601</v>
      </c>
      <c r="B58" s="149">
        <v>2126.5300000000002</v>
      </c>
      <c r="C58" s="225">
        <v>1958.46</v>
      </c>
      <c r="D58" s="149">
        <v>2014.59</v>
      </c>
      <c r="E58" s="225">
        <v>1951.92</v>
      </c>
      <c r="F58" s="149">
        <v>1819.88</v>
      </c>
      <c r="G58" s="225">
        <v>1434.68</v>
      </c>
      <c r="H58" s="149">
        <v>1504.55</v>
      </c>
      <c r="I58" s="225">
        <v>1682.8</v>
      </c>
      <c r="J58" s="149">
        <v>2024.73</v>
      </c>
    </row>
    <row r="59" spans="1:10" ht="18" customHeight="1" thickBot="1">
      <c r="A59" s="171">
        <v>1998</v>
      </c>
      <c r="B59" s="153">
        <v>2235.63</v>
      </c>
      <c r="C59" s="228">
        <v>2101.02</v>
      </c>
      <c r="D59" s="153">
        <v>2192.6</v>
      </c>
      <c r="E59" s="228">
        <v>2139.4299999999998</v>
      </c>
      <c r="F59" s="153">
        <v>1853.36</v>
      </c>
      <c r="G59" s="228">
        <v>1527.93</v>
      </c>
      <c r="H59" s="153">
        <v>1540.56</v>
      </c>
      <c r="I59" s="228">
        <v>1785.82</v>
      </c>
      <c r="J59" s="153">
        <v>2142.38</v>
      </c>
    </row>
    <row r="60" spans="1:10" ht="18" customHeight="1" thickBot="1">
      <c r="A60" s="171">
        <v>1999</v>
      </c>
      <c r="B60" s="153">
        <v>2291.9499999999998</v>
      </c>
      <c r="C60" s="228">
        <v>2146.02</v>
      </c>
      <c r="D60" s="153">
        <v>2268.06</v>
      </c>
      <c r="E60" s="228">
        <v>2181.2199999999998</v>
      </c>
      <c r="F60" s="153">
        <v>1811.32</v>
      </c>
      <c r="G60" s="228">
        <v>1554.39</v>
      </c>
      <c r="H60" s="153">
        <v>1573.36</v>
      </c>
      <c r="I60" s="228">
        <v>1836.75</v>
      </c>
      <c r="J60" s="153">
        <v>2190.21</v>
      </c>
    </row>
    <row r="61" spans="1:10" ht="18" customHeight="1" thickBot="1">
      <c r="A61" s="171">
        <v>2000</v>
      </c>
      <c r="B61" s="153">
        <v>2391.3000000000002</v>
      </c>
      <c r="C61" s="228">
        <v>2189.4499999999998</v>
      </c>
      <c r="D61" s="153">
        <v>2345.38</v>
      </c>
      <c r="E61" s="228">
        <v>2244.71</v>
      </c>
      <c r="F61" s="153">
        <v>1859.52</v>
      </c>
      <c r="G61" s="228">
        <v>1593.12</v>
      </c>
      <c r="H61" s="153">
        <v>1603.82</v>
      </c>
      <c r="I61" s="228">
        <v>1892.01</v>
      </c>
      <c r="J61" s="153">
        <v>2256.67</v>
      </c>
    </row>
    <row r="62" spans="1:10" ht="18" customHeight="1" thickBot="1">
      <c r="A62" s="171">
        <v>2001</v>
      </c>
      <c r="B62" s="153">
        <v>2526.09</v>
      </c>
      <c r="C62" s="228">
        <v>2257.6</v>
      </c>
      <c r="D62" s="153">
        <v>2468.04</v>
      </c>
      <c r="E62" s="228">
        <v>2346.73</v>
      </c>
      <c r="F62" s="153">
        <v>1947.33</v>
      </c>
      <c r="G62" s="228">
        <v>1638.03</v>
      </c>
      <c r="H62" s="153">
        <v>1672.86</v>
      </c>
      <c r="I62" s="228">
        <v>1970.97</v>
      </c>
      <c r="J62" s="153">
        <v>2352.56</v>
      </c>
    </row>
    <row r="63" spans="1:10" ht="18" customHeight="1" thickBot="1">
      <c r="A63" s="171">
        <v>2002</v>
      </c>
      <c r="B63" s="153">
        <v>2766.22</v>
      </c>
      <c r="C63" s="228">
        <v>2437.5300000000002</v>
      </c>
      <c r="D63" s="153">
        <v>2726.38</v>
      </c>
      <c r="E63" s="228">
        <v>2571.79</v>
      </c>
      <c r="F63" s="153">
        <v>2132.37</v>
      </c>
      <c r="G63" s="228">
        <v>1790.28</v>
      </c>
      <c r="H63" s="153">
        <v>1880.68</v>
      </c>
      <c r="I63" s="228">
        <v>2141.06</v>
      </c>
      <c r="J63" s="153">
        <v>2553.98</v>
      </c>
    </row>
    <row r="64" spans="1:10" ht="18" customHeight="1" thickBot="1">
      <c r="A64" s="171">
        <v>2003</v>
      </c>
      <c r="B64" s="153">
        <v>3047.08</v>
      </c>
      <c r="C64" s="228">
        <v>2613.56</v>
      </c>
      <c r="D64" s="153">
        <v>2986.57</v>
      </c>
      <c r="E64" s="228">
        <v>2817.87</v>
      </c>
      <c r="F64" s="153">
        <v>2339.52</v>
      </c>
      <c r="G64" s="228">
        <v>1977.24</v>
      </c>
      <c r="H64" s="153">
        <v>2034.73</v>
      </c>
      <c r="I64" s="228">
        <v>2312.13</v>
      </c>
      <c r="J64" s="153">
        <v>2767.57</v>
      </c>
    </row>
    <row r="65" spans="1:10" ht="18" customHeight="1" thickBot="1">
      <c r="A65" s="517">
        <v>2004</v>
      </c>
      <c r="B65" s="483">
        <v>3173.07</v>
      </c>
      <c r="C65" s="484">
        <v>2831.45</v>
      </c>
      <c r="D65" s="483">
        <v>3206.58</v>
      </c>
      <c r="E65" s="484">
        <v>3059.43</v>
      </c>
      <c r="F65" s="483">
        <v>2602.42</v>
      </c>
      <c r="G65" s="484">
        <v>2304.87</v>
      </c>
      <c r="H65" s="483">
        <v>2136.08</v>
      </c>
      <c r="I65" s="484">
        <v>2495.14</v>
      </c>
      <c r="J65" s="483">
        <v>2944.97</v>
      </c>
    </row>
    <row r="66" spans="1:10" ht="15" customHeight="1">
      <c r="A66" s="493" t="s">
        <v>1594</v>
      </c>
    </row>
    <row r="68" spans="1:10">
      <c r="A68" s="89" t="s">
        <v>1595</v>
      </c>
    </row>
    <row r="69" spans="1:10">
      <c r="A69" s="83" t="s">
        <v>1596</v>
      </c>
    </row>
    <row r="71" spans="1:10">
      <c r="A71" s="4" t="s">
        <v>1597</v>
      </c>
    </row>
    <row r="72" spans="1:10" ht="12" customHeight="1">
      <c r="A72" s="80" t="s">
        <v>1598</v>
      </c>
      <c r="B72" s="219"/>
      <c r="F72" s="219"/>
      <c r="G72" s="518"/>
    </row>
    <row r="73" spans="1:10">
      <c r="A73" s="2" t="s">
        <v>1599</v>
      </c>
    </row>
    <row r="76" spans="1:10">
      <c r="A76" s="2" t="s">
        <v>104</v>
      </c>
    </row>
  </sheetData>
  <mergeCells count="1">
    <mergeCell ref="A2:E2"/>
  </mergeCells>
  <phoneticPr fontId="0" type="noConversion"/>
  <pageMargins left="0.56000000000000005" right="0.45" top="0.76" bottom="0.49" header="0.42" footer="0.4921259845"/>
  <pageSetup paperSize="9" scale="58" orientation="portrait" horizontalDpi="1200" verticalDpi="1200"/>
  <headerFooter alignWithMargins="0">
    <oddHeader>&amp;L&amp;"Arial,Bold"Versicherte und Finanzen in der OKP</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83E30-B9B5-094D-BEE0-73E8AFEFEC0E}">
  <sheetPr>
    <pageSetUpPr fitToPage="1"/>
  </sheetPr>
  <dimension ref="A1:I17"/>
  <sheetViews>
    <sheetView zoomScale="75" workbookViewId="0">
      <selection activeCell="A3" sqref="A3"/>
    </sheetView>
  </sheetViews>
  <sheetFormatPr baseColWidth="10" defaultColWidth="11.3984375" defaultRowHeight="13"/>
  <cols>
    <col min="1" max="1" width="19.3984375" style="2" customWidth="1"/>
    <col min="2" max="3" width="17.19921875" style="2" customWidth="1"/>
    <col min="4" max="4" width="16.796875" style="2" customWidth="1"/>
    <col min="5" max="5" width="18.19921875" style="2" customWidth="1"/>
    <col min="6" max="7" width="13.3984375" style="2" customWidth="1"/>
    <col min="8" max="8" width="11.3984375" style="2"/>
    <col min="9" max="9" width="15.796875" style="2" hidden="1" customWidth="1"/>
    <col min="10" max="16384" width="11.3984375" style="2"/>
  </cols>
  <sheetData>
    <row r="1" spans="1:9" ht="14" customHeight="1">
      <c r="A1" s="444"/>
      <c r="B1" s="4"/>
      <c r="C1" s="4"/>
      <c r="D1" s="4"/>
      <c r="E1" s="4"/>
      <c r="F1" s="4"/>
      <c r="G1" s="4"/>
      <c r="I1" s="4"/>
    </row>
    <row r="2" spans="1:9" ht="28" customHeight="1">
      <c r="A2" s="21" t="s">
        <v>1556</v>
      </c>
      <c r="B2" s="4"/>
      <c r="C2" s="4"/>
      <c r="D2" s="4"/>
      <c r="E2" s="4"/>
      <c r="F2" s="4"/>
      <c r="G2" s="370">
        <v>2004</v>
      </c>
      <c r="I2" s="4"/>
    </row>
    <row r="3" spans="1:9" ht="24" customHeight="1">
      <c r="A3" s="139" t="s">
        <v>1508</v>
      </c>
      <c r="B3" s="164" t="s">
        <v>2063</v>
      </c>
      <c r="C3" s="141" t="s">
        <v>2064</v>
      </c>
      <c r="D3" s="164" t="s">
        <v>504</v>
      </c>
      <c r="E3" s="141" t="s">
        <v>652</v>
      </c>
      <c r="F3" s="164" t="s">
        <v>1509</v>
      </c>
      <c r="G3" s="141" t="s">
        <v>451</v>
      </c>
      <c r="I3" s="141" t="s">
        <v>652</v>
      </c>
    </row>
    <row r="4" spans="1:9" ht="15" customHeight="1">
      <c r="A4" s="165"/>
      <c r="B4" s="166"/>
      <c r="C4" s="144"/>
      <c r="D4" s="166"/>
      <c r="E4" s="197"/>
      <c r="F4" s="166" t="s">
        <v>529</v>
      </c>
      <c r="G4" s="144" t="s">
        <v>486</v>
      </c>
      <c r="I4" s="197">
        <v>1999</v>
      </c>
    </row>
    <row r="5" spans="1:9" ht="15" customHeight="1">
      <c r="A5" s="142"/>
      <c r="B5" s="166"/>
      <c r="C5" s="144"/>
      <c r="D5" s="166"/>
      <c r="E5" s="144"/>
      <c r="F5" s="166" t="s">
        <v>1510</v>
      </c>
      <c r="G5" s="144" t="s">
        <v>454</v>
      </c>
      <c r="I5" s="144"/>
    </row>
    <row r="6" spans="1:9" ht="24" customHeight="1">
      <c r="A6" s="307"/>
      <c r="B6" s="446"/>
      <c r="C6" s="447"/>
      <c r="D6" s="446"/>
      <c r="E6" s="447"/>
      <c r="F6" s="168"/>
      <c r="G6" s="147"/>
      <c r="I6" s="447"/>
    </row>
    <row r="7" spans="1:9" ht="36" customHeight="1" thickBot="1">
      <c r="A7" s="448" t="s">
        <v>1511</v>
      </c>
      <c r="B7" s="175">
        <v>3258520648</v>
      </c>
      <c r="C7" s="201">
        <v>4215101855</v>
      </c>
      <c r="D7" s="175">
        <v>1014548468</v>
      </c>
      <c r="E7" s="201">
        <v>8488170971</v>
      </c>
      <c r="F7" s="449">
        <v>0.47078812706018036</v>
      </c>
      <c r="G7" s="450">
        <v>4.5380658287365913E-2</v>
      </c>
      <c r="I7" s="496">
        <v>6794064715</v>
      </c>
    </row>
    <row r="8" spans="1:9" ht="28.5" customHeight="1" thickBot="1">
      <c r="A8" s="448" t="s">
        <v>1512</v>
      </c>
      <c r="B8" s="175">
        <v>3900527137.0999999</v>
      </c>
      <c r="C8" s="201">
        <v>3938042551</v>
      </c>
      <c r="D8" s="175">
        <v>123290967.5</v>
      </c>
      <c r="E8" s="201">
        <v>7961860655.6000004</v>
      </c>
      <c r="F8" s="449">
        <v>0.4415968385616138</v>
      </c>
      <c r="G8" s="450">
        <v>5.8808148656078453E-2</v>
      </c>
      <c r="I8" s="496">
        <v>5396193285</v>
      </c>
    </row>
    <row r="9" spans="1:9" ht="30.75" customHeight="1" thickBot="1">
      <c r="A9" s="448" t="s">
        <v>1513</v>
      </c>
      <c r="B9" s="175">
        <v>10557324</v>
      </c>
      <c r="C9" s="201">
        <v>5981764</v>
      </c>
      <c r="D9" s="175">
        <v>189754</v>
      </c>
      <c r="E9" s="201">
        <v>16728842</v>
      </c>
      <c r="F9" s="449">
        <v>9.2784891114626455E-4</v>
      </c>
      <c r="G9" s="450">
        <v>2.0098987550272167E-2</v>
      </c>
      <c r="I9" s="496">
        <v>15330070</v>
      </c>
    </row>
    <row r="10" spans="1:9" ht="34.5" customHeight="1" thickBot="1">
      <c r="A10" s="448" t="s">
        <v>1514</v>
      </c>
      <c r="B10" s="175">
        <v>722311241</v>
      </c>
      <c r="C10" s="201">
        <v>738114440</v>
      </c>
      <c r="D10" s="175">
        <v>102518686</v>
      </c>
      <c r="E10" s="201">
        <v>1562944367</v>
      </c>
      <c r="F10" s="449">
        <v>8.6687185467059696E-2</v>
      </c>
      <c r="G10" s="450">
        <v>0.34230475800326537</v>
      </c>
      <c r="I10" s="496">
        <v>828254703</v>
      </c>
    </row>
    <row r="11" spans="1:9" s="412" customFormat="1" ht="38.25" customHeight="1" thickBot="1">
      <c r="A11" s="494" t="s">
        <v>652</v>
      </c>
      <c r="B11" s="457">
        <v>7891916350</v>
      </c>
      <c r="C11" s="458">
        <v>8897240607</v>
      </c>
      <c r="D11" s="457">
        <v>1240547872</v>
      </c>
      <c r="E11" s="458">
        <v>18029704835.599998</v>
      </c>
      <c r="F11" s="497">
        <v>1</v>
      </c>
      <c r="G11" s="495">
        <v>7.1913536812998877E-2</v>
      </c>
      <c r="I11" s="498">
        <v>13033842773</v>
      </c>
    </row>
    <row r="12" spans="1:9" ht="19.5" customHeight="1">
      <c r="A12" s="155" t="s">
        <v>146</v>
      </c>
      <c r="B12" s="155"/>
      <c r="C12" s="155"/>
      <c r="D12" s="155"/>
      <c r="E12" s="155"/>
      <c r="F12" s="155"/>
      <c r="G12" s="155"/>
      <c r="I12" s="155"/>
    </row>
    <row r="14" spans="1:9">
      <c r="A14" s="2" t="s">
        <v>1557</v>
      </c>
    </row>
    <row r="17" spans="1:1">
      <c r="A17" s="2" t="s">
        <v>104</v>
      </c>
    </row>
  </sheetData>
  <phoneticPr fontId="0" type="noConversion"/>
  <pageMargins left="0.56000000000000005" right="0.57999999999999996" top="0.96" bottom="0.49" header="0.61" footer="0.4921259845"/>
  <pageSetup paperSize="9" scale="80" orientation="portrait" horizontalDpi="4294967292" verticalDpi="4294967292"/>
  <headerFooter alignWithMargins="0">
    <oddHeader>&amp;L&amp;"Arial,Bold"Versicherte und Finanzen in der OKP</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E2D0C-FD2C-3744-94FD-AEF7F1D07625}">
  <sheetPr>
    <pageSetUpPr fitToPage="1"/>
  </sheetPr>
  <dimension ref="A1:G17"/>
  <sheetViews>
    <sheetView zoomScale="75" workbookViewId="0">
      <selection activeCell="A3" sqref="A3"/>
    </sheetView>
  </sheetViews>
  <sheetFormatPr baseColWidth="10" defaultColWidth="11.3984375" defaultRowHeight="13"/>
  <cols>
    <col min="1" max="1" width="19.796875" style="2" customWidth="1"/>
    <col min="2" max="7" width="14.796875" style="2" customWidth="1"/>
    <col min="8" max="16384" width="11.3984375" style="2"/>
  </cols>
  <sheetData>
    <row r="1" spans="1:7" ht="14" customHeight="1">
      <c r="A1" s="444"/>
      <c r="B1" s="4"/>
      <c r="C1" s="4"/>
      <c r="D1" s="4"/>
      <c r="E1" s="4"/>
      <c r="F1" s="4"/>
      <c r="G1" s="4"/>
    </row>
    <row r="2" spans="1:7" ht="26.25" customHeight="1">
      <c r="A2" s="1715" t="s">
        <v>1551</v>
      </c>
      <c r="B2" s="1716"/>
      <c r="C2" s="1716"/>
      <c r="D2" s="1716"/>
      <c r="E2" s="1716"/>
      <c r="F2" s="1716"/>
      <c r="G2" s="370">
        <v>2004</v>
      </c>
    </row>
    <row r="3" spans="1:7" ht="24" customHeight="1">
      <c r="A3" s="139" t="s">
        <v>1508</v>
      </c>
      <c r="B3" s="164" t="s">
        <v>2063</v>
      </c>
      <c r="C3" s="141" t="s">
        <v>2064</v>
      </c>
      <c r="D3" s="164" t="s">
        <v>504</v>
      </c>
      <c r="E3" s="141" t="s">
        <v>652</v>
      </c>
      <c r="F3" s="164" t="s">
        <v>1552</v>
      </c>
      <c r="G3" s="141" t="s">
        <v>451</v>
      </c>
    </row>
    <row r="4" spans="1:7" ht="15" customHeight="1">
      <c r="A4" s="165"/>
      <c r="B4" s="166"/>
      <c r="C4" s="144"/>
      <c r="D4" s="166"/>
      <c r="E4" s="197"/>
      <c r="F4" s="166" t="s">
        <v>1553</v>
      </c>
      <c r="G4" s="144" t="s">
        <v>486</v>
      </c>
    </row>
    <row r="5" spans="1:7" ht="15" customHeight="1">
      <c r="A5" s="142"/>
      <c r="B5" s="166"/>
      <c r="C5" s="144"/>
      <c r="D5" s="166"/>
      <c r="E5" s="144"/>
      <c r="F5" s="166" t="s">
        <v>1554</v>
      </c>
      <c r="G5" s="144" t="s">
        <v>454</v>
      </c>
    </row>
    <row r="6" spans="1:7" ht="24" customHeight="1">
      <c r="A6" s="307"/>
      <c r="B6" s="446"/>
      <c r="C6" s="447"/>
      <c r="D6" s="446"/>
      <c r="E6" s="447"/>
      <c r="F6" s="168"/>
      <c r="G6" s="147"/>
    </row>
    <row r="7" spans="1:7" ht="35.25" customHeight="1" thickBot="1">
      <c r="A7" s="448" t="s">
        <v>1511</v>
      </c>
      <c r="B7" s="175">
        <v>3063.91</v>
      </c>
      <c r="C7" s="201">
        <v>3141.7</v>
      </c>
      <c r="D7" s="175">
        <v>822.09</v>
      </c>
      <c r="E7" s="201">
        <v>2332.37</v>
      </c>
      <c r="F7" s="175">
        <v>-65.2</v>
      </c>
      <c r="G7" s="450">
        <v>5.5428349050627081E-2</v>
      </c>
    </row>
    <row r="8" spans="1:7" ht="30.75" customHeight="1" thickBot="1">
      <c r="A8" s="448" t="s">
        <v>1512</v>
      </c>
      <c r="B8" s="175">
        <v>2668.36</v>
      </c>
      <c r="C8" s="201">
        <v>2845.63</v>
      </c>
      <c r="D8" s="175">
        <v>688.17</v>
      </c>
      <c r="E8" s="201">
        <v>2632.17</v>
      </c>
      <c r="F8" s="175">
        <v>145.07</v>
      </c>
      <c r="G8" s="450">
        <v>8.7606140115282102E-2</v>
      </c>
    </row>
    <row r="9" spans="1:7" ht="35.25" customHeight="1" thickBot="1">
      <c r="A9" s="448" t="s">
        <v>1513</v>
      </c>
      <c r="B9" s="175">
        <v>2066.0100000000002</v>
      </c>
      <c r="C9" s="201">
        <v>2199.9899999999998</v>
      </c>
      <c r="D9" s="175">
        <v>705.41</v>
      </c>
      <c r="E9" s="201">
        <v>2065.8000000000002</v>
      </c>
      <c r="F9" s="175">
        <v>-303.31</v>
      </c>
      <c r="G9" s="450">
        <v>4.7688117782500088E-2</v>
      </c>
    </row>
    <row r="10" spans="1:7" ht="34.5" customHeight="1" thickBot="1">
      <c r="A10" s="448" t="s">
        <v>1514</v>
      </c>
      <c r="B10" s="175">
        <v>2374.13</v>
      </c>
      <c r="C10" s="201">
        <v>2521.3000000000002</v>
      </c>
      <c r="D10" s="175">
        <v>679.95</v>
      </c>
      <c r="E10" s="201">
        <v>2090.15</v>
      </c>
      <c r="F10" s="175">
        <v>-345.73</v>
      </c>
      <c r="G10" s="450">
        <v>8.3338516399220575E-2</v>
      </c>
    </row>
    <row r="11" spans="1:7" ht="36" customHeight="1" thickBot="1">
      <c r="A11" s="494" t="s">
        <v>652</v>
      </c>
      <c r="B11" s="457">
        <v>2784.1</v>
      </c>
      <c r="C11" s="458">
        <v>2945.11</v>
      </c>
      <c r="D11" s="457">
        <v>793.03</v>
      </c>
      <c r="E11" s="458">
        <v>2429.89</v>
      </c>
      <c r="F11" s="457">
        <v>0</v>
      </c>
      <c r="G11" s="495">
        <v>6.804595882342597E-2</v>
      </c>
    </row>
    <row r="12" spans="1:7" ht="19.5" customHeight="1">
      <c r="A12" s="155" t="s">
        <v>146</v>
      </c>
      <c r="B12" s="155"/>
      <c r="C12" s="155"/>
      <c r="D12" s="155"/>
      <c r="E12" s="155"/>
      <c r="F12" s="155"/>
      <c r="G12" s="155"/>
    </row>
    <row r="14" spans="1:7">
      <c r="A14" s="2" t="s">
        <v>1555</v>
      </c>
    </row>
    <row r="17" spans="1:1">
      <c r="A17" s="2" t="s">
        <v>104</v>
      </c>
    </row>
  </sheetData>
  <mergeCells count="1">
    <mergeCell ref="A2:F2"/>
  </mergeCells>
  <phoneticPr fontId="0" type="noConversion"/>
  <pageMargins left="0.6" right="0.57999999999999996" top="0.94" bottom="0.49" header="0.54" footer="0.4921259845"/>
  <pageSetup paperSize="9" scale="85" orientation="portrait" horizontalDpi="4294967292" verticalDpi="4294967292"/>
  <headerFooter alignWithMargins="0">
    <oddHeader>&amp;L&amp;"Arial,Bold"Versicherte und Finanzen in der OKP</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145C2-43DA-AD4F-906C-A0A2165791BF}">
  <sheetPr>
    <pageSetUpPr fitToPage="1"/>
  </sheetPr>
  <dimension ref="A1:K23"/>
  <sheetViews>
    <sheetView zoomScale="75" workbookViewId="0">
      <selection activeCell="A3" sqref="A3"/>
    </sheetView>
  </sheetViews>
  <sheetFormatPr baseColWidth="10" defaultColWidth="11.3984375" defaultRowHeight="13"/>
  <cols>
    <col min="1" max="1" width="15.796875" style="2" customWidth="1"/>
    <col min="2" max="2" width="17.19921875" style="2" customWidth="1"/>
    <col min="3" max="4" width="16.19921875" style="2" customWidth="1"/>
    <col min="5" max="5" width="16.796875" style="2" customWidth="1"/>
    <col min="6" max="6" width="17.796875" style="2" customWidth="1"/>
    <col min="7" max="7" width="15.19921875" style="2" customWidth="1"/>
    <col min="8" max="16384" width="11.3984375" style="2"/>
  </cols>
  <sheetData>
    <row r="1" spans="1:11" s="1" customFormat="1" ht="14" customHeight="1"/>
    <row r="2" spans="1:11" s="1" customFormat="1" ht="28" customHeight="1">
      <c r="A2" s="178" t="s">
        <v>950</v>
      </c>
      <c r="G2" s="370">
        <v>2004</v>
      </c>
    </row>
    <row r="3" spans="1:11" ht="24" customHeight="1">
      <c r="A3" s="139" t="s">
        <v>1267</v>
      </c>
      <c r="B3" s="164" t="s">
        <v>1571</v>
      </c>
      <c r="C3" s="141" t="s">
        <v>1572</v>
      </c>
      <c r="D3" s="164" t="s">
        <v>1573</v>
      </c>
      <c r="E3" s="141" t="s">
        <v>1574</v>
      </c>
      <c r="F3" s="164" t="s">
        <v>652</v>
      </c>
      <c r="G3" s="141" t="s">
        <v>451</v>
      </c>
    </row>
    <row r="4" spans="1:11" ht="15" customHeight="1">
      <c r="A4" s="165"/>
      <c r="B4" s="166" t="s">
        <v>1575</v>
      </c>
      <c r="C4" s="144" t="s">
        <v>1576</v>
      </c>
      <c r="D4" s="166" t="s">
        <v>1577</v>
      </c>
      <c r="E4" s="197" t="s">
        <v>1578</v>
      </c>
      <c r="F4" s="166"/>
      <c r="G4" s="144" t="s">
        <v>486</v>
      </c>
    </row>
    <row r="5" spans="1:11" ht="15" customHeight="1">
      <c r="A5" s="165"/>
      <c r="B5" s="166" t="s">
        <v>1579</v>
      </c>
      <c r="C5" s="144" t="s">
        <v>1580</v>
      </c>
      <c r="D5" s="166" t="s">
        <v>1281</v>
      </c>
      <c r="E5" s="197" t="s">
        <v>1581</v>
      </c>
      <c r="F5" s="166"/>
      <c r="G5" s="144" t="s">
        <v>454</v>
      </c>
    </row>
    <row r="6" spans="1:11" ht="24" customHeight="1">
      <c r="A6" s="167"/>
      <c r="B6" s="168"/>
      <c r="C6" s="147"/>
      <c r="D6" s="168"/>
      <c r="E6" s="200" t="s">
        <v>1582</v>
      </c>
      <c r="F6" s="168"/>
      <c r="G6" s="147"/>
    </row>
    <row r="7" spans="1:11" ht="23.25" customHeight="1" thickBot="1">
      <c r="A7" s="169">
        <v>1996</v>
      </c>
      <c r="B7" s="149">
        <v>9158012632.5</v>
      </c>
      <c r="C7" s="225">
        <v>3158899160.8000002</v>
      </c>
      <c r="D7" s="149">
        <v>29792276.350000001</v>
      </c>
      <c r="E7" s="225">
        <v>112313176.95</v>
      </c>
      <c r="F7" s="149">
        <v>12459017246.6</v>
      </c>
      <c r="G7" s="150">
        <v>0.10184652973212761</v>
      </c>
    </row>
    <row r="8" spans="1:11" ht="20" customHeight="1" thickBot="1">
      <c r="A8" s="171">
        <v>1997</v>
      </c>
      <c r="B8" s="153">
        <v>8010294124</v>
      </c>
      <c r="C8" s="228">
        <v>4715093593</v>
      </c>
      <c r="D8" s="153">
        <v>15300134</v>
      </c>
      <c r="E8" s="228">
        <v>397789684</v>
      </c>
      <c r="F8" s="153">
        <v>13138477535</v>
      </c>
      <c r="G8" s="154">
        <v>5.453562467661089E-2</v>
      </c>
      <c r="I8" s="10"/>
      <c r="J8" s="10"/>
      <c r="K8" s="10"/>
    </row>
    <row r="9" spans="1:11" ht="20" customHeight="1" thickBot="1">
      <c r="A9" s="171">
        <v>1998</v>
      </c>
      <c r="B9" s="153">
        <v>8034922538</v>
      </c>
      <c r="C9" s="228">
        <v>5294474912</v>
      </c>
      <c r="D9" s="153">
        <v>7713370</v>
      </c>
      <c r="E9" s="228">
        <v>686981832</v>
      </c>
      <c r="F9" s="153">
        <v>14024092652</v>
      </c>
      <c r="G9" s="154">
        <v>6.7406220746717593E-2</v>
      </c>
    </row>
    <row r="10" spans="1:11" ht="20" customHeight="1" thickBot="1">
      <c r="A10" s="171">
        <v>1999</v>
      </c>
      <c r="B10" s="153">
        <v>8789075476</v>
      </c>
      <c r="C10" s="228">
        <v>4984750851</v>
      </c>
      <c r="D10" s="153">
        <v>7272495</v>
      </c>
      <c r="E10" s="228">
        <v>839411696</v>
      </c>
      <c r="F10" s="153">
        <v>14620510518</v>
      </c>
      <c r="G10" s="154">
        <v>4.252808939585434E-2</v>
      </c>
    </row>
    <row r="11" spans="1:11" ht="20" customHeight="1" thickBot="1">
      <c r="A11" s="171">
        <v>2000</v>
      </c>
      <c r="B11" s="153">
        <v>9137162156</v>
      </c>
      <c r="C11" s="228">
        <v>5390943298</v>
      </c>
      <c r="D11" s="153">
        <v>7536068</v>
      </c>
      <c r="E11" s="228">
        <v>942685920</v>
      </c>
      <c r="F11" s="153">
        <v>15478327442</v>
      </c>
      <c r="G11" s="154">
        <v>5.8672159425890165E-2</v>
      </c>
    </row>
    <row r="12" spans="1:11" ht="20" customHeight="1" thickBot="1">
      <c r="A12" s="171">
        <v>2001</v>
      </c>
      <c r="B12" s="153">
        <v>9659774603</v>
      </c>
      <c r="C12" s="228">
        <v>5684101991</v>
      </c>
      <c r="D12" s="153">
        <v>8361556</v>
      </c>
      <c r="E12" s="228">
        <v>1034222666</v>
      </c>
      <c r="F12" s="153">
        <v>16386460817</v>
      </c>
      <c r="G12" s="154">
        <v>5.8671285925623075E-2</v>
      </c>
    </row>
    <row r="13" spans="1:11" ht="20" customHeight="1" thickBot="1">
      <c r="A13" s="171">
        <v>2002</v>
      </c>
      <c r="B13" s="153">
        <v>9980493100</v>
      </c>
      <c r="C13" s="228">
        <v>6029919077</v>
      </c>
      <c r="D13" s="153">
        <v>7960241</v>
      </c>
      <c r="E13" s="228">
        <v>1077214987</v>
      </c>
      <c r="F13" s="153">
        <v>17095587410</v>
      </c>
      <c r="G13" s="154">
        <v>4.3275152634809487E-2</v>
      </c>
    </row>
    <row r="14" spans="1:11" ht="20" customHeight="1" thickBot="1">
      <c r="A14" s="171">
        <v>2003</v>
      </c>
      <c r="B14" s="153">
        <v>10400406953</v>
      </c>
      <c r="C14" s="228">
        <v>6474095076</v>
      </c>
      <c r="D14" s="153">
        <v>8289006</v>
      </c>
      <c r="E14" s="228">
        <v>1041328328</v>
      </c>
      <c r="F14" s="153">
        <v>17924119349</v>
      </c>
      <c r="G14" s="154">
        <v>4.846466629835447E-2</v>
      </c>
    </row>
    <row r="15" spans="1:11" ht="30" customHeight="1" thickBot="1">
      <c r="A15" s="488">
        <v>2004</v>
      </c>
      <c r="B15" s="392">
        <v>11244136157.65</v>
      </c>
      <c r="C15" s="393">
        <v>6631135694.5500002</v>
      </c>
      <c r="D15" s="392">
        <v>8672065</v>
      </c>
      <c r="E15" s="393">
        <v>1255877035</v>
      </c>
      <c r="F15" s="392">
        <v>19139820943</v>
      </c>
      <c r="G15" s="204">
        <v>6.7824899529461399E-2</v>
      </c>
    </row>
    <row r="16" spans="1:11" ht="19.5" customHeight="1">
      <c r="A16" s="155" t="s">
        <v>146</v>
      </c>
      <c r="B16" s="155"/>
      <c r="C16" s="155"/>
      <c r="D16" s="155"/>
      <c r="E16" s="155"/>
      <c r="F16" s="155"/>
      <c r="G16" s="155"/>
    </row>
    <row r="17" spans="1:7" ht="14.25" customHeight="1">
      <c r="A17" s="4"/>
      <c r="B17" s="4"/>
      <c r="C17" s="4"/>
      <c r="D17" s="4"/>
      <c r="E17" s="4"/>
      <c r="F17" s="4"/>
      <c r="G17" s="4"/>
    </row>
    <row r="18" spans="1:7" ht="13.5" customHeight="1">
      <c r="A18" s="473" t="s">
        <v>1533</v>
      </c>
      <c r="B18" s="4"/>
      <c r="C18" s="4"/>
      <c r="D18" s="4"/>
      <c r="E18" s="4"/>
      <c r="F18" s="4"/>
      <c r="G18" s="4"/>
    </row>
    <row r="20" spans="1:7">
      <c r="A20" s="2" t="s">
        <v>951</v>
      </c>
    </row>
    <row r="23" spans="1:7">
      <c r="A23" s="2" t="s">
        <v>104</v>
      </c>
      <c r="G23" s="5"/>
    </row>
  </sheetData>
  <phoneticPr fontId="0" type="noConversion"/>
  <pageMargins left="0.6" right="0.63" top="0.99" bottom="0.49" header="0.59" footer="0.4921259845"/>
  <pageSetup paperSize="9" scale="79" orientation="portrait" horizontalDpi="4294967292" verticalDpi="4294967292"/>
  <headerFooter alignWithMargins="0">
    <oddHeader>&amp;L&amp;"Arial,Bold"Versicherte und Finanzen in der OKP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517D4-DDCB-1445-BEDD-368D6B3C8BD2}">
  <sheetPr>
    <pageSetUpPr fitToPage="1"/>
  </sheetPr>
  <dimension ref="A1:K30"/>
  <sheetViews>
    <sheetView zoomScale="75" workbookViewId="0">
      <selection activeCell="B18" sqref="B18"/>
    </sheetView>
  </sheetViews>
  <sheetFormatPr baseColWidth="10" defaultColWidth="11.3984375" defaultRowHeight="13"/>
  <cols>
    <col min="1" max="1" width="20.796875" style="2" customWidth="1"/>
    <col min="2" max="7" width="14.3984375" style="2" customWidth="1"/>
    <col min="8" max="16384" width="11.3984375" style="2"/>
  </cols>
  <sheetData>
    <row r="1" spans="1:11" s="1" customFormat="1" ht="14" customHeight="1"/>
    <row r="2" spans="1:11" s="1" customFormat="1" ht="36.75" customHeight="1">
      <c r="A2" s="1715" t="s">
        <v>1175</v>
      </c>
      <c r="B2" s="1716"/>
      <c r="C2" s="1716"/>
      <c r="D2" s="1716"/>
      <c r="E2" s="1716"/>
      <c r="F2" s="1716"/>
      <c r="G2" s="370">
        <v>2004</v>
      </c>
      <c r="I2" s="370"/>
    </row>
    <row r="3" spans="1:11" ht="24" customHeight="1">
      <c r="A3" s="139" t="s">
        <v>1250</v>
      </c>
      <c r="B3" s="164" t="s">
        <v>1571</v>
      </c>
      <c r="C3" s="141" t="s">
        <v>1572</v>
      </c>
      <c r="D3" s="164" t="s">
        <v>1573</v>
      </c>
      <c r="E3" s="141" t="s">
        <v>1574</v>
      </c>
      <c r="F3" s="164" t="s">
        <v>652</v>
      </c>
      <c r="G3" s="141" t="s">
        <v>451</v>
      </c>
    </row>
    <row r="4" spans="1:11" ht="15" customHeight="1">
      <c r="A4" s="165"/>
      <c r="B4" s="166" t="s">
        <v>1575</v>
      </c>
      <c r="C4" s="144" t="s">
        <v>1576</v>
      </c>
      <c r="D4" s="166" t="s">
        <v>1577</v>
      </c>
      <c r="E4" s="197" t="s">
        <v>1578</v>
      </c>
      <c r="F4" s="166"/>
      <c r="G4" s="144" t="s">
        <v>486</v>
      </c>
    </row>
    <row r="5" spans="1:11" ht="15" customHeight="1">
      <c r="A5" s="165"/>
      <c r="B5" s="166" t="s">
        <v>1579</v>
      </c>
      <c r="C5" s="144" t="s">
        <v>1580</v>
      </c>
      <c r="D5" s="166" t="s">
        <v>1281</v>
      </c>
      <c r="E5" s="197" t="s">
        <v>1581</v>
      </c>
      <c r="F5" s="166"/>
      <c r="G5" s="144" t="s">
        <v>454</v>
      </c>
    </row>
    <row r="6" spans="1:11" ht="24" customHeight="1">
      <c r="A6" s="167"/>
      <c r="B6" s="168"/>
      <c r="C6" s="147"/>
      <c r="D6" s="168"/>
      <c r="E6" s="200" t="s">
        <v>1582</v>
      </c>
      <c r="F6" s="168"/>
      <c r="G6" s="147"/>
    </row>
    <row r="7" spans="1:11" ht="21.75" customHeight="1" thickBot="1">
      <c r="A7" s="169">
        <v>1996</v>
      </c>
      <c r="B7" s="149">
        <v>1932.22</v>
      </c>
      <c r="C7" s="225">
        <v>1370.05</v>
      </c>
      <c r="D7" s="149">
        <v>1070.5899999999999</v>
      </c>
      <c r="E7" s="225">
        <v>923.64</v>
      </c>
      <c r="F7" s="149">
        <v>1731.68</v>
      </c>
      <c r="G7" s="150">
        <v>9.7491025128858211E-2</v>
      </c>
    </row>
    <row r="8" spans="1:11" ht="20" customHeight="1" thickBot="1">
      <c r="A8" s="171">
        <v>1997</v>
      </c>
      <c r="B8" s="153">
        <v>1961.45</v>
      </c>
      <c r="C8" s="228">
        <v>1723.12</v>
      </c>
      <c r="D8" s="153">
        <v>1331.14</v>
      </c>
      <c r="E8" s="228">
        <v>1038.3599999999999</v>
      </c>
      <c r="F8" s="153">
        <v>1821.04</v>
      </c>
      <c r="G8" s="154">
        <v>5.1603067541347074E-2</v>
      </c>
      <c r="I8" s="10"/>
      <c r="J8" s="10"/>
      <c r="K8" s="10"/>
    </row>
    <row r="9" spans="1:11" ht="20" customHeight="1" thickBot="1">
      <c r="A9" s="171">
        <v>1998</v>
      </c>
      <c r="B9" s="153">
        <v>2000.59</v>
      </c>
      <c r="C9" s="228">
        <v>1941.88</v>
      </c>
      <c r="D9" s="153">
        <v>652.13</v>
      </c>
      <c r="E9" s="228">
        <v>1390.54</v>
      </c>
      <c r="F9" s="153">
        <v>1934.73</v>
      </c>
      <c r="G9" s="154">
        <v>6.2431357905372784E-2</v>
      </c>
    </row>
    <row r="10" spans="1:11" ht="20" customHeight="1" thickBot="1">
      <c r="A10" s="171">
        <v>1999</v>
      </c>
      <c r="B10" s="153">
        <v>2197.96</v>
      </c>
      <c r="C10" s="228">
        <v>1835.57</v>
      </c>
      <c r="D10" s="153">
        <v>708.96</v>
      </c>
      <c r="E10" s="228">
        <v>1549.04</v>
      </c>
      <c r="F10" s="153">
        <v>2012.03</v>
      </c>
      <c r="G10" s="154">
        <v>3.9953895375582096E-2</v>
      </c>
    </row>
    <row r="11" spans="1:11" ht="20" customHeight="1" thickBot="1">
      <c r="A11" s="171">
        <v>2000</v>
      </c>
      <c r="B11" s="153">
        <v>2329.77</v>
      </c>
      <c r="C11" s="228">
        <v>1954.27</v>
      </c>
      <c r="D11" s="153">
        <v>768.12</v>
      </c>
      <c r="E11" s="228">
        <v>1631.39</v>
      </c>
      <c r="F11" s="153">
        <v>2129.62</v>
      </c>
      <c r="G11" s="154">
        <v>5.8443462572625615E-2</v>
      </c>
    </row>
    <row r="12" spans="1:11" ht="20" customHeight="1" thickBot="1">
      <c r="A12" s="171">
        <v>2001</v>
      </c>
      <c r="B12" s="153">
        <v>2488.227550627983</v>
      </c>
      <c r="C12" s="228">
        <v>2005.8119479175782</v>
      </c>
      <c r="D12" s="153">
        <v>895.14570174499522</v>
      </c>
      <c r="E12" s="228">
        <v>1735.4505511470134</v>
      </c>
      <c r="F12" s="153">
        <v>2238.1940247664106</v>
      </c>
      <c r="G12" s="154">
        <v>5.0982816073482935E-2</v>
      </c>
    </row>
    <row r="13" spans="1:11" ht="20" customHeight="1" thickBot="1">
      <c r="A13" s="171">
        <v>2002</v>
      </c>
      <c r="B13" s="153">
        <v>2617.71</v>
      </c>
      <c r="C13" s="228">
        <v>2022.91</v>
      </c>
      <c r="D13" s="153">
        <v>900.99</v>
      </c>
      <c r="E13" s="228">
        <v>1933.84</v>
      </c>
      <c r="F13" s="153">
        <v>2322.9699999999998</v>
      </c>
      <c r="G13" s="154">
        <v>3.7876955391495534E-2</v>
      </c>
    </row>
    <row r="14" spans="1:11" ht="20" customHeight="1" thickBot="1">
      <c r="A14" s="171">
        <v>2003</v>
      </c>
      <c r="B14" s="153">
        <v>2830.6</v>
      </c>
      <c r="C14" s="228">
        <v>2083.65</v>
      </c>
      <c r="D14" s="153">
        <v>996.63</v>
      </c>
      <c r="E14" s="228">
        <v>1725.47</v>
      </c>
      <c r="F14" s="153">
        <v>2424.41</v>
      </c>
      <c r="G14" s="154">
        <v>4.3668235061150196E-2</v>
      </c>
    </row>
    <row r="15" spans="1:11" ht="30" customHeight="1" thickBot="1">
      <c r="A15" s="488">
        <v>2004</v>
      </c>
      <c r="B15" s="392">
        <v>3089.65</v>
      </c>
      <c r="C15" s="393">
        <v>2192.2399999999998</v>
      </c>
      <c r="D15" s="392">
        <v>1070.8900000000001</v>
      </c>
      <c r="E15" s="393">
        <v>1679.51</v>
      </c>
      <c r="F15" s="392">
        <v>2579.5</v>
      </c>
      <c r="G15" s="204">
        <v>6.3970203059713557E-2</v>
      </c>
    </row>
    <row r="16" spans="1:11" ht="19.5" customHeight="1">
      <c r="A16" s="155" t="s">
        <v>146</v>
      </c>
      <c r="B16" s="155"/>
      <c r="C16" s="155"/>
      <c r="D16" s="155"/>
      <c r="E16" s="155"/>
      <c r="F16" s="155"/>
      <c r="G16" s="155"/>
    </row>
    <row r="18" spans="1:8">
      <c r="A18" s="2" t="s">
        <v>1176</v>
      </c>
    </row>
    <row r="19" spans="1:8">
      <c r="E19" s="5"/>
      <c r="F19" s="5"/>
      <c r="G19" s="5"/>
      <c r="H19" s="5"/>
    </row>
    <row r="20" spans="1:8">
      <c r="E20" s="5"/>
      <c r="F20" s="5"/>
      <c r="G20" s="63"/>
      <c r="H20" s="5"/>
    </row>
    <row r="21" spans="1:8">
      <c r="A21" s="2" t="s">
        <v>104</v>
      </c>
      <c r="E21" s="5"/>
      <c r="F21" s="345"/>
      <c r="G21" s="618"/>
      <c r="H21" s="5"/>
    </row>
    <row r="22" spans="1:8">
      <c r="E22" s="5"/>
      <c r="F22" s="345"/>
      <c r="G22" s="618"/>
      <c r="H22" s="618"/>
    </row>
    <row r="23" spans="1:8">
      <c r="F23" s="9"/>
      <c r="G23" s="619"/>
      <c r="H23" s="619"/>
    </row>
    <row r="24" spans="1:8">
      <c r="F24" s="9"/>
      <c r="G24" s="619"/>
      <c r="H24" s="619"/>
    </row>
    <row r="25" spans="1:8">
      <c r="F25" s="9"/>
      <c r="G25" s="619"/>
      <c r="H25" s="619"/>
    </row>
    <row r="26" spans="1:8">
      <c r="F26" s="9"/>
      <c r="G26" s="619"/>
      <c r="H26" s="619"/>
    </row>
    <row r="27" spans="1:8">
      <c r="F27" s="9"/>
      <c r="G27" s="619"/>
      <c r="H27" s="619"/>
    </row>
    <row r="28" spans="1:8">
      <c r="F28" s="9"/>
      <c r="G28" s="619"/>
      <c r="H28" s="619"/>
    </row>
    <row r="29" spans="1:8">
      <c r="F29" s="9"/>
    </row>
    <row r="30" spans="1:8">
      <c r="F30" s="9"/>
    </row>
  </sheetData>
  <mergeCells count="1">
    <mergeCell ref="A2:F2"/>
  </mergeCells>
  <phoneticPr fontId="0" type="noConversion"/>
  <pageMargins left="0.51" right="0.51" top="0.92" bottom="0.49" header="0.51" footer="0.4921259845"/>
  <pageSetup paperSize="9" scale="87" orientation="portrait" horizontalDpi="4294967292" verticalDpi="4294967292"/>
  <headerFooter alignWithMargins="0">
    <oddHeader>&amp;L&amp;"Arial,Bold"Versicherte und Finanzen in der OKP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636E4-6F18-8742-8E69-B29904B3DC58}">
  <sheetPr>
    <pageSetUpPr fitToPage="1"/>
  </sheetPr>
  <dimension ref="A1:V55"/>
  <sheetViews>
    <sheetView topLeftCell="A31" zoomScale="75" workbookViewId="0">
      <selection activeCell="A43" sqref="A43"/>
    </sheetView>
  </sheetViews>
  <sheetFormatPr baseColWidth="10" defaultColWidth="11.3984375" defaultRowHeight="13"/>
  <cols>
    <col min="1" max="1" width="11.796875" style="2" customWidth="1"/>
    <col min="2" max="2" width="17" style="2" customWidth="1"/>
    <col min="3" max="3" width="13" style="487" customWidth="1"/>
    <col min="4" max="4" width="13" style="2" customWidth="1"/>
    <col min="5" max="5" width="14" style="487" customWidth="1"/>
    <col min="6" max="6" width="13" style="2" customWidth="1"/>
    <col min="7" max="7" width="13" style="487" customWidth="1"/>
    <col min="8" max="8" width="13" style="2" customWidth="1"/>
    <col min="9" max="9" width="15.3984375" style="2" customWidth="1"/>
    <col min="10" max="12" width="13" style="2" customWidth="1"/>
    <col min="13" max="13" width="14.19921875" style="2" customWidth="1"/>
    <col min="14" max="14" width="13" style="2" customWidth="1"/>
    <col min="15" max="15" width="14.796875" style="2" customWidth="1"/>
    <col min="16" max="16" width="13" style="2" customWidth="1"/>
    <col min="17" max="16384" width="11.3984375" style="2"/>
  </cols>
  <sheetData>
    <row r="1" spans="1:22" s="1" customFormat="1" ht="14" customHeight="1">
      <c r="A1" s="591"/>
      <c r="B1" s="591"/>
      <c r="C1" s="778"/>
      <c r="D1" s="591"/>
      <c r="E1" s="778"/>
      <c r="F1" s="591"/>
      <c r="G1" s="779"/>
      <c r="H1" s="779"/>
      <c r="I1" s="779"/>
      <c r="J1" s="779"/>
      <c r="K1" s="779"/>
      <c r="L1" s="779"/>
      <c r="M1" s="779"/>
      <c r="N1" s="779"/>
      <c r="O1" s="779"/>
      <c r="P1" s="779"/>
      <c r="Q1" s="779"/>
      <c r="R1" s="779"/>
      <c r="S1" s="779"/>
      <c r="T1" s="779"/>
      <c r="U1" s="779"/>
    </row>
    <row r="2" spans="1:22" s="1" customFormat="1" ht="28" customHeight="1">
      <c r="A2" s="178" t="s">
        <v>1432</v>
      </c>
      <c r="B2" s="591"/>
      <c r="C2" s="778"/>
      <c r="D2" s="591"/>
      <c r="E2" s="778"/>
      <c r="F2" s="591"/>
      <c r="G2" s="778"/>
      <c r="N2" s="592">
        <v>2004</v>
      </c>
    </row>
    <row r="3" spans="1:22" ht="24" customHeight="1">
      <c r="A3" s="139" t="s">
        <v>1549</v>
      </c>
      <c r="B3" s="321" t="s">
        <v>754</v>
      </c>
      <c r="C3" s="141" t="s">
        <v>451</v>
      </c>
      <c r="D3" s="164"/>
      <c r="E3" s="555"/>
      <c r="F3" s="164"/>
      <c r="G3" s="555"/>
      <c r="H3" s="164"/>
      <c r="I3" s="555"/>
      <c r="J3" s="164"/>
      <c r="K3" s="555"/>
      <c r="L3" s="164"/>
      <c r="M3" s="555"/>
      <c r="N3" s="164"/>
      <c r="O3"/>
    </row>
    <row r="4" spans="1:22" ht="15" customHeight="1">
      <c r="A4" s="165"/>
      <c r="B4" s="323" t="s">
        <v>1437</v>
      </c>
      <c r="C4" s="144" t="s">
        <v>486</v>
      </c>
      <c r="D4" s="780" t="s">
        <v>202</v>
      </c>
      <c r="E4" s="781" t="s">
        <v>202</v>
      </c>
      <c r="F4" s="780" t="s">
        <v>202</v>
      </c>
      <c r="G4" s="781" t="s">
        <v>202</v>
      </c>
      <c r="H4" s="780" t="s">
        <v>202</v>
      </c>
      <c r="I4" s="781" t="s">
        <v>202</v>
      </c>
      <c r="J4" s="780" t="s">
        <v>202</v>
      </c>
      <c r="K4" s="781" t="s">
        <v>202</v>
      </c>
      <c r="L4" s="780" t="s">
        <v>202</v>
      </c>
      <c r="M4" s="781" t="s">
        <v>202</v>
      </c>
      <c r="N4" s="780" t="s">
        <v>202</v>
      </c>
      <c r="O4"/>
    </row>
    <row r="5" spans="1:22" ht="15" customHeight="1">
      <c r="A5" s="165"/>
      <c r="B5" s="166"/>
      <c r="C5" s="144" t="s">
        <v>454</v>
      </c>
      <c r="D5" s="780" t="s">
        <v>547</v>
      </c>
      <c r="E5" s="781" t="s">
        <v>548</v>
      </c>
      <c r="F5" s="780" t="s">
        <v>549</v>
      </c>
      <c r="G5" s="781" t="s">
        <v>549</v>
      </c>
      <c r="H5" s="780" t="s">
        <v>1608</v>
      </c>
      <c r="I5" s="781" t="s">
        <v>1609</v>
      </c>
      <c r="J5" s="780" t="s">
        <v>1610</v>
      </c>
      <c r="K5" s="781" t="s">
        <v>1611</v>
      </c>
      <c r="L5" s="780" t="s">
        <v>550</v>
      </c>
      <c r="M5" s="781" t="s">
        <v>551</v>
      </c>
      <c r="N5" s="780" t="s">
        <v>552</v>
      </c>
      <c r="O5"/>
    </row>
    <row r="6" spans="1:22" s="4" customFormat="1" ht="19.5" customHeight="1">
      <c r="A6" s="782"/>
      <c r="B6" s="363"/>
      <c r="C6" s="783"/>
      <c r="D6" s="784" t="s">
        <v>553</v>
      </c>
      <c r="E6" s="785" t="s">
        <v>553</v>
      </c>
      <c r="F6" s="784" t="s">
        <v>554</v>
      </c>
      <c r="G6" s="785" t="s">
        <v>555</v>
      </c>
      <c r="H6" s="784"/>
      <c r="I6" s="785"/>
      <c r="J6" s="784"/>
      <c r="K6" s="785"/>
      <c r="L6" s="784" t="s">
        <v>556</v>
      </c>
      <c r="M6" s="785" t="s">
        <v>557</v>
      </c>
      <c r="N6" s="784" t="s">
        <v>558</v>
      </c>
      <c r="O6"/>
    </row>
    <row r="7" spans="1:22" ht="19.5" customHeight="1">
      <c r="A7" s="167"/>
      <c r="B7" s="168"/>
      <c r="C7" s="557"/>
      <c r="D7" s="363"/>
      <c r="E7" s="783"/>
      <c r="F7" s="363"/>
      <c r="G7" s="783"/>
      <c r="H7" s="363"/>
      <c r="I7" s="783"/>
      <c r="J7" s="363"/>
      <c r="K7" s="557"/>
      <c r="L7" s="363"/>
      <c r="M7" s="783"/>
      <c r="N7" s="363"/>
      <c r="O7"/>
    </row>
    <row r="8" spans="1:22" ht="20" customHeight="1" thickBot="1">
      <c r="A8" s="169">
        <v>1996</v>
      </c>
      <c r="B8" s="149">
        <v>8214.622179967444</v>
      </c>
      <c r="C8" s="150">
        <v>0.11122052660984157</v>
      </c>
      <c r="D8" s="330" t="s">
        <v>1300</v>
      </c>
      <c r="E8" s="381" t="s">
        <v>1300</v>
      </c>
      <c r="F8" s="330" t="s">
        <v>1300</v>
      </c>
      <c r="G8" s="381" t="s">
        <v>1300</v>
      </c>
      <c r="H8" s="330" t="s">
        <v>1300</v>
      </c>
      <c r="I8" s="381" t="s">
        <v>1300</v>
      </c>
      <c r="J8" s="330" t="s">
        <v>1300</v>
      </c>
      <c r="K8" s="225">
        <v>56.88</v>
      </c>
      <c r="L8" s="330" t="s">
        <v>1300</v>
      </c>
      <c r="M8" s="381" t="s">
        <v>1300</v>
      </c>
      <c r="N8" s="330" t="s">
        <v>1300</v>
      </c>
      <c r="O8"/>
    </row>
    <row r="9" spans="1:22" ht="20" customHeight="1" thickBot="1">
      <c r="A9" s="171">
        <v>1997</v>
      </c>
      <c r="B9" s="153">
        <v>8735.6547899365542</v>
      </c>
      <c r="C9" s="154">
        <v>6.3427458811158022E-2</v>
      </c>
      <c r="D9" s="330" t="s">
        <v>1300</v>
      </c>
      <c r="E9" s="381" t="s">
        <v>1300</v>
      </c>
      <c r="F9" s="330" t="s">
        <v>1300</v>
      </c>
      <c r="G9" s="381" t="s">
        <v>1300</v>
      </c>
      <c r="H9" s="330" t="s">
        <v>1300</v>
      </c>
      <c r="I9" s="381" t="s">
        <v>1300</v>
      </c>
      <c r="J9" s="330" t="s">
        <v>1300</v>
      </c>
      <c r="K9" s="228">
        <v>56.26</v>
      </c>
      <c r="L9" s="330" t="s">
        <v>1300</v>
      </c>
      <c r="M9" s="381" t="s">
        <v>1300</v>
      </c>
      <c r="N9" s="330" t="s">
        <v>1300</v>
      </c>
      <c r="O9"/>
      <c r="T9" s="10"/>
      <c r="U9" s="10"/>
      <c r="V9" s="10"/>
    </row>
    <row r="10" spans="1:22" ht="20" customHeight="1" thickBot="1">
      <c r="A10" s="171">
        <v>1998</v>
      </c>
      <c r="B10" s="153">
        <v>9332.6868080000004</v>
      </c>
      <c r="C10" s="154">
        <v>6.8344277838362513E-2</v>
      </c>
      <c r="D10" s="153">
        <v>3748.16</v>
      </c>
      <c r="E10" s="228">
        <v>1302.8</v>
      </c>
      <c r="F10" s="153">
        <v>933.79</v>
      </c>
      <c r="G10" s="228">
        <v>1787.54</v>
      </c>
      <c r="H10" s="153">
        <v>223.97</v>
      </c>
      <c r="I10" s="228">
        <v>417.71</v>
      </c>
      <c r="J10" s="153">
        <v>397.5</v>
      </c>
      <c r="K10" s="228">
        <v>56.3</v>
      </c>
      <c r="L10" s="153">
        <v>104.38</v>
      </c>
      <c r="M10" s="228">
        <v>87.2</v>
      </c>
      <c r="N10" s="153" t="s">
        <v>1300</v>
      </c>
      <c r="O10"/>
    </row>
    <row r="11" spans="1:22" ht="20" customHeight="1" thickBot="1">
      <c r="A11" s="171">
        <v>1999</v>
      </c>
      <c r="B11" s="153">
        <v>9826.7075550000009</v>
      </c>
      <c r="C11" s="154">
        <v>5.2934461121798788E-2</v>
      </c>
      <c r="D11" s="153">
        <v>3764.53</v>
      </c>
      <c r="E11" s="228">
        <v>1484.57</v>
      </c>
      <c r="F11" s="153">
        <v>1031.77</v>
      </c>
      <c r="G11" s="228">
        <v>1873.03</v>
      </c>
      <c r="H11" s="153">
        <v>235.27</v>
      </c>
      <c r="I11" s="228">
        <v>437.19</v>
      </c>
      <c r="J11" s="153">
        <v>413.87</v>
      </c>
      <c r="K11" s="228">
        <v>60.6</v>
      </c>
      <c r="L11" s="153">
        <v>125.04</v>
      </c>
      <c r="M11" s="228">
        <v>87.9</v>
      </c>
      <c r="N11" s="153" t="s">
        <v>1300</v>
      </c>
      <c r="O11"/>
    </row>
    <row r="12" spans="1:22" ht="20" customHeight="1" thickBot="1">
      <c r="A12" s="171">
        <v>2000</v>
      </c>
      <c r="B12" s="153">
        <v>10542.816855999999</v>
      </c>
      <c r="C12" s="154">
        <v>7.2873777609839388E-2</v>
      </c>
      <c r="D12" s="153">
        <v>3846.3722419999999</v>
      </c>
      <c r="E12" s="228">
        <v>1665.8885190000001</v>
      </c>
      <c r="F12" s="153">
        <v>1143.2080209999999</v>
      </c>
      <c r="G12" s="228">
        <v>2097.7667449999999</v>
      </c>
      <c r="H12" s="153">
        <v>253.12159500000001</v>
      </c>
      <c r="I12" s="228">
        <v>446.74208700000003</v>
      </c>
      <c r="J12" s="153">
        <v>442.743357</v>
      </c>
      <c r="K12" s="228">
        <v>62.290866000000001</v>
      </c>
      <c r="L12" s="153">
        <v>179.87060299999999</v>
      </c>
      <c r="M12" s="228">
        <v>114.545208</v>
      </c>
      <c r="N12" s="153" t="s">
        <v>1300</v>
      </c>
      <c r="O12"/>
    </row>
    <row r="13" spans="1:22" ht="20" customHeight="1" thickBot="1">
      <c r="A13" s="171">
        <v>2001</v>
      </c>
      <c r="B13" s="153">
        <v>11308.048632</v>
      </c>
      <c r="C13" s="154">
        <v>7.2583237141646939E-2</v>
      </c>
      <c r="D13" s="153">
        <v>4011.5563699999998</v>
      </c>
      <c r="E13" s="228">
        <v>1925.523136</v>
      </c>
      <c r="F13" s="153">
        <v>1271.4507229999999</v>
      </c>
      <c r="G13" s="228">
        <v>2242.439856</v>
      </c>
      <c r="H13" s="153">
        <v>270.321618</v>
      </c>
      <c r="I13" s="228">
        <v>480.12928299999999</v>
      </c>
      <c r="J13" s="153">
        <v>462.70975499999997</v>
      </c>
      <c r="K13" s="228">
        <v>65.236801</v>
      </c>
      <c r="L13" s="153">
        <v>173.02369200000001</v>
      </c>
      <c r="M13" s="228">
        <v>106.32983400000001</v>
      </c>
      <c r="N13" s="153">
        <v>20.166156999999998</v>
      </c>
      <c r="O13"/>
    </row>
    <row r="14" spans="1:22" ht="20" customHeight="1" thickBot="1">
      <c r="A14" s="171">
        <v>2002</v>
      </c>
      <c r="B14" s="153">
        <v>11864.756498999999</v>
      </c>
      <c r="C14" s="154">
        <v>4.9231117155315675E-2</v>
      </c>
      <c r="D14" s="153">
        <v>4108.8234659999998</v>
      </c>
      <c r="E14" s="228">
        <v>1972.059045</v>
      </c>
      <c r="F14" s="153">
        <v>1260.789229</v>
      </c>
      <c r="G14" s="228">
        <v>2524.68426</v>
      </c>
      <c r="H14" s="153">
        <v>290.06557500000002</v>
      </c>
      <c r="I14" s="228">
        <v>506.24601999999999</v>
      </c>
      <c r="J14" s="153">
        <v>485.55174599999998</v>
      </c>
      <c r="K14" s="228">
        <v>65.211265999999995</v>
      </c>
      <c r="L14" s="153">
        <v>202.87558799999999</v>
      </c>
      <c r="M14" s="228">
        <v>112.82700800000001</v>
      </c>
      <c r="N14" s="153">
        <v>22.283301000000002</v>
      </c>
      <c r="O14"/>
    </row>
    <row r="15" spans="1:22" ht="20" customHeight="1" thickBot="1">
      <c r="A15" s="171">
        <v>2003</v>
      </c>
      <c r="B15" s="153">
        <v>12287.171129999999</v>
      </c>
      <c r="C15" s="154">
        <v>3.560246946792394E-2</v>
      </c>
      <c r="D15" s="153">
        <v>4172.0328019999997</v>
      </c>
      <c r="E15" s="228">
        <v>2141.3752909999998</v>
      </c>
      <c r="F15" s="153">
        <v>1347.924618</v>
      </c>
      <c r="G15" s="228">
        <v>2602.0570160000002</v>
      </c>
      <c r="H15" s="153">
        <v>320.12044100000003</v>
      </c>
      <c r="I15" s="228">
        <v>491.37185499999998</v>
      </c>
      <c r="J15" s="153">
        <v>480.48790700000001</v>
      </c>
      <c r="K15" s="228">
        <v>65.007204000000002</v>
      </c>
      <c r="L15" s="153">
        <v>214.51952800000001</v>
      </c>
      <c r="M15" s="228">
        <v>112.746364</v>
      </c>
      <c r="N15" s="153">
        <v>30.331126999999999</v>
      </c>
      <c r="O15"/>
    </row>
    <row r="16" spans="1:22" s="205" customFormat="1" ht="30" customHeight="1" thickBot="1">
      <c r="A16" s="369">
        <v>2004</v>
      </c>
      <c r="B16" s="218">
        <v>12930.941864000002</v>
      </c>
      <c r="C16" s="204">
        <v>5.2393730598265333E-2</v>
      </c>
      <c r="D16" s="218">
        <v>4377.7035830000004</v>
      </c>
      <c r="E16" s="229">
        <v>2192.3005199999998</v>
      </c>
      <c r="F16" s="218">
        <v>1398.7252390000001</v>
      </c>
      <c r="G16" s="229">
        <v>2750.1970510000001</v>
      </c>
      <c r="H16" s="218">
        <v>365.15373399999999</v>
      </c>
      <c r="I16" s="229">
        <v>505.40384999999998</v>
      </c>
      <c r="J16" s="218">
        <v>591.27084500000001</v>
      </c>
      <c r="K16" s="229">
        <v>68.244215999999994</v>
      </c>
      <c r="L16" s="218">
        <v>259.95297099999999</v>
      </c>
      <c r="M16" s="229">
        <v>79.496533999999997</v>
      </c>
      <c r="N16" s="218">
        <v>25.676613</v>
      </c>
      <c r="O16"/>
      <c r="P16" s="787"/>
      <c r="Q16" s="788"/>
    </row>
    <row r="17" spans="1:17" ht="17.25" customHeight="1" thickBot="1">
      <c r="A17" s="231"/>
      <c r="B17" s="789"/>
      <c r="C17" s="790"/>
      <c r="D17" s="789"/>
      <c r="E17" s="790"/>
      <c r="F17" s="789"/>
      <c r="G17" s="790"/>
      <c r="P17" s="5"/>
      <c r="Q17" s="5"/>
    </row>
    <row r="18" spans="1:17" ht="19.5" customHeight="1" thickBot="1">
      <c r="A18" s="432" t="s">
        <v>1438</v>
      </c>
      <c r="B18" s="791">
        <v>13954.611899218638</v>
      </c>
      <c r="C18" s="792">
        <v>7.9164383073173805E-2</v>
      </c>
      <c r="D18" s="791">
        <v>4662.6308393299987</v>
      </c>
      <c r="E18" s="793">
        <v>2361.6853518900002</v>
      </c>
      <c r="F18" s="791">
        <v>1421.46645141</v>
      </c>
      <c r="G18" s="793">
        <v>2919.5318151600004</v>
      </c>
      <c r="H18" s="791">
        <v>385.02870359999997</v>
      </c>
      <c r="I18" s="793">
        <v>539.02033172000006</v>
      </c>
      <c r="J18" s="791">
        <v>646.21986104999985</v>
      </c>
      <c r="K18" s="793">
        <v>73.113482500000003</v>
      </c>
      <c r="L18" s="791">
        <v>257.50400115000008</v>
      </c>
      <c r="M18" s="793" t="s">
        <v>1300</v>
      </c>
      <c r="N18" s="791" t="s">
        <v>1300</v>
      </c>
      <c r="P18" s="5"/>
      <c r="Q18" s="5"/>
    </row>
    <row r="19" spans="1:17" ht="19.5" customHeight="1" thickBot="1">
      <c r="A19" s="794" t="s">
        <v>1439</v>
      </c>
      <c r="B19" s="537">
        <v>14915.975106041724</v>
      </c>
      <c r="C19" s="795">
        <v>6.8892149331427496E-2</v>
      </c>
      <c r="D19" s="537">
        <v>4980.2265613100008</v>
      </c>
      <c r="E19" s="796">
        <v>2524.1808768400006</v>
      </c>
      <c r="F19" s="537">
        <v>1504.6165683999998</v>
      </c>
      <c r="G19" s="796">
        <v>3131.3670667999995</v>
      </c>
      <c r="H19" s="797">
        <v>408.65193098000015</v>
      </c>
      <c r="I19" s="796">
        <v>575.41180767999992</v>
      </c>
      <c r="J19" s="797">
        <v>699.72752799000011</v>
      </c>
      <c r="K19" s="796">
        <v>78.251680800000003</v>
      </c>
      <c r="L19" s="797">
        <v>276.38983027999996</v>
      </c>
      <c r="M19" s="796" t="s">
        <v>1300</v>
      </c>
      <c r="N19" s="797" t="s">
        <v>1300</v>
      </c>
    </row>
    <row r="20" spans="1:17" ht="39" customHeight="1">
      <c r="A20" s="231"/>
      <c r="B20" s="798"/>
      <c r="C20" s="790"/>
      <c r="D20" s="789"/>
      <c r="E20" s="790"/>
      <c r="F20" s="789"/>
      <c r="G20" s="790"/>
    </row>
    <row r="21" spans="1:17" ht="16.5" customHeight="1">
      <c r="A21" s="139" t="s">
        <v>1549</v>
      </c>
      <c r="B21" s="323" t="s">
        <v>559</v>
      </c>
      <c r="C21" s="141" t="s">
        <v>451</v>
      </c>
      <c r="D21" s="164"/>
      <c r="E21" s="555"/>
      <c r="F21"/>
      <c r="G21" s="2"/>
      <c r="H21" s="321" t="s">
        <v>652</v>
      </c>
      <c r="I21" s="141" t="s">
        <v>451</v>
      </c>
    </row>
    <row r="22" spans="1:17" ht="15.75" customHeight="1">
      <c r="A22" s="165"/>
      <c r="B22" s="323" t="s">
        <v>1437</v>
      </c>
      <c r="C22" s="144" t="s">
        <v>486</v>
      </c>
      <c r="D22" s="799" t="s">
        <v>202</v>
      </c>
      <c r="E22" s="800" t="s">
        <v>202</v>
      </c>
      <c r="F22"/>
      <c r="G22" s="2"/>
      <c r="H22" s="323" t="s">
        <v>527</v>
      </c>
      <c r="I22" s="144" t="s">
        <v>486</v>
      </c>
    </row>
    <row r="23" spans="1:17" ht="12" customHeight="1">
      <c r="A23" s="165"/>
      <c r="B23" s="166"/>
      <c r="C23" s="144" t="s">
        <v>454</v>
      </c>
      <c r="D23" s="799" t="s">
        <v>560</v>
      </c>
      <c r="E23" s="800" t="s">
        <v>561</v>
      </c>
      <c r="F23"/>
      <c r="G23" s="2"/>
      <c r="H23" s="166"/>
      <c r="I23" s="144" t="s">
        <v>454</v>
      </c>
    </row>
    <row r="24" spans="1:17" ht="19.5" customHeight="1">
      <c r="A24" s="782"/>
      <c r="B24" s="363"/>
      <c r="C24" s="783"/>
      <c r="D24" s="799" t="s">
        <v>562</v>
      </c>
      <c r="E24" s="800"/>
      <c r="F24"/>
      <c r="G24" s="2"/>
      <c r="H24" s="363"/>
      <c r="I24" s="783"/>
    </row>
    <row r="25" spans="1:17" ht="19.5" customHeight="1">
      <c r="A25" s="167"/>
      <c r="B25" s="168"/>
      <c r="C25" s="557"/>
      <c r="D25" s="801"/>
      <c r="E25" s="802"/>
      <c r="F25"/>
      <c r="G25" s="2"/>
      <c r="H25" s="168"/>
      <c r="I25" s="557"/>
    </row>
    <row r="26" spans="1:17" ht="19.5" customHeight="1" thickBot="1">
      <c r="A26" s="169">
        <v>1996</v>
      </c>
      <c r="B26" s="149">
        <v>4244.395068032557</v>
      </c>
      <c r="C26" s="150">
        <v>8.4154117430895334E-2</v>
      </c>
      <c r="D26" s="330" t="s">
        <v>1300</v>
      </c>
      <c r="E26" s="381" t="s">
        <v>1300</v>
      </c>
      <c r="F26"/>
      <c r="G26" s="2"/>
      <c r="H26" s="149">
        <v>12459.017248</v>
      </c>
      <c r="I26" s="150">
        <v>0.10184935576083168</v>
      </c>
    </row>
    <row r="27" spans="1:17" ht="19.5" customHeight="1" thickBot="1">
      <c r="A27" s="171">
        <v>1997</v>
      </c>
      <c r="B27" s="153">
        <v>4402.8227450634458</v>
      </c>
      <c r="C27" s="154">
        <v>3.7326326718291628E-2</v>
      </c>
      <c r="D27" s="153" t="s">
        <v>1300</v>
      </c>
      <c r="E27" s="228" t="s">
        <v>1300</v>
      </c>
      <c r="F27"/>
      <c r="G27" s="2"/>
      <c r="H27" s="153">
        <v>13138.477535</v>
      </c>
      <c r="I27" s="154">
        <v>5.4535624558114414E-2</v>
      </c>
    </row>
    <row r="28" spans="1:17" ht="19.5" customHeight="1" thickBot="1">
      <c r="A28" s="171">
        <v>1998</v>
      </c>
      <c r="B28" s="153">
        <v>4691.4058439999999</v>
      </c>
      <c r="C28" s="154">
        <v>6.5545018649710712E-2</v>
      </c>
      <c r="D28" s="153">
        <v>3570.49</v>
      </c>
      <c r="E28" s="228">
        <v>1091.68</v>
      </c>
      <c r="F28"/>
      <c r="G28" s="2"/>
      <c r="H28" s="153">
        <v>14024.092651999999</v>
      </c>
      <c r="I28" s="154">
        <v>6.7406220746717538E-2</v>
      </c>
    </row>
    <row r="29" spans="1:17" ht="19.5" customHeight="1" thickBot="1">
      <c r="A29" s="171">
        <v>1999</v>
      </c>
      <c r="B29" s="153">
        <v>4793.8029630000001</v>
      </c>
      <c r="C29" s="154">
        <v>2.1826531833940437E-2</v>
      </c>
      <c r="D29" s="153">
        <v>3611.25</v>
      </c>
      <c r="E29" s="228">
        <v>1169.7</v>
      </c>
      <c r="F29"/>
      <c r="G29" s="2"/>
      <c r="H29" s="153">
        <v>14620.510517999999</v>
      </c>
      <c r="I29" s="154">
        <v>4.2528089395854327E-2</v>
      </c>
    </row>
    <row r="30" spans="1:17" ht="19.5" customHeight="1" thickBot="1">
      <c r="A30" s="171">
        <v>2000</v>
      </c>
      <c r="B30" s="153">
        <v>4935.5105860000003</v>
      </c>
      <c r="C30" s="154">
        <v>2.9560585633940716E-2</v>
      </c>
      <c r="D30" s="153">
        <v>3696.49064</v>
      </c>
      <c r="E30" s="228">
        <v>1214.941513</v>
      </c>
      <c r="F30"/>
      <c r="G30" s="2"/>
      <c r="H30" s="153">
        <v>15478.327442</v>
      </c>
      <c r="I30" s="154">
        <v>5.8672159425890213E-2</v>
      </c>
    </row>
    <row r="31" spans="1:17" ht="21.75" customHeight="1" thickBot="1">
      <c r="A31" s="171">
        <v>2001</v>
      </c>
      <c r="B31" s="153">
        <v>5078.4121850000001</v>
      </c>
      <c r="C31" s="154">
        <v>2.8953762029272606E-2</v>
      </c>
      <c r="D31" s="153">
        <v>3798.2139889999999</v>
      </c>
      <c r="E31" s="228">
        <v>1257.8527670000001</v>
      </c>
      <c r="F31"/>
      <c r="G31" s="2"/>
      <c r="H31" s="153">
        <v>16386.460816999999</v>
      </c>
      <c r="I31" s="154">
        <v>5.867128592562304E-2</v>
      </c>
    </row>
    <row r="32" spans="1:17" ht="19.5" customHeight="1" thickBot="1">
      <c r="A32" s="171">
        <v>2002</v>
      </c>
      <c r="B32" s="153">
        <v>5230.8309099999997</v>
      </c>
      <c r="C32" s="154">
        <v>3.0013066968095962E-2</v>
      </c>
      <c r="D32" s="153">
        <v>3783.9358269999998</v>
      </c>
      <c r="E32" s="228">
        <v>1392.356614</v>
      </c>
      <c r="F32"/>
      <c r="G32" s="2"/>
      <c r="H32" s="153">
        <v>17095.587409</v>
      </c>
      <c r="I32" s="154">
        <v>4.3275152573783532E-2</v>
      </c>
    </row>
    <row r="33" spans="1:9" ht="19.5" customHeight="1" thickBot="1">
      <c r="A33" s="171">
        <v>2003</v>
      </c>
      <c r="B33" s="153">
        <v>5636.9482250000001</v>
      </c>
      <c r="C33" s="154">
        <v>7.7639159435188176E-2</v>
      </c>
      <c r="D33" s="153">
        <v>4111.8764270000001</v>
      </c>
      <c r="E33" s="228">
        <v>1477.775099</v>
      </c>
      <c r="F33"/>
      <c r="G33" s="2"/>
      <c r="H33" s="153">
        <v>17924.119354999999</v>
      </c>
      <c r="I33" s="154">
        <v>4.8464666710651728E-2</v>
      </c>
    </row>
    <row r="34" spans="1:9" ht="30" customHeight="1" thickBot="1">
      <c r="A34" s="369">
        <v>2004</v>
      </c>
      <c r="B34" s="218">
        <v>6208.8790769999996</v>
      </c>
      <c r="C34" s="204">
        <v>0.10146107950104499</v>
      </c>
      <c r="D34" s="218">
        <v>4569.0303759999997</v>
      </c>
      <c r="E34" s="229">
        <v>1572.8925360000001</v>
      </c>
      <c r="F34"/>
      <c r="G34" s="2"/>
      <c r="H34" s="218">
        <v>19139.820941000002</v>
      </c>
      <c r="I34" s="204">
        <v>6.782489906043157E-2</v>
      </c>
    </row>
    <row r="35" spans="1:9" ht="19.5" customHeight="1" thickBot="1">
      <c r="A35" s="4"/>
      <c r="B35" s="789"/>
      <c r="C35" s="790"/>
      <c r="D35" s="789"/>
      <c r="E35" s="790"/>
      <c r="F35" s="789"/>
      <c r="G35" s="790"/>
    </row>
    <row r="36" spans="1:9" ht="21" customHeight="1" thickBot="1">
      <c r="A36" s="432" t="s">
        <v>1438</v>
      </c>
      <c r="B36" s="791">
        <v>6437.5815114013594</v>
      </c>
      <c r="C36" s="792">
        <v>3.6834738052567137E-2</v>
      </c>
      <c r="D36" s="791">
        <v>4859.3876890700003</v>
      </c>
      <c r="E36" s="793">
        <v>1506.8565266000001</v>
      </c>
      <c r="F36" s="803"/>
      <c r="G36" s="545"/>
      <c r="H36" s="791">
        <v>20392.193410619999</v>
      </c>
      <c r="I36" s="792">
        <v>6.5432820582832688E-2</v>
      </c>
    </row>
    <row r="37" spans="1:9" ht="21" customHeight="1" thickBot="1">
      <c r="A37" s="794" t="s">
        <v>1439</v>
      </c>
      <c r="B37" s="797">
        <v>6837.2846437482822</v>
      </c>
      <c r="C37" s="795">
        <v>6.2089020797487925E-2</v>
      </c>
      <c r="D37" s="797">
        <v>5173.8561497600003</v>
      </c>
      <c r="E37" s="796">
        <v>1587.3298275700001</v>
      </c>
      <c r="F37" s="803"/>
      <c r="G37" s="545"/>
      <c r="H37" s="797">
        <v>21753.259749790006</v>
      </c>
      <c r="I37" s="795">
        <v>6.6744479701785334E-2</v>
      </c>
    </row>
    <row r="38" spans="1:9" ht="17.25" customHeight="1">
      <c r="A38" s="155" t="s">
        <v>1756</v>
      </c>
      <c r="B38" s="789"/>
      <c r="C38" s="790"/>
      <c r="D38" s="789"/>
      <c r="E38" s="790"/>
      <c r="F38" s="789"/>
      <c r="G38" s="790"/>
    </row>
    <row r="39" spans="1:9" ht="14">
      <c r="A39" s="231"/>
      <c r="B39" s="789"/>
      <c r="C39" s="790"/>
      <c r="D39" s="789"/>
      <c r="E39" s="790"/>
      <c r="F39" s="789"/>
      <c r="G39" s="790"/>
    </row>
    <row r="40" spans="1:9" ht="14">
      <c r="A40" s="4" t="s">
        <v>1433</v>
      </c>
      <c r="B40" s="789"/>
      <c r="C40" s="790"/>
      <c r="D40" s="789"/>
      <c r="E40" s="790"/>
      <c r="F40" s="789"/>
      <c r="G40" s="790"/>
    </row>
    <row r="41" spans="1:9" ht="14">
      <c r="A41" s="2" t="s">
        <v>1434</v>
      </c>
      <c r="B41" s="789"/>
      <c r="C41" s="790"/>
      <c r="D41" s="789"/>
      <c r="E41" s="790"/>
      <c r="F41" s="789"/>
      <c r="G41" s="790"/>
    </row>
    <row r="42" spans="1:9">
      <c r="A42" s="2" t="s">
        <v>1435</v>
      </c>
      <c r="B42" s="5"/>
      <c r="C42" s="804"/>
      <c r="D42" s="5"/>
      <c r="E42" s="804"/>
      <c r="F42" s="5"/>
      <c r="G42" s="804"/>
    </row>
    <row r="43" spans="1:9">
      <c r="A43" s="4" t="s">
        <v>1436</v>
      </c>
      <c r="B43" s="5"/>
      <c r="C43" s="804"/>
      <c r="D43" s="5"/>
      <c r="E43" s="804"/>
      <c r="F43" s="5"/>
      <c r="G43" s="804"/>
    </row>
    <row r="44" spans="1:9">
      <c r="A44" s="5"/>
      <c r="B44" s="5"/>
      <c r="C44" s="804"/>
      <c r="D44" s="5"/>
      <c r="E44" s="804"/>
      <c r="F44" s="5"/>
      <c r="G44" s="804"/>
    </row>
    <row r="45" spans="1:9">
      <c r="A45" s="5" t="s">
        <v>1440</v>
      </c>
      <c r="B45" s="5"/>
      <c r="C45" s="804"/>
      <c r="D45" s="5"/>
      <c r="E45" s="804"/>
      <c r="F45" s="5"/>
      <c r="G45" s="804"/>
    </row>
    <row r="46" spans="1:9">
      <c r="A46" s="5"/>
      <c r="B46" s="5"/>
      <c r="C46" s="804"/>
      <c r="D46" s="5"/>
      <c r="E46" s="804"/>
      <c r="F46" s="5"/>
      <c r="G46" s="804"/>
    </row>
    <row r="48" spans="1:9">
      <c r="A48" s="2" t="s">
        <v>104</v>
      </c>
    </row>
    <row r="51" spans="2:5">
      <c r="B51"/>
      <c r="C51"/>
      <c r="D51"/>
      <c r="E51"/>
    </row>
    <row r="52" spans="2:5">
      <c r="B52"/>
      <c r="C52"/>
      <c r="D52"/>
      <c r="E52"/>
    </row>
    <row r="53" spans="2:5">
      <c r="B53"/>
      <c r="C53"/>
      <c r="D53"/>
      <c r="E53"/>
    </row>
    <row r="54" spans="2:5">
      <c r="B54"/>
      <c r="C54"/>
      <c r="D54"/>
      <c r="E54"/>
    </row>
    <row r="55" spans="2:5">
      <c r="B55"/>
      <c r="C55"/>
      <c r="D55"/>
      <c r="E55"/>
    </row>
  </sheetData>
  <phoneticPr fontId="0" type="noConversion"/>
  <pageMargins left="0.52" right="0.37" top="0.69" bottom="0.49" header="0.42" footer="0.4921259845"/>
  <pageSetup paperSize="9" scale="60" orientation="landscape" horizontalDpi="4294967292" verticalDpi="4294967292"/>
  <headerFooter alignWithMargins="0">
    <oddHeader>&amp;L&amp;"Arial,Bold"Versicherte und Finanzen in der OKP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36009-C066-B147-946F-20930C326A42}">
  <sheetPr>
    <pageSetUpPr fitToPage="1"/>
  </sheetPr>
  <dimension ref="A1:H37"/>
  <sheetViews>
    <sheetView topLeftCell="A14" zoomScale="75" workbookViewId="0">
      <selection activeCell="A3" sqref="A3"/>
    </sheetView>
  </sheetViews>
  <sheetFormatPr baseColWidth="10" defaultColWidth="11.3984375" defaultRowHeight="13"/>
  <cols>
    <col min="1" max="1" width="33.796875" style="2" customWidth="1"/>
    <col min="2" max="4" width="16" style="2" customWidth="1"/>
    <col min="5" max="5" width="18.19921875" style="2" customWidth="1"/>
    <col min="6" max="7" width="15.19921875" style="2" customWidth="1"/>
    <col min="8" max="8" width="14.796875" style="545" customWidth="1"/>
    <col min="9" max="16384" width="11.3984375" style="2"/>
  </cols>
  <sheetData>
    <row r="1" spans="1:8" s="1" customFormat="1" ht="14" customHeight="1">
      <c r="H1" s="543"/>
    </row>
    <row r="2" spans="1:8" s="1" customFormat="1" ht="28" customHeight="1">
      <c r="A2" s="178" t="s">
        <v>8</v>
      </c>
      <c r="H2" s="178">
        <v>2004</v>
      </c>
    </row>
    <row r="3" spans="1:8" ht="24" customHeight="1">
      <c r="A3" s="139" t="s">
        <v>1603</v>
      </c>
      <c r="B3" s="164" t="s">
        <v>2063</v>
      </c>
      <c r="C3" s="141" t="s">
        <v>2064</v>
      </c>
      <c r="D3" s="164" t="s">
        <v>504</v>
      </c>
      <c r="E3" s="359" t="s">
        <v>652</v>
      </c>
      <c r="F3" s="164" t="s">
        <v>1509</v>
      </c>
      <c r="G3" s="141" t="s">
        <v>451</v>
      </c>
      <c r="H3" s="164" t="s">
        <v>451</v>
      </c>
    </row>
    <row r="4" spans="1:8" ht="15" customHeight="1">
      <c r="A4" s="165"/>
      <c r="B4" s="166"/>
      <c r="C4" s="144"/>
      <c r="D4" s="166"/>
      <c r="E4" s="197"/>
      <c r="F4" s="166" t="s">
        <v>529</v>
      </c>
      <c r="G4" s="144" t="s">
        <v>486</v>
      </c>
      <c r="H4" s="166" t="s">
        <v>486</v>
      </c>
    </row>
    <row r="5" spans="1:8" ht="15" customHeight="1">
      <c r="A5" s="165"/>
      <c r="B5" s="166"/>
      <c r="C5" s="144"/>
      <c r="D5" s="166"/>
      <c r="E5" s="197"/>
      <c r="F5" s="166" t="s">
        <v>1510</v>
      </c>
      <c r="G5" s="144" t="s">
        <v>454</v>
      </c>
      <c r="H5" s="166" t="s">
        <v>454</v>
      </c>
    </row>
    <row r="6" spans="1:8" ht="24" customHeight="1">
      <c r="A6" s="167"/>
      <c r="B6" s="168"/>
      <c r="C6" s="147"/>
      <c r="D6" s="168"/>
      <c r="E6" s="200"/>
      <c r="F6" s="168"/>
      <c r="G6" s="147" t="s">
        <v>9</v>
      </c>
      <c r="H6" s="168" t="s">
        <v>2077</v>
      </c>
    </row>
    <row r="7" spans="1:8" ht="30" customHeight="1" thickBot="1">
      <c r="A7" s="522" t="s">
        <v>1604</v>
      </c>
      <c r="B7" s="182">
        <v>1490723524</v>
      </c>
      <c r="C7" s="381">
        <v>2411372982</v>
      </c>
      <c r="D7" s="330">
        <v>475607084</v>
      </c>
      <c r="E7" s="387">
        <v>4377703583</v>
      </c>
      <c r="F7" s="523">
        <v>0.22872228515066129</v>
      </c>
      <c r="G7" s="381">
        <v>205670.78099999999</v>
      </c>
      <c r="H7" s="523">
        <v>4.92974985482868E-2</v>
      </c>
    </row>
    <row r="8" spans="1:8" ht="20" customHeight="1" thickBot="1">
      <c r="A8" s="171" t="s">
        <v>3</v>
      </c>
      <c r="B8" s="176">
        <v>1932430446</v>
      </c>
      <c r="C8" s="228">
        <v>2435522346</v>
      </c>
      <c r="D8" s="153">
        <v>201077594</v>
      </c>
      <c r="E8" s="524">
        <v>4569030376</v>
      </c>
      <c r="F8" s="523">
        <v>0.23871855385086385</v>
      </c>
      <c r="G8" s="228">
        <v>457153.94900000002</v>
      </c>
      <c r="H8" s="544">
        <v>0.11117891238125965</v>
      </c>
    </row>
    <row r="9" spans="1:8" ht="20" customHeight="1" thickBot="1">
      <c r="A9" s="171" t="s">
        <v>1605</v>
      </c>
      <c r="B9" s="153">
        <v>914797488</v>
      </c>
      <c r="C9" s="228">
        <v>1085914193</v>
      </c>
      <c r="D9" s="153">
        <v>191588845</v>
      </c>
      <c r="E9" s="524">
        <v>2192300520</v>
      </c>
      <c r="F9" s="523">
        <v>0.11454132861315361</v>
      </c>
      <c r="G9" s="228">
        <v>50925.228999999999</v>
      </c>
      <c r="H9" s="544">
        <v>2.378155254430836E-2</v>
      </c>
    </row>
    <row r="10" spans="1:8" ht="20" customHeight="1" thickBot="1">
      <c r="A10" s="171" t="s">
        <v>1606</v>
      </c>
      <c r="B10" s="153">
        <v>584639732</v>
      </c>
      <c r="C10" s="228">
        <v>748666133</v>
      </c>
      <c r="D10" s="153">
        <v>65419376</v>
      </c>
      <c r="E10" s="524">
        <v>1398725239</v>
      </c>
      <c r="F10" s="523">
        <v>7.3079327299439237E-2</v>
      </c>
      <c r="G10" s="228">
        <v>50800.620999999999</v>
      </c>
      <c r="H10" s="544">
        <v>3.7688028189125422E-2</v>
      </c>
    </row>
    <row r="11" spans="1:8" ht="20" customHeight="1" thickBot="1">
      <c r="A11" s="171" t="s">
        <v>1607</v>
      </c>
      <c r="B11" s="153">
        <v>1131872120</v>
      </c>
      <c r="C11" s="228">
        <v>1517760800</v>
      </c>
      <c r="D11" s="153">
        <v>100564132</v>
      </c>
      <c r="E11" s="524">
        <v>2750197051</v>
      </c>
      <c r="F11" s="523">
        <v>0.14368980041546356</v>
      </c>
      <c r="G11" s="228">
        <v>148140.035</v>
      </c>
      <c r="H11" s="544">
        <v>5.6931894300966457E-2</v>
      </c>
    </row>
    <row r="12" spans="1:8" ht="20" customHeight="1" thickBot="1">
      <c r="A12" s="171" t="s">
        <v>4</v>
      </c>
      <c r="B12" s="153">
        <v>409985696</v>
      </c>
      <c r="C12" s="228">
        <v>1158500108</v>
      </c>
      <c r="D12" s="153">
        <v>4406733</v>
      </c>
      <c r="E12" s="524">
        <v>1572892536</v>
      </c>
      <c r="F12" s="523">
        <v>8.2179062220517352E-2</v>
      </c>
      <c r="G12" s="228">
        <v>95117.437000000005</v>
      </c>
      <c r="H12" s="544">
        <v>6.4365299607745063E-2</v>
      </c>
    </row>
    <row r="13" spans="1:8" ht="20" customHeight="1" thickBot="1">
      <c r="A13" s="171" t="s">
        <v>1608</v>
      </c>
      <c r="B13" s="153">
        <v>117508363</v>
      </c>
      <c r="C13" s="228">
        <v>245993235</v>
      </c>
      <c r="D13" s="153">
        <v>1652141</v>
      </c>
      <c r="E13" s="524">
        <v>365153734</v>
      </c>
      <c r="F13" s="523">
        <v>1.9078221009779298E-2</v>
      </c>
      <c r="G13" s="228">
        <v>45033.292999999998</v>
      </c>
      <c r="H13" s="544">
        <v>0.14067609322080132</v>
      </c>
    </row>
    <row r="14" spans="1:8" ht="20" customHeight="1" thickBot="1">
      <c r="A14" s="171" t="s">
        <v>1609</v>
      </c>
      <c r="B14" s="153">
        <v>167883286</v>
      </c>
      <c r="C14" s="228">
        <v>311615774</v>
      </c>
      <c r="D14" s="153">
        <v>25904789</v>
      </c>
      <c r="E14" s="524">
        <v>505403850</v>
      </c>
      <c r="F14" s="523">
        <v>2.6405881829195111E-2</v>
      </c>
      <c r="G14" s="228">
        <v>14031.995000000001</v>
      </c>
      <c r="H14" s="544">
        <v>2.8556773973144933E-2</v>
      </c>
    </row>
    <row r="15" spans="1:8" ht="20" customHeight="1" thickBot="1">
      <c r="A15" s="171" t="s">
        <v>1610</v>
      </c>
      <c r="B15" s="153">
        <v>201191553</v>
      </c>
      <c r="C15" s="228">
        <v>354662006</v>
      </c>
      <c r="D15" s="153">
        <v>35417287</v>
      </c>
      <c r="E15" s="524">
        <v>591270845</v>
      </c>
      <c r="F15" s="523">
        <v>3.0892182681470155E-2</v>
      </c>
      <c r="G15" s="228">
        <v>110782.93799999999</v>
      </c>
      <c r="H15" s="544">
        <v>0.23056342602187496</v>
      </c>
    </row>
    <row r="16" spans="1:8" ht="20" customHeight="1" thickBot="1">
      <c r="A16" s="171" t="s">
        <v>1611</v>
      </c>
      <c r="B16" s="153">
        <v>26080773</v>
      </c>
      <c r="C16" s="228">
        <v>39023975</v>
      </c>
      <c r="D16" s="153">
        <v>3139469</v>
      </c>
      <c r="E16" s="524">
        <v>68244216</v>
      </c>
      <c r="F16" s="523">
        <v>3.5655618832782267E-3</v>
      </c>
      <c r="G16" s="228">
        <v>3237.0120000000002</v>
      </c>
      <c r="H16" s="544">
        <v>4.9794665834266505E-2</v>
      </c>
    </row>
    <row r="17" spans="1:8" ht="20" customHeight="1" thickBot="1">
      <c r="A17" s="171" t="s">
        <v>1612</v>
      </c>
      <c r="B17" s="153">
        <v>114565415</v>
      </c>
      <c r="C17" s="228">
        <v>121579268</v>
      </c>
      <c r="D17" s="153">
        <v>23808286</v>
      </c>
      <c r="E17" s="524">
        <v>259952971</v>
      </c>
      <c r="F17" s="523">
        <v>1.3581786987523312E-2</v>
      </c>
      <c r="G17" s="228">
        <v>45433.442999999999</v>
      </c>
      <c r="H17" s="544">
        <v>0.21179164164485753</v>
      </c>
    </row>
    <row r="18" spans="1:8" ht="20" customHeight="1" thickBot="1">
      <c r="A18" s="171" t="s">
        <v>5</v>
      </c>
      <c r="B18" s="153">
        <v>30638490</v>
      </c>
      <c r="C18" s="228">
        <v>39862888</v>
      </c>
      <c r="D18" s="153">
        <v>8995156</v>
      </c>
      <c r="E18" s="524">
        <v>79496534</v>
      </c>
      <c r="F18" s="523">
        <v>4.1534627855220954E-3</v>
      </c>
      <c r="G18" s="228">
        <v>-33249.83</v>
      </c>
      <c r="H18" s="544">
        <v>-0.29490822426876662</v>
      </c>
    </row>
    <row r="19" spans="1:8" ht="20" customHeight="1" thickBot="1">
      <c r="A19" s="152" t="s">
        <v>1613</v>
      </c>
      <c r="B19" s="153">
        <v>5610603</v>
      </c>
      <c r="C19" s="228">
        <v>16372436</v>
      </c>
      <c r="D19" s="153">
        <v>3693573</v>
      </c>
      <c r="E19" s="524">
        <v>25676613</v>
      </c>
      <c r="F19" s="523">
        <v>1.3415283810203958E-3</v>
      </c>
      <c r="G19" s="228">
        <v>-4654.5140000000001</v>
      </c>
      <c r="H19" s="544">
        <v>-0.15345667834894494</v>
      </c>
    </row>
    <row r="20" spans="1:8" ht="20" customHeight="1" thickBot="1">
      <c r="A20" s="171" t="s">
        <v>1614</v>
      </c>
      <c r="B20" s="153">
        <v>104924508</v>
      </c>
      <c r="C20" s="228">
        <v>157374063</v>
      </c>
      <c r="D20" s="153">
        <v>54518153</v>
      </c>
      <c r="E20" s="524">
        <v>316816724</v>
      </c>
      <c r="F20" s="523">
        <v>1.6552752764856703E-2</v>
      </c>
      <c r="G20" s="228">
        <v>7619.732</v>
      </c>
      <c r="H20" s="544">
        <v>2.464361619662836E-2</v>
      </c>
    </row>
    <row r="21" spans="1:8" ht="20" customHeight="1" thickBot="1">
      <c r="A21" s="171" t="s">
        <v>6</v>
      </c>
      <c r="B21" s="153">
        <v>29438153</v>
      </c>
      <c r="C21" s="228">
        <v>32650387</v>
      </c>
      <c r="D21" s="153">
        <v>4867625</v>
      </c>
      <c r="E21" s="524">
        <v>66956165</v>
      </c>
      <c r="F21" s="523">
        <v>3.4982649632093023E-3</v>
      </c>
      <c r="G21" s="228">
        <v>19659.466</v>
      </c>
      <c r="H21" s="544">
        <v>0.41566253915521667</v>
      </c>
    </row>
    <row r="22" spans="1:8" ht="30" customHeight="1" thickBot="1">
      <c r="A22" s="525" t="s">
        <v>1615</v>
      </c>
      <c r="B22" s="526">
        <v>7262290138</v>
      </c>
      <c r="C22" s="527">
        <v>10676870573</v>
      </c>
      <c r="D22" s="526">
        <v>1200660231</v>
      </c>
      <c r="E22" s="484">
        <v>19139820941</v>
      </c>
      <c r="F22" s="528">
        <v>1</v>
      </c>
      <c r="G22" s="527">
        <v>1215701.5859999999</v>
      </c>
      <c r="H22" s="528">
        <v>6.7824899060431321E-2</v>
      </c>
    </row>
    <row r="23" spans="1:8" ht="14.25" customHeight="1">
      <c r="A23" s="529"/>
      <c r="B23" s="354"/>
      <c r="C23" s="354"/>
      <c r="D23" s="354"/>
      <c r="E23" s="355"/>
      <c r="F23" s="530"/>
      <c r="G23" s="354"/>
      <c r="H23" s="530"/>
    </row>
    <row r="24" spans="1:8" ht="30" customHeight="1" thickBot="1">
      <c r="A24" s="531" t="s">
        <v>1616</v>
      </c>
      <c r="B24" s="532" t="s">
        <v>1300</v>
      </c>
      <c r="C24" s="533">
        <v>441183765</v>
      </c>
      <c r="D24" s="532">
        <v>2299567</v>
      </c>
      <c r="E24" s="534">
        <v>443483334</v>
      </c>
      <c r="F24" s="535">
        <v>2.3170714886365559E-2</v>
      </c>
      <c r="G24" s="533">
        <v>48106.714999999997</v>
      </c>
      <c r="H24" s="535">
        <v>0.12167314071750912</v>
      </c>
    </row>
    <row r="25" spans="1:8" ht="33" customHeight="1" thickBot="1">
      <c r="A25" s="536" t="s">
        <v>7</v>
      </c>
      <c r="B25" s="537">
        <v>123647366</v>
      </c>
      <c r="C25" s="538">
        <v>129159173</v>
      </c>
      <c r="D25" s="537">
        <v>6607509</v>
      </c>
      <c r="E25" s="539">
        <v>259414051</v>
      </c>
      <c r="F25" s="540">
        <v>1.3553629984296309E-2</v>
      </c>
      <c r="G25" s="538" t="s">
        <v>1300</v>
      </c>
      <c r="H25" s="540" t="s">
        <v>1300</v>
      </c>
    </row>
    <row r="26" spans="1:8" ht="20" customHeight="1">
      <c r="A26" s="155" t="s">
        <v>146</v>
      </c>
      <c r="B26" s="489"/>
      <c r="C26" s="489"/>
      <c r="D26" s="489"/>
      <c r="E26" s="489"/>
      <c r="F26" s="489"/>
    </row>
    <row r="27" spans="1:8" ht="12" customHeight="1">
      <c r="A27" s="4"/>
      <c r="B27" s="491"/>
      <c r="C27" s="491"/>
      <c r="D27" s="491"/>
      <c r="E27" s="491"/>
      <c r="F27" s="491"/>
    </row>
    <row r="28" spans="1:8">
      <c r="A28" s="4" t="s">
        <v>1617</v>
      </c>
    </row>
    <row r="29" spans="1:8">
      <c r="A29" s="4" t="s">
        <v>0</v>
      </c>
    </row>
    <row r="30" spans="1:8">
      <c r="A30" s="493" t="s">
        <v>1</v>
      </c>
    </row>
    <row r="32" spans="1:8">
      <c r="A32" s="4" t="s">
        <v>10</v>
      </c>
      <c r="B32" s="4"/>
    </row>
    <row r="33" spans="1:2" ht="14">
      <c r="A33" s="546"/>
      <c r="B33" s="4"/>
    </row>
    <row r="34" spans="1:2">
      <c r="A34" s="4"/>
      <c r="B34" s="4"/>
    </row>
    <row r="35" spans="1:2">
      <c r="A35" s="4" t="s">
        <v>104</v>
      </c>
      <c r="B35" s="4"/>
    </row>
    <row r="36" spans="1:2">
      <c r="A36" s="4"/>
      <c r="B36" s="4"/>
    </row>
    <row r="37" spans="1:2">
      <c r="A37" s="4"/>
      <c r="B37" s="4"/>
    </row>
  </sheetData>
  <phoneticPr fontId="0" type="noConversion"/>
  <pageMargins left="0.49" right="0.5" top="0.71" bottom="0.46" header="0.35" footer="0.2"/>
  <pageSetup paperSize="9" scale="78" orientation="landscape" horizontalDpi="4294967292" verticalDpi="4294967292"/>
  <headerFooter alignWithMargins="0">
    <oddHeader>&amp;L&amp;"Arial,Bold"Versicherte und Finanzen in der OKP</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D623C-8262-264B-931D-1C61675D1EC4}">
  <sheetPr>
    <pageSetUpPr fitToPage="1"/>
  </sheetPr>
  <dimension ref="A1:V53"/>
  <sheetViews>
    <sheetView topLeftCell="A22" zoomScale="75" workbookViewId="0">
      <selection activeCell="I36" sqref="I36"/>
    </sheetView>
  </sheetViews>
  <sheetFormatPr baseColWidth="10" defaultColWidth="11.3984375" defaultRowHeight="13"/>
  <cols>
    <col min="1" max="1" width="11.796875" style="2" customWidth="1"/>
    <col min="2" max="2" width="17" style="2" customWidth="1"/>
    <col min="3" max="3" width="13" style="487" customWidth="1"/>
    <col min="4" max="4" width="13" style="2" customWidth="1"/>
    <col min="5" max="5" width="14" style="487" customWidth="1"/>
    <col min="6" max="6" width="13" style="2" customWidth="1"/>
    <col min="7" max="7" width="13" style="487" customWidth="1"/>
    <col min="8" max="8" width="13" style="2" customWidth="1"/>
    <col min="9" max="9" width="15.3984375" style="2" customWidth="1"/>
    <col min="10" max="12" width="13" style="2" customWidth="1"/>
    <col min="13" max="13" width="14.19921875" style="2" customWidth="1"/>
    <col min="14" max="14" width="13" style="2" customWidth="1"/>
    <col min="15" max="15" width="14.796875" style="2" customWidth="1"/>
    <col min="16" max="16" width="13" style="2" customWidth="1"/>
    <col min="17" max="16384" width="11.3984375" style="2"/>
  </cols>
  <sheetData>
    <row r="1" spans="1:22" s="1" customFormat="1" ht="14" customHeight="1">
      <c r="A1" s="591"/>
      <c r="B1" s="591"/>
      <c r="C1" s="778"/>
      <c r="D1" s="591"/>
      <c r="E1" s="778"/>
      <c r="F1" s="591"/>
      <c r="G1" s="779"/>
      <c r="H1" s="779"/>
      <c r="I1" s="779"/>
      <c r="J1" s="779"/>
      <c r="K1" s="779"/>
      <c r="L1" s="779"/>
      <c r="M1" s="779"/>
      <c r="N1" s="779"/>
      <c r="O1" s="779"/>
      <c r="P1" s="779"/>
      <c r="Q1" s="779"/>
      <c r="R1" s="779"/>
      <c r="S1" s="779"/>
      <c r="T1" s="779"/>
      <c r="U1" s="779"/>
    </row>
    <row r="2" spans="1:22" s="1" customFormat="1" ht="28" customHeight="1">
      <c r="A2" s="178" t="s">
        <v>1429</v>
      </c>
      <c r="B2" s="591"/>
      <c r="C2" s="778"/>
      <c r="D2" s="591"/>
      <c r="E2" s="778"/>
      <c r="F2" s="591"/>
      <c r="G2" s="778"/>
      <c r="N2" s="592">
        <v>2004</v>
      </c>
    </row>
    <row r="3" spans="1:22" ht="24" customHeight="1">
      <c r="A3" s="139" t="s">
        <v>1346</v>
      </c>
      <c r="B3" s="321" t="s">
        <v>754</v>
      </c>
      <c r="C3" s="141" t="s">
        <v>451</v>
      </c>
      <c r="D3" s="164"/>
      <c r="E3" s="555"/>
      <c r="F3" s="164"/>
      <c r="G3" s="555"/>
      <c r="H3" s="164"/>
      <c r="I3" s="555"/>
      <c r="J3" s="164"/>
      <c r="K3" s="555"/>
      <c r="L3" s="164"/>
      <c r="M3" s="555"/>
      <c r="N3" s="164"/>
      <c r="O3"/>
    </row>
    <row r="4" spans="1:22" ht="15" customHeight="1">
      <c r="A4" s="165"/>
      <c r="B4" s="323" t="s">
        <v>809</v>
      </c>
      <c r="C4" s="144" t="s">
        <v>486</v>
      </c>
      <c r="D4" s="780" t="s">
        <v>202</v>
      </c>
      <c r="E4" s="781" t="s">
        <v>202</v>
      </c>
      <c r="F4" s="780" t="s">
        <v>202</v>
      </c>
      <c r="G4" s="781" t="s">
        <v>202</v>
      </c>
      <c r="H4" s="780" t="s">
        <v>202</v>
      </c>
      <c r="I4" s="781" t="s">
        <v>202</v>
      </c>
      <c r="J4" s="780" t="s">
        <v>202</v>
      </c>
      <c r="K4" s="781" t="s">
        <v>202</v>
      </c>
      <c r="L4" s="780" t="s">
        <v>202</v>
      </c>
      <c r="M4" s="781" t="s">
        <v>202</v>
      </c>
      <c r="N4" s="780" t="s">
        <v>202</v>
      </c>
      <c r="O4"/>
    </row>
    <row r="5" spans="1:22" ht="15" customHeight="1">
      <c r="A5" s="165"/>
      <c r="B5" s="166"/>
      <c r="C5" s="144" t="s">
        <v>454</v>
      </c>
      <c r="D5" s="780" t="s">
        <v>547</v>
      </c>
      <c r="E5" s="781" t="s">
        <v>548</v>
      </c>
      <c r="F5" s="780" t="s">
        <v>549</v>
      </c>
      <c r="G5" s="781" t="s">
        <v>549</v>
      </c>
      <c r="H5" s="780" t="s">
        <v>1608</v>
      </c>
      <c r="I5" s="781" t="s">
        <v>1609</v>
      </c>
      <c r="J5" s="780" t="s">
        <v>1610</v>
      </c>
      <c r="K5" s="781" t="s">
        <v>1611</v>
      </c>
      <c r="L5" s="780" t="s">
        <v>550</v>
      </c>
      <c r="M5" s="781" t="s">
        <v>551</v>
      </c>
      <c r="N5" s="780" t="s">
        <v>552</v>
      </c>
      <c r="O5"/>
    </row>
    <row r="6" spans="1:22" s="4" customFormat="1" ht="19.5" customHeight="1">
      <c r="A6" s="782"/>
      <c r="B6" s="363"/>
      <c r="C6" s="783"/>
      <c r="D6" s="784" t="s">
        <v>553</v>
      </c>
      <c r="E6" s="785" t="s">
        <v>553</v>
      </c>
      <c r="F6" s="784" t="s">
        <v>554</v>
      </c>
      <c r="G6" s="785" t="s">
        <v>555</v>
      </c>
      <c r="H6" s="784"/>
      <c r="I6" s="785"/>
      <c r="J6" s="784"/>
      <c r="K6" s="785"/>
      <c r="L6" s="784" t="s">
        <v>556</v>
      </c>
      <c r="M6" s="785" t="s">
        <v>557</v>
      </c>
      <c r="N6" s="784" t="s">
        <v>558</v>
      </c>
      <c r="O6"/>
    </row>
    <row r="7" spans="1:22" ht="19.5" customHeight="1">
      <c r="A7" s="167"/>
      <c r="B7" s="168"/>
      <c r="C7" s="557"/>
      <c r="D7" s="363"/>
      <c r="E7" s="783"/>
      <c r="F7" s="363"/>
      <c r="G7" s="783"/>
      <c r="H7" s="363"/>
      <c r="I7" s="783"/>
      <c r="J7" s="363"/>
      <c r="K7" s="557"/>
      <c r="L7" s="363"/>
      <c r="M7" s="783"/>
      <c r="N7" s="363"/>
      <c r="O7"/>
    </row>
    <row r="8" spans="1:22" ht="20" customHeight="1" thickBot="1">
      <c r="A8" s="169">
        <v>1996</v>
      </c>
      <c r="B8" s="149">
        <v>1141.7516401488424</v>
      </c>
      <c r="C8" s="150">
        <v>0.10634844182252187</v>
      </c>
      <c r="D8" s="330" t="s">
        <v>1300</v>
      </c>
      <c r="E8" s="381" t="s">
        <v>1300</v>
      </c>
      <c r="F8" s="330" t="s">
        <v>1300</v>
      </c>
      <c r="G8" s="381" t="s">
        <v>1300</v>
      </c>
      <c r="H8" s="330" t="s">
        <v>1300</v>
      </c>
      <c r="I8" s="381" t="s">
        <v>1300</v>
      </c>
      <c r="J8" s="330" t="s">
        <v>1300</v>
      </c>
      <c r="K8" s="225">
        <v>7.9057602247415275</v>
      </c>
      <c r="L8" s="330" t="s">
        <v>1300</v>
      </c>
      <c r="M8" s="381" t="s">
        <v>1300</v>
      </c>
      <c r="N8" s="330" t="s">
        <v>1300</v>
      </c>
      <c r="O8"/>
    </row>
    <row r="9" spans="1:22" ht="20" customHeight="1" thickBot="1">
      <c r="A9" s="171">
        <v>1997</v>
      </c>
      <c r="B9" s="153">
        <v>1210.7956888559779</v>
      </c>
      <c r="C9" s="154">
        <v>6.0472038120422331E-2</v>
      </c>
      <c r="D9" s="330" t="s">
        <v>1300</v>
      </c>
      <c r="E9" s="381" t="s">
        <v>1300</v>
      </c>
      <c r="F9" s="330" t="s">
        <v>1300</v>
      </c>
      <c r="G9" s="381" t="s">
        <v>1300</v>
      </c>
      <c r="H9" s="330" t="s">
        <v>1300</v>
      </c>
      <c r="I9" s="381" t="s">
        <v>1300</v>
      </c>
      <c r="J9" s="330" t="s">
        <v>1300</v>
      </c>
      <c r="K9" s="228">
        <v>7.7978545504694852</v>
      </c>
      <c r="L9" s="330" t="s">
        <v>1300</v>
      </c>
      <c r="M9" s="381" t="s">
        <v>1300</v>
      </c>
      <c r="N9" s="330" t="s">
        <v>1300</v>
      </c>
      <c r="O9"/>
      <c r="T9" s="10"/>
      <c r="U9" s="10"/>
      <c r="V9" s="10"/>
    </row>
    <row r="10" spans="1:22" ht="20" customHeight="1" thickBot="1">
      <c r="A10" s="171">
        <v>1998</v>
      </c>
      <c r="B10" s="153">
        <v>1287.5152367980425</v>
      </c>
      <c r="C10" s="154">
        <v>6.3362917995316875E-2</v>
      </c>
      <c r="D10" s="153">
        <v>517.08722356569945</v>
      </c>
      <c r="E10" s="228">
        <v>179.73118406401895</v>
      </c>
      <c r="F10" s="153">
        <v>128.82344363458725</v>
      </c>
      <c r="G10" s="228">
        <v>246.60475956539489</v>
      </c>
      <c r="H10" s="153">
        <v>30.898367588899543</v>
      </c>
      <c r="I10" s="228">
        <v>57.626276401121707</v>
      </c>
      <c r="J10" s="153">
        <v>54.838152951679106</v>
      </c>
      <c r="K10" s="228">
        <v>7.7670138646025997</v>
      </c>
      <c r="L10" s="153">
        <v>14.400016113449723</v>
      </c>
      <c r="M10" s="228">
        <v>12.029904244997278</v>
      </c>
      <c r="N10" s="330" t="s">
        <v>1300</v>
      </c>
      <c r="O10"/>
    </row>
    <row r="11" spans="1:22" ht="20" customHeight="1" thickBot="1">
      <c r="A11" s="171">
        <v>1999</v>
      </c>
      <c r="B11" s="153">
        <v>1352.3238940325609</v>
      </c>
      <c r="C11" s="154">
        <v>5.0336225453683124E-2</v>
      </c>
      <c r="D11" s="153">
        <v>518.06404538945253</v>
      </c>
      <c r="E11" s="228">
        <v>204.30235377691758</v>
      </c>
      <c r="F11" s="153">
        <v>141.98928952923086</v>
      </c>
      <c r="G11" s="228">
        <v>257.76112793251912</v>
      </c>
      <c r="H11" s="153">
        <v>32.377196611204184</v>
      </c>
      <c r="I11" s="228">
        <v>60.164859890561303</v>
      </c>
      <c r="J11" s="153">
        <v>56.955626988052352</v>
      </c>
      <c r="K11" s="228">
        <v>8.3396017963997693</v>
      </c>
      <c r="L11" s="153">
        <v>17.207653607620909</v>
      </c>
      <c r="M11" s="228">
        <v>12.096551120520457</v>
      </c>
      <c r="N11" s="330" t="s">
        <v>1300</v>
      </c>
      <c r="O11"/>
    </row>
    <row r="12" spans="1:22" ht="20" customHeight="1" thickBot="1">
      <c r="A12" s="171">
        <v>2000</v>
      </c>
      <c r="B12" s="153">
        <v>1450.5580412847301</v>
      </c>
      <c r="C12" s="154">
        <v>7.2640990583431833E-2</v>
      </c>
      <c r="D12" s="153">
        <v>529.21209403653847</v>
      </c>
      <c r="E12" s="228">
        <v>229.20515647050519</v>
      </c>
      <c r="F12" s="153">
        <v>157.29094134638285</v>
      </c>
      <c r="G12" s="228">
        <v>288.62612926522451</v>
      </c>
      <c r="H12" s="153">
        <v>34.826324886892891</v>
      </c>
      <c r="I12" s="228">
        <v>61.466051770535699</v>
      </c>
      <c r="J12" s="153">
        <v>60.915877179090963</v>
      </c>
      <c r="K12" s="228">
        <v>8.5704340508833727</v>
      </c>
      <c r="L12" s="153">
        <v>24.747916343049795</v>
      </c>
      <c r="M12" s="228">
        <v>15.759969543668223</v>
      </c>
      <c r="N12" s="330" t="s">
        <v>1300</v>
      </c>
      <c r="O12"/>
    </row>
    <row r="13" spans="1:22" ht="20" customHeight="1" thickBot="1">
      <c r="A13" s="171">
        <v>2001</v>
      </c>
      <c r="B13" s="153">
        <v>1544.5438256962198</v>
      </c>
      <c r="C13" s="154">
        <v>6.4792846433258458E-2</v>
      </c>
      <c r="D13" s="153">
        <v>547.93048954371</v>
      </c>
      <c r="E13" s="228">
        <v>263.00336757731259</v>
      </c>
      <c r="F13" s="153">
        <v>173.66492025240916</v>
      </c>
      <c r="G13" s="228">
        <v>306.29039074687279</v>
      </c>
      <c r="H13" s="153">
        <v>36.922691051450379</v>
      </c>
      <c r="I13" s="228">
        <v>65.579901866980492</v>
      </c>
      <c r="J13" s="153">
        <v>63.200603254591712</v>
      </c>
      <c r="K13" s="228">
        <v>8.9105646316009732</v>
      </c>
      <c r="L13" s="153">
        <v>23.632961253943467</v>
      </c>
      <c r="M13" s="228">
        <v>14.523380110628091</v>
      </c>
      <c r="N13" s="153">
        <v>2.7544551934653021</v>
      </c>
      <c r="O13"/>
    </row>
    <row r="14" spans="1:22" ht="20" customHeight="1" thickBot="1">
      <c r="A14" s="171">
        <v>2002</v>
      </c>
      <c r="B14" s="153">
        <v>1612.1984028513327</v>
      </c>
      <c r="C14" s="154">
        <v>4.380230332707908E-2</v>
      </c>
      <c r="D14" s="153">
        <v>558.31222748158302</v>
      </c>
      <c r="E14" s="228">
        <v>267.96592436983354</v>
      </c>
      <c r="F14" s="153">
        <v>171.31766517899302</v>
      </c>
      <c r="G14" s="228">
        <v>343.05735073610293</v>
      </c>
      <c r="H14" s="153">
        <v>39.414484130084595</v>
      </c>
      <c r="I14" s="228">
        <v>68.789361582147379</v>
      </c>
      <c r="J14" s="153">
        <v>65.977396962917311</v>
      </c>
      <c r="K14" s="228">
        <v>8.860990859945117</v>
      </c>
      <c r="L14" s="153">
        <v>27.566996337319864</v>
      </c>
      <c r="M14" s="228">
        <v>15.331079243929334</v>
      </c>
      <c r="N14" s="153">
        <v>3.0278836557230142</v>
      </c>
      <c r="O14"/>
    </row>
    <row r="15" spans="1:22" ht="20" customHeight="1" thickBot="1">
      <c r="A15" s="171">
        <v>2003</v>
      </c>
      <c r="B15" s="153">
        <v>1661.9584311936878</v>
      </c>
      <c r="C15" s="154">
        <v>3.0864705146928292E-2</v>
      </c>
      <c r="D15" s="153">
        <v>564.30768458748776</v>
      </c>
      <c r="E15" s="228">
        <v>289.64166622030979</v>
      </c>
      <c r="F15" s="153">
        <v>182.31980818017882</v>
      </c>
      <c r="G15" s="228">
        <v>351.95331378019876</v>
      </c>
      <c r="H15" s="153">
        <v>43.29937788677902</v>
      </c>
      <c r="I15" s="228">
        <v>66.462783713872824</v>
      </c>
      <c r="J15" s="153">
        <v>64.990624748078901</v>
      </c>
      <c r="K15" s="228">
        <v>8.7928514735456478</v>
      </c>
      <c r="L15" s="153">
        <v>29.015835658446669</v>
      </c>
      <c r="M15" s="228">
        <v>15.25003340913284</v>
      </c>
      <c r="N15" s="153">
        <v>4.1025775348875211</v>
      </c>
      <c r="O15"/>
    </row>
    <row r="16" spans="1:22" s="205" customFormat="1" ht="30" customHeight="1">
      <c r="A16" s="488">
        <v>2004</v>
      </c>
      <c r="B16" s="392">
        <v>1742.7206434955165</v>
      </c>
      <c r="C16" s="786">
        <v>4.8594604284910935E-2</v>
      </c>
      <c r="D16" s="392">
        <v>589.98907314230485</v>
      </c>
      <c r="E16" s="585">
        <v>295.45932640734321</v>
      </c>
      <c r="F16" s="392">
        <v>188.50810514969459</v>
      </c>
      <c r="G16" s="585">
        <v>370.64780159607028</v>
      </c>
      <c r="H16" s="595">
        <v>49.212265972899637</v>
      </c>
      <c r="I16" s="585">
        <v>68.113965089365536</v>
      </c>
      <c r="J16" s="595">
        <v>79.686376933396261</v>
      </c>
      <c r="K16" s="585">
        <v>9.1973659206892098</v>
      </c>
      <c r="L16" s="595">
        <v>35.034215888088021</v>
      </c>
      <c r="M16" s="585">
        <v>10.713856140196718</v>
      </c>
      <c r="N16" s="595">
        <v>3.4604720986892947</v>
      </c>
      <c r="O16"/>
      <c r="P16" s="787"/>
      <c r="Q16" s="788"/>
    </row>
    <row r="17" spans="1:17" ht="19.5" customHeight="1" thickBot="1">
      <c r="A17" s="231"/>
      <c r="B17" s="789"/>
      <c r="C17" s="790"/>
      <c r="D17" s="789"/>
      <c r="E17" s="790"/>
      <c r="F17" s="789"/>
      <c r="G17" s="790"/>
      <c r="P17" s="5"/>
      <c r="Q17" s="5"/>
    </row>
    <row r="18" spans="1:17" ht="23.25" customHeight="1" thickBot="1">
      <c r="A18" s="432" t="s">
        <v>1430</v>
      </c>
      <c r="B18" s="791">
        <v>1875.8870513135162</v>
      </c>
      <c r="C18" s="792">
        <v>7.6412939913821767E-2</v>
      </c>
      <c r="D18" s="791">
        <v>626.78696331525805</v>
      </c>
      <c r="E18" s="793">
        <v>317.47604325243321</v>
      </c>
      <c r="F18" s="791">
        <v>191.0845338683979</v>
      </c>
      <c r="G18" s="793">
        <v>392.46608701909855</v>
      </c>
      <c r="H18" s="791">
        <v>51.758541526168266</v>
      </c>
      <c r="I18" s="793">
        <v>72.459289299538398</v>
      </c>
      <c r="J18" s="791">
        <v>86.869880610093574</v>
      </c>
      <c r="K18" s="793">
        <v>9.8284807982274991</v>
      </c>
      <c r="L18" s="791">
        <v>34.615682966127721</v>
      </c>
      <c r="M18" s="793" t="s">
        <v>1300</v>
      </c>
      <c r="N18" s="791" t="s">
        <v>1300</v>
      </c>
      <c r="P18" s="5"/>
      <c r="Q18" s="5"/>
    </row>
    <row r="19" spans="1:17" ht="24.75" customHeight="1" thickBot="1">
      <c r="A19" s="794" t="s">
        <v>1431</v>
      </c>
      <c r="B19" s="537">
        <v>1964.7917664366091</v>
      </c>
      <c r="C19" s="795">
        <v>4.7393426518318856E-2</v>
      </c>
      <c r="D19" s="537">
        <v>656.01531734169566</v>
      </c>
      <c r="E19" s="796">
        <v>332.49517839454757</v>
      </c>
      <c r="F19" s="537">
        <v>198.19409889193167</v>
      </c>
      <c r="G19" s="796">
        <v>412.47616644568728</v>
      </c>
      <c r="H19" s="797">
        <v>53.829263163807788</v>
      </c>
      <c r="I19" s="796">
        <v>75.795539614579653</v>
      </c>
      <c r="J19" s="797">
        <v>92.170902402949366</v>
      </c>
      <c r="K19" s="796">
        <v>10.307623675463891</v>
      </c>
      <c r="L19" s="797">
        <v>36.407171438694178</v>
      </c>
      <c r="M19" s="796" t="s">
        <v>1300</v>
      </c>
      <c r="N19" s="797" t="s">
        <v>1300</v>
      </c>
    </row>
    <row r="20" spans="1:17" ht="39.75" customHeight="1">
      <c r="A20" s="231"/>
      <c r="B20" s="798"/>
      <c r="C20" s="790"/>
      <c r="D20" s="789"/>
      <c r="E20" s="790"/>
      <c r="F20" s="789"/>
      <c r="G20" s="790"/>
      <c r="P20" s="5"/>
      <c r="Q20" s="5"/>
    </row>
    <row r="21" spans="1:17" ht="19.5" customHeight="1">
      <c r="A21" s="139" t="s">
        <v>1250</v>
      </c>
      <c r="B21" s="323" t="s">
        <v>559</v>
      </c>
      <c r="C21" s="141" t="s">
        <v>451</v>
      </c>
      <c r="D21" s="164"/>
      <c r="E21" s="555"/>
      <c r="F21"/>
      <c r="G21" s="2"/>
      <c r="H21" s="321" t="s">
        <v>652</v>
      </c>
      <c r="I21" s="141" t="s">
        <v>451</v>
      </c>
    </row>
    <row r="22" spans="1:17" ht="16.5" customHeight="1">
      <c r="A22" s="165"/>
      <c r="B22" s="323" t="s">
        <v>809</v>
      </c>
      <c r="C22" s="144" t="s">
        <v>486</v>
      </c>
      <c r="D22" s="799" t="s">
        <v>202</v>
      </c>
      <c r="E22" s="800" t="s">
        <v>202</v>
      </c>
      <c r="F22"/>
      <c r="G22" s="2"/>
      <c r="H22" s="323" t="s">
        <v>527</v>
      </c>
      <c r="I22" s="144" t="s">
        <v>486</v>
      </c>
    </row>
    <row r="23" spans="1:17" ht="16.5" customHeight="1">
      <c r="A23" s="165"/>
      <c r="B23" s="166"/>
      <c r="C23" s="144" t="s">
        <v>454</v>
      </c>
      <c r="D23" s="799" t="s">
        <v>560</v>
      </c>
      <c r="E23" s="800" t="s">
        <v>561</v>
      </c>
      <c r="F23"/>
      <c r="G23" s="2"/>
      <c r="H23" s="166"/>
      <c r="I23" s="144" t="s">
        <v>454</v>
      </c>
    </row>
    <row r="24" spans="1:17" ht="15.75" customHeight="1">
      <c r="A24" s="782"/>
      <c r="B24" s="363"/>
      <c r="C24" s="783"/>
      <c r="D24" s="799" t="s">
        <v>562</v>
      </c>
      <c r="E24" s="800"/>
      <c r="F24"/>
      <c r="G24" s="2"/>
      <c r="H24" s="363"/>
      <c r="I24" s="783"/>
    </row>
    <row r="25" spans="1:17" ht="12" customHeight="1">
      <c r="A25" s="167"/>
      <c r="B25" s="168"/>
      <c r="C25" s="557"/>
      <c r="D25" s="801"/>
      <c r="E25" s="802"/>
      <c r="F25"/>
      <c r="G25" s="2"/>
      <c r="H25" s="168"/>
      <c r="I25" s="557"/>
    </row>
    <row r="26" spans="1:17" ht="19.5" customHeight="1" thickBot="1">
      <c r="A26" s="169">
        <v>1996</v>
      </c>
      <c r="B26" s="149">
        <v>589.92914393356</v>
      </c>
      <c r="C26" s="150">
        <v>7.9400703813924001E-2</v>
      </c>
      <c r="D26" s="330" t="s">
        <v>1300</v>
      </c>
      <c r="E26" s="381" t="s">
        <v>1300</v>
      </c>
      <c r="F26"/>
      <c r="G26" s="2"/>
      <c r="H26" s="149">
        <v>1731.6807840824024</v>
      </c>
      <c r="I26" s="150">
        <v>9.7018358352515099E-2</v>
      </c>
    </row>
    <row r="27" spans="1:17" ht="19.5" customHeight="1" thickBot="1">
      <c r="A27" s="171">
        <v>1997</v>
      </c>
      <c r="B27" s="153">
        <v>610.24833589590378</v>
      </c>
      <c r="C27" s="154">
        <v>3.4443444897226845E-2</v>
      </c>
      <c r="D27" s="153" t="s">
        <v>1300</v>
      </c>
      <c r="E27" s="228" t="s">
        <v>1300</v>
      </c>
      <c r="F27"/>
      <c r="G27" s="2"/>
      <c r="H27" s="153">
        <v>1821.0440247518818</v>
      </c>
      <c r="I27" s="154">
        <v>5.1604915577342945E-2</v>
      </c>
    </row>
    <row r="28" spans="1:17" ht="19.5" customHeight="1" thickBot="1">
      <c r="A28" s="171">
        <v>1998</v>
      </c>
      <c r="B28" s="153">
        <v>647.21517290986958</v>
      </c>
      <c r="C28" s="154">
        <v>6.0576710888846419E-2</v>
      </c>
      <c r="D28" s="153">
        <v>492.57629366651753</v>
      </c>
      <c r="E28" s="228">
        <v>150.60557185984666</v>
      </c>
      <c r="F28"/>
      <c r="G28" s="2"/>
      <c r="H28" s="153">
        <v>1934.7304097079118</v>
      </c>
      <c r="I28" s="154">
        <v>6.2429234774551826E-2</v>
      </c>
    </row>
    <row r="29" spans="1:17" ht="19.5" customHeight="1" thickBot="1">
      <c r="A29" s="171">
        <v>1999</v>
      </c>
      <c r="B29" s="153">
        <v>659.70969970002204</v>
      </c>
      <c r="C29" s="154">
        <v>1.9305058523237738E-2</v>
      </c>
      <c r="D29" s="153">
        <v>496.97008229783273</v>
      </c>
      <c r="E29" s="228">
        <v>160.97082873347873</v>
      </c>
      <c r="F29"/>
      <c r="G29" s="2"/>
      <c r="H29" s="153">
        <v>2012.0335937325824</v>
      </c>
      <c r="I29" s="154">
        <v>3.9955532634823855E-2</v>
      </c>
    </row>
    <row r="30" spans="1:17" ht="19.5" customHeight="1" thickBot="1">
      <c r="A30" s="171">
        <v>2000</v>
      </c>
      <c r="B30" s="153">
        <v>679.06373279109255</v>
      </c>
      <c r="C30" s="154">
        <v>2.9337196496991052E-2</v>
      </c>
      <c r="D30" s="153">
        <v>508.59028432559711</v>
      </c>
      <c r="E30" s="228">
        <v>167.1605611141602</v>
      </c>
      <c r="F30"/>
      <c r="G30" s="2"/>
      <c r="H30" s="153">
        <v>2129.6217740758225</v>
      </c>
      <c r="I30" s="154">
        <v>5.8442453798745381E-2</v>
      </c>
    </row>
    <row r="31" spans="1:17" ht="19.5" customHeight="1" thickBot="1">
      <c r="A31" s="171">
        <v>2001</v>
      </c>
      <c r="B31" s="153">
        <v>693.65019907019087</v>
      </c>
      <c r="C31" s="154">
        <v>2.1480261092938834E-2</v>
      </c>
      <c r="D31" s="153">
        <v>518.79047891443133</v>
      </c>
      <c r="E31" s="228">
        <v>171.80760254310479</v>
      </c>
      <c r="F31"/>
      <c r="G31" s="2"/>
      <c r="H31" s="153">
        <v>2238.1940247664106</v>
      </c>
      <c r="I31" s="154">
        <v>5.0981940555009819E-2</v>
      </c>
    </row>
    <row r="32" spans="1:17" ht="19.5" customHeight="1" thickBot="1">
      <c r="A32" s="171">
        <v>2002</v>
      </c>
      <c r="B32" s="153">
        <v>710.77204487071913</v>
      </c>
      <c r="C32" s="154">
        <v>2.4683689017143486E-2</v>
      </c>
      <c r="D32" s="153">
        <v>514.16607642099552</v>
      </c>
      <c r="E32" s="228">
        <v>189.19521099986207</v>
      </c>
      <c r="F32"/>
      <c r="G32" s="2"/>
      <c r="H32" s="153">
        <v>2322.9704477220521</v>
      </c>
      <c r="I32" s="154">
        <v>3.7877155428689503E-2</v>
      </c>
    </row>
    <row r="33" spans="1:9" ht="19.5" customHeight="1" thickBot="1">
      <c r="A33" s="171">
        <v>2003</v>
      </c>
      <c r="B33" s="153">
        <v>762.45162776869745</v>
      </c>
      <c r="C33" s="154">
        <v>7.2709082005860556E-2</v>
      </c>
      <c r="D33" s="153">
        <v>556.17095453274021</v>
      </c>
      <c r="E33" s="228">
        <v>199.88333841909605</v>
      </c>
      <c r="F33"/>
      <c r="G33" s="2"/>
      <c r="H33" s="153">
        <v>2424.4100589623854</v>
      </c>
      <c r="I33" s="154">
        <v>4.3668059290124364E-2</v>
      </c>
    </row>
    <row r="34" spans="1:9" ht="27" customHeight="1">
      <c r="A34" s="488">
        <v>2004</v>
      </c>
      <c r="B34" s="595">
        <v>836.77908803993114</v>
      </c>
      <c r="C34" s="786">
        <v>9.7484820760041946E-2</v>
      </c>
      <c r="D34" s="595">
        <v>615.77444557083356</v>
      </c>
      <c r="E34" s="585">
        <v>211.98086893565934</v>
      </c>
      <c r="F34" s="230"/>
      <c r="G34" s="4"/>
      <c r="H34" s="595">
        <v>2579.4997315354476</v>
      </c>
      <c r="I34" s="786">
        <v>6.3970066449665894E-2</v>
      </c>
    </row>
    <row r="35" spans="1:9" ht="19.5" customHeight="1" thickBot="1">
      <c r="A35" s="4"/>
      <c r="B35" s="789"/>
      <c r="C35" s="790"/>
      <c r="D35" s="789"/>
      <c r="E35" s="790"/>
      <c r="F35" s="789"/>
      <c r="G35" s="790"/>
    </row>
    <row r="36" spans="1:9" ht="21" customHeight="1" thickBot="1">
      <c r="A36" s="432" t="s">
        <v>1430</v>
      </c>
      <c r="B36" s="791">
        <v>865.38958490771677</v>
      </c>
      <c r="C36" s="792">
        <v>3.4191218777709621E-2</v>
      </c>
      <c r="D36" s="791">
        <v>653.23654352215544</v>
      </c>
      <c r="E36" s="793">
        <v>202.56332937460454</v>
      </c>
      <c r="F36" s="803"/>
      <c r="G36" s="545"/>
      <c r="H36" s="791">
        <v>2741.2766362212328</v>
      </c>
      <c r="I36" s="792">
        <v>6.2716387487075836E-2</v>
      </c>
    </row>
    <row r="37" spans="1:9" ht="21" customHeight="1" thickBot="1">
      <c r="A37" s="794" t="s">
        <v>1431</v>
      </c>
      <c r="B37" s="797">
        <v>900.6344189578798</v>
      </c>
      <c r="C37" s="795">
        <v>4.0727129913311198E-2</v>
      </c>
      <c r="D37" s="797">
        <v>681.52097945365313</v>
      </c>
      <c r="E37" s="796">
        <v>209.08941947519864</v>
      </c>
      <c r="F37" s="803"/>
      <c r="G37" s="545"/>
      <c r="H37" s="797">
        <v>2865.4261853944886</v>
      </c>
      <c r="I37" s="795">
        <v>4.5288953158843598E-2</v>
      </c>
    </row>
    <row r="38" spans="1:9" ht="17.25" customHeight="1">
      <c r="A38" s="155" t="s">
        <v>1756</v>
      </c>
      <c r="B38" s="789"/>
      <c r="C38" s="790"/>
      <c r="D38" s="789"/>
      <c r="E38" s="790"/>
      <c r="F38" s="789"/>
      <c r="G38" s="790"/>
    </row>
    <row r="39" spans="1:9" ht="14">
      <c r="A39" s="231"/>
      <c r="B39" s="789"/>
      <c r="C39" s="790"/>
      <c r="D39" s="789"/>
      <c r="E39" s="790"/>
      <c r="F39" s="789"/>
      <c r="G39" s="790"/>
    </row>
    <row r="40" spans="1:9" ht="14">
      <c r="A40" s="4" t="s">
        <v>563</v>
      </c>
      <c r="B40" s="789"/>
      <c r="C40" s="790"/>
      <c r="D40" s="789"/>
      <c r="E40" s="790"/>
      <c r="F40" s="789"/>
      <c r="G40" s="790"/>
    </row>
    <row r="41" spans="1:9" ht="14">
      <c r="A41" s="4" t="s">
        <v>564</v>
      </c>
      <c r="B41" s="789"/>
      <c r="C41" s="790"/>
      <c r="D41" s="789"/>
      <c r="E41" s="790"/>
      <c r="F41" s="789"/>
      <c r="G41" s="790"/>
    </row>
    <row r="42" spans="1:9" ht="14">
      <c r="B42" s="789"/>
      <c r="C42" s="790"/>
      <c r="D42" s="789"/>
      <c r="E42" s="790"/>
      <c r="F42" s="789"/>
      <c r="G42" s="790"/>
    </row>
    <row r="43" spans="1:9">
      <c r="A43" s="2" t="s">
        <v>1428</v>
      </c>
      <c r="B43" s="5"/>
      <c r="C43" s="804"/>
      <c r="D43" s="5"/>
      <c r="E43" s="804"/>
      <c r="F43" s="5"/>
      <c r="G43" s="804"/>
    </row>
    <row r="44" spans="1:9">
      <c r="A44" s="5"/>
      <c r="B44" s="5"/>
      <c r="C44" s="804"/>
      <c r="D44" s="5"/>
      <c r="E44" s="804"/>
      <c r="F44" s="5"/>
      <c r="G44" s="804"/>
    </row>
    <row r="46" spans="1:9">
      <c r="A46" s="2" t="s">
        <v>104</v>
      </c>
    </row>
    <row r="49" spans="2:5">
      <c r="B49"/>
      <c r="C49"/>
      <c r="D49"/>
      <c r="E49"/>
    </row>
    <row r="50" spans="2:5">
      <c r="B50"/>
      <c r="C50"/>
      <c r="D50"/>
      <c r="E50"/>
    </row>
    <row r="51" spans="2:5">
      <c r="B51"/>
      <c r="C51"/>
      <c r="D51"/>
      <c r="E51"/>
    </row>
    <row r="52" spans="2:5">
      <c r="B52"/>
      <c r="C52"/>
      <c r="D52"/>
      <c r="E52"/>
    </row>
    <row r="53" spans="2:5">
      <c r="B53"/>
      <c r="C53"/>
      <c r="D53"/>
      <c r="E53"/>
    </row>
  </sheetData>
  <phoneticPr fontId="0" type="noConversion"/>
  <pageMargins left="0.52" right="0.37" top="0.69" bottom="0.49" header="0.42" footer="0.4921259845"/>
  <pageSetup paperSize="9" scale="59" orientation="landscape" horizontalDpi="4294967292" verticalDpi="4294967292"/>
  <headerFooter alignWithMargins="0">
    <oddHeader>&amp;L&amp;"Arial,Bold"Versicherte und Finanzen in der OKP</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126AF-7FA9-A640-BDDC-E60F0F9DE75C}">
  <sheetPr>
    <pageSetUpPr fitToPage="1"/>
  </sheetPr>
  <dimension ref="A1:H35"/>
  <sheetViews>
    <sheetView zoomScale="75" workbookViewId="0">
      <selection activeCell="A3" sqref="A3"/>
    </sheetView>
  </sheetViews>
  <sheetFormatPr baseColWidth="10" defaultColWidth="11.3984375" defaultRowHeight="13"/>
  <cols>
    <col min="1" max="1" width="38.19921875" style="2" customWidth="1"/>
    <col min="2" max="4" width="15.19921875" style="2" customWidth="1"/>
    <col min="5" max="5" width="15.19921875" style="219" customWidth="1"/>
    <col min="6" max="7" width="15.19921875" style="2" customWidth="1"/>
    <col min="8" max="8" width="15.59765625" style="2" customWidth="1"/>
    <col min="9" max="16384" width="11.3984375" style="2"/>
  </cols>
  <sheetData>
    <row r="1" spans="1:8" s="1" customFormat="1" ht="14" customHeight="1">
      <c r="E1" s="20"/>
    </row>
    <row r="2" spans="1:8" s="1" customFormat="1" ht="30.75" customHeight="1">
      <c r="A2" s="445" t="s">
        <v>1602</v>
      </c>
      <c r="B2" s="519"/>
      <c r="C2" s="519"/>
      <c r="D2" s="519"/>
      <c r="E2" s="519"/>
      <c r="H2" s="178">
        <v>2004</v>
      </c>
    </row>
    <row r="3" spans="1:8" ht="24" customHeight="1">
      <c r="A3" s="139" t="s">
        <v>1603</v>
      </c>
      <c r="B3" s="164" t="s">
        <v>2063</v>
      </c>
      <c r="C3" s="141" t="s">
        <v>2064</v>
      </c>
      <c r="D3" s="164" t="s">
        <v>504</v>
      </c>
      <c r="E3" s="359" t="s">
        <v>652</v>
      </c>
      <c r="F3" s="164" t="s">
        <v>1509</v>
      </c>
      <c r="G3" s="141" t="s">
        <v>451</v>
      </c>
      <c r="H3" s="164" t="s">
        <v>451</v>
      </c>
    </row>
    <row r="4" spans="1:8" ht="15" customHeight="1">
      <c r="A4" s="165"/>
      <c r="B4" s="166"/>
      <c r="C4" s="144"/>
      <c r="D4" s="166"/>
      <c r="E4" s="520"/>
      <c r="F4" s="166" t="s">
        <v>529</v>
      </c>
      <c r="G4" s="144" t="s">
        <v>486</v>
      </c>
      <c r="H4" s="166" t="s">
        <v>486</v>
      </c>
    </row>
    <row r="5" spans="1:8" ht="15" customHeight="1">
      <c r="A5" s="165"/>
      <c r="B5" s="166"/>
      <c r="C5" s="144"/>
      <c r="D5" s="166"/>
      <c r="E5" s="520"/>
      <c r="F5" s="166" t="s">
        <v>1510</v>
      </c>
      <c r="G5" s="144" t="s">
        <v>454</v>
      </c>
      <c r="H5" s="166" t="s">
        <v>454</v>
      </c>
    </row>
    <row r="6" spans="1:8" ht="24" customHeight="1">
      <c r="A6" s="167"/>
      <c r="B6" s="168"/>
      <c r="C6" s="147"/>
      <c r="D6" s="168"/>
      <c r="E6" s="521"/>
      <c r="F6" s="168"/>
      <c r="G6" s="147" t="s">
        <v>884</v>
      </c>
      <c r="H6" s="168" t="s">
        <v>2077</v>
      </c>
    </row>
    <row r="7" spans="1:8" ht="30" customHeight="1" thickBot="1">
      <c r="A7" s="522" t="s">
        <v>1604</v>
      </c>
      <c r="B7" s="182">
        <v>525.89</v>
      </c>
      <c r="C7" s="381">
        <v>798.2</v>
      </c>
      <c r="D7" s="330">
        <v>304.04000000000002</v>
      </c>
      <c r="E7" s="387">
        <v>589.99</v>
      </c>
      <c r="F7" s="523">
        <v>0.22872262066291918</v>
      </c>
      <c r="G7" s="381">
        <v>25.680000000000064</v>
      </c>
      <c r="H7" s="523">
        <v>4.5506902234587532E-2</v>
      </c>
    </row>
    <row r="8" spans="1:8" ht="20" customHeight="1" thickBot="1">
      <c r="A8" s="171" t="s">
        <v>3</v>
      </c>
      <c r="B8" s="176">
        <v>681.72</v>
      </c>
      <c r="C8" s="228">
        <v>806.19</v>
      </c>
      <c r="D8" s="153">
        <v>128.54</v>
      </c>
      <c r="E8" s="524">
        <v>615.77</v>
      </c>
      <c r="F8" s="523">
        <v>0.23871680558247721</v>
      </c>
      <c r="G8" s="228">
        <v>59.6</v>
      </c>
      <c r="H8" s="523">
        <v>0.1071614794037794</v>
      </c>
    </row>
    <row r="9" spans="1:8" ht="20" customHeight="1" thickBot="1">
      <c r="A9" s="171" t="s">
        <v>1605</v>
      </c>
      <c r="B9" s="153">
        <v>322.72000000000003</v>
      </c>
      <c r="C9" s="228">
        <v>359.45</v>
      </c>
      <c r="D9" s="153">
        <v>122.48</v>
      </c>
      <c r="E9" s="524">
        <v>295.45999999999998</v>
      </c>
      <c r="F9" s="523">
        <v>0.1145415778251599</v>
      </c>
      <c r="G9" s="228">
        <v>5.8199999999999932</v>
      </c>
      <c r="H9" s="523">
        <v>2.0093909680983346E-2</v>
      </c>
    </row>
    <row r="10" spans="1:8" ht="20" customHeight="1" thickBot="1">
      <c r="A10" s="171" t="s">
        <v>1606</v>
      </c>
      <c r="B10" s="153">
        <v>206.25</v>
      </c>
      <c r="C10" s="228">
        <v>247.82</v>
      </c>
      <c r="D10" s="153">
        <v>41.82</v>
      </c>
      <c r="E10" s="524">
        <v>188.51</v>
      </c>
      <c r="F10" s="523">
        <v>7.3080054274084122E-2</v>
      </c>
      <c r="G10" s="228">
        <v>6.19</v>
      </c>
      <c r="H10" s="523">
        <v>3.3951294427380319E-2</v>
      </c>
    </row>
    <row r="11" spans="1:8" ht="20" customHeight="1" thickBot="1">
      <c r="A11" s="171" t="s">
        <v>1607</v>
      </c>
      <c r="B11" s="153">
        <v>399.3</v>
      </c>
      <c r="C11" s="228">
        <v>502.4</v>
      </c>
      <c r="D11" s="153">
        <v>64.290000000000006</v>
      </c>
      <c r="E11" s="524">
        <v>370.65</v>
      </c>
      <c r="F11" s="523">
        <v>0.14369063772048846</v>
      </c>
      <c r="G11" s="228">
        <v>18.7</v>
      </c>
      <c r="H11" s="523">
        <v>5.3132547236823369E-2</v>
      </c>
    </row>
    <row r="12" spans="1:8" ht="20" customHeight="1" thickBot="1">
      <c r="A12" s="171" t="s">
        <v>4</v>
      </c>
      <c r="B12" s="153">
        <v>144.63</v>
      </c>
      <c r="C12" s="228">
        <v>383.48</v>
      </c>
      <c r="D12" s="153">
        <v>2.82</v>
      </c>
      <c r="E12" s="524">
        <v>211.98</v>
      </c>
      <c r="F12" s="523">
        <v>8.2178716805582475E-2</v>
      </c>
      <c r="G12" s="228">
        <v>12.1</v>
      </c>
      <c r="H12" s="523">
        <v>6.0536321793075887E-2</v>
      </c>
    </row>
    <row r="13" spans="1:8" ht="20" customHeight="1" thickBot="1">
      <c r="A13" s="171" t="s">
        <v>1608</v>
      </c>
      <c r="B13" s="153">
        <v>41.45</v>
      </c>
      <c r="C13" s="228">
        <v>81.430000000000007</v>
      </c>
      <c r="D13" s="153">
        <v>1.06</v>
      </c>
      <c r="E13" s="524">
        <v>49.21</v>
      </c>
      <c r="F13" s="523">
        <v>1.9077340569877883E-2</v>
      </c>
      <c r="G13" s="228">
        <v>5.91</v>
      </c>
      <c r="H13" s="523">
        <v>0.13648960739030036</v>
      </c>
    </row>
    <row r="14" spans="1:8" ht="20" customHeight="1" thickBot="1">
      <c r="A14" s="171" t="s">
        <v>1609</v>
      </c>
      <c r="B14" s="153">
        <v>59.23</v>
      </c>
      <c r="C14" s="228">
        <v>103.15</v>
      </c>
      <c r="D14" s="153">
        <v>16.559999999999999</v>
      </c>
      <c r="E14" s="524">
        <v>68.11</v>
      </c>
      <c r="F14" s="523">
        <v>2.6404341926729986E-2</v>
      </c>
      <c r="G14" s="228">
        <v>1.6500000000000057</v>
      </c>
      <c r="H14" s="523">
        <v>2.482696358712011E-2</v>
      </c>
    </row>
    <row r="15" spans="1:8" ht="20" customHeight="1" thickBot="1">
      <c r="A15" s="171" t="s">
        <v>1610</v>
      </c>
      <c r="B15" s="153">
        <v>70.98</v>
      </c>
      <c r="C15" s="228">
        <v>117.4</v>
      </c>
      <c r="D15" s="153">
        <v>22.64</v>
      </c>
      <c r="E15" s="524">
        <v>79.69</v>
      </c>
      <c r="F15" s="523">
        <v>3.0893584027912386E-2</v>
      </c>
      <c r="G15" s="228">
        <v>14.7</v>
      </c>
      <c r="H15" s="523">
        <v>0.22618864440683195</v>
      </c>
    </row>
    <row r="16" spans="1:8" ht="20" customHeight="1" thickBot="1">
      <c r="A16" s="171" t="s">
        <v>1611</v>
      </c>
      <c r="B16" s="153">
        <v>9.1999999999999993</v>
      </c>
      <c r="C16" s="228">
        <v>12.92</v>
      </c>
      <c r="D16" s="153">
        <v>2.0099999999999998</v>
      </c>
      <c r="E16" s="524">
        <v>9.1999999999999993</v>
      </c>
      <c r="F16" s="523">
        <v>3.5665826710602829E-3</v>
      </c>
      <c r="G16" s="228">
        <v>0.41</v>
      </c>
      <c r="H16" s="523">
        <v>4.6643913538111592E-2</v>
      </c>
    </row>
    <row r="17" spans="1:8" ht="20" customHeight="1" thickBot="1">
      <c r="A17" s="171" t="s">
        <v>1612</v>
      </c>
      <c r="B17" s="153">
        <v>40.42</v>
      </c>
      <c r="C17" s="228">
        <v>40.24</v>
      </c>
      <c r="D17" s="153">
        <v>15.22</v>
      </c>
      <c r="E17" s="524">
        <v>35.03</v>
      </c>
      <c r="F17" s="523">
        <v>1.3580151192091491E-2</v>
      </c>
      <c r="G17" s="228">
        <v>6.01</v>
      </c>
      <c r="H17" s="523">
        <v>0.20709855272226063</v>
      </c>
    </row>
    <row r="18" spans="1:8" ht="20" customHeight="1" thickBot="1">
      <c r="A18" s="171" t="s">
        <v>5</v>
      </c>
      <c r="B18" s="153">
        <v>10.81</v>
      </c>
      <c r="C18" s="228">
        <v>13.2</v>
      </c>
      <c r="D18" s="153">
        <v>5.75</v>
      </c>
      <c r="E18" s="524">
        <v>10.71</v>
      </c>
      <c r="F18" s="523">
        <v>4.1519674355495256E-3</v>
      </c>
      <c r="G18" s="228">
        <v>-4.54</v>
      </c>
      <c r="H18" s="523">
        <v>-0.29770491803278687</v>
      </c>
    </row>
    <row r="19" spans="1:8" ht="20" customHeight="1" thickBot="1">
      <c r="A19" s="152" t="s">
        <v>1613</v>
      </c>
      <c r="B19" s="153">
        <v>1.98</v>
      </c>
      <c r="C19" s="228">
        <v>5.42</v>
      </c>
      <c r="D19" s="153">
        <v>2.36</v>
      </c>
      <c r="E19" s="524">
        <v>3.46</v>
      </c>
      <c r="F19" s="523">
        <v>1.3413452219422368E-3</v>
      </c>
      <c r="G19" s="228">
        <v>-0.64</v>
      </c>
      <c r="H19" s="523">
        <v>-0.15609756097560967</v>
      </c>
    </row>
    <row r="20" spans="1:8" ht="20" customHeight="1" thickBot="1">
      <c r="A20" s="171" t="s">
        <v>1614</v>
      </c>
      <c r="B20" s="153">
        <v>37.020000000000003</v>
      </c>
      <c r="C20" s="228">
        <v>52.09</v>
      </c>
      <c r="D20" s="153">
        <v>34.85</v>
      </c>
      <c r="E20" s="524">
        <v>42.7</v>
      </c>
      <c r="F20" s="523">
        <v>1.655359565807327E-2</v>
      </c>
      <c r="G20" s="228">
        <v>0.88000000000000256</v>
      </c>
      <c r="H20" s="523">
        <v>2.1042563366810096E-2</v>
      </c>
    </row>
    <row r="21" spans="1:8" ht="20" customHeight="1" thickBot="1">
      <c r="A21" s="171" t="s">
        <v>6</v>
      </c>
      <c r="B21" s="153">
        <v>10.39</v>
      </c>
      <c r="C21" s="228">
        <v>10.81</v>
      </c>
      <c r="D21" s="153">
        <v>3.11</v>
      </c>
      <c r="E21" s="524">
        <v>9.02</v>
      </c>
      <c r="F21" s="523">
        <v>3.4968017057569294E-3</v>
      </c>
      <c r="G21" s="228">
        <v>2.62</v>
      </c>
      <c r="H21" s="523">
        <v>0.40937499999999999</v>
      </c>
    </row>
    <row r="22" spans="1:8" ht="30" customHeight="1" thickBot="1">
      <c r="A22" s="525" t="s">
        <v>1615</v>
      </c>
      <c r="B22" s="526">
        <v>2561.98</v>
      </c>
      <c r="C22" s="527">
        <v>3534.19</v>
      </c>
      <c r="D22" s="526">
        <v>767.53</v>
      </c>
      <c r="E22" s="484">
        <v>2579.5</v>
      </c>
      <c r="F22" s="528">
        <v>1</v>
      </c>
      <c r="G22" s="527">
        <v>155.09</v>
      </c>
      <c r="H22" s="528">
        <v>6.3970203059713571E-2</v>
      </c>
    </row>
    <row r="23" spans="1:8" ht="15" customHeight="1">
      <c r="A23" s="529"/>
      <c r="B23" s="354"/>
      <c r="C23" s="354"/>
      <c r="D23" s="354"/>
      <c r="E23" s="355"/>
      <c r="F23" s="530"/>
      <c r="G23" s="354"/>
      <c r="H23" s="530"/>
    </row>
    <row r="24" spans="1:8" ht="30" customHeight="1" thickBot="1">
      <c r="A24" s="531" t="s">
        <v>1616</v>
      </c>
      <c r="B24" s="532" t="s">
        <v>1300</v>
      </c>
      <c r="C24" s="533">
        <v>146.04</v>
      </c>
      <c r="D24" s="532">
        <v>1.47</v>
      </c>
      <c r="E24" s="534" t="s">
        <v>1300</v>
      </c>
      <c r="F24" s="535" t="s">
        <v>1300</v>
      </c>
      <c r="G24" s="533" t="s">
        <v>1300</v>
      </c>
      <c r="H24" s="535" t="s">
        <v>1300</v>
      </c>
    </row>
    <row r="25" spans="1:8" ht="30.75" customHeight="1" thickBot="1">
      <c r="A25" s="536" t="s">
        <v>7</v>
      </c>
      <c r="B25" s="537">
        <v>0</v>
      </c>
      <c r="C25" s="538">
        <v>42.75</v>
      </c>
      <c r="D25" s="537">
        <v>4.22</v>
      </c>
      <c r="E25" s="539">
        <v>34.96</v>
      </c>
      <c r="F25" s="540" t="s">
        <v>1300</v>
      </c>
      <c r="G25" s="538" t="s">
        <v>1300</v>
      </c>
      <c r="H25" s="540" t="s">
        <v>1300</v>
      </c>
    </row>
    <row r="26" spans="1:8" ht="20" customHeight="1">
      <c r="A26" s="155" t="s">
        <v>146</v>
      </c>
      <c r="B26" s="489"/>
      <c r="C26" s="489"/>
      <c r="D26" s="489"/>
      <c r="E26" s="541"/>
      <c r="F26" s="489"/>
    </row>
    <row r="27" spans="1:8" ht="12.75" customHeight="1">
      <c r="A27" s="4"/>
      <c r="B27" s="491"/>
      <c r="C27" s="491"/>
      <c r="D27" s="491"/>
      <c r="E27" s="542"/>
      <c r="F27" s="491"/>
    </row>
    <row r="28" spans="1:8">
      <c r="A28" s="4" t="s">
        <v>1617</v>
      </c>
    </row>
    <row r="29" spans="1:8">
      <c r="A29" s="4" t="s">
        <v>0</v>
      </c>
    </row>
    <row r="30" spans="1:8">
      <c r="A30" s="493" t="s">
        <v>1</v>
      </c>
    </row>
    <row r="32" spans="1:8">
      <c r="A32" s="2" t="s">
        <v>2</v>
      </c>
    </row>
    <row r="35" spans="1:1">
      <c r="A35" s="2" t="s">
        <v>104</v>
      </c>
    </row>
  </sheetData>
  <phoneticPr fontId="0" type="noConversion"/>
  <pageMargins left="0.6" right="0.5" top="0.69" bottom="0.49" header="0.43" footer="0.4921259845"/>
  <pageSetup paperSize="9" scale="78" orientation="landscape" horizontalDpi="1200" verticalDpi="1200"/>
  <headerFooter alignWithMargins="0">
    <oddHeader>&amp;L&amp;"Arial,Bold"Versicherte und Finanzen in der OKP</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EC0CF-E6B5-AA46-8E94-EEA233106D9E}">
  <sheetPr>
    <pageSetUpPr fitToPage="1"/>
  </sheetPr>
  <dimension ref="A1:J21"/>
  <sheetViews>
    <sheetView zoomScale="75" workbookViewId="0">
      <selection activeCell="G19" sqref="G19"/>
    </sheetView>
  </sheetViews>
  <sheetFormatPr baseColWidth="10" defaultColWidth="11.3984375" defaultRowHeight="13"/>
  <cols>
    <col min="1" max="1" width="12.796875" style="2" customWidth="1"/>
    <col min="2" max="3" width="17" style="2" customWidth="1"/>
    <col min="4" max="4" width="15.796875" style="2" customWidth="1"/>
    <col min="5" max="5" width="16.19921875" style="2" customWidth="1"/>
    <col min="6" max="6" width="17" style="2" customWidth="1"/>
    <col min="7" max="7" width="13.3984375" style="2" customWidth="1"/>
    <col min="8" max="16384" width="11.3984375" style="2"/>
  </cols>
  <sheetData>
    <row r="1" spans="1:10" s="1" customFormat="1" ht="14" customHeight="1">
      <c r="A1" s="591"/>
      <c r="B1" s="591"/>
      <c r="C1" s="591"/>
      <c r="D1" s="591"/>
      <c r="E1" s="591"/>
      <c r="F1" s="591"/>
      <c r="G1" s="591"/>
    </row>
    <row r="2" spans="1:10" s="1" customFormat="1" ht="28" customHeight="1">
      <c r="A2" s="1717" t="s">
        <v>948</v>
      </c>
      <c r="B2" s="1716"/>
      <c r="C2" s="1716"/>
      <c r="D2" s="1716"/>
      <c r="E2" s="1716"/>
      <c r="F2" s="1716"/>
      <c r="G2" s="592">
        <v>2004</v>
      </c>
    </row>
    <row r="3" spans="1:10" ht="24" customHeight="1">
      <c r="A3" s="139" t="s">
        <v>1250</v>
      </c>
      <c r="B3" s="164" t="s">
        <v>1571</v>
      </c>
      <c r="C3" s="141" t="s">
        <v>1572</v>
      </c>
      <c r="D3" s="164" t="s">
        <v>1573</v>
      </c>
      <c r="E3" s="141" t="s">
        <v>1574</v>
      </c>
      <c r="F3" s="164" t="s">
        <v>652</v>
      </c>
      <c r="G3" s="141" t="s">
        <v>451</v>
      </c>
    </row>
    <row r="4" spans="1:10" ht="15" customHeight="1">
      <c r="A4" s="165"/>
      <c r="B4" s="166" t="s">
        <v>1575</v>
      </c>
      <c r="C4" s="144" t="s">
        <v>1576</v>
      </c>
      <c r="D4" s="166" t="s">
        <v>1577</v>
      </c>
      <c r="E4" s="197" t="s">
        <v>1578</v>
      </c>
      <c r="F4" s="166"/>
      <c r="G4" s="144" t="s">
        <v>486</v>
      </c>
    </row>
    <row r="5" spans="1:10" ht="15" customHeight="1">
      <c r="A5" s="165"/>
      <c r="B5" s="166" t="s">
        <v>1579</v>
      </c>
      <c r="C5" s="144" t="s">
        <v>1580</v>
      </c>
      <c r="D5" s="166" t="s">
        <v>1281</v>
      </c>
      <c r="E5" s="197" t="s">
        <v>1581</v>
      </c>
      <c r="F5" s="166"/>
      <c r="G5" s="144" t="s">
        <v>454</v>
      </c>
    </row>
    <row r="6" spans="1:10" ht="24" customHeight="1">
      <c r="A6" s="167"/>
      <c r="B6" s="168"/>
      <c r="C6" s="147"/>
      <c r="D6" s="168"/>
      <c r="E6" s="200" t="s">
        <v>1582</v>
      </c>
      <c r="F6" s="168"/>
      <c r="G6" s="147"/>
    </row>
    <row r="7" spans="1:10" ht="23.25" customHeight="1" thickBot="1">
      <c r="A7" s="169">
        <v>1996</v>
      </c>
      <c r="B7" s="149">
        <v>1089264800.5</v>
      </c>
      <c r="C7" s="225">
        <v>580101661.80000019</v>
      </c>
      <c r="D7" s="149">
        <v>4375346.3499999996</v>
      </c>
      <c r="E7" s="225">
        <v>4789928.95</v>
      </c>
      <c r="F7" s="149">
        <v>1678531737.6000004</v>
      </c>
      <c r="G7" s="150">
        <v>0.30098972373189836</v>
      </c>
    </row>
    <row r="8" spans="1:10" ht="20" customHeight="1" thickBot="1">
      <c r="A8" s="171">
        <v>1997</v>
      </c>
      <c r="B8" s="153">
        <v>879950459</v>
      </c>
      <c r="C8" s="228">
        <v>850703379</v>
      </c>
      <c r="D8" s="153">
        <v>1704020</v>
      </c>
      <c r="E8" s="228">
        <v>45624484</v>
      </c>
      <c r="F8" s="153">
        <v>1777982343</v>
      </c>
      <c r="G8" s="154">
        <v>5.9248570147500512E-2</v>
      </c>
      <c r="H8" s="10"/>
      <c r="I8" s="10"/>
      <c r="J8" s="10"/>
    </row>
    <row r="9" spans="1:10" ht="20" customHeight="1" thickBot="1">
      <c r="A9" s="171">
        <v>1998</v>
      </c>
      <c r="B9" s="153">
        <v>1013899968</v>
      </c>
      <c r="C9" s="228">
        <v>981741080</v>
      </c>
      <c r="D9" s="153">
        <v>1294283</v>
      </c>
      <c r="E9" s="228">
        <v>100297469</v>
      </c>
      <c r="F9" s="153">
        <v>2097232800</v>
      </c>
      <c r="G9" s="154">
        <v>0.17955772072591381</v>
      </c>
    </row>
    <row r="10" spans="1:10" ht="20" customHeight="1" thickBot="1">
      <c r="A10" s="171">
        <v>1999</v>
      </c>
      <c r="B10" s="153">
        <v>1011361150</v>
      </c>
      <c r="C10" s="228">
        <v>1055568640</v>
      </c>
      <c r="D10" s="153">
        <v>792455</v>
      </c>
      <c r="E10" s="228">
        <v>122178940</v>
      </c>
      <c r="F10" s="153">
        <v>2189901184</v>
      </c>
      <c r="G10" s="154">
        <v>4.4186026463061134E-2</v>
      </c>
    </row>
    <row r="11" spans="1:10" ht="20" customHeight="1" thickBot="1">
      <c r="A11" s="171">
        <v>2000</v>
      </c>
      <c r="B11" s="153">
        <v>1054450601</v>
      </c>
      <c r="C11" s="228">
        <v>1090720983</v>
      </c>
      <c r="D11" s="153">
        <v>1251221</v>
      </c>
      <c r="E11" s="228">
        <v>141594740</v>
      </c>
      <c r="F11" s="153">
        <v>2288017545</v>
      </c>
      <c r="G11" s="154">
        <v>4.4804012946732197E-2</v>
      </c>
    </row>
    <row r="12" spans="1:10" ht="20" customHeight="1" thickBot="1">
      <c r="A12" s="171">
        <v>2001</v>
      </c>
      <c r="B12" s="153">
        <v>1083514122</v>
      </c>
      <c r="C12" s="228">
        <v>1158413361</v>
      </c>
      <c r="D12" s="153">
        <v>1268100.93</v>
      </c>
      <c r="E12" s="228">
        <v>156993944.90000001</v>
      </c>
      <c r="F12" s="153">
        <v>2400189528.8299999</v>
      </c>
      <c r="G12" s="154">
        <v>4.9025840765569706E-2</v>
      </c>
    </row>
    <row r="13" spans="1:10" ht="20" customHeight="1" thickBot="1">
      <c r="A13" s="171">
        <v>2002</v>
      </c>
      <c r="B13" s="153">
        <v>1089828946</v>
      </c>
      <c r="C13" s="228">
        <v>1244155033</v>
      </c>
      <c r="D13" s="153">
        <v>1260300.6499999999</v>
      </c>
      <c r="E13" s="228">
        <v>167586086.80000001</v>
      </c>
      <c r="F13" s="153">
        <v>2502830366.4500003</v>
      </c>
      <c r="G13" s="154">
        <v>4.2763638615669564E-2</v>
      </c>
    </row>
    <row r="14" spans="1:10" ht="20" customHeight="1" thickBot="1">
      <c r="A14" s="171">
        <v>2003</v>
      </c>
      <c r="B14" s="153">
        <v>1079925866</v>
      </c>
      <c r="C14" s="228">
        <v>1341491360</v>
      </c>
      <c r="D14" s="153">
        <v>1220652.32</v>
      </c>
      <c r="E14" s="228">
        <v>165861773.30000001</v>
      </c>
      <c r="F14" s="153">
        <v>2588499651.6200004</v>
      </c>
      <c r="G14" s="154">
        <v>3.4228961865886642E-2</v>
      </c>
    </row>
    <row r="15" spans="1:10" ht="30" customHeight="1" thickBot="1">
      <c r="A15" s="488">
        <v>2004</v>
      </c>
      <c r="B15" s="392">
        <v>1255470263</v>
      </c>
      <c r="C15" s="393">
        <v>1341301393</v>
      </c>
      <c r="D15" s="392">
        <v>1377606.76</v>
      </c>
      <c r="E15" s="393">
        <v>234163133</v>
      </c>
      <c r="F15" s="392">
        <v>2832312395.7600002</v>
      </c>
      <c r="G15" s="204">
        <v>9.4190757950232129E-2</v>
      </c>
    </row>
    <row r="16" spans="1:10" ht="20" customHeight="1">
      <c r="A16" s="593" t="s">
        <v>146</v>
      </c>
      <c r="B16" s="593"/>
      <c r="C16" s="593"/>
      <c r="D16" s="593"/>
      <c r="E16" s="593"/>
      <c r="F16" s="593"/>
      <c r="G16" s="593"/>
    </row>
    <row r="18" spans="1:1">
      <c r="A18" s="2" t="s">
        <v>949</v>
      </c>
    </row>
    <row r="21" spans="1:1">
      <c r="A21" s="2" t="s">
        <v>104</v>
      </c>
    </row>
  </sheetData>
  <mergeCells count="1">
    <mergeCell ref="A2:F2"/>
  </mergeCells>
  <phoneticPr fontId="0" type="noConversion"/>
  <pageMargins left="0.53" right="0.6" top="1.1200000000000001" bottom="0.49" header="0.63" footer="0.4921259845"/>
  <pageSetup paperSize="9" scale="85" orientation="portrait" horizontalDpi="4294967292" verticalDpi="4294967292"/>
  <headerFooter alignWithMargins="0">
    <oddHeader>&amp;L&amp;"Arial,Bold"Versicherte und Finanzen in der OKP</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1BE88-B696-A94A-BBB9-D6AA0DCCA213}">
  <sheetPr>
    <pageSetUpPr fitToPage="1"/>
  </sheetPr>
  <dimension ref="A1:J76"/>
  <sheetViews>
    <sheetView topLeftCell="A55" zoomScale="75" workbookViewId="0">
      <selection activeCell="A73" sqref="A73"/>
    </sheetView>
  </sheetViews>
  <sheetFormatPr baseColWidth="10" defaultColWidth="11.3984375" defaultRowHeight="13"/>
  <cols>
    <col min="1" max="1" width="21.796875" style="2" customWidth="1"/>
    <col min="2" max="3" width="15.796875" style="2" customWidth="1"/>
    <col min="4" max="6" width="14.19921875" style="2" customWidth="1"/>
    <col min="7" max="7" width="15" style="2" customWidth="1"/>
    <col min="8" max="10" width="13.19921875" style="2" customWidth="1"/>
    <col min="11" max="16384" width="11.3984375" style="2"/>
  </cols>
  <sheetData>
    <row r="1" spans="1:10" s="1" customFormat="1" ht="14" customHeight="1"/>
    <row r="2" spans="1:10" s="1" customFormat="1" ht="36.75" customHeight="1">
      <c r="A2" s="1715" t="s">
        <v>944</v>
      </c>
      <c r="B2" s="1716"/>
      <c r="C2" s="1716"/>
      <c r="D2" s="1716"/>
      <c r="E2" s="1716"/>
      <c r="F2" s="178">
        <v>2004</v>
      </c>
      <c r="G2" s="21"/>
    </row>
    <row r="3" spans="1:10" ht="24" customHeight="1">
      <c r="A3" s="316" t="s">
        <v>1570</v>
      </c>
      <c r="B3" s="164" t="s">
        <v>1571</v>
      </c>
      <c r="C3" s="141" t="s">
        <v>1572</v>
      </c>
      <c r="D3" s="164" t="s">
        <v>1573</v>
      </c>
      <c r="E3" s="141" t="s">
        <v>1574</v>
      </c>
      <c r="F3" s="164" t="s">
        <v>652</v>
      </c>
      <c r="G3"/>
    </row>
    <row r="4" spans="1:10" ht="15" customHeight="1">
      <c r="A4" s="165"/>
      <c r="B4" s="166" t="s">
        <v>1575</v>
      </c>
      <c r="C4" s="144" t="s">
        <v>1576</v>
      </c>
      <c r="D4" s="166" t="s">
        <v>1577</v>
      </c>
      <c r="E4" s="197" t="s">
        <v>1578</v>
      </c>
      <c r="F4" s="166"/>
      <c r="G4"/>
    </row>
    <row r="5" spans="1:10" ht="15" customHeight="1">
      <c r="A5" s="165"/>
      <c r="B5" s="166" t="s">
        <v>1579</v>
      </c>
      <c r="C5" s="144" t="s">
        <v>1580</v>
      </c>
      <c r="D5" s="166" t="s">
        <v>1281</v>
      </c>
      <c r="E5" s="197" t="s">
        <v>1581</v>
      </c>
      <c r="F5" s="166"/>
      <c r="G5"/>
    </row>
    <row r="6" spans="1:10" ht="24" customHeight="1">
      <c r="A6" s="306" t="s">
        <v>1346</v>
      </c>
      <c r="B6" s="168"/>
      <c r="C6" s="147"/>
      <c r="D6" s="168"/>
      <c r="E6" s="200" t="s">
        <v>1582</v>
      </c>
      <c r="F6" s="168"/>
      <c r="G6"/>
    </row>
    <row r="7" spans="1:10" ht="20" customHeight="1" thickBot="1">
      <c r="A7" s="169">
        <v>1996</v>
      </c>
      <c r="B7" s="149">
        <v>229.8232289372188</v>
      </c>
      <c r="C7" s="225">
        <v>251.5996723754472</v>
      </c>
      <c r="D7" s="149">
        <v>157.23187149633452</v>
      </c>
      <c r="E7" s="225">
        <v>39.388219543084574</v>
      </c>
      <c r="F7" s="149">
        <v>233.29860864179659</v>
      </c>
      <c r="G7"/>
    </row>
    <row r="8" spans="1:10" ht="20" customHeight="1" thickBot="1">
      <c r="A8" s="171">
        <v>1997</v>
      </c>
      <c r="B8" s="153">
        <v>215.46601893701404</v>
      </c>
      <c r="C8" s="228">
        <v>310.88456129374595</v>
      </c>
      <c r="D8" s="153">
        <v>148.25205846528638</v>
      </c>
      <c r="E8" s="228">
        <v>119.09183274035274</v>
      </c>
      <c r="F8" s="153">
        <v>246.43123482893861</v>
      </c>
      <c r="G8"/>
      <c r="H8" s="10"/>
      <c r="I8" s="10"/>
      <c r="J8" s="10"/>
    </row>
    <row r="9" spans="1:10" ht="20" customHeight="1" thickBot="1">
      <c r="A9" s="171">
        <v>1998</v>
      </c>
      <c r="B9" s="153">
        <v>252.44363174310865</v>
      </c>
      <c r="C9" s="228">
        <v>360.0775244162046</v>
      </c>
      <c r="D9" s="153">
        <v>109.42734528238077</v>
      </c>
      <c r="E9" s="228">
        <v>203.01598777426921</v>
      </c>
      <c r="F9" s="153">
        <v>289.32883069882564</v>
      </c>
      <c r="G9"/>
    </row>
    <row r="10" spans="1:10" ht="20" customHeight="1" thickBot="1">
      <c r="A10" s="171">
        <v>1999</v>
      </c>
      <c r="B10" s="153">
        <v>252.9206761523119</v>
      </c>
      <c r="C10" s="228">
        <v>388.69953216955696</v>
      </c>
      <c r="D10" s="153">
        <v>77.254014427763764</v>
      </c>
      <c r="E10" s="228">
        <v>225.46370960896115</v>
      </c>
      <c r="F10" s="153">
        <v>301.36445656484921</v>
      </c>
      <c r="G10"/>
    </row>
    <row r="11" spans="1:10" ht="20" customHeight="1" thickBot="1">
      <c r="A11" s="171">
        <v>2000</v>
      </c>
      <c r="B11" s="153">
        <v>268.86321064682579</v>
      </c>
      <c r="C11" s="228">
        <v>395.3932486834517</v>
      </c>
      <c r="D11" s="153">
        <v>127.52815615125883</v>
      </c>
      <c r="E11" s="228">
        <v>245.03773318265758</v>
      </c>
      <c r="F11" s="153">
        <v>314.8004551705385</v>
      </c>
      <c r="G11"/>
    </row>
    <row r="12" spans="1:10" ht="20" customHeight="1" thickBot="1">
      <c r="A12" s="171">
        <v>2001</v>
      </c>
      <c r="B12" s="153">
        <v>279.09861261334129</v>
      </c>
      <c r="C12" s="228">
        <v>408.78213723121047</v>
      </c>
      <c r="D12" s="153">
        <v>135.75644256503585</v>
      </c>
      <c r="E12" s="228">
        <v>263.43962200829282</v>
      </c>
      <c r="F12" s="153">
        <v>327.83710416351659</v>
      </c>
      <c r="G12"/>
    </row>
    <row r="13" spans="1:10" ht="20" customHeight="1" thickBot="1">
      <c r="A13" s="171">
        <v>2002</v>
      </c>
      <c r="B13" s="153">
        <v>285.8436520290872</v>
      </c>
      <c r="C13" s="228">
        <v>417.38683751450941</v>
      </c>
      <c r="D13" s="153">
        <v>142.64863044708545</v>
      </c>
      <c r="E13" s="228">
        <v>300.85378261689124</v>
      </c>
      <c r="F13" s="153">
        <v>340.08781551805083</v>
      </c>
      <c r="G13"/>
    </row>
    <row r="14" spans="1:10" ht="20" customHeight="1" thickBot="1">
      <c r="A14" s="171">
        <v>2003</v>
      </c>
      <c r="B14" s="153">
        <v>293.91576177036529</v>
      </c>
      <c r="C14" s="228">
        <v>431.75071779220281</v>
      </c>
      <c r="D14" s="153">
        <v>146.76593964169774</v>
      </c>
      <c r="E14" s="228">
        <v>274.83127419205175</v>
      </c>
      <c r="F14" s="153">
        <v>350.11954945823106</v>
      </c>
      <c r="G14"/>
    </row>
    <row r="15" spans="1:10" ht="30" customHeight="1" thickBot="1">
      <c r="A15" s="488">
        <v>2004</v>
      </c>
      <c r="B15" s="392">
        <v>344.97698670096645</v>
      </c>
      <c r="C15" s="393">
        <v>443.43136540551296</v>
      </c>
      <c r="D15" s="392">
        <v>170.11691281797974</v>
      </c>
      <c r="E15" s="393">
        <v>313.15028097025004</v>
      </c>
      <c r="F15" s="392">
        <v>381.71459842851203</v>
      </c>
      <c r="G15" s="230"/>
    </row>
    <row r="16" spans="1:10" ht="20" customHeight="1">
      <c r="A16" s="155" t="s">
        <v>146</v>
      </c>
      <c r="B16" s="155"/>
      <c r="C16" s="155"/>
      <c r="D16" s="155"/>
      <c r="E16" s="155"/>
      <c r="F16" s="155"/>
      <c r="G16" s="4"/>
    </row>
    <row r="18" spans="1:9">
      <c r="A18" s="2" t="s">
        <v>940</v>
      </c>
    </row>
    <row r="21" spans="1:9" ht="18">
      <c r="A21" s="515" t="s">
        <v>945</v>
      </c>
    </row>
    <row r="23" spans="1:9" ht="18" customHeight="1">
      <c r="A23" s="316" t="s">
        <v>504</v>
      </c>
      <c r="B23" s="164" t="s">
        <v>1571</v>
      </c>
      <c r="C23" s="141" t="s">
        <v>1572</v>
      </c>
      <c r="D23" s="164"/>
      <c r="E23" s="141"/>
      <c r="F23" s="164"/>
      <c r="G23" s="141" t="s">
        <v>1573</v>
      </c>
      <c r="H23" s="164" t="s">
        <v>1574</v>
      </c>
      <c r="I23" s="141" t="s">
        <v>652</v>
      </c>
    </row>
    <row r="24" spans="1:9" ht="18" customHeight="1">
      <c r="A24" s="516" t="s">
        <v>507</v>
      </c>
      <c r="B24" s="166" t="s">
        <v>1575</v>
      </c>
      <c r="C24" s="144" t="s">
        <v>1576</v>
      </c>
      <c r="D24" s="166"/>
      <c r="E24" s="197"/>
      <c r="F24" s="166"/>
      <c r="G24" s="144" t="s">
        <v>1577</v>
      </c>
      <c r="H24" s="143" t="s">
        <v>1578</v>
      </c>
      <c r="I24" s="144"/>
    </row>
    <row r="25" spans="1:9" ht="18" customHeight="1">
      <c r="A25" s="165"/>
      <c r="B25" s="166" t="s">
        <v>1579</v>
      </c>
      <c r="C25" s="447" t="s">
        <v>1580</v>
      </c>
      <c r="D25" s="446"/>
      <c r="E25" s="503"/>
      <c r="F25" s="446"/>
      <c r="G25" s="144" t="s">
        <v>1281</v>
      </c>
      <c r="H25" s="143" t="s">
        <v>1581</v>
      </c>
      <c r="I25" s="144"/>
    </row>
    <row r="26" spans="1:9" ht="18" customHeight="1">
      <c r="A26" s="167" t="s">
        <v>1250</v>
      </c>
      <c r="B26" s="168"/>
      <c r="C26" s="147"/>
      <c r="D26" s="446" t="s">
        <v>1584</v>
      </c>
      <c r="E26" s="447" t="s">
        <v>1585</v>
      </c>
      <c r="F26" s="446" t="s">
        <v>1586</v>
      </c>
      <c r="G26" s="147"/>
      <c r="H26" s="146" t="s">
        <v>1582</v>
      </c>
      <c r="I26" s="147"/>
    </row>
    <row r="27" spans="1:9" ht="18" customHeight="1" thickBot="1">
      <c r="A27" s="169">
        <v>1996</v>
      </c>
      <c r="B27" s="149" t="s">
        <v>1300</v>
      </c>
      <c r="C27" s="225" t="s">
        <v>1300</v>
      </c>
      <c r="D27" s="149" t="s">
        <v>1300</v>
      </c>
      <c r="E27" s="225" t="s">
        <v>1300</v>
      </c>
      <c r="F27" s="149" t="s">
        <v>1300</v>
      </c>
      <c r="G27" s="225" t="s">
        <v>1300</v>
      </c>
      <c r="H27" s="149" t="s">
        <v>1300</v>
      </c>
      <c r="I27" s="225" t="s">
        <v>1300</v>
      </c>
    </row>
    <row r="28" spans="1:9" ht="18" customHeight="1" thickBot="1">
      <c r="A28" s="171">
        <v>1997</v>
      </c>
      <c r="B28" s="153">
        <v>51.63</v>
      </c>
      <c r="C28" s="228">
        <v>148.74</v>
      </c>
      <c r="D28" s="153">
        <v>138.1</v>
      </c>
      <c r="E28" s="228">
        <v>189.37</v>
      </c>
      <c r="F28" s="153">
        <v>152.55000000000001</v>
      </c>
      <c r="G28" s="228">
        <v>103.6</v>
      </c>
      <c r="H28" s="153">
        <v>35.81</v>
      </c>
      <c r="I28" s="228">
        <v>63.73</v>
      </c>
    </row>
    <row r="29" spans="1:9" ht="18" customHeight="1" thickBot="1">
      <c r="A29" s="171">
        <v>1998</v>
      </c>
      <c r="B29" s="153">
        <v>54.92</v>
      </c>
      <c r="C29" s="228">
        <v>162.55000000000001</v>
      </c>
      <c r="D29" s="153">
        <v>151.16999999999999</v>
      </c>
      <c r="E29" s="228">
        <v>205.18</v>
      </c>
      <c r="F29" s="153">
        <v>168.97</v>
      </c>
      <c r="G29" s="228">
        <v>31.98</v>
      </c>
      <c r="H29" s="153">
        <v>44.35</v>
      </c>
      <c r="I29" s="228">
        <v>67.75</v>
      </c>
    </row>
    <row r="30" spans="1:9" ht="18" customHeight="1" thickBot="1">
      <c r="A30" s="171">
        <v>1999</v>
      </c>
      <c r="B30" s="153">
        <v>55.76</v>
      </c>
      <c r="C30" s="228">
        <v>166.26</v>
      </c>
      <c r="D30" s="153">
        <v>152.54</v>
      </c>
      <c r="E30" s="228">
        <v>201.65</v>
      </c>
      <c r="F30" s="153">
        <v>184.79</v>
      </c>
      <c r="G30" s="228">
        <v>37.880000000000003</v>
      </c>
      <c r="H30" s="153">
        <v>46.78</v>
      </c>
      <c r="I30" s="228">
        <v>68.52</v>
      </c>
    </row>
    <row r="31" spans="1:9" ht="18" customHeight="1" thickBot="1">
      <c r="A31" s="171">
        <v>2000</v>
      </c>
      <c r="B31" s="153">
        <v>58.29</v>
      </c>
      <c r="C31" s="228">
        <v>178</v>
      </c>
      <c r="D31" s="153">
        <v>158.38</v>
      </c>
      <c r="E31" s="228">
        <v>205.36</v>
      </c>
      <c r="F31" s="153">
        <v>214.46</v>
      </c>
      <c r="G31" s="228">
        <v>32.72</v>
      </c>
      <c r="H31" s="153">
        <v>49.53</v>
      </c>
      <c r="I31" s="228">
        <v>71.95</v>
      </c>
    </row>
    <row r="32" spans="1:9" ht="18" customHeight="1" thickBot="1">
      <c r="A32" s="171">
        <v>2001</v>
      </c>
      <c r="B32" s="153">
        <v>62.02</v>
      </c>
      <c r="C32" s="228">
        <v>181.8</v>
      </c>
      <c r="D32" s="153">
        <v>159.66</v>
      </c>
      <c r="E32" s="228">
        <v>212.22</v>
      </c>
      <c r="F32" s="153">
        <v>218.4</v>
      </c>
      <c r="G32" s="228">
        <v>40.770000000000003</v>
      </c>
      <c r="H32" s="153">
        <v>52.32</v>
      </c>
      <c r="I32" s="228">
        <v>75.150000000000006</v>
      </c>
    </row>
    <row r="33" spans="1:10" ht="18" customHeight="1" thickBot="1">
      <c r="A33" s="171">
        <v>2002</v>
      </c>
      <c r="B33" s="153">
        <v>62.42</v>
      </c>
      <c r="C33" s="228">
        <v>181.75</v>
      </c>
      <c r="D33" s="153">
        <v>161.33000000000001</v>
      </c>
      <c r="E33" s="228">
        <v>213.19</v>
      </c>
      <c r="F33" s="153">
        <v>208.45</v>
      </c>
      <c r="G33" s="228">
        <v>41.36</v>
      </c>
      <c r="H33" s="153">
        <v>55.65</v>
      </c>
      <c r="I33" s="228">
        <v>75.16</v>
      </c>
    </row>
    <row r="34" spans="1:10" ht="18" customHeight="1" thickBot="1">
      <c r="A34" s="171">
        <v>2003</v>
      </c>
      <c r="B34" s="153">
        <v>64.510000000000005</v>
      </c>
      <c r="C34" s="228">
        <v>182.29</v>
      </c>
      <c r="D34" s="153">
        <v>162.87</v>
      </c>
      <c r="E34" s="228">
        <v>206.73</v>
      </c>
      <c r="F34" s="153">
        <v>203.4</v>
      </c>
      <c r="G34" s="228">
        <v>41.28</v>
      </c>
      <c r="H34" s="153">
        <v>58.02</v>
      </c>
      <c r="I34" s="228">
        <v>77.430000000000007</v>
      </c>
    </row>
    <row r="35" spans="1:10" ht="18" customHeight="1" thickBot="1">
      <c r="A35" s="517">
        <v>2004</v>
      </c>
      <c r="B35" s="483">
        <v>68.11</v>
      </c>
      <c r="C35" s="484">
        <v>184</v>
      </c>
      <c r="D35" s="483">
        <v>163.89</v>
      </c>
      <c r="E35" s="484">
        <v>206.33</v>
      </c>
      <c r="F35" s="483">
        <v>201.19</v>
      </c>
      <c r="G35" s="484">
        <v>40.950000000000003</v>
      </c>
      <c r="H35" s="483">
        <v>64.13</v>
      </c>
      <c r="I35" s="484">
        <v>80.83</v>
      </c>
    </row>
    <row r="36" spans="1:10">
      <c r="A36" s="155"/>
    </row>
    <row r="38" spans="1:10" ht="18" customHeight="1">
      <c r="A38" s="316" t="s">
        <v>1587</v>
      </c>
      <c r="B38" s="164" t="s">
        <v>1571</v>
      </c>
      <c r="C38" s="141" t="s">
        <v>1572</v>
      </c>
      <c r="D38" s="164"/>
      <c r="E38" s="141"/>
      <c r="F38" s="164"/>
      <c r="G38" s="141"/>
      <c r="H38" s="164" t="s">
        <v>1573</v>
      </c>
      <c r="I38" s="141" t="s">
        <v>1574</v>
      </c>
      <c r="J38" s="164" t="s">
        <v>652</v>
      </c>
    </row>
    <row r="39" spans="1:10" ht="18" customHeight="1">
      <c r="A39" s="516" t="s">
        <v>508</v>
      </c>
      <c r="B39" s="166" t="s">
        <v>1575</v>
      </c>
      <c r="C39" s="144" t="s">
        <v>1576</v>
      </c>
      <c r="D39" s="166"/>
      <c r="E39" s="197"/>
      <c r="F39" s="166"/>
      <c r="G39" s="197"/>
      <c r="H39" s="166" t="s">
        <v>1577</v>
      </c>
      <c r="I39" s="197" t="s">
        <v>1578</v>
      </c>
      <c r="J39" s="166"/>
    </row>
    <row r="40" spans="1:10" ht="18" customHeight="1">
      <c r="A40" s="165"/>
      <c r="B40" s="166" t="s">
        <v>1579</v>
      </c>
      <c r="C40" s="447" t="s">
        <v>1580</v>
      </c>
      <c r="D40" s="446"/>
      <c r="E40" s="503"/>
      <c r="F40" s="446"/>
      <c r="G40" s="503"/>
      <c r="H40" s="166" t="s">
        <v>1281</v>
      </c>
      <c r="I40" s="197" t="s">
        <v>1581</v>
      </c>
      <c r="J40" s="166"/>
    </row>
    <row r="41" spans="1:10" ht="18" customHeight="1">
      <c r="A41" s="167" t="s">
        <v>1250</v>
      </c>
      <c r="B41" s="168"/>
      <c r="C41" s="147"/>
      <c r="D41" s="446" t="s">
        <v>1588</v>
      </c>
      <c r="E41" s="447" t="s">
        <v>1589</v>
      </c>
      <c r="F41" s="446" t="s">
        <v>1590</v>
      </c>
      <c r="G41" s="447" t="s">
        <v>1591</v>
      </c>
      <c r="H41" s="168"/>
      <c r="I41" s="200" t="s">
        <v>1582</v>
      </c>
      <c r="J41" s="168"/>
    </row>
    <row r="42" spans="1:10" ht="18" customHeight="1" thickBot="1">
      <c r="A42" s="391" t="s">
        <v>946</v>
      </c>
      <c r="B42" s="149" t="s">
        <v>1300</v>
      </c>
      <c r="C42" s="225" t="s">
        <v>1300</v>
      </c>
      <c r="D42" s="149" t="s">
        <v>1300</v>
      </c>
      <c r="E42" s="225" t="s">
        <v>1300</v>
      </c>
      <c r="F42" s="149" t="s">
        <v>1300</v>
      </c>
      <c r="G42" s="225" t="s">
        <v>1300</v>
      </c>
      <c r="H42" s="149" t="s">
        <v>1300</v>
      </c>
      <c r="I42" s="225" t="s">
        <v>1300</v>
      </c>
      <c r="J42" s="149" t="s">
        <v>1300</v>
      </c>
    </row>
    <row r="43" spans="1:10" ht="18" customHeight="1" thickBot="1">
      <c r="A43" s="152" t="s">
        <v>947</v>
      </c>
      <c r="B43" s="153">
        <v>169.25</v>
      </c>
      <c r="C43" s="228">
        <v>204.77</v>
      </c>
      <c r="D43" s="153">
        <v>207.57</v>
      </c>
      <c r="E43" s="228">
        <v>225.45</v>
      </c>
      <c r="F43" s="153">
        <v>168.69</v>
      </c>
      <c r="G43" s="228">
        <v>176.49</v>
      </c>
      <c r="H43" s="153">
        <v>139.54</v>
      </c>
      <c r="I43" s="228">
        <v>123.68</v>
      </c>
      <c r="J43" s="153">
        <v>181.03</v>
      </c>
    </row>
    <row r="44" spans="1:10" ht="18" customHeight="1" thickBot="1">
      <c r="A44" s="171">
        <v>1998</v>
      </c>
      <c r="B44" s="153">
        <v>207.47</v>
      </c>
      <c r="C44" s="228">
        <v>240.93</v>
      </c>
      <c r="D44" s="153">
        <v>244.79</v>
      </c>
      <c r="E44" s="228">
        <v>240.45</v>
      </c>
      <c r="F44" s="153">
        <v>243.59</v>
      </c>
      <c r="G44" s="228">
        <v>191.17</v>
      </c>
      <c r="H44" s="153">
        <v>126.04</v>
      </c>
      <c r="I44" s="228">
        <v>172.49</v>
      </c>
      <c r="J44" s="153">
        <v>220.5</v>
      </c>
    </row>
    <row r="45" spans="1:10" ht="18" customHeight="1" thickBot="1">
      <c r="A45" s="171">
        <v>1999</v>
      </c>
      <c r="B45" s="153">
        <v>214.13</v>
      </c>
      <c r="C45" s="228">
        <v>264.01</v>
      </c>
      <c r="D45" s="153">
        <v>270.19</v>
      </c>
      <c r="E45" s="228">
        <v>250.11</v>
      </c>
      <c r="F45" s="153">
        <v>269.38</v>
      </c>
      <c r="G45" s="228">
        <v>233.17</v>
      </c>
      <c r="H45" s="153">
        <v>129.1</v>
      </c>
      <c r="I45" s="228">
        <v>191.92</v>
      </c>
      <c r="J45" s="153">
        <v>233.83</v>
      </c>
    </row>
    <row r="46" spans="1:10" ht="18" customHeight="1" thickBot="1">
      <c r="A46" s="171">
        <v>2000</v>
      </c>
      <c r="B46" s="153">
        <v>220.74</v>
      </c>
      <c r="C46" s="228">
        <v>273.89</v>
      </c>
      <c r="D46" s="153">
        <v>276.3</v>
      </c>
      <c r="E46" s="228">
        <v>268.58</v>
      </c>
      <c r="F46" s="153">
        <v>281.58999999999997</v>
      </c>
      <c r="G46" s="228">
        <v>264.39</v>
      </c>
      <c r="H46" s="153">
        <v>119.04</v>
      </c>
      <c r="I46" s="228">
        <v>199.02</v>
      </c>
      <c r="J46" s="153">
        <v>241.33</v>
      </c>
    </row>
    <row r="47" spans="1:10" ht="18" customHeight="1" thickBot="1">
      <c r="A47" s="171">
        <v>2001</v>
      </c>
      <c r="B47" s="153">
        <v>230.24</v>
      </c>
      <c r="C47" s="228">
        <v>287.45999999999998</v>
      </c>
      <c r="D47" s="153">
        <v>290.97000000000003</v>
      </c>
      <c r="E47" s="228">
        <v>287.70999999999998</v>
      </c>
      <c r="F47" s="153">
        <v>287.54000000000002</v>
      </c>
      <c r="G47" s="228">
        <v>273.48</v>
      </c>
      <c r="H47" s="153" t="s">
        <v>1300</v>
      </c>
      <c r="I47" s="228">
        <v>211.59</v>
      </c>
      <c r="J47" s="153">
        <v>252.17</v>
      </c>
    </row>
    <row r="48" spans="1:10" ht="18" customHeight="1" thickBot="1">
      <c r="A48" s="171">
        <v>2002</v>
      </c>
      <c r="B48" s="153">
        <v>237.21</v>
      </c>
      <c r="C48" s="228">
        <v>287.24</v>
      </c>
      <c r="D48" s="153">
        <v>293.42</v>
      </c>
      <c r="E48" s="228">
        <v>294.41000000000003</v>
      </c>
      <c r="F48" s="153">
        <v>290.58</v>
      </c>
      <c r="G48" s="228">
        <v>262.86</v>
      </c>
      <c r="H48" s="153" t="s">
        <v>1300</v>
      </c>
      <c r="I48" s="228">
        <v>230.84</v>
      </c>
      <c r="J48" s="153">
        <v>258.77</v>
      </c>
    </row>
    <row r="49" spans="1:10" ht="18" customHeight="1" thickBot="1">
      <c r="A49" s="171">
        <v>2003</v>
      </c>
      <c r="B49" s="153">
        <v>243.83</v>
      </c>
      <c r="C49" s="228">
        <v>296.85000000000002</v>
      </c>
      <c r="D49" s="153">
        <v>306.23</v>
      </c>
      <c r="E49" s="228">
        <v>315.77999999999997</v>
      </c>
      <c r="F49" s="153">
        <v>294.83999999999997</v>
      </c>
      <c r="G49" s="228">
        <v>267.35000000000002</v>
      </c>
      <c r="H49" s="153" t="s">
        <v>1300</v>
      </c>
      <c r="I49" s="228">
        <v>231.38</v>
      </c>
      <c r="J49" s="153">
        <v>267.27999999999997</v>
      </c>
    </row>
    <row r="50" spans="1:10" ht="18" customHeight="1" thickBot="1">
      <c r="A50" s="517">
        <v>2004</v>
      </c>
      <c r="B50" s="483">
        <v>275.08999999999997</v>
      </c>
      <c r="C50" s="484">
        <v>311.98</v>
      </c>
      <c r="D50" s="483">
        <v>323.24</v>
      </c>
      <c r="E50" s="484">
        <v>335.34</v>
      </c>
      <c r="F50" s="483">
        <v>312.77999999999997</v>
      </c>
      <c r="G50" s="484">
        <v>285.12</v>
      </c>
      <c r="H50" s="483" t="s">
        <v>1300</v>
      </c>
      <c r="I50" s="484">
        <v>258.14999999999998</v>
      </c>
      <c r="J50" s="483">
        <v>289.83</v>
      </c>
    </row>
    <row r="51" spans="1:10">
      <c r="H51" s="5"/>
      <c r="I51" s="5"/>
      <c r="J51" s="5"/>
    </row>
    <row r="52" spans="1:10">
      <c r="H52" s="5"/>
      <c r="I52" s="5"/>
      <c r="J52" s="5"/>
    </row>
    <row r="53" spans="1:10" ht="18.75" customHeight="1">
      <c r="A53" s="316" t="s">
        <v>1592</v>
      </c>
      <c r="B53" s="164" t="s">
        <v>1571</v>
      </c>
      <c r="C53" s="141" t="s">
        <v>1572</v>
      </c>
      <c r="D53" s="164"/>
      <c r="E53" s="141"/>
      <c r="F53" s="164"/>
      <c r="G53" s="141"/>
      <c r="H53" s="164" t="s">
        <v>1573</v>
      </c>
      <c r="I53" s="141" t="s">
        <v>1574</v>
      </c>
      <c r="J53" s="164" t="s">
        <v>652</v>
      </c>
    </row>
    <row r="54" spans="1:10" ht="18.75" customHeight="1">
      <c r="A54" s="516" t="s">
        <v>1593</v>
      </c>
      <c r="B54" s="166" t="s">
        <v>1575</v>
      </c>
      <c r="C54" s="144" t="s">
        <v>1576</v>
      </c>
      <c r="D54" s="166"/>
      <c r="E54" s="197"/>
      <c r="F54" s="166"/>
      <c r="G54" s="197"/>
      <c r="H54" s="166" t="s">
        <v>1577</v>
      </c>
      <c r="I54" s="197" t="s">
        <v>1578</v>
      </c>
      <c r="J54" s="166"/>
    </row>
    <row r="55" spans="1:10" ht="18.75" customHeight="1">
      <c r="A55" s="165"/>
      <c r="B55" s="166" t="s">
        <v>1579</v>
      </c>
      <c r="C55" s="447" t="s">
        <v>1580</v>
      </c>
      <c r="D55" s="446"/>
      <c r="E55" s="503"/>
      <c r="F55" s="446"/>
      <c r="G55" s="503"/>
      <c r="H55" s="166" t="s">
        <v>1281</v>
      </c>
      <c r="I55" s="197" t="s">
        <v>1581</v>
      </c>
      <c r="J55" s="166"/>
    </row>
    <row r="56" spans="1:10" ht="18.75" customHeight="1">
      <c r="A56" s="167" t="s">
        <v>1250</v>
      </c>
      <c r="B56" s="168"/>
      <c r="C56" s="147"/>
      <c r="D56" s="446" t="s">
        <v>1588</v>
      </c>
      <c r="E56" s="447" t="s">
        <v>1589</v>
      </c>
      <c r="F56" s="446" t="s">
        <v>1590</v>
      </c>
      <c r="G56" s="447" t="s">
        <v>1591</v>
      </c>
      <c r="H56" s="168"/>
      <c r="I56" s="200" t="s">
        <v>1582</v>
      </c>
      <c r="J56" s="168"/>
    </row>
    <row r="57" spans="1:10" ht="18.75" customHeight="1" thickBot="1">
      <c r="A57" s="391" t="s">
        <v>946</v>
      </c>
      <c r="B57" s="149" t="s">
        <v>1300</v>
      </c>
      <c r="C57" s="225" t="s">
        <v>1300</v>
      </c>
      <c r="D57" s="149" t="s">
        <v>1300</v>
      </c>
      <c r="E57" s="225" t="s">
        <v>1300</v>
      </c>
      <c r="F57" s="149" t="s">
        <v>1300</v>
      </c>
      <c r="G57" s="225" t="s">
        <v>1300</v>
      </c>
      <c r="H57" s="149" t="s">
        <v>1300</v>
      </c>
      <c r="I57" s="225" t="s">
        <v>1300</v>
      </c>
      <c r="J57" s="149" t="s">
        <v>1300</v>
      </c>
    </row>
    <row r="58" spans="1:10" ht="18.75" customHeight="1" thickBot="1">
      <c r="A58" s="152" t="s">
        <v>947</v>
      </c>
      <c r="B58" s="153">
        <v>310.10000000000002</v>
      </c>
      <c r="C58" s="228">
        <v>333.59</v>
      </c>
      <c r="D58" s="153">
        <v>346.16</v>
      </c>
      <c r="E58" s="228">
        <v>361.89</v>
      </c>
      <c r="F58" s="153">
        <v>251.83</v>
      </c>
      <c r="G58" s="228">
        <v>242.31</v>
      </c>
      <c r="H58" s="153">
        <v>142.05000000000001</v>
      </c>
      <c r="I58" s="228">
        <v>189.89</v>
      </c>
      <c r="J58" s="153">
        <v>315.33</v>
      </c>
    </row>
    <row r="59" spans="1:10" ht="18.75" customHeight="1" thickBot="1">
      <c r="A59" s="171">
        <v>1998</v>
      </c>
      <c r="B59" s="153">
        <v>355.16</v>
      </c>
      <c r="C59" s="228">
        <v>400.22</v>
      </c>
      <c r="D59" s="153">
        <v>423.76</v>
      </c>
      <c r="E59" s="228">
        <v>389.63</v>
      </c>
      <c r="F59" s="153">
        <v>363.19</v>
      </c>
      <c r="G59" s="228">
        <v>271.11</v>
      </c>
      <c r="H59" s="153">
        <v>115.26</v>
      </c>
      <c r="I59" s="228">
        <v>275</v>
      </c>
      <c r="J59" s="153">
        <v>369.64</v>
      </c>
    </row>
    <row r="60" spans="1:10" ht="18.75" customHeight="1" thickBot="1">
      <c r="A60" s="171">
        <v>1999</v>
      </c>
      <c r="B60" s="153">
        <v>372.47</v>
      </c>
      <c r="C60" s="228">
        <v>413.21</v>
      </c>
      <c r="D60" s="153">
        <v>433.69</v>
      </c>
      <c r="E60" s="228">
        <v>406.4</v>
      </c>
      <c r="F60" s="153">
        <v>401.31</v>
      </c>
      <c r="G60" s="228">
        <v>315.72000000000003</v>
      </c>
      <c r="H60" s="153">
        <v>127.76</v>
      </c>
      <c r="I60" s="228">
        <v>302.17</v>
      </c>
      <c r="J60" s="153">
        <v>384.99</v>
      </c>
    </row>
    <row r="61" spans="1:10" ht="18.75" customHeight="1" thickBot="1">
      <c r="A61" s="171">
        <v>2000</v>
      </c>
      <c r="B61" s="153">
        <v>392.52</v>
      </c>
      <c r="C61" s="228">
        <v>434.32</v>
      </c>
      <c r="D61" s="153">
        <v>455.05</v>
      </c>
      <c r="E61" s="228">
        <v>434.5</v>
      </c>
      <c r="F61" s="153">
        <v>428.57</v>
      </c>
      <c r="G61" s="228">
        <v>351.65</v>
      </c>
      <c r="H61" s="153">
        <v>105.26</v>
      </c>
      <c r="I61" s="228">
        <v>321.52</v>
      </c>
      <c r="J61" s="153">
        <v>405.65</v>
      </c>
    </row>
    <row r="62" spans="1:10" ht="18.75" customHeight="1" thickBot="1">
      <c r="A62" s="171">
        <v>2001</v>
      </c>
      <c r="B62" s="153">
        <v>410.07</v>
      </c>
      <c r="C62" s="228">
        <v>451.53</v>
      </c>
      <c r="D62" s="153">
        <v>476.03</v>
      </c>
      <c r="E62" s="228">
        <v>458.65</v>
      </c>
      <c r="F62" s="153">
        <v>454.88</v>
      </c>
      <c r="G62" s="228">
        <v>372.2</v>
      </c>
      <c r="H62" s="153">
        <v>133.74</v>
      </c>
      <c r="I62" s="228">
        <v>333.68</v>
      </c>
      <c r="J62" s="153">
        <v>422.68</v>
      </c>
    </row>
    <row r="63" spans="1:10" ht="18.75" customHeight="1" thickBot="1">
      <c r="A63" s="171">
        <v>2002</v>
      </c>
      <c r="B63" s="153">
        <v>421.47</v>
      </c>
      <c r="C63" s="228">
        <v>460.31</v>
      </c>
      <c r="D63" s="153">
        <v>491.47</v>
      </c>
      <c r="E63" s="228">
        <v>472.72</v>
      </c>
      <c r="F63" s="153">
        <v>465.87</v>
      </c>
      <c r="G63" s="228">
        <v>383.71</v>
      </c>
      <c r="H63" s="153">
        <v>149.01</v>
      </c>
      <c r="I63" s="228">
        <v>357.87</v>
      </c>
      <c r="J63" s="153">
        <v>434.56</v>
      </c>
    </row>
    <row r="64" spans="1:10" ht="18.75" customHeight="1" thickBot="1">
      <c r="A64" s="171">
        <v>2003</v>
      </c>
      <c r="B64" s="153">
        <v>437.89</v>
      </c>
      <c r="C64" s="228">
        <v>468.48</v>
      </c>
      <c r="D64" s="153">
        <v>508.65</v>
      </c>
      <c r="E64" s="228">
        <v>489.65</v>
      </c>
      <c r="F64" s="153">
        <v>479.08</v>
      </c>
      <c r="G64" s="228">
        <v>393.32</v>
      </c>
      <c r="H64" s="153">
        <v>148.11000000000001</v>
      </c>
      <c r="I64" s="228">
        <v>343.32</v>
      </c>
      <c r="J64" s="153">
        <v>445.21</v>
      </c>
    </row>
    <row r="65" spans="1:10" ht="18.75" customHeight="1" thickBot="1">
      <c r="A65" s="517">
        <v>2004</v>
      </c>
      <c r="B65" s="483">
        <v>503.44</v>
      </c>
      <c r="C65" s="484">
        <v>487.48</v>
      </c>
      <c r="D65" s="483">
        <v>541.08000000000004</v>
      </c>
      <c r="E65" s="484">
        <v>519.51</v>
      </c>
      <c r="F65" s="483">
        <v>518.22</v>
      </c>
      <c r="G65" s="484">
        <v>403.47</v>
      </c>
      <c r="H65" s="483">
        <v>187.52</v>
      </c>
      <c r="I65" s="484">
        <v>395</v>
      </c>
      <c r="J65" s="483">
        <v>485.65</v>
      </c>
    </row>
    <row r="66" spans="1:10" ht="15" customHeight="1">
      <c r="A66" s="493" t="s">
        <v>1594</v>
      </c>
    </row>
    <row r="68" spans="1:10">
      <c r="A68" s="89" t="s">
        <v>941</v>
      </c>
    </row>
    <row r="69" spans="1:10">
      <c r="A69" s="83" t="s">
        <v>1596</v>
      </c>
    </row>
    <row r="71" spans="1:10">
      <c r="A71" s="231" t="s">
        <v>2120</v>
      </c>
    </row>
    <row r="72" spans="1:10">
      <c r="A72" s="2" t="s">
        <v>942</v>
      </c>
    </row>
    <row r="73" spans="1:10" ht="12" customHeight="1">
      <c r="A73" s="80" t="s">
        <v>943</v>
      </c>
      <c r="B73" s="219"/>
      <c r="F73" s="219"/>
      <c r="G73" s="518"/>
    </row>
    <row r="76" spans="1:10">
      <c r="A76" s="2" t="s">
        <v>104</v>
      </c>
    </row>
  </sheetData>
  <mergeCells count="1">
    <mergeCell ref="A2:E2"/>
  </mergeCells>
  <phoneticPr fontId="0" type="noConversion"/>
  <pageMargins left="0.56000000000000005" right="0.54" top="0.74" bottom="0.49" header="0.42" footer="0.4921259845"/>
  <pageSetup paperSize="9" scale="58" orientation="portrait" horizontalDpi="1200" verticalDpi="1200"/>
  <headerFooter alignWithMargins="0">
    <oddHeader>&amp;L&amp;"Arial,Bold"Versicherte und Finanzen in der OKP</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019E5-37FF-4E4A-BA2D-0B2F525F8F4E}">
  <sheetPr>
    <pageSetUpPr fitToPage="1"/>
  </sheetPr>
  <dimension ref="A1:J26"/>
  <sheetViews>
    <sheetView zoomScale="75" workbookViewId="0">
      <selection activeCell="A3" sqref="A3"/>
    </sheetView>
  </sheetViews>
  <sheetFormatPr baseColWidth="10" defaultColWidth="11.3984375" defaultRowHeight="13"/>
  <cols>
    <col min="1" max="1" width="15.19921875" style="2" customWidth="1"/>
    <col min="2" max="2" width="16.796875" style="2" customWidth="1"/>
    <col min="3" max="3" width="17.19921875" style="2" customWidth="1"/>
    <col min="4" max="4" width="15.3984375" style="2" customWidth="1"/>
    <col min="5" max="5" width="15.19921875" style="2" customWidth="1"/>
    <col min="6" max="6" width="18" style="2" customWidth="1"/>
    <col min="7" max="7" width="15.19921875" style="2" customWidth="1"/>
    <col min="8" max="16384" width="11.3984375" style="2"/>
  </cols>
  <sheetData>
    <row r="1" spans="1:10" s="1" customFormat="1" ht="14" customHeight="1"/>
    <row r="2" spans="1:10" s="1" customFormat="1" ht="28" customHeight="1">
      <c r="A2" s="178" t="s">
        <v>1194</v>
      </c>
      <c r="G2" s="370">
        <v>2004</v>
      </c>
    </row>
    <row r="3" spans="1:10" ht="24" customHeight="1">
      <c r="A3" s="139" t="s">
        <v>1250</v>
      </c>
      <c r="B3" s="164" t="s">
        <v>1571</v>
      </c>
      <c r="C3" s="141" t="s">
        <v>1572</v>
      </c>
      <c r="D3" s="164" t="s">
        <v>1573</v>
      </c>
      <c r="E3" s="141" t="s">
        <v>1574</v>
      </c>
      <c r="F3" s="164" t="s">
        <v>652</v>
      </c>
      <c r="G3" s="141" t="s">
        <v>451</v>
      </c>
    </row>
    <row r="4" spans="1:10" ht="15" customHeight="1">
      <c r="A4" s="165"/>
      <c r="B4" s="166" t="s">
        <v>1575</v>
      </c>
      <c r="C4" s="144" t="s">
        <v>1576</v>
      </c>
      <c r="D4" s="166" t="s">
        <v>1577</v>
      </c>
      <c r="E4" s="197" t="s">
        <v>1578</v>
      </c>
      <c r="F4" s="166"/>
      <c r="G4" s="144" t="s">
        <v>486</v>
      </c>
    </row>
    <row r="5" spans="1:10" ht="15" customHeight="1">
      <c r="A5" s="165"/>
      <c r="B5" s="166" t="s">
        <v>1579</v>
      </c>
      <c r="C5" s="144" t="s">
        <v>1580</v>
      </c>
      <c r="D5" s="166" t="s">
        <v>1281</v>
      </c>
      <c r="E5" s="197" t="s">
        <v>1581</v>
      </c>
      <c r="F5" s="166"/>
      <c r="G5" s="144" t="s">
        <v>454</v>
      </c>
    </row>
    <row r="6" spans="1:10" ht="24" customHeight="1">
      <c r="A6" s="167"/>
      <c r="B6" s="168"/>
      <c r="C6" s="147"/>
      <c r="D6" s="168"/>
      <c r="E6" s="200" t="s">
        <v>1582</v>
      </c>
      <c r="F6" s="168"/>
      <c r="G6" s="147"/>
    </row>
    <row r="7" spans="1:10" ht="22.5" customHeight="1" thickBot="1">
      <c r="A7" s="169">
        <v>1996</v>
      </c>
      <c r="B7" s="149">
        <v>8068747832</v>
      </c>
      <c r="C7" s="225">
        <v>2578797499</v>
      </c>
      <c r="D7" s="149">
        <v>25416930</v>
      </c>
      <c r="E7" s="225">
        <v>107523248</v>
      </c>
      <c r="F7" s="149">
        <v>10780485509</v>
      </c>
      <c r="G7" s="150">
        <v>7.6197276345230935E-2</v>
      </c>
    </row>
    <row r="8" spans="1:10" ht="20" customHeight="1" thickBot="1">
      <c r="A8" s="171">
        <v>1997</v>
      </c>
      <c r="B8" s="153">
        <v>7130343665</v>
      </c>
      <c r="C8" s="228">
        <v>3864390214</v>
      </c>
      <c r="D8" s="153">
        <v>13596114</v>
      </c>
      <c r="E8" s="228">
        <v>352165200</v>
      </c>
      <c r="F8" s="153">
        <v>11360495192</v>
      </c>
      <c r="G8" s="154">
        <v>5.3801814632168807E-2</v>
      </c>
      <c r="H8" s="10"/>
      <c r="I8" s="10"/>
      <c r="J8" s="10"/>
    </row>
    <row r="9" spans="1:10" ht="20" customHeight="1" thickBot="1">
      <c r="A9" s="171">
        <v>1998</v>
      </c>
      <c r="B9" s="153">
        <v>7021022570</v>
      </c>
      <c r="C9" s="228">
        <v>4312733832</v>
      </c>
      <c r="D9" s="153">
        <v>6419087</v>
      </c>
      <c r="E9" s="228">
        <v>586684363</v>
      </c>
      <c r="F9" s="153">
        <v>11926859852</v>
      </c>
      <c r="G9" s="154">
        <v>4.9853870841724483E-2</v>
      </c>
    </row>
    <row r="10" spans="1:10" ht="20" customHeight="1" thickBot="1">
      <c r="A10" s="171">
        <v>1999</v>
      </c>
      <c r="B10" s="153">
        <v>7777714326</v>
      </c>
      <c r="C10" s="228">
        <v>3929182211</v>
      </c>
      <c r="D10" s="153">
        <v>6480040</v>
      </c>
      <c r="E10" s="228">
        <v>717232756</v>
      </c>
      <c r="F10" s="153">
        <v>12430609334</v>
      </c>
      <c r="G10" s="154">
        <v>4.2236555828693408E-2</v>
      </c>
    </row>
    <row r="11" spans="1:10" ht="20" customHeight="1" thickBot="1">
      <c r="A11" s="171">
        <v>2000</v>
      </c>
      <c r="B11" s="153">
        <v>8082711555.3000002</v>
      </c>
      <c r="C11" s="228">
        <v>4300222314.6999998</v>
      </c>
      <c r="D11" s="153">
        <v>6284846.5800000001</v>
      </c>
      <c r="E11" s="228">
        <v>801091180.21000004</v>
      </c>
      <c r="F11" s="153">
        <v>13190309896.790001</v>
      </c>
      <c r="G11" s="154">
        <v>6.1115311597162041E-2</v>
      </c>
    </row>
    <row r="12" spans="1:10" ht="20" customHeight="1" thickBot="1">
      <c r="A12" s="171">
        <v>2001</v>
      </c>
      <c r="B12" s="153">
        <v>8576260475.6000004</v>
      </c>
      <c r="C12" s="228">
        <v>4525688630.3999996</v>
      </c>
      <c r="D12" s="153">
        <v>7093455.9400000004</v>
      </c>
      <c r="E12" s="228">
        <v>877228721.29999995</v>
      </c>
      <c r="F12" s="153">
        <v>13986271283.24</v>
      </c>
      <c r="G12" s="154">
        <v>6.0344403784152512E-2</v>
      </c>
    </row>
    <row r="13" spans="1:10" ht="20" customHeight="1" thickBot="1">
      <c r="A13" s="171">
        <v>2002</v>
      </c>
      <c r="B13" s="153">
        <v>8890664234.7999992</v>
      </c>
      <c r="C13" s="228">
        <v>4785763972.1999998</v>
      </c>
      <c r="D13" s="153">
        <v>6699940.54</v>
      </c>
      <c r="E13" s="228">
        <v>909628896.40999997</v>
      </c>
      <c r="F13" s="153">
        <v>14592757043.950001</v>
      </c>
      <c r="G13" s="154">
        <v>4.3362934153634201E-2</v>
      </c>
    </row>
    <row r="14" spans="1:10" ht="20" customHeight="1" thickBot="1">
      <c r="A14" s="171">
        <v>2003</v>
      </c>
      <c r="B14" s="153">
        <v>9320481084</v>
      </c>
      <c r="C14" s="228">
        <v>5132603712.3000002</v>
      </c>
      <c r="D14" s="153">
        <v>7068355.0800000001</v>
      </c>
      <c r="E14" s="228">
        <v>875466553</v>
      </c>
      <c r="F14" s="153">
        <v>15335619704.379999</v>
      </c>
      <c r="G14" s="154">
        <v>5.0906258371373435E-2</v>
      </c>
    </row>
    <row r="15" spans="1:10" ht="30" customHeight="1" thickBot="1">
      <c r="A15" s="488">
        <v>2004</v>
      </c>
      <c r="B15" s="392">
        <v>9988665892</v>
      </c>
      <c r="C15" s="393">
        <v>5289834295.1999998</v>
      </c>
      <c r="D15" s="392">
        <v>7294457.54</v>
      </c>
      <c r="E15" s="393">
        <v>1021713900.6</v>
      </c>
      <c r="F15" s="392">
        <v>16307508545.340002</v>
      </c>
      <c r="G15" s="204">
        <v>6.3374604984656871E-2</v>
      </c>
    </row>
    <row r="16" spans="1:10" ht="20" customHeight="1">
      <c r="A16" s="155" t="s">
        <v>146</v>
      </c>
      <c r="B16" s="155"/>
      <c r="C16" s="155"/>
      <c r="D16" s="155"/>
      <c r="E16" s="155"/>
      <c r="F16" s="155"/>
      <c r="G16" s="155"/>
    </row>
    <row r="17" spans="1:7" ht="16.5" customHeight="1">
      <c r="A17" s="4"/>
      <c r="B17" s="4"/>
      <c r="C17" s="4"/>
      <c r="D17" s="4"/>
      <c r="E17" s="4"/>
      <c r="F17" s="4"/>
      <c r="G17" s="4"/>
    </row>
    <row r="18" spans="1:7">
      <c r="A18" s="4" t="s">
        <v>1190</v>
      </c>
    </row>
    <row r="20" spans="1:7">
      <c r="A20" s="2" t="s">
        <v>1193</v>
      </c>
    </row>
    <row r="23" spans="1:7">
      <c r="A23" s="2" t="s">
        <v>104</v>
      </c>
    </row>
    <row r="25" spans="1:7" ht="14">
      <c r="F25" s="630"/>
    </row>
    <row r="26" spans="1:7" ht="14">
      <c r="F26" s="631"/>
    </row>
  </sheetData>
  <phoneticPr fontId="0" type="noConversion"/>
  <pageMargins left="0.57999999999999996" right="0.61" top="1.01" bottom="0.49" header="0.57999999999999996" footer="0.4921259845"/>
  <pageSetup paperSize="9" scale="81" orientation="portrait" horizontalDpi="4294967292" verticalDpi="4294967292"/>
  <headerFooter alignWithMargins="0">
    <oddHeader>&amp;L&amp;"Arial,Bold"Versicherte und Finanzen in der OKP</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9289C-AB12-ED47-837F-CD733179D8C3}">
  <sheetPr>
    <pageSetUpPr fitToPage="1"/>
  </sheetPr>
  <dimension ref="A1:K23"/>
  <sheetViews>
    <sheetView zoomScale="75" workbookViewId="0">
      <selection activeCell="A3" sqref="A3"/>
    </sheetView>
  </sheetViews>
  <sheetFormatPr baseColWidth="10" defaultColWidth="11.3984375" defaultRowHeight="13"/>
  <cols>
    <col min="1" max="1" width="14.3984375" style="2" customWidth="1"/>
    <col min="2" max="7" width="15.3984375" style="2" customWidth="1"/>
    <col min="8" max="16384" width="11.3984375" style="2"/>
  </cols>
  <sheetData>
    <row r="1" spans="1:11" s="1" customFormat="1" ht="14" customHeight="1"/>
    <row r="2" spans="1:11" s="1" customFormat="1" ht="39.75" customHeight="1">
      <c r="A2" s="1715" t="s">
        <v>1192</v>
      </c>
      <c r="B2" s="1716"/>
      <c r="C2" s="1716"/>
      <c r="D2" s="1716"/>
      <c r="E2" s="1716"/>
      <c r="F2" s="1716"/>
      <c r="G2" s="370">
        <v>2004</v>
      </c>
    </row>
    <row r="3" spans="1:11" ht="24" customHeight="1">
      <c r="A3" s="139" t="s">
        <v>1250</v>
      </c>
      <c r="B3" s="164" t="s">
        <v>1571</v>
      </c>
      <c r="C3" s="141" t="s">
        <v>1572</v>
      </c>
      <c r="D3" s="164" t="s">
        <v>1573</v>
      </c>
      <c r="E3" s="141" t="s">
        <v>1574</v>
      </c>
      <c r="F3" s="164" t="s">
        <v>652</v>
      </c>
      <c r="G3" s="141" t="s">
        <v>451</v>
      </c>
    </row>
    <row r="4" spans="1:11" ht="15" customHeight="1">
      <c r="A4" s="165"/>
      <c r="B4" s="166" t="s">
        <v>1575</v>
      </c>
      <c r="C4" s="144" t="s">
        <v>1576</v>
      </c>
      <c r="D4" s="166" t="s">
        <v>1577</v>
      </c>
      <c r="E4" s="197" t="s">
        <v>1578</v>
      </c>
      <c r="F4" s="166"/>
      <c r="G4" s="144" t="s">
        <v>486</v>
      </c>
    </row>
    <row r="5" spans="1:11" ht="15" customHeight="1">
      <c r="A5" s="165"/>
      <c r="B5" s="166" t="s">
        <v>1579</v>
      </c>
      <c r="C5" s="144" t="s">
        <v>1580</v>
      </c>
      <c r="D5" s="166" t="s">
        <v>1281</v>
      </c>
      <c r="E5" s="197" t="s">
        <v>1581</v>
      </c>
      <c r="F5" s="166"/>
      <c r="G5" s="144" t="s">
        <v>454</v>
      </c>
    </row>
    <row r="6" spans="1:11" ht="24" customHeight="1">
      <c r="A6" s="167"/>
      <c r="B6" s="168"/>
      <c r="C6" s="147"/>
      <c r="D6" s="168"/>
      <c r="E6" s="200" t="s">
        <v>1582</v>
      </c>
      <c r="F6" s="168"/>
      <c r="G6" s="147"/>
    </row>
    <row r="7" spans="1:11" ht="22.5" customHeight="1" thickBot="1">
      <c r="A7" s="169">
        <v>1996</v>
      </c>
      <c r="B7" s="149">
        <v>1702.3967710627812</v>
      </c>
      <c r="C7" s="225">
        <v>1118.4503276245528</v>
      </c>
      <c r="D7" s="149">
        <v>913.3581285036654</v>
      </c>
      <c r="E7" s="225">
        <v>884.25178045691541</v>
      </c>
      <c r="F7" s="149">
        <v>1498.3813913582035</v>
      </c>
      <c r="G7" s="150">
        <v>7.1498194564757866E-2</v>
      </c>
    </row>
    <row r="8" spans="1:11" ht="20" customHeight="1" thickBot="1">
      <c r="A8" s="171">
        <v>1997</v>
      </c>
      <c r="B8" s="153">
        <v>1745.983981062986</v>
      </c>
      <c r="C8" s="228">
        <v>1412.2354387062539</v>
      </c>
      <c r="D8" s="153">
        <v>1182.8879415347137</v>
      </c>
      <c r="E8" s="228">
        <v>919.26816725964716</v>
      </c>
      <c r="F8" s="153">
        <v>1574.6087651710613</v>
      </c>
      <c r="G8" s="154">
        <v>5.087314501667816E-2</v>
      </c>
      <c r="I8" s="10"/>
      <c r="J8" s="10"/>
      <c r="K8" s="10"/>
    </row>
    <row r="9" spans="1:11" ht="20" customHeight="1" thickBot="1">
      <c r="A9" s="171">
        <v>1998</v>
      </c>
      <c r="B9" s="153">
        <v>1748.1463682568913</v>
      </c>
      <c r="C9" s="228">
        <v>1581.8024755837955</v>
      </c>
      <c r="D9" s="153">
        <v>542.70265471761923</v>
      </c>
      <c r="E9" s="228">
        <v>1187.5240122257308</v>
      </c>
      <c r="F9" s="153">
        <v>1645.4011693011744</v>
      </c>
      <c r="G9" s="154">
        <v>4.495872606324678E-2</v>
      </c>
    </row>
    <row r="10" spans="1:11" ht="20" customHeight="1" thickBot="1">
      <c r="A10" s="171">
        <v>1999</v>
      </c>
      <c r="B10" s="153">
        <v>1945.0393238476881</v>
      </c>
      <c r="C10" s="228">
        <v>1446.870467830443</v>
      </c>
      <c r="D10" s="153">
        <v>631.70598557223627</v>
      </c>
      <c r="E10" s="228">
        <v>1323.5762903910388</v>
      </c>
      <c r="F10" s="153">
        <v>1710.6655434351508</v>
      </c>
      <c r="G10" s="154">
        <v>3.9664718459933461E-2</v>
      </c>
    </row>
    <row r="11" spans="1:11" ht="20" customHeight="1" thickBot="1">
      <c r="A11" s="171">
        <v>2000</v>
      </c>
      <c r="B11" s="153">
        <v>2060.9067893531742</v>
      </c>
      <c r="C11" s="228">
        <v>1558.8767513165483</v>
      </c>
      <c r="D11" s="153">
        <v>640.59184384874118</v>
      </c>
      <c r="E11" s="228">
        <v>1386.3522668173425</v>
      </c>
      <c r="F11" s="153">
        <v>1814.8195448294614</v>
      </c>
      <c r="G11" s="154">
        <v>6.0885075866531579E-2</v>
      </c>
    </row>
    <row r="12" spans="1:11" ht="20" customHeight="1" thickBot="1">
      <c r="A12" s="171">
        <v>2001</v>
      </c>
      <c r="B12" s="153">
        <v>2209.1289366236747</v>
      </c>
      <c r="C12" s="228">
        <v>1597.0298108275201</v>
      </c>
      <c r="D12" s="153">
        <v>759.38935231773905</v>
      </c>
      <c r="E12" s="228">
        <v>1472.0109294743254</v>
      </c>
      <c r="F12" s="153">
        <v>1910.356919929515</v>
      </c>
      <c r="G12" s="154">
        <v>5.2642906217450547E-2</v>
      </c>
    </row>
    <row r="13" spans="1:11" ht="20" customHeight="1" thickBot="1">
      <c r="A13" s="171">
        <v>2002</v>
      </c>
      <c r="B13" s="153">
        <v>2331.8704675326376</v>
      </c>
      <c r="C13" s="228">
        <v>1605.519277312954</v>
      </c>
      <c r="D13" s="153">
        <v>758.34075155631012</v>
      </c>
      <c r="E13" s="228">
        <v>1632.983378800255</v>
      </c>
      <c r="F13" s="153">
        <v>1982.8826323942353</v>
      </c>
      <c r="G13" s="154">
        <v>3.7964482818946849E-2</v>
      </c>
    </row>
    <row r="14" spans="1:11" ht="20" customHeight="1" thickBot="1">
      <c r="A14" s="171">
        <v>2003</v>
      </c>
      <c r="B14" s="153">
        <v>2536.6892155448563</v>
      </c>
      <c r="C14" s="228">
        <v>1651.8968388498977</v>
      </c>
      <c r="D14" s="153">
        <v>849.86835156907534</v>
      </c>
      <c r="E14" s="228">
        <v>1450.6391888040509</v>
      </c>
      <c r="F14" s="153">
        <v>2074.2905096394138</v>
      </c>
      <c r="G14" s="154">
        <v>4.609848094478889E-2</v>
      </c>
    </row>
    <row r="15" spans="1:11" ht="30" customHeight="1" thickBot="1">
      <c r="A15" s="488">
        <v>2004</v>
      </c>
      <c r="B15" s="392">
        <v>2744.6766061593935</v>
      </c>
      <c r="C15" s="393">
        <v>1748.8078790725936</v>
      </c>
      <c r="D15" s="392">
        <v>900.77272659916025</v>
      </c>
      <c r="E15" s="393">
        <v>1366.3551172425598</v>
      </c>
      <c r="F15" s="392">
        <v>2197.7851331204129</v>
      </c>
      <c r="G15" s="204">
        <v>5.9535837871845083E-2</v>
      </c>
    </row>
    <row r="16" spans="1:11" ht="20" customHeight="1">
      <c r="A16" s="155" t="s">
        <v>146</v>
      </c>
      <c r="B16" s="155"/>
      <c r="C16" s="155"/>
      <c r="D16" s="155"/>
      <c r="E16" s="155"/>
      <c r="F16" s="155"/>
      <c r="G16" s="155"/>
    </row>
    <row r="17" spans="1:7" ht="16.5" customHeight="1">
      <c r="A17" s="4"/>
      <c r="B17" s="4"/>
      <c r="C17" s="4"/>
      <c r="D17" s="4"/>
      <c r="E17" s="4"/>
      <c r="F17" s="4"/>
      <c r="G17" s="4"/>
    </row>
    <row r="18" spans="1:7">
      <c r="A18" s="4" t="s">
        <v>1190</v>
      </c>
    </row>
    <row r="20" spans="1:7">
      <c r="A20" s="2" t="s">
        <v>1191</v>
      </c>
    </row>
    <row r="23" spans="1:7">
      <c r="A23" s="2" t="s">
        <v>104</v>
      </c>
    </row>
  </sheetData>
  <mergeCells count="1">
    <mergeCell ref="A2:F2"/>
  </mergeCells>
  <phoneticPr fontId="0" type="noConversion"/>
  <pageMargins left="0.62" right="0.78740157480314965" top="1.08" bottom="0.49" header="0.67" footer="0.4921259845"/>
  <pageSetup paperSize="9" scale="83" orientation="portrait" horizontalDpi="1200" verticalDpi="1200"/>
  <headerFooter alignWithMargins="0">
    <oddHeader>&amp;L&amp;"Arial,Bold"Versicherte und Finanzen in der OKP</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15751-B770-5D46-A689-DD1FE04CDA3B}">
  <sheetPr>
    <pageSetUpPr fitToPage="1"/>
  </sheetPr>
  <dimension ref="A1:J21"/>
  <sheetViews>
    <sheetView topLeftCell="A4" zoomScale="75" workbookViewId="0">
      <selection activeCell="A3" sqref="A3"/>
    </sheetView>
  </sheetViews>
  <sheetFormatPr baseColWidth="10" defaultColWidth="11.3984375" defaultRowHeight="13"/>
  <cols>
    <col min="1" max="1" width="14.3984375" style="2" customWidth="1"/>
    <col min="2" max="7" width="15.3984375" style="2" customWidth="1"/>
    <col min="8" max="8" width="17.796875" style="2" customWidth="1"/>
    <col min="9" max="16384" width="11.3984375" style="2"/>
  </cols>
  <sheetData>
    <row r="1" spans="1:10" s="1" customFormat="1" ht="14" customHeight="1"/>
    <row r="2" spans="1:10" s="1" customFormat="1" ht="28" customHeight="1">
      <c r="A2" s="178" t="s">
        <v>1183</v>
      </c>
      <c r="H2" s="621">
        <v>2004</v>
      </c>
    </row>
    <row r="3" spans="1:10" ht="24" customHeight="1">
      <c r="A3" s="139" t="s">
        <v>1250</v>
      </c>
      <c r="B3" s="164" t="s">
        <v>1571</v>
      </c>
      <c r="C3" s="141" t="s">
        <v>1572</v>
      </c>
      <c r="D3" s="164" t="s">
        <v>1573</v>
      </c>
      <c r="E3" s="141" t="s">
        <v>1574</v>
      </c>
      <c r="F3" s="164" t="s">
        <v>652</v>
      </c>
      <c r="G3" s="141" t="s">
        <v>1184</v>
      </c>
      <c r="H3" s="166" t="s">
        <v>1185</v>
      </c>
    </row>
    <row r="4" spans="1:10" ht="15" customHeight="1">
      <c r="A4" s="165"/>
      <c r="B4" s="166" t="s">
        <v>1575</v>
      </c>
      <c r="C4" s="144" t="s">
        <v>1576</v>
      </c>
      <c r="D4" s="166" t="s">
        <v>1577</v>
      </c>
      <c r="E4" s="144" t="s">
        <v>1578</v>
      </c>
      <c r="F4" s="166"/>
      <c r="G4" s="144" t="s">
        <v>1185</v>
      </c>
      <c r="H4" s="622" t="s">
        <v>1186</v>
      </c>
    </row>
    <row r="5" spans="1:10" ht="15" customHeight="1">
      <c r="A5" s="165"/>
      <c r="B5" s="166" t="s">
        <v>1579</v>
      </c>
      <c r="C5" s="144" t="s">
        <v>1580</v>
      </c>
      <c r="D5" s="166" t="s">
        <v>1281</v>
      </c>
      <c r="E5" s="144" t="s">
        <v>1581</v>
      </c>
      <c r="F5" s="166"/>
      <c r="G5" s="623" t="s">
        <v>1186</v>
      </c>
      <c r="H5" s="363" t="s">
        <v>1187</v>
      </c>
    </row>
    <row r="6" spans="1:10" ht="24" customHeight="1">
      <c r="A6" s="167"/>
      <c r="B6" s="168"/>
      <c r="C6" s="147"/>
      <c r="D6" s="168"/>
      <c r="E6" s="147" t="s">
        <v>1582</v>
      </c>
      <c r="F6" s="168"/>
      <c r="G6" s="147" t="s">
        <v>1188</v>
      </c>
      <c r="H6" s="168"/>
    </row>
    <row r="7" spans="1:10" ht="22.5" customHeight="1" thickBot="1">
      <c r="A7" s="624">
        <v>1996</v>
      </c>
      <c r="B7" s="149">
        <v>649209078</v>
      </c>
      <c r="C7" s="225">
        <v>296204692</v>
      </c>
      <c r="D7" s="149">
        <v>2703444</v>
      </c>
      <c r="E7" s="225">
        <v>11710365</v>
      </c>
      <c r="F7" s="149">
        <v>959827579</v>
      </c>
      <c r="G7" s="150">
        <v>8.160992566527614E-2</v>
      </c>
      <c r="H7" s="149">
        <v>11761162275</v>
      </c>
    </row>
    <row r="8" spans="1:10" ht="20" customHeight="1" thickBot="1">
      <c r="A8" s="625">
        <v>1997</v>
      </c>
      <c r="B8" s="153">
        <v>500889187</v>
      </c>
      <c r="C8" s="228">
        <v>356202290</v>
      </c>
      <c r="D8" s="153">
        <v>947002</v>
      </c>
      <c r="E8" s="228">
        <v>35169957</v>
      </c>
      <c r="F8" s="153">
        <v>893208437</v>
      </c>
      <c r="G8" s="626">
        <v>7.2355407590263501E-2</v>
      </c>
      <c r="H8" s="153">
        <v>12344736444</v>
      </c>
      <c r="I8" s="10"/>
      <c r="J8" s="10"/>
    </row>
    <row r="9" spans="1:10" ht="20" customHeight="1" thickBot="1">
      <c r="A9" s="625">
        <v>1998</v>
      </c>
      <c r="B9" s="153">
        <v>457365467</v>
      </c>
      <c r="C9" s="228">
        <v>348237805</v>
      </c>
      <c r="D9" s="153">
        <v>775330</v>
      </c>
      <c r="E9" s="228">
        <v>48566196</v>
      </c>
      <c r="F9" s="153">
        <v>854944797</v>
      </c>
      <c r="G9" s="626">
        <v>6.5539994260804979E-2</v>
      </c>
      <c r="H9" s="153">
        <v>13044627279</v>
      </c>
    </row>
    <row r="10" spans="1:10" ht="20" customHeight="1" thickBot="1">
      <c r="A10" s="625">
        <v>1999</v>
      </c>
      <c r="B10" s="153">
        <v>466630422</v>
      </c>
      <c r="C10" s="228">
        <v>332810614</v>
      </c>
      <c r="D10" s="153">
        <v>653141</v>
      </c>
      <c r="E10" s="228">
        <v>54148946</v>
      </c>
      <c r="F10" s="153">
        <v>854243123</v>
      </c>
      <c r="G10" s="626">
        <v>6.3520258007815578E-2</v>
      </c>
      <c r="H10" s="153">
        <v>13448357261</v>
      </c>
    </row>
    <row r="11" spans="1:10" ht="20" customHeight="1" thickBot="1">
      <c r="A11" s="625">
        <v>2000</v>
      </c>
      <c r="B11" s="153">
        <v>463039687.31</v>
      </c>
      <c r="C11" s="228">
        <v>338664058.75</v>
      </c>
      <c r="D11" s="153">
        <v>692132.4</v>
      </c>
      <c r="E11" s="228">
        <v>60882478.25</v>
      </c>
      <c r="F11" s="153">
        <v>863278356.70999992</v>
      </c>
      <c r="G11" s="626">
        <v>6.0778319554744789E-2</v>
      </c>
      <c r="H11" s="153">
        <v>14203722035</v>
      </c>
    </row>
    <row r="12" spans="1:10" ht="20" customHeight="1" thickBot="1">
      <c r="A12" s="625">
        <v>2001</v>
      </c>
      <c r="B12" s="153">
        <v>473405802.30000001</v>
      </c>
      <c r="C12" s="228">
        <v>367784678.56</v>
      </c>
      <c r="D12" s="153">
        <v>749931.27</v>
      </c>
      <c r="E12" s="228">
        <v>66915939.469999999</v>
      </c>
      <c r="F12" s="153">
        <v>908856351.60000002</v>
      </c>
      <c r="G12" s="626">
        <v>6.0883052653460515E-2</v>
      </c>
      <c r="H12" s="153">
        <v>14927903776</v>
      </c>
    </row>
    <row r="13" spans="1:10" ht="20" customHeight="1" thickBot="1">
      <c r="A13" s="625">
        <v>2002</v>
      </c>
      <c r="B13" s="153">
        <v>472860051.04000002</v>
      </c>
      <c r="C13" s="228">
        <v>381940533.88</v>
      </c>
      <c r="D13" s="153">
        <v>686255.39</v>
      </c>
      <c r="E13" s="228">
        <v>68086548.329999998</v>
      </c>
      <c r="F13" s="153">
        <v>923573388.6400001</v>
      </c>
      <c r="G13" s="626">
        <v>5.9305732530714958E-2</v>
      </c>
      <c r="H13" s="153">
        <v>15573087950</v>
      </c>
    </row>
    <row r="14" spans="1:10" ht="20" customHeight="1" thickBot="1">
      <c r="A14" s="625">
        <v>2003</v>
      </c>
      <c r="B14" s="153">
        <v>470970297.86000001</v>
      </c>
      <c r="C14" s="228">
        <v>408594784.26000005</v>
      </c>
      <c r="D14" s="153">
        <v>692369.29</v>
      </c>
      <c r="E14" s="228">
        <v>68876407.299999997</v>
      </c>
      <c r="F14" s="153">
        <v>949133858.71000004</v>
      </c>
      <c r="G14" s="626">
        <v>5.7102364889053812E-2</v>
      </c>
      <c r="H14" s="153">
        <v>16621620848</v>
      </c>
    </row>
    <row r="15" spans="1:10" ht="30" customHeight="1" thickBot="1">
      <c r="A15" s="627">
        <v>2004</v>
      </c>
      <c r="B15" s="392">
        <v>484897853.29000002</v>
      </c>
      <c r="C15" s="393">
        <v>415930592.72000003</v>
      </c>
      <c r="D15" s="392">
        <v>723109.3</v>
      </c>
      <c r="E15" s="393">
        <v>85829196.189999998</v>
      </c>
      <c r="F15" s="392">
        <v>987380751.5</v>
      </c>
      <c r="G15" s="628">
        <v>5.6068315584587115E-2</v>
      </c>
      <c r="H15" s="483">
        <v>17610315937</v>
      </c>
      <c r="I15" s="9"/>
    </row>
    <row r="16" spans="1:10" ht="20" customHeight="1">
      <c r="A16" s="155" t="s">
        <v>146</v>
      </c>
      <c r="B16" s="155"/>
      <c r="C16" s="155"/>
      <c r="D16" s="155"/>
      <c r="E16" s="155"/>
      <c r="F16" s="155"/>
      <c r="G16" s="155"/>
    </row>
    <row r="17" spans="1:6">
      <c r="F17" s="629"/>
    </row>
    <row r="18" spans="1:6">
      <c r="A18" s="2" t="s">
        <v>1189</v>
      </c>
    </row>
    <row r="21" spans="1:6">
      <c r="A21" s="2" t="s">
        <v>104</v>
      </c>
    </row>
  </sheetData>
  <phoneticPr fontId="0" type="noConversion"/>
  <pageMargins left="0.48" right="0.56000000000000005" top="0.94" bottom="0.49" header="0.57999999999999996" footer="0.4921259845"/>
  <pageSetup paperSize="9" scale="75" orientation="portrait" horizontalDpi="1200" verticalDpi="1200"/>
  <headerFooter alignWithMargins="0">
    <oddHeader>&amp;L&amp;"Arial,Bold"Versicherte und Finanzen in der OKP</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04A6-8E3C-594E-8E6E-FB02D7EC5250}">
  <sheetPr>
    <pageSetUpPr fitToPage="1"/>
  </sheetPr>
  <dimension ref="A1:J21"/>
  <sheetViews>
    <sheetView topLeftCell="A5" zoomScale="75" workbookViewId="0">
      <selection activeCell="A3" sqref="A3"/>
    </sheetView>
  </sheetViews>
  <sheetFormatPr baseColWidth="10" defaultColWidth="11.3984375" defaultRowHeight="13"/>
  <cols>
    <col min="1" max="1" width="18.796875" style="2" customWidth="1"/>
    <col min="2" max="7" width="14.796875" style="2" customWidth="1"/>
    <col min="8" max="8" width="9.19921875" style="2" customWidth="1"/>
    <col min="9" max="16384" width="11.3984375" style="2"/>
  </cols>
  <sheetData>
    <row r="1" spans="1:10" s="1" customFormat="1" ht="14" customHeight="1"/>
    <row r="2" spans="1:10" s="1" customFormat="1" ht="39" customHeight="1">
      <c r="A2" s="1715" t="s">
        <v>1181</v>
      </c>
      <c r="B2" s="1716"/>
      <c r="C2" s="1716"/>
      <c r="D2" s="1716"/>
      <c r="E2" s="1716"/>
      <c r="F2" s="1716"/>
      <c r="G2" s="370">
        <v>2004</v>
      </c>
    </row>
    <row r="3" spans="1:10" ht="24" customHeight="1">
      <c r="A3" s="139" t="s">
        <v>1250</v>
      </c>
      <c r="B3" s="164" t="s">
        <v>1571</v>
      </c>
      <c r="C3" s="141" t="s">
        <v>1572</v>
      </c>
      <c r="D3" s="164" t="s">
        <v>1573</v>
      </c>
      <c r="E3" s="141" t="s">
        <v>1574</v>
      </c>
      <c r="F3" s="164" t="s">
        <v>652</v>
      </c>
      <c r="G3" s="141" t="s">
        <v>451</v>
      </c>
    </row>
    <row r="4" spans="1:10" ht="15" customHeight="1">
      <c r="A4" s="165"/>
      <c r="B4" s="166" t="s">
        <v>1575</v>
      </c>
      <c r="C4" s="144" t="s">
        <v>1576</v>
      </c>
      <c r="D4" s="166" t="s">
        <v>1577</v>
      </c>
      <c r="E4" s="197" t="s">
        <v>1578</v>
      </c>
      <c r="F4" s="166"/>
      <c r="G4" s="144" t="s">
        <v>486</v>
      </c>
    </row>
    <row r="5" spans="1:10" ht="15" customHeight="1">
      <c r="A5" s="165"/>
      <c r="B5" s="166" t="s">
        <v>1579</v>
      </c>
      <c r="C5" s="144" t="s">
        <v>1580</v>
      </c>
      <c r="D5" s="166" t="s">
        <v>1281</v>
      </c>
      <c r="E5" s="197" t="s">
        <v>1581</v>
      </c>
      <c r="F5" s="166"/>
      <c r="G5" s="144" t="s">
        <v>454</v>
      </c>
    </row>
    <row r="6" spans="1:10" ht="24" customHeight="1">
      <c r="A6" s="167"/>
      <c r="B6" s="168"/>
      <c r="C6" s="147"/>
      <c r="D6" s="168"/>
      <c r="E6" s="200" t="s">
        <v>1582</v>
      </c>
      <c r="F6" s="168"/>
      <c r="G6" s="147"/>
    </row>
    <row r="7" spans="1:10" ht="22.5" customHeight="1" thickBot="1">
      <c r="A7" s="169">
        <v>1996</v>
      </c>
      <c r="B7" s="149">
        <v>136.97434362103451</v>
      </c>
      <c r="C7" s="225">
        <v>128.46694435673865</v>
      </c>
      <c r="D7" s="149">
        <v>97.148339801638642</v>
      </c>
      <c r="E7" s="225">
        <v>96.303927696179215</v>
      </c>
      <c r="F7" s="149">
        <v>133.40658749416588</v>
      </c>
      <c r="G7" s="150">
        <v>0.15128629508664851</v>
      </c>
    </row>
    <row r="8" spans="1:10" ht="20" customHeight="1" thickBot="1">
      <c r="A8" s="171">
        <v>1997</v>
      </c>
      <c r="B8" s="153">
        <v>122.6511004066257</v>
      </c>
      <c r="C8" s="228">
        <v>130.17357705334524</v>
      </c>
      <c r="D8" s="153">
        <v>82.390986601705237</v>
      </c>
      <c r="E8" s="228">
        <v>91.805271826945415</v>
      </c>
      <c r="F8" s="153">
        <v>123.8021591713151</v>
      </c>
      <c r="G8" s="154">
        <v>-7.1993658658503643E-2</v>
      </c>
      <c r="H8" s="10"/>
      <c r="I8" s="10"/>
      <c r="J8" s="10"/>
    </row>
    <row r="9" spans="1:10" ht="20" customHeight="1" thickBot="1">
      <c r="A9" s="171">
        <v>1998</v>
      </c>
      <c r="B9" s="153">
        <v>113.87825236718575</v>
      </c>
      <c r="C9" s="228">
        <v>127.72488252200283</v>
      </c>
      <c r="D9" s="153">
        <v>65.550388907676705</v>
      </c>
      <c r="E9" s="228">
        <v>98.304177799368475</v>
      </c>
      <c r="F9" s="153">
        <v>117.94614727831004</v>
      </c>
      <c r="G9" s="154">
        <v>-4.7301371253966752E-2</v>
      </c>
    </row>
    <row r="10" spans="1:10" ht="20" customHeight="1" thickBot="1">
      <c r="A10" s="171">
        <v>1999</v>
      </c>
      <c r="B10" s="153">
        <v>116.69424749371302</v>
      </c>
      <c r="C10" s="228">
        <v>122.55319883843305</v>
      </c>
      <c r="D10" s="153">
        <v>63.671378436342366</v>
      </c>
      <c r="E10" s="228">
        <v>99.926084629721899</v>
      </c>
      <c r="F10" s="153">
        <v>117.55853932562621</v>
      </c>
      <c r="G10" s="154">
        <v>-3.2863129625523811E-3</v>
      </c>
    </row>
    <row r="11" spans="1:10" ht="20" customHeight="1" thickBot="1">
      <c r="A11" s="171">
        <v>2000</v>
      </c>
      <c r="B11" s="153">
        <v>118.06454168111537</v>
      </c>
      <c r="C11" s="228">
        <v>122.76935680445337</v>
      </c>
      <c r="D11" s="153">
        <v>70.546570176332693</v>
      </c>
      <c r="E11" s="228">
        <v>105.36199101482934</v>
      </c>
      <c r="F11" s="153">
        <v>118.77616573412266</v>
      </c>
      <c r="G11" s="154">
        <v>1.0357617706730186E-2</v>
      </c>
    </row>
    <row r="12" spans="1:10" ht="20" customHeight="1" thickBot="1">
      <c r="A12" s="171">
        <v>2001</v>
      </c>
      <c r="B12" s="153">
        <v>121.94294466707073</v>
      </c>
      <c r="C12" s="228">
        <v>129.78424801045657</v>
      </c>
      <c r="D12" s="153">
        <v>80.283831495557223</v>
      </c>
      <c r="E12" s="228">
        <v>112.28655864106896</v>
      </c>
      <c r="F12" s="153">
        <v>124.13887771371346</v>
      </c>
      <c r="G12" s="154">
        <v>4.514973139977501E-2</v>
      </c>
    </row>
    <row r="13" spans="1:10" ht="20" customHeight="1" thickBot="1">
      <c r="A13" s="171">
        <v>2002</v>
      </c>
      <c r="B13" s="153">
        <v>124.02317297960094</v>
      </c>
      <c r="C13" s="228">
        <v>128.13270639622655</v>
      </c>
      <c r="D13" s="153">
        <v>77.674633842671199</v>
      </c>
      <c r="E13" s="228">
        <v>122.23028773775435</v>
      </c>
      <c r="F13" s="153">
        <v>125.49634223061366</v>
      </c>
      <c r="G13" s="154">
        <v>1.0935047439616501E-2</v>
      </c>
    </row>
    <row r="14" spans="1:10" ht="20" customHeight="1" thickBot="1">
      <c r="A14" s="171">
        <v>2003</v>
      </c>
      <c r="B14" s="153">
        <v>128.18064482468625</v>
      </c>
      <c r="C14" s="228">
        <v>131.50371046027854</v>
      </c>
      <c r="D14" s="153">
        <v>83.247479860526639</v>
      </c>
      <c r="E14" s="228">
        <v>114.12750752273389</v>
      </c>
      <c r="F14" s="153">
        <v>128.37951080237647</v>
      </c>
      <c r="G14" s="154">
        <v>2.2974124349095865E-2</v>
      </c>
    </row>
    <row r="15" spans="1:10" ht="30" customHeight="1" thickBot="1">
      <c r="A15" s="488">
        <v>2004</v>
      </c>
      <c r="B15" s="392">
        <v>133.23979485267307</v>
      </c>
      <c r="C15" s="393">
        <v>137.50576239336979</v>
      </c>
      <c r="D15" s="392">
        <v>89.294801185477908</v>
      </c>
      <c r="E15" s="393">
        <v>114.78082206198195</v>
      </c>
      <c r="F15" s="392">
        <v>133.07064842814813</v>
      </c>
      <c r="G15" s="204">
        <v>3.6541170755768453E-2</v>
      </c>
    </row>
    <row r="16" spans="1:10" ht="20.25" customHeight="1">
      <c r="A16" s="155" t="s">
        <v>146</v>
      </c>
      <c r="B16" s="155"/>
      <c r="C16" s="155"/>
      <c r="D16" s="155"/>
      <c r="E16" s="155"/>
      <c r="F16" s="155"/>
      <c r="G16" s="155"/>
    </row>
    <row r="18" spans="1:1">
      <c r="A18" s="2" t="s">
        <v>1182</v>
      </c>
    </row>
    <row r="21" spans="1:1">
      <c r="A21" s="2" t="s">
        <v>104</v>
      </c>
    </row>
  </sheetData>
  <mergeCells count="1">
    <mergeCell ref="A2:F2"/>
  </mergeCells>
  <phoneticPr fontId="0" type="noConversion"/>
  <pageMargins left="0.55000000000000004" right="0.55000000000000004" top="1.0900000000000001" bottom="0.49" header="0.53" footer="0.4921259845"/>
  <pageSetup paperSize="9" scale="86" orientation="portrait" horizontalDpi="4294967292" verticalDpi="4294967292"/>
  <headerFooter alignWithMargins="0">
    <oddHeader>&amp;L&amp;"Arial,Bold"Versicherte und Finanzen in der OKP</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62E45-0300-264F-A677-AF6182ED051F}">
  <sheetPr>
    <pageSetUpPr fitToPage="1"/>
  </sheetPr>
  <dimension ref="A1:J21"/>
  <sheetViews>
    <sheetView zoomScale="75" workbookViewId="0">
      <selection activeCell="H12" sqref="H12"/>
    </sheetView>
  </sheetViews>
  <sheetFormatPr baseColWidth="10" defaultColWidth="11.3984375" defaultRowHeight="13"/>
  <cols>
    <col min="1" max="1" width="14.3984375" style="2" customWidth="1"/>
    <col min="2" max="2" width="17.3984375" style="2" customWidth="1"/>
    <col min="3" max="5" width="15.19921875" style="2" customWidth="1"/>
    <col min="6" max="6" width="16.3984375" style="2" customWidth="1"/>
    <col min="7" max="16384" width="11.3984375" style="2"/>
  </cols>
  <sheetData>
    <row r="1" spans="1:10" s="1" customFormat="1" ht="14" customHeight="1"/>
    <row r="2" spans="1:10" s="1" customFormat="1" ht="39" customHeight="1">
      <c r="A2" s="1715" t="s">
        <v>1179</v>
      </c>
      <c r="B2" s="1716"/>
      <c r="C2" s="1716"/>
      <c r="D2" s="1716"/>
      <c r="E2" s="1716"/>
      <c r="F2" s="21">
        <v>2004</v>
      </c>
    </row>
    <row r="3" spans="1:10" ht="24" customHeight="1">
      <c r="A3" s="139" t="s">
        <v>1346</v>
      </c>
      <c r="B3" s="164" t="s">
        <v>1571</v>
      </c>
      <c r="C3" s="141" t="s">
        <v>1572</v>
      </c>
      <c r="D3" s="164" t="s">
        <v>1573</v>
      </c>
      <c r="E3" s="141" t="s">
        <v>1574</v>
      </c>
      <c r="F3" s="164" t="s">
        <v>652</v>
      </c>
    </row>
    <row r="4" spans="1:10" ht="15" customHeight="1">
      <c r="A4" s="165"/>
      <c r="B4" s="166" t="s">
        <v>1575</v>
      </c>
      <c r="C4" s="144" t="s">
        <v>1576</v>
      </c>
      <c r="D4" s="166" t="s">
        <v>1577</v>
      </c>
      <c r="E4" s="197" t="s">
        <v>1578</v>
      </c>
      <c r="F4" s="166"/>
    </row>
    <row r="5" spans="1:10" ht="15" customHeight="1">
      <c r="A5" s="165"/>
      <c r="B5" s="166" t="s">
        <v>1579</v>
      </c>
      <c r="C5" s="144" t="s">
        <v>1580</v>
      </c>
      <c r="D5" s="166" t="s">
        <v>1281</v>
      </c>
      <c r="E5" s="197" t="s">
        <v>1581</v>
      </c>
      <c r="F5" s="166"/>
    </row>
    <row r="6" spans="1:10" ht="24" customHeight="1">
      <c r="A6" s="167"/>
      <c r="B6" s="168"/>
      <c r="C6" s="147"/>
      <c r="D6" s="168"/>
      <c r="E6" s="200" t="s">
        <v>1582</v>
      </c>
      <c r="F6" s="168"/>
    </row>
    <row r="7" spans="1:10" ht="21.75" customHeight="1" thickBot="1">
      <c r="A7" s="169">
        <v>1996</v>
      </c>
      <c r="B7" s="149">
        <v>-991775322</v>
      </c>
      <c r="C7" s="225">
        <v>663779882</v>
      </c>
      <c r="D7" s="149">
        <v>3167199</v>
      </c>
      <c r="E7" s="225">
        <v>4895896</v>
      </c>
      <c r="F7" s="149">
        <v>-319932346</v>
      </c>
      <c r="G7" s="9"/>
    </row>
    <row r="8" spans="1:10" ht="20" customHeight="1" thickBot="1">
      <c r="A8" s="171">
        <v>1997</v>
      </c>
      <c r="B8" s="153">
        <v>-876459686</v>
      </c>
      <c r="C8" s="228">
        <v>838256173</v>
      </c>
      <c r="D8" s="153">
        <v>-2030295</v>
      </c>
      <c r="E8" s="228">
        <v>110405696</v>
      </c>
      <c r="F8" s="153">
        <v>70171888</v>
      </c>
      <c r="G8" s="9"/>
      <c r="H8" s="10"/>
      <c r="I8" s="10"/>
      <c r="J8" s="10"/>
    </row>
    <row r="9" spans="1:10" ht="20" customHeight="1" thickBot="1">
      <c r="A9" s="171">
        <v>1998</v>
      </c>
      <c r="B9" s="153">
        <v>-430866451</v>
      </c>
      <c r="C9" s="228">
        <v>357976738</v>
      </c>
      <c r="D9" s="153">
        <v>4544767</v>
      </c>
      <c r="E9" s="228">
        <v>68311649</v>
      </c>
      <c r="F9" s="153">
        <v>-33297</v>
      </c>
      <c r="G9" s="9"/>
    </row>
    <row r="10" spans="1:10" ht="20" customHeight="1" thickBot="1">
      <c r="A10" s="171">
        <v>1999</v>
      </c>
      <c r="B10" s="153">
        <v>-927498708</v>
      </c>
      <c r="C10" s="228">
        <v>825438408</v>
      </c>
      <c r="D10" s="153">
        <v>3614253</v>
      </c>
      <c r="E10" s="228">
        <v>49059277</v>
      </c>
      <c r="F10" s="153">
        <v>-49386770</v>
      </c>
      <c r="G10" s="9"/>
    </row>
    <row r="11" spans="1:10" ht="19.5" customHeight="1" thickBot="1">
      <c r="A11" s="171">
        <v>2000</v>
      </c>
      <c r="B11" s="153">
        <v>-1105229685</v>
      </c>
      <c r="C11" s="228">
        <v>733255417.92999995</v>
      </c>
      <c r="D11" s="153">
        <v>3877650.94</v>
      </c>
      <c r="E11" s="228">
        <v>62142502.969999999</v>
      </c>
      <c r="F11" s="153">
        <v>-305954113.39999998</v>
      </c>
      <c r="G11" s="9"/>
    </row>
    <row r="12" spans="1:10" ht="19.5" customHeight="1" thickBot="1">
      <c r="A12" s="171">
        <v>2001</v>
      </c>
      <c r="B12" s="153">
        <v>-1433346588</v>
      </c>
      <c r="C12" s="228">
        <v>618037013.5</v>
      </c>
      <c r="D12" s="153">
        <v>2472338.21</v>
      </c>
      <c r="E12" s="228">
        <v>23119861.41</v>
      </c>
      <c r="F12" s="153">
        <v>-789717374.88</v>
      </c>
      <c r="G12" s="9"/>
    </row>
    <row r="13" spans="1:10" ht="19.5" customHeight="1" thickBot="1">
      <c r="A13" s="171">
        <v>2002</v>
      </c>
      <c r="B13" s="153">
        <v>-1276900302</v>
      </c>
      <c r="C13" s="228">
        <v>976642734.75999999</v>
      </c>
      <c r="D13" s="153">
        <v>4263892.6399999997</v>
      </c>
      <c r="E13" s="228">
        <v>72321311.689999998</v>
      </c>
      <c r="F13" s="153">
        <v>-223672362.91000003</v>
      </c>
      <c r="G13" s="9"/>
    </row>
    <row r="14" spans="1:10" ht="19.5" customHeight="1" thickBot="1">
      <c r="A14" s="171">
        <v>2003</v>
      </c>
      <c r="B14" s="153">
        <v>-1199959344</v>
      </c>
      <c r="C14" s="228">
        <v>1406688222.5</v>
      </c>
      <c r="D14" s="153">
        <v>4842490.32</v>
      </c>
      <c r="E14" s="228">
        <v>188158567.50999999</v>
      </c>
      <c r="F14" s="153">
        <v>399729936.32999998</v>
      </c>
      <c r="G14" s="9"/>
    </row>
    <row r="15" spans="1:10" ht="30" customHeight="1" thickBot="1">
      <c r="A15" s="488">
        <v>2004</v>
      </c>
      <c r="B15" s="392">
        <v>-1391640712</v>
      </c>
      <c r="C15" s="393">
        <v>1634981205.5999999</v>
      </c>
      <c r="D15" s="392">
        <v>5236324.96</v>
      </c>
      <c r="E15" s="393">
        <v>265564837.19999999</v>
      </c>
      <c r="F15" s="392">
        <v>514141655.75999987</v>
      </c>
      <c r="G15" s="620"/>
    </row>
    <row r="16" spans="1:10" ht="20" customHeight="1">
      <c r="A16" s="155" t="s">
        <v>146</v>
      </c>
      <c r="B16" s="155"/>
      <c r="C16" s="155"/>
      <c r="D16" s="155"/>
      <c r="E16" s="155"/>
      <c r="F16" s="155"/>
    </row>
    <row r="17" spans="1:6" ht="12.75" customHeight="1">
      <c r="A17" s="4"/>
      <c r="B17" s="4"/>
      <c r="C17" s="4"/>
      <c r="D17" s="4"/>
      <c r="E17" s="4"/>
      <c r="F17" s="4"/>
    </row>
    <row r="18" spans="1:6">
      <c r="A18" s="2" t="s">
        <v>1180</v>
      </c>
    </row>
    <row r="21" spans="1:6">
      <c r="A21" s="2" t="s">
        <v>104</v>
      </c>
    </row>
  </sheetData>
  <mergeCells count="1">
    <mergeCell ref="A2:E2"/>
  </mergeCells>
  <phoneticPr fontId="0" type="noConversion"/>
  <pageMargins left="0.6" right="0.65" top="1.01" bottom="0.49" header="0.53" footer="0.4921259845"/>
  <pageSetup paperSize="9" scale="97" orientation="portrait" horizontalDpi="4294967292" verticalDpi="4294967292"/>
  <headerFooter alignWithMargins="0">
    <oddHeader>&amp;L&amp;"Arial,Bold"Versicherte und Finanzen in der OKP</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4F4A2-5322-9F42-AC90-5D22562ECC40}">
  <sheetPr>
    <pageSetUpPr fitToPage="1"/>
  </sheetPr>
  <dimension ref="A1:J21"/>
  <sheetViews>
    <sheetView zoomScale="75" workbookViewId="0">
      <selection activeCell="E18" sqref="E18"/>
    </sheetView>
  </sheetViews>
  <sheetFormatPr baseColWidth="10" defaultColWidth="11.3984375" defaultRowHeight="13"/>
  <cols>
    <col min="1" max="1" width="14.3984375" style="2" customWidth="1"/>
    <col min="2" max="6" width="15.3984375" style="2" customWidth="1"/>
    <col min="7" max="16384" width="11.3984375" style="2"/>
  </cols>
  <sheetData>
    <row r="1" spans="1:10" s="1" customFormat="1" ht="14" customHeight="1"/>
    <row r="2" spans="1:10" s="1" customFormat="1" ht="39" customHeight="1">
      <c r="A2" s="1715" t="s">
        <v>1177</v>
      </c>
      <c r="B2" s="1716"/>
      <c r="C2" s="1716"/>
      <c r="D2" s="1716"/>
      <c r="E2" s="1716"/>
      <c r="F2" s="370">
        <v>2004</v>
      </c>
    </row>
    <row r="3" spans="1:10" ht="24" customHeight="1">
      <c r="A3" s="139" t="s">
        <v>1250</v>
      </c>
      <c r="B3" s="164" t="s">
        <v>1571</v>
      </c>
      <c r="C3" s="141" t="s">
        <v>1572</v>
      </c>
      <c r="D3" s="164" t="s">
        <v>1573</v>
      </c>
      <c r="E3" s="141" t="s">
        <v>1574</v>
      </c>
      <c r="F3" s="164" t="s">
        <v>652</v>
      </c>
    </row>
    <row r="4" spans="1:10" ht="15" customHeight="1">
      <c r="A4" s="165"/>
      <c r="B4" s="166" t="s">
        <v>1575</v>
      </c>
      <c r="C4" s="144" t="s">
        <v>1576</v>
      </c>
      <c r="D4" s="166" t="s">
        <v>1577</v>
      </c>
      <c r="E4" s="197" t="s">
        <v>1578</v>
      </c>
      <c r="F4" s="166"/>
    </row>
    <row r="5" spans="1:10" ht="15" customHeight="1">
      <c r="A5" s="165"/>
      <c r="B5" s="166" t="s">
        <v>1579</v>
      </c>
      <c r="C5" s="144" t="s">
        <v>1580</v>
      </c>
      <c r="D5" s="166" t="s">
        <v>1281</v>
      </c>
      <c r="E5" s="197" t="s">
        <v>1581</v>
      </c>
      <c r="F5" s="166"/>
    </row>
    <row r="6" spans="1:10" ht="24" customHeight="1">
      <c r="A6" s="167"/>
      <c r="B6" s="168"/>
      <c r="C6" s="147"/>
      <c r="D6" s="168"/>
      <c r="E6" s="200" t="s">
        <v>1582</v>
      </c>
      <c r="F6" s="168"/>
    </row>
    <row r="7" spans="1:10" ht="22.5" customHeight="1" thickBot="1">
      <c r="A7" s="169">
        <v>1996</v>
      </c>
      <c r="B7" s="149">
        <v>-209.25119249563258</v>
      </c>
      <c r="C7" s="225">
        <v>287.88798918153714</v>
      </c>
      <c r="D7" s="149">
        <v>113.8133893919793</v>
      </c>
      <c r="E7" s="225">
        <v>40.26296485139558</v>
      </c>
      <c r="F7" s="149">
        <v>-44.467447531910054</v>
      </c>
    </row>
    <row r="8" spans="1:10" ht="20" customHeight="1" thickBot="1">
      <c r="A8" s="171">
        <v>1997</v>
      </c>
      <c r="B8" s="153">
        <v>-214.61582270081155</v>
      </c>
      <c r="C8" s="228">
        <v>306.33942450638875</v>
      </c>
      <c r="D8" s="153">
        <v>-176.63955107012353</v>
      </c>
      <c r="E8" s="228">
        <v>288.19554520703849</v>
      </c>
      <c r="F8" s="153">
        <v>9.7260962701001628</v>
      </c>
      <c r="H8" s="10"/>
      <c r="I8" s="10"/>
      <c r="J8" s="10"/>
    </row>
    <row r="9" spans="1:10" ht="20" customHeight="1" thickBot="1">
      <c r="A9" s="171">
        <v>1998</v>
      </c>
      <c r="B9" s="153">
        <v>-107.28033046607707</v>
      </c>
      <c r="C9" s="228">
        <v>131.29687859897859</v>
      </c>
      <c r="D9" s="153">
        <v>384.2379945891106</v>
      </c>
      <c r="E9" s="228">
        <v>138.27149421099506</v>
      </c>
      <c r="F9" s="153">
        <v>-4.5935747895146139E-3</v>
      </c>
    </row>
    <row r="10" spans="1:10" ht="20" customHeight="1" thickBot="1">
      <c r="A10" s="171">
        <v>1999</v>
      </c>
      <c r="B10" s="153">
        <v>-231.94750851767455</v>
      </c>
      <c r="C10" s="228">
        <v>303.95700464199626</v>
      </c>
      <c r="D10" s="153">
        <v>352.33505556638721</v>
      </c>
      <c r="E10" s="228">
        <v>90.53364520474635</v>
      </c>
      <c r="F10" s="153">
        <v>-6.7964685777290796</v>
      </c>
    </row>
    <row r="11" spans="1:10" ht="20" customHeight="1" thickBot="1">
      <c r="A11" s="171">
        <v>2000</v>
      </c>
      <c r="B11" s="153">
        <v>-281.80831964955939</v>
      </c>
      <c r="C11" s="228">
        <v>265.81296038591444</v>
      </c>
      <c r="D11" s="153">
        <v>395.23503618387525</v>
      </c>
      <c r="E11" s="228">
        <v>107.54256442516194</v>
      </c>
      <c r="F11" s="153">
        <v>-42.095410127886048</v>
      </c>
    </row>
    <row r="12" spans="1:10" ht="20" customHeight="1" thickBot="1">
      <c r="A12" s="171">
        <v>2001</v>
      </c>
      <c r="B12" s="153">
        <v>-369.21073383560986</v>
      </c>
      <c r="C12" s="228">
        <v>218.09355776804139</v>
      </c>
      <c r="D12" s="153">
        <v>264.67596724119471</v>
      </c>
      <c r="E12" s="228">
        <v>38.795684474417683</v>
      </c>
      <c r="F12" s="153">
        <v>-107.86592232759077</v>
      </c>
    </row>
    <row r="13" spans="1:10" ht="20" customHeight="1" thickBot="1">
      <c r="A13" s="171">
        <v>2002</v>
      </c>
      <c r="B13" s="153">
        <v>-334.90929649130862</v>
      </c>
      <c r="C13" s="228">
        <v>327.64230472151957</v>
      </c>
      <c r="D13" s="153">
        <v>482.61376796830785</v>
      </c>
      <c r="E13" s="228">
        <v>129.83261678350553</v>
      </c>
      <c r="F13" s="153">
        <v>-30.392888912290669</v>
      </c>
    </row>
    <row r="14" spans="1:10" ht="20" customHeight="1" thickBot="1">
      <c r="A14" s="171">
        <v>2003</v>
      </c>
      <c r="B14" s="153">
        <v>-326.58442193959615</v>
      </c>
      <c r="C14" s="228">
        <v>452.73392575127201</v>
      </c>
      <c r="D14" s="153">
        <v>582.24002885655887</v>
      </c>
      <c r="E14" s="228">
        <v>311.77683579562023</v>
      </c>
      <c r="F14" s="153">
        <v>54.067330132819563</v>
      </c>
    </row>
    <row r="15" spans="1:10" s="219" customFormat="1" ht="30" customHeight="1" thickBot="1">
      <c r="A15" s="488">
        <v>2004</v>
      </c>
      <c r="B15" s="392">
        <v>-382.39377988050956</v>
      </c>
      <c r="C15" s="393">
        <v>540.52128193947215</v>
      </c>
      <c r="D15" s="392">
        <v>646.61953074833286</v>
      </c>
      <c r="E15" s="393">
        <v>355.14430610645576</v>
      </c>
      <c r="F15" s="392">
        <v>69.291571070195104</v>
      </c>
    </row>
    <row r="16" spans="1:10" ht="20" customHeight="1">
      <c r="A16" s="155" t="s">
        <v>146</v>
      </c>
      <c r="B16" s="155"/>
      <c r="C16" s="155"/>
      <c r="D16" s="155"/>
      <c r="E16" s="155"/>
      <c r="F16" s="155"/>
    </row>
    <row r="18" spans="1:1">
      <c r="A18" s="2" t="s">
        <v>1178</v>
      </c>
    </row>
    <row r="21" spans="1:1">
      <c r="A21" s="2" t="s">
        <v>104</v>
      </c>
    </row>
  </sheetData>
  <mergeCells count="1">
    <mergeCell ref="A2:E2"/>
  </mergeCells>
  <phoneticPr fontId="0" type="noConversion"/>
  <pageMargins left="0.57999999999999996" right="0.72" top="1.1000000000000001" bottom="0.49" header="0.57999999999999996" footer="0.4921259845"/>
  <pageSetup paperSize="9" scale="98" orientation="portrait" horizontalDpi="4294967292" verticalDpi="4294967292"/>
  <headerFooter alignWithMargins="0">
    <oddHeader>&amp;L&amp;"Arial,Bold"Versicherte und Finanzen in der OKP</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8ECE3-7C98-AD46-A288-59A21E2EADA8}">
  <sheetPr>
    <pageSetUpPr fitToPage="1"/>
  </sheetPr>
  <dimension ref="A1:E39"/>
  <sheetViews>
    <sheetView zoomScale="75" workbookViewId="0"/>
  </sheetViews>
  <sheetFormatPr baseColWidth="10" defaultColWidth="11.3984375" defaultRowHeight="13"/>
  <cols>
    <col min="1" max="1" width="8.796875" style="2" customWidth="1"/>
    <col min="2" max="2" width="48.796875" style="23" customWidth="1"/>
    <col min="3" max="3" width="17.796875" style="2" customWidth="1"/>
    <col min="4" max="4" width="16.796875" style="9" customWidth="1"/>
    <col min="5" max="5" width="18" style="9" customWidth="1"/>
    <col min="6" max="16384" width="11.3984375" style="2"/>
  </cols>
  <sheetData>
    <row r="1" spans="1:5" s="1" customFormat="1" ht="14" customHeight="1">
      <c r="B1" s="209"/>
      <c r="D1" s="192"/>
      <c r="E1" s="192"/>
    </row>
    <row r="2" spans="1:5" s="1" customFormat="1" ht="39" customHeight="1">
      <c r="A2" s="1715" t="s">
        <v>15</v>
      </c>
      <c r="B2" s="1718"/>
      <c r="C2" s="1718"/>
      <c r="D2" s="1718"/>
      <c r="E2" s="21">
        <v>2004</v>
      </c>
    </row>
    <row r="3" spans="1:5" ht="39" customHeight="1">
      <c r="A3" s="139" t="s">
        <v>1127</v>
      </c>
      <c r="B3" s="139"/>
      <c r="C3" s="164" t="s">
        <v>1128</v>
      </c>
      <c r="D3" s="194" t="s">
        <v>1129</v>
      </c>
      <c r="E3" s="305" t="s">
        <v>652</v>
      </c>
    </row>
    <row r="4" spans="1:5" ht="38" customHeight="1">
      <c r="A4" s="306"/>
      <c r="B4" s="307"/>
      <c r="C4" s="168" t="s">
        <v>884</v>
      </c>
      <c r="D4" s="200" t="s">
        <v>884</v>
      </c>
      <c r="E4" s="308" t="s">
        <v>884</v>
      </c>
    </row>
    <row r="5" spans="1:5" ht="30" customHeight="1" thickBot="1">
      <c r="A5" s="148">
        <v>61</v>
      </c>
      <c r="B5" s="148" t="s">
        <v>526</v>
      </c>
      <c r="C5" s="330">
        <v>17272809322</v>
      </c>
      <c r="D5" s="381">
        <v>756895508.62</v>
      </c>
      <c r="E5" s="505">
        <v>18029704831</v>
      </c>
    </row>
    <row r="6" spans="1:5" ht="20" customHeight="1" thickBot="1">
      <c r="A6" s="152">
        <v>64</v>
      </c>
      <c r="B6" s="152" t="s">
        <v>1130</v>
      </c>
      <c r="C6" s="153">
        <v>-55750066.509999998</v>
      </c>
      <c r="D6" s="228">
        <v>-2741379.3</v>
      </c>
      <c r="E6" s="173">
        <v>-58491445.810000002</v>
      </c>
    </row>
    <row r="7" spans="1:5" ht="20" customHeight="1" thickBot="1">
      <c r="A7" s="152">
        <v>65</v>
      </c>
      <c r="B7" s="152" t="s">
        <v>1131</v>
      </c>
      <c r="C7" s="153">
        <v>7960498.1699999999</v>
      </c>
      <c r="D7" s="228">
        <v>412958.71999999997</v>
      </c>
      <c r="E7" s="173">
        <v>8373456.8899999997</v>
      </c>
    </row>
    <row r="8" spans="1:5" ht="27" customHeight="1" thickBot="1">
      <c r="A8" s="186" t="s">
        <v>1132</v>
      </c>
      <c r="B8" s="186" t="s">
        <v>1133</v>
      </c>
      <c r="C8" s="317">
        <v>17225019754</v>
      </c>
      <c r="D8" s="318">
        <v>754567088.04999995</v>
      </c>
      <c r="E8" s="218">
        <v>17979586842</v>
      </c>
    </row>
    <row r="9" spans="1:5" ht="20" customHeight="1" thickBot="1">
      <c r="A9" s="152">
        <v>66</v>
      </c>
      <c r="B9" s="152" t="s">
        <v>1134</v>
      </c>
      <c r="C9" s="153">
        <v>-40837493.329999998</v>
      </c>
      <c r="D9" s="228">
        <v>-1606453</v>
      </c>
      <c r="E9" s="173">
        <v>-42443946.329999998</v>
      </c>
    </row>
    <row r="10" spans="1:5" ht="27" customHeight="1" thickBot="1">
      <c r="A10" s="186" t="s">
        <v>1135</v>
      </c>
      <c r="B10" s="186" t="s">
        <v>1136</v>
      </c>
      <c r="C10" s="317">
        <v>17184182260</v>
      </c>
      <c r="D10" s="318">
        <v>752960635.05999994</v>
      </c>
      <c r="E10" s="218">
        <v>17937142895</v>
      </c>
    </row>
    <row r="11" spans="1:5" ht="20" customHeight="1" thickBot="1">
      <c r="A11" s="152">
        <v>67</v>
      </c>
      <c r="B11" s="152" t="s">
        <v>1137</v>
      </c>
      <c r="C11" s="153">
        <v>1435529892.3</v>
      </c>
      <c r="D11" s="228">
        <v>68472341.030000001</v>
      </c>
      <c r="E11" s="173">
        <v>1504002233.3</v>
      </c>
    </row>
    <row r="12" spans="1:5" ht="20" customHeight="1" thickBot="1">
      <c r="A12" s="152">
        <v>68</v>
      </c>
      <c r="B12" s="152" t="s">
        <v>1138</v>
      </c>
      <c r="C12" s="153">
        <v>-1432561984</v>
      </c>
      <c r="D12" s="228">
        <v>-67860092.620000005</v>
      </c>
      <c r="E12" s="173">
        <v>-1500422077</v>
      </c>
    </row>
    <row r="13" spans="1:5" ht="20" customHeight="1" thickBot="1">
      <c r="A13" s="152">
        <v>69</v>
      </c>
      <c r="B13" s="152" t="s">
        <v>1139</v>
      </c>
      <c r="C13" s="153">
        <v>48383080.25</v>
      </c>
      <c r="D13" s="228">
        <v>2106034.9300000002</v>
      </c>
      <c r="E13" s="173">
        <v>50489115.18</v>
      </c>
    </row>
    <row r="14" spans="1:5" ht="27" customHeight="1" thickBot="1">
      <c r="A14" s="186">
        <v>6</v>
      </c>
      <c r="B14" s="186" t="s">
        <v>1140</v>
      </c>
      <c r="C14" s="317">
        <v>17235533248</v>
      </c>
      <c r="D14" s="318">
        <v>755678918.39999998</v>
      </c>
      <c r="E14" s="218">
        <v>17991212167</v>
      </c>
    </row>
    <row r="15" spans="1:5" ht="20" customHeight="1" thickBot="1">
      <c r="A15" s="152">
        <v>31</v>
      </c>
      <c r="B15" s="152" t="s">
        <v>527</v>
      </c>
      <c r="C15" s="153">
        <v>18521898898</v>
      </c>
      <c r="D15" s="228">
        <v>617922042.63999999</v>
      </c>
      <c r="E15" s="173">
        <v>19139820941</v>
      </c>
    </row>
    <row r="16" spans="1:5" ht="20" customHeight="1" thickBot="1">
      <c r="A16" s="152">
        <v>32</v>
      </c>
      <c r="B16" s="152" t="s">
        <v>1141</v>
      </c>
      <c r="C16" s="153">
        <v>-2752007424</v>
      </c>
      <c r="D16" s="228">
        <v>-80304971.049999997</v>
      </c>
      <c r="E16" s="173">
        <v>-2832312395</v>
      </c>
    </row>
    <row r="17" spans="1:5" ht="27" customHeight="1" thickBot="1">
      <c r="A17" s="186" t="s">
        <v>1142</v>
      </c>
      <c r="B17" s="186" t="s">
        <v>1143</v>
      </c>
      <c r="C17" s="317">
        <v>15769891474</v>
      </c>
      <c r="D17" s="318">
        <v>537617071.58000004</v>
      </c>
      <c r="E17" s="218">
        <v>16307508545</v>
      </c>
    </row>
    <row r="18" spans="1:5" ht="20" customHeight="1" thickBot="1">
      <c r="A18" s="152">
        <v>34</v>
      </c>
      <c r="B18" s="152" t="s">
        <v>1144</v>
      </c>
      <c r="C18" s="153">
        <v>111750598.03</v>
      </c>
      <c r="D18" s="228">
        <v>3609148.38</v>
      </c>
      <c r="E18" s="173">
        <v>115359746.41</v>
      </c>
    </row>
    <row r="19" spans="1:5" ht="20" customHeight="1" thickBot="1">
      <c r="A19" s="152">
        <v>35</v>
      </c>
      <c r="B19" s="152" t="s">
        <v>1145</v>
      </c>
      <c r="C19" s="153">
        <v>259774579.91999999</v>
      </c>
      <c r="D19" s="228">
        <v>8162708.21</v>
      </c>
      <c r="E19" s="173">
        <v>267937288.13</v>
      </c>
    </row>
    <row r="20" spans="1:5" ht="27" customHeight="1" thickBot="1">
      <c r="A20" s="186" t="s">
        <v>1146</v>
      </c>
      <c r="B20" s="186" t="s">
        <v>1147</v>
      </c>
      <c r="C20" s="317">
        <v>16141416652</v>
      </c>
      <c r="D20" s="318">
        <v>549388928.13999999</v>
      </c>
      <c r="E20" s="218">
        <v>16690805580</v>
      </c>
    </row>
    <row r="21" spans="1:5" ht="20" customHeight="1" thickBot="1">
      <c r="A21" s="152">
        <v>36</v>
      </c>
      <c r="B21" s="152" t="s">
        <v>1148</v>
      </c>
      <c r="C21" s="153">
        <v>-40222493.060000002</v>
      </c>
      <c r="D21" s="228">
        <v>-1333450.75</v>
      </c>
      <c r="E21" s="173">
        <v>-41555943.810000002</v>
      </c>
    </row>
    <row r="22" spans="1:5" ht="20" customHeight="1" thickBot="1">
      <c r="A22" s="152">
        <v>37</v>
      </c>
      <c r="B22" s="152" t="s">
        <v>1149</v>
      </c>
      <c r="C22" s="153">
        <v>-16095716.310000001</v>
      </c>
      <c r="D22" s="228">
        <v>-15830689.619999999</v>
      </c>
      <c r="E22" s="173">
        <v>-31926405.93</v>
      </c>
    </row>
    <row r="23" spans="1:5" ht="27" customHeight="1" thickBot="1">
      <c r="A23" s="186">
        <v>3</v>
      </c>
      <c r="B23" s="186" t="s">
        <v>1150</v>
      </c>
      <c r="C23" s="317">
        <v>16085098442</v>
      </c>
      <c r="D23" s="318">
        <v>532224787.81999999</v>
      </c>
      <c r="E23" s="218">
        <v>16617323230</v>
      </c>
    </row>
    <row r="24" spans="1:5" ht="21" customHeight="1" thickBot="1">
      <c r="A24" s="152" t="s">
        <v>1151</v>
      </c>
      <c r="B24" s="152" t="s">
        <v>1152</v>
      </c>
      <c r="C24" s="153">
        <v>865248590.44000006</v>
      </c>
      <c r="D24" s="228">
        <v>38357084.850000001</v>
      </c>
      <c r="E24" s="173">
        <v>903605675.28999996</v>
      </c>
    </row>
    <row r="25" spans="1:5" ht="21" customHeight="1" thickBot="1">
      <c r="A25" s="152">
        <v>48</v>
      </c>
      <c r="B25" s="152" t="s">
        <v>1153</v>
      </c>
      <c r="C25" s="153">
        <v>79478861.829999998</v>
      </c>
      <c r="D25" s="228">
        <v>4296214.38</v>
      </c>
      <c r="E25" s="173">
        <v>83775076.209999993</v>
      </c>
    </row>
    <row r="26" spans="1:5" ht="21" customHeight="1" thickBot="1">
      <c r="A26" s="152">
        <v>49</v>
      </c>
      <c r="B26" s="152" t="s">
        <v>1154</v>
      </c>
      <c r="C26" s="153">
        <v>5406415.1399999997</v>
      </c>
      <c r="D26" s="228">
        <v>205540.7</v>
      </c>
      <c r="E26" s="173">
        <v>5611955.8399999999</v>
      </c>
    </row>
    <row r="27" spans="1:5" ht="27" customHeight="1" thickBot="1">
      <c r="A27" s="186">
        <v>4</v>
      </c>
      <c r="B27" s="186" t="s">
        <v>1155</v>
      </c>
      <c r="C27" s="317">
        <v>950133867.39999998</v>
      </c>
      <c r="D27" s="318">
        <v>42858839.920000002</v>
      </c>
      <c r="E27" s="218">
        <v>992992707.32000005</v>
      </c>
    </row>
    <row r="28" spans="1:5" ht="27" customHeight="1" thickBot="1">
      <c r="A28" s="186" t="s">
        <v>1156</v>
      </c>
      <c r="B28" s="186" t="s">
        <v>1157</v>
      </c>
      <c r="C28" s="317">
        <v>17035232310</v>
      </c>
      <c r="D28" s="318">
        <v>575083627.74000001</v>
      </c>
      <c r="E28" s="218">
        <v>17610315937</v>
      </c>
    </row>
    <row r="29" spans="1:5" ht="27" customHeight="1" thickBot="1">
      <c r="A29" s="186"/>
      <c r="B29" s="186" t="s">
        <v>1158</v>
      </c>
      <c r="C29" s="317">
        <v>200300938.78</v>
      </c>
      <c r="D29" s="318">
        <v>180595290.69999999</v>
      </c>
      <c r="E29" s="218">
        <v>380896229.48000002</v>
      </c>
    </row>
    <row r="30" spans="1:5" ht="27" customHeight="1" thickBot="1">
      <c r="A30" s="186">
        <v>7</v>
      </c>
      <c r="B30" s="186" t="s">
        <v>1159</v>
      </c>
      <c r="C30" s="317">
        <v>125742718.04000001</v>
      </c>
      <c r="D30" s="318">
        <v>7502708.2800000003</v>
      </c>
      <c r="E30" s="218">
        <v>133245426.31999999</v>
      </c>
    </row>
    <row r="31" spans="1:5" ht="34.5" customHeight="1" thickBot="1">
      <c r="A31" s="547"/>
      <c r="B31" s="547" t="s">
        <v>1160</v>
      </c>
      <c r="C31" s="548">
        <v>326043656.81</v>
      </c>
      <c r="D31" s="549">
        <v>188097998.94999999</v>
      </c>
      <c r="E31" s="550">
        <v>514141655.75999999</v>
      </c>
    </row>
    <row r="32" spans="1:5" ht="19.5" customHeight="1">
      <c r="A32" s="2" t="s">
        <v>146</v>
      </c>
    </row>
    <row r="34" spans="1:1">
      <c r="A34" s="473" t="s">
        <v>1533</v>
      </c>
    </row>
    <row r="35" spans="1:1">
      <c r="A35" s="348"/>
    </row>
    <row r="36" spans="1:1">
      <c r="A36" s="2" t="s">
        <v>14</v>
      </c>
    </row>
    <row r="39" spans="1:1">
      <c r="A39" s="2" t="s">
        <v>104</v>
      </c>
    </row>
  </sheetData>
  <mergeCells count="1">
    <mergeCell ref="A2:D2"/>
  </mergeCells>
  <phoneticPr fontId="0" type="noConversion"/>
  <pageMargins left="0.62" right="0.69" top="0.71" bottom="0.49" header="0.42" footer="0.4921259845"/>
  <pageSetup paperSize="9" scale="82" orientation="portrait" horizontalDpi="1200" verticalDpi="1200"/>
  <headerFooter alignWithMargins="0">
    <oddHeader>&amp;L&amp;"Arial,Bold"Versicherte und Finanzen in der OKP</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17942-2869-164A-984A-D816918E260E}">
  <sheetPr>
    <pageSetUpPr fitToPage="1"/>
  </sheetPr>
  <dimension ref="A1:E39"/>
  <sheetViews>
    <sheetView zoomScale="75" workbookViewId="0">
      <selection activeCell="A39" sqref="A39"/>
    </sheetView>
  </sheetViews>
  <sheetFormatPr baseColWidth="10" defaultColWidth="11.3984375" defaultRowHeight="13"/>
  <cols>
    <col min="1" max="1" width="8.796875" style="2" customWidth="1"/>
    <col min="2" max="2" width="48.796875" style="23" customWidth="1"/>
    <col min="3" max="3" width="16.796875" style="2" customWidth="1"/>
    <col min="4" max="4" width="16.796875" style="9" customWidth="1"/>
    <col min="5" max="5" width="18.19921875" style="9" customWidth="1"/>
    <col min="6" max="16384" width="11.3984375" style="2"/>
  </cols>
  <sheetData>
    <row r="1" spans="1:5" s="1" customFormat="1" ht="14" customHeight="1">
      <c r="B1" s="209"/>
      <c r="D1" s="192"/>
      <c r="E1" s="192"/>
    </row>
    <row r="2" spans="1:5" s="1" customFormat="1" ht="28" customHeight="1">
      <c r="A2" s="21" t="s">
        <v>17</v>
      </c>
      <c r="B2" s="209"/>
      <c r="D2" s="192"/>
      <c r="E2" s="21">
        <v>2004</v>
      </c>
    </row>
    <row r="3" spans="1:5" ht="39" customHeight="1">
      <c r="A3" s="139" t="s">
        <v>1127</v>
      </c>
      <c r="B3" s="139"/>
      <c r="C3" s="164" t="s">
        <v>1128</v>
      </c>
      <c r="D3" s="194" t="s">
        <v>1129</v>
      </c>
      <c r="E3" s="305" t="s">
        <v>652</v>
      </c>
    </row>
    <row r="4" spans="1:5" ht="39" customHeight="1">
      <c r="A4" s="306"/>
      <c r="B4" s="307"/>
      <c r="C4" s="168" t="s">
        <v>884</v>
      </c>
      <c r="D4" s="200" t="s">
        <v>884</v>
      </c>
      <c r="E4" s="308" t="s">
        <v>884</v>
      </c>
    </row>
    <row r="5" spans="1:5" ht="30" customHeight="1" thickBot="1">
      <c r="A5" s="148">
        <v>61</v>
      </c>
      <c r="B5" s="148" t="s">
        <v>526</v>
      </c>
      <c r="C5" s="330">
        <v>8078217876.5</v>
      </c>
      <c r="D5" s="381">
        <v>409953097.38999999</v>
      </c>
      <c r="E5" s="505">
        <v>8488170973.8999996</v>
      </c>
    </row>
    <row r="6" spans="1:5" ht="19.5" customHeight="1" thickBot="1">
      <c r="A6" s="152">
        <v>64</v>
      </c>
      <c r="B6" s="152" t="s">
        <v>1130</v>
      </c>
      <c r="C6" s="153">
        <v>-26580093.829999998</v>
      </c>
      <c r="D6" s="228">
        <v>-1449701.24</v>
      </c>
      <c r="E6" s="173">
        <v>-28029795.07</v>
      </c>
    </row>
    <row r="7" spans="1:5" ht="19.5" customHeight="1" thickBot="1">
      <c r="A7" s="152">
        <v>65</v>
      </c>
      <c r="B7" s="152" t="s">
        <v>1131</v>
      </c>
      <c r="C7" s="153">
        <v>4958672.41</v>
      </c>
      <c r="D7" s="228">
        <v>249007.59</v>
      </c>
      <c r="E7" s="173">
        <v>5207680</v>
      </c>
    </row>
    <row r="8" spans="1:5" ht="27" customHeight="1" thickBot="1">
      <c r="A8" s="186" t="s">
        <v>1132</v>
      </c>
      <c r="B8" s="186" t="s">
        <v>1133</v>
      </c>
      <c r="C8" s="317">
        <v>8056596455</v>
      </c>
      <c r="D8" s="318">
        <v>408752403.73000002</v>
      </c>
      <c r="E8" s="218">
        <v>8465348858.8000002</v>
      </c>
    </row>
    <row r="9" spans="1:5" ht="19.5" customHeight="1" thickBot="1">
      <c r="A9" s="152">
        <v>66</v>
      </c>
      <c r="B9" s="152" t="s">
        <v>1134</v>
      </c>
      <c r="C9" s="153">
        <v>-21805539.25</v>
      </c>
      <c r="D9" s="228">
        <v>-1012085.72</v>
      </c>
      <c r="E9" s="173">
        <v>-22817624.969999999</v>
      </c>
    </row>
    <row r="10" spans="1:5" ht="27" customHeight="1" thickBot="1">
      <c r="A10" s="186" t="s">
        <v>1135</v>
      </c>
      <c r="B10" s="186" t="s">
        <v>1136</v>
      </c>
      <c r="C10" s="317">
        <v>8034790915.8000002</v>
      </c>
      <c r="D10" s="318">
        <v>407740318.01999998</v>
      </c>
      <c r="E10" s="218">
        <v>8442531233.8000002</v>
      </c>
    </row>
    <row r="11" spans="1:5" ht="19.5" customHeight="1" thickBot="1">
      <c r="A11" s="152">
        <v>67</v>
      </c>
      <c r="B11" s="152" t="s">
        <v>1137</v>
      </c>
      <c r="C11" s="153">
        <v>790129897.25</v>
      </c>
      <c r="D11" s="228">
        <v>42067538.359999999</v>
      </c>
      <c r="E11" s="173">
        <v>832197435.61000001</v>
      </c>
    </row>
    <row r="12" spans="1:5" ht="19.5" customHeight="1" thickBot="1">
      <c r="A12" s="152">
        <v>68</v>
      </c>
      <c r="B12" s="152" t="s">
        <v>1138</v>
      </c>
      <c r="C12" s="153">
        <v>-788039797.29999995</v>
      </c>
      <c r="D12" s="228">
        <v>-41574082.899999999</v>
      </c>
      <c r="E12" s="173">
        <v>-829613880.20000005</v>
      </c>
    </row>
    <row r="13" spans="1:5" ht="19.5" customHeight="1" thickBot="1">
      <c r="A13" s="152">
        <v>69</v>
      </c>
      <c r="B13" s="152" t="s">
        <v>1139</v>
      </c>
      <c r="C13" s="153">
        <v>20491806.010000002</v>
      </c>
      <c r="D13" s="228">
        <v>1121712.03</v>
      </c>
      <c r="E13" s="173">
        <v>21613518.039999999</v>
      </c>
    </row>
    <row r="14" spans="1:5" ht="27" customHeight="1" thickBot="1">
      <c r="A14" s="186">
        <v>6</v>
      </c>
      <c r="B14" s="186" t="s">
        <v>1140</v>
      </c>
      <c r="C14" s="317">
        <v>8057372821.8000002</v>
      </c>
      <c r="D14" s="318">
        <v>409355485.50999999</v>
      </c>
      <c r="E14" s="218">
        <v>8466728307.3000002</v>
      </c>
    </row>
    <row r="15" spans="1:5" ht="20" customHeight="1" thickBot="1">
      <c r="A15" s="152">
        <v>31</v>
      </c>
      <c r="B15" s="152" t="s">
        <v>527</v>
      </c>
      <c r="C15" s="153">
        <v>10864742820</v>
      </c>
      <c r="D15" s="228">
        <v>379393334.19</v>
      </c>
      <c r="E15" s="173">
        <v>11244136154</v>
      </c>
    </row>
    <row r="16" spans="1:5" ht="20" customHeight="1" thickBot="1">
      <c r="A16" s="152">
        <v>32</v>
      </c>
      <c r="B16" s="152" t="s">
        <v>1141</v>
      </c>
      <c r="C16" s="153">
        <v>-1216155066</v>
      </c>
      <c r="D16" s="228">
        <v>-39315196.630000003</v>
      </c>
      <c r="E16" s="173">
        <v>-1255470263</v>
      </c>
    </row>
    <row r="17" spans="1:5" ht="27" customHeight="1" thickBot="1">
      <c r="A17" s="186" t="s">
        <v>1142</v>
      </c>
      <c r="B17" s="186" t="s">
        <v>1143</v>
      </c>
      <c r="C17" s="317">
        <v>9648587754.3999996</v>
      </c>
      <c r="D17" s="318">
        <v>340078137.56</v>
      </c>
      <c r="E17" s="218">
        <v>9988665892</v>
      </c>
    </row>
    <row r="18" spans="1:5" ht="20" customHeight="1" thickBot="1">
      <c r="A18" s="152">
        <v>34</v>
      </c>
      <c r="B18" s="152" t="s">
        <v>1144</v>
      </c>
      <c r="C18" s="153">
        <v>57205594.100000001</v>
      </c>
      <c r="D18" s="228">
        <v>1954315.51</v>
      </c>
      <c r="E18" s="173">
        <v>59159909.609999999</v>
      </c>
    </row>
    <row r="19" spans="1:5" ht="20" customHeight="1" thickBot="1">
      <c r="A19" s="152">
        <v>35</v>
      </c>
      <c r="B19" s="152" t="s">
        <v>1145</v>
      </c>
      <c r="C19" s="153">
        <v>166050668.53</v>
      </c>
      <c r="D19" s="228">
        <v>5681585.0800000001</v>
      </c>
      <c r="E19" s="173">
        <v>171732253.61000001</v>
      </c>
    </row>
    <row r="20" spans="1:5" ht="27" customHeight="1" thickBot="1">
      <c r="A20" s="186" t="s">
        <v>1146</v>
      </c>
      <c r="B20" s="186" t="s">
        <v>1147</v>
      </c>
      <c r="C20" s="317">
        <v>9871844017</v>
      </c>
      <c r="D20" s="318">
        <v>347714038.16000003</v>
      </c>
      <c r="E20" s="218">
        <v>10219558055</v>
      </c>
    </row>
    <row r="21" spans="1:5" ht="19.5" customHeight="1" thickBot="1">
      <c r="A21" s="152">
        <v>36</v>
      </c>
      <c r="B21" s="152" t="s">
        <v>1148</v>
      </c>
      <c r="C21" s="153">
        <v>-24044892.039999999</v>
      </c>
      <c r="D21" s="228">
        <v>-865821.04</v>
      </c>
      <c r="E21" s="173">
        <v>-24910713.079999998</v>
      </c>
    </row>
    <row r="22" spans="1:5" ht="19.5" customHeight="1" thickBot="1">
      <c r="A22" s="152">
        <v>37</v>
      </c>
      <c r="B22" s="152" t="s">
        <v>1149</v>
      </c>
      <c r="C22" s="153">
        <v>-729406679.20000005</v>
      </c>
      <c r="D22" s="228">
        <v>-26693637.66</v>
      </c>
      <c r="E22" s="173">
        <v>-756100316.89999998</v>
      </c>
    </row>
    <row r="23" spans="1:5" ht="27" customHeight="1" thickBot="1">
      <c r="A23" s="186">
        <v>3</v>
      </c>
      <c r="B23" s="186" t="s">
        <v>1150</v>
      </c>
      <c r="C23" s="317">
        <v>9118392445.7999992</v>
      </c>
      <c r="D23" s="318">
        <v>320154579.49000001</v>
      </c>
      <c r="E23" s="218">
        <v>9438547025.2999992</v>
      </c>
    </row>
    <row r="24" spans="1:5" ht="20" customHeight="1" thickBot="1">
      <c r="A24" s="152" t="s">
        <v>1151</v>
      </c>
      <c r="B24" s="152" t="s">
        <v>1152</v>
      </c>
      <c r="C24" s="153">
        <v>418698468.61000001</v>
      </c>
      <c r="D24" s="228">
        <v>21770024.609999999</v>
      </c>
      <c r="E24" s="173">
        <v>440468493.22000003</v>
      </c>
    </row>
    <row r="25" spans="1:5" ht="20" customHeight="1" thickBot="1">
      <c r="A25" s="152">
        <v>48</v>
      </c>
      <c r="B25" s="152" t="s">
        <v>1153</v>
      </c>
      <c r="C25" s="153">
        <v>41841772.289999999</v>
      </c>
      <c r="D25" s="228">
        <v>2587587.7799999998</v>
      </c>
      <c r="E25" s="173">
        <v>44429360.07</v>
      </c>
    </row>
    <row r="26" spans="1:5" ht="20" customHeight="1" thickBot="1">
      <c r="A26" s="152">
        <v>49</v>
      </c>
      <c r="B26" s="152" t="s">
        <v>1154</v>
      </c>
      <c r="C26" s="153">
        <v>3194749.66</v>
      </c>
      <c r="D26" s="228">
        <v>136666.18</v>
      </c>
      <c r="E26" s="173">
        <v>3331415.84</v>
      </c>
    </row>
    <row r="27" spans="1:5" ht="27" customHeight="1" thickBot="1">
      <c r="A27" s="186">
        <v>4</v>
      </c>
      <c r="B27" s="186" t="s">
        <v>1155</v>
      </c>
      <c r="C27" s="317">
        <v>463734990.55000001</v>
      </c>
      <c r="D27" s="318">
        <v>24494278.559999999</v>
      </c>
      <c r="E27" s="218">
        <v>488229269.11000001</v>
      </c>
    </row>
    <row r="28" spans="1:5" ht="27" customHeight="1" thickBot="1">
      <c r="A28" s="186" t="s">
        <v>1156</v>
      </c>
      <c r="B28" s="186" t="s">
        <v>1157</v>
      </c>
      <c r="C28" s="317">
        <v>9582127436.2999992</v>
      </c>
      <c r="D28" s="318">
        <v>344648858.04000002</v>
      </c>
      <c r="E28" s="218">
        <v>9926776294.3999996</v>
      </c>
    </row>
    <row r="29" spans="1:5" ht="27" customHeight="1" thickBot="1">
      <c r="A29" s="186"/>
      <c r="B29" s="186" t="s">
        <v>1158</v>
      </c>
      <c r="C29" s="317">
        <v>-1524754615</v>
      </c>
      <c r="D29" s="318">
        <v>64706627.469999999</v>
      </c>
      <c r="E29" s="218">
        <v>-1460047987</v>
      </c>
    </row>
    <row r="30" spans="1:5" ht="27" customHeight="1" thickBot="1">
      <c r="A30" s="186">
        <v>7</v>
      </c>
      <c r="B30" s="186" t="s">
        <v>1159</v>
      </c>
      <c r="C30" s="317">
        <v>64081741.07</v>
      </c>
      <c r="D30" s="318">
        <v>4325534.07</v>
      </c>
      <c r="E30" s="218">
        <v>68407275.140000001</v>
      </c>
    </row>
    <row r="31" spans="1:5" ht="34.5" customHeight="1" thickBot="1">
      <c r="A31" s="547"/>
      <c r="B31" s="547" t="s">
        <v>1160</v>
      </c>
      <c r="C31" s="548">
        <v>-1460672873</v>
      </c>
      <c r="D31" s="549">
        <v>69032161.519999996</v>
      </c>
      <c r="E31" s="550">
        <v>-1391640712</v>
      </c>
    </row>
    <row r="32" spans="1:5" ht="19.5" customHeight="1">
      <c r="A32" s="2" t="s">
        <v>146</v>
      </c>
    </row>
    <row r="33" spans="1:1" ht="14.25" customHeight="1"/>
    <row r="34" spans="1:1" ht="19.5" customHeight="1">
      <c r="A34" s="2" t="s">
        <v>11</v>
      </c>
    </row>
    <row r="36" spans="1:1">
      <c r="A36" s="2" t="s">
        <v>16</v>
      </c>
    </row>
    <row r="39" spans="1:1">
      <c r="A39" s="2" t="s">
        <v>104</v>
      </c>
    </row>
  </sheetData>
  <phoneticPr fontId="0" type="noConversion"/>
  <pageMargins left="0.64" right="0.7" top="0.94" bottom="0.49" header="0.57999999999999996" footer="0.4921259845"/>
  <pageSetup paperSize="9" scale="82" orientation="portrait" horizontalDpi="1200" verticalDpi="1200"/>
  <headerFooter alignWithMargins="0">
    <oddHeader>&amp;L&amp;"Arial,Bold"Versicherte und Finanzen in der OKP</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B3849-5975-3D43-88DC-A91EFD8C056E}">
  <sheetPr>
    <pageSetUpPr fitToPage="1"/>
  </sheetPr>
  <dimension ref="A1:E39"/>
  <sheetViews>
    <sheetView zoomScale="75" workbookViewId="0"/>
  </sheetViews>
  <sheetFormatPr baseColWidth="10" defaultColWidth="11.3984375" defaultRowHeight="13"/>
  <cols>
    <col min="1" max="1" width="8.796875" style="2" customWidth="1"/>
    <col min="2" max="2" width="50.19921875" style="23" customWidth="1"/>
    <col min="3" max="3" width="16.796875" style="2" customWidth="1"/>
    <col min="4" max="4" width="16.796875" style="9" customWidth="1"/>
    <col min="5" max="5" width="17.3984375" style="9" customWidth="1"/>
    <col min="6" max="16384" width="11.3984375" style="2"/>
  </cols>
  <sheetData>
    <row r="1" spans="1:5" s="1" customFormat="1" ht="14" customHeight="1">
      <c r="B1" s="209"/>
      <c r="D1" s="192"/>
      <c r="E1" s="192"/>
    </row>
    <row r="2" spans="1:5" s="1" customFormat="1" ht="28" customHeight="1">
      <c r="A2" s="21" t="s">
        <v>19</v>
      </c>
      <c r="B2" s="209"/>
      <c r="D2" s="192"/>
      <c r="E2" s="21">
        <v>2004</v>
      </c>
    </row>
    <row r="3" spans="1:5" ht="39" customHeight="1">
      <c r="A3" s="139" t="s">
        <v>1127</v>
      </c>
      <c r="B3" s="139"/>
      <c r="C3" s="164" t="s">
        <v>1128</v>
      </c>
      <c r="D3" s="194" t="s">
        <v>1129</v>
      </c>
      <c r="E3" s="140" t="s">
        <v>652</v>
      </c>
    </row>
    <row r="4" spans="1:5" ht="39" customHeight="1">
      <c r="A4" s="306"/>
      <c r="B4" s="307"/>
      <c r="C4" s="168" t="s">
        <v>884</v>
      </c>
      <c r="D4" s="200" t="s">
        <v>884</v>
      </c>
      <c r="E4" s="146" t="s">
        <v>884</v>
      </c>
    </row>
    <row r="5" spans="1:5" ht="30" customHeight="1" thickBot="1">
      <c r="A5" s="148">
        <v>61</v>
      </c>
      <c r="B5" s="148" t="s">
        <v>526</v>
      </c>
      <c r="C5" s="330">
        <v>7669433469.3999996</v>
      </c>
      <c r="D5" s="381">
        <v>292427181.29000002</v>
      </c>
      <c r="E5" s="505">
        <v>7961860650.6999998</v>
      </c>
    </row>
    <row r="6" spans="1:5" ht="20" customHeight="1" thickBot="1">
      <c r="A6" s="152">
        <v>64</v>
      </c>
      <c r="B6" s="152" t="s">
        <v>1130</v>
      </c>
      <c r="C6" s="153">
        <v>-24653066.920000002</v>
      </c>
      <c r="D6" s="228">
        <v>-1113228.1100000001</v>
      </c>
      <c r="E6" s="173">
        <v>-25766295.030000001</v>
      </c>
    </row>
    <row r="7" spans="1:5" ht="20" customHeight="1" thickBot="1">
      <c r="A7" s="152">
        <v>65</v>
      </c>
      <c r="B7" s="152" t="s">
        <v>1131</v>
      </c>
      <c r="C7" s="153">
        <v>2836715.53</v>
      </c>
      <c r="D7" s="228">
        <v>157097.93</v>
      </c>
      <c r="E7" s="173">
        <v>2993813.46</v>
      </c>
    </row>
    <row r="8" spans="1:5" ht="27" customHeight="1" thickBot="1">
      <c r="A8" s="186" t="s">
        <v>1132</v>
      </c>
      <c r="B8" s="186" t="s">
        <v>1133</v>
      </c>
      <c r="C8" s="317">
        <v>7647617118.1000004</v>
      </c>
      <c r="D8" s="318">
        <v>291471051.12</v>
      </c>
      <c r="E8" s="218">
        <v>7939088169.1999998</v>
      </c>
    </row>
    <row r="9" spans="1:5" ht="20" customHeight="1" thickBot="1">
      <c r="A9" s="152">
        <v>66</v>
      </c>
      <c r="B9" s="152" t="s">
        <v>1134</v>
      </c>
      <c r="C9" s="153">
        <v>-17701987.43</v>
      </c>
      <c r="D9" s="228">
        <v>-548406.72</v>
      </c>
      <c r="E9" s="173">
        <v>-18250394.149999999</v>
      </c>
    </row>
    <row r="10" spans="1:5" ht="27" customHeight="1" thickBot="1">
      <c r="A10" s="186" t="s">
        <v>1135</v>
      </c>
      <c r="B10" s="186" t="s">
        <v>1136</v>
      </c>
      <c r="C10" s="317">
        <v>7629915130.6000004</v>
      </c>
      <c r="D10" s="318">
        <v>290922644.39999998</v>
      </c>
      <c r="E10" s="218">
        <v>7920837775</v>
      </c>
    </row>
    <row r="11" spans="1:5" ht="20" customHeight="1" thickBot="1">
      <c r="A11" s="152">
        <v>67</v>
      </c>
      <c r="B11" s="152" t="s">
        <v>1137</v>
      </c>
      <c r="C11" s="153">
        <v>533478335.51999998</v>
      </c>
      <c r="D11" s="228">
        <v>22227364.210000001</v>
      </c>
      <c r="E11" s="173">
        <v>555705699.73000002</v>
      </c>
    </row>
    <row r="12" spans="1:5" ht="20" customHeight="1" thickBot="1">
      <c r="A12" s="152">
        <v>68</v>
      </c>
      <c r="B12" s="152" t="s">
        <v>1138</v>
      </c>
      <c r="C12" s="153">
        <v>-534887176.10000002</v>
      </c>
      <c r="D12" s="228">
        <v>-22229338.68</v>
      </c>
      <c r="E12" s="173">
        <v>-557116514.79999995</v>
      </c>
    </row>
    <row r="13" spans="1:5" ht="20" customHeight="1" thickBot="1">
      <c r="A13" s="152">
        <v>69</v>
      </c>
      <c r="B13" s="152" t="s">
        <v>1139</v>
      </c>
      <c r="C13" s="153">
        <v>24520108.82</v>
      </c>
      <c r="D13" s="228">
        <v>850828.22</v>
      </c>
      <c r="E13" s="173">
        <v>25370937.039999999</v>
      </c>
    </row>
    <row r="14" spans="1:5" ht="27" customHeight="1" thickBot="1">
      <c r="A14" s="186">
        <v>6</v>
      </c>
      <c r="B14" s="186" t="s">
        <v>1140</v>
      </c>
      <c r="C14" s="317">
        <v>7653026398.8999996</v>
      </c>
      <c r="D14" s="318">
        <v>291771498.13999999</v>
      </c>
      <c r="E14" s="218">
        <v>7944797897</v>
      </c>
    </row>
    <row r="15" spans="1:5" ht="20" customHeight="1" thickBot="1">
      <c r="A15" s="152">
        <v>31</v>
      </c>
      <c r="B15" s="152" t="s">
        <v>527</v>
      </c>
      <c r="C15" s="153">
        <v>6437203209.8000002</v>
      </c>
      <c r="D15" s="228">
        <v>193932478.40000001</v>
      </c>
      <c r="E15" s="173">
        <v>6631135688.1999998</v>
      </c>
    </row>
    <row r="16" spans="1:5" ht="20" customHeight="1" thickBot="1">
      <c r="A16" s="152">
        <v>32</v>
      </c>
      <c r="B16" s="152" t="s">
        <v>1141</v>
      </c>
      <c r="C16" s="153">
        <v>-1306620946</v>
      </c>
      <c r="D16" s="228">
        <v>-34680446.799999997</v>
      </c>
      <c r="E16" s="173">
        <v>-1341301393</v>
      </c>
    </row>
    <row r="17" spans="1:5" ht="27" customHeight="1" thickBot="1">
      <c r="A17" s="186" t="s">
        <v>1142</v>
      </c>
      <c r="B17" s="186" t="s">
        <v>1143</v>
      </c>
      <c r="C17" s="317">
        <v>5130582263.6000004</v>
      </c>
      <c r="D17" s="318">
        <v>159252031.59999999</v>
      </c>
      <c r="E17" s="218">
        <v>5289834295.1999998</v>
      </c>
    </row>
    <row r="18" spans="1:5" ht="20" customHeight="1" thickBot="1">
      <c r="A18" s="152">
        <v>34</v>
      </c>
      <c r="B18" s="152" t="s">
        <v>1144</v>
      </c>
      <c r="C18" s="153">
        <v>51508603.149999999</v>
      </c>
      <c r="D18" s="228">
        <v>1547369.68</v>
      </c>
      <c r="E18" s="173">
        <v>53055972.829999998</v>
      </c>
    </row>
    <row r="19" spans="1:5" ht="20" customHeight="1" thickBot="1">
      <c r="A19" s="152">
        <v>35</v>
      </c>
      <c r="B19" s="152" t="s">
        <v>1145</v>
      </c>
      <c r="C19" s="153">
        <v>68477943.489999995</v>
      </c>
      <c r="D19" s="228">
        <v>1589988.74</v>
      </c>
      <c r="E19" s="173">
        <v>70067932.230000004</v>
      </c>
    </row>
    <row r="20" spans="1:5" ht="27" customHeight="1" thickBot="1">
      <c r="A20" s="186" t="s">
        <v>1146</v>
      </c>
      <c r="B20" s="186" t="s">
        <v>1147</v>
      </c>
      <c r="C20" s="317">
        <v>5250568810.1999998</v>
      </c>
      <c r="D20" s="318">
        <v>162389390.02000001</v>
      </c>
      <c r="E20" s="218">
        <v>5412958200.3000002</v>
      </c>
    </row>
    <row r="21" spans="1:5" ht="20" customHeight="1" thickBot="1">
      <c r="A21" s="152">
        <v>36</v>
      </c>
      <c r="B21" s="152" t="s">
        <v>1148</v>
      </c>
      <c r="C21" s="153">
        <v>-15173075.41</v>
      </c>
      <c r="D21" s="228">
        <v>-435358.26</v>
      </c>
      <c r="E21" s="173">
        <v>-15608433.67</v>
      </c>
    </row>
    <row r="22" spans="1:5" ht="20" customHeight="1" thickBot="1">
      <c r="A22" s="152">
        <v>37</v>
      </c>
      <c r="B22" s="152" t="s">
        <v>1149</v>
      </c>
      <c r="C22" s="153">
        <v>540641254.74000001</v>
      </c>
      <c r="D22" s="228">
        <v>5808729.25</v>
      </c>
      <c r="E22" s="173">
        <v>546449983.99000001</v>
      </c>
    </row>
    <row r="23" spans="1:5" ht="27" customHeight="1" thickBot="1">
      <c r="A23" s="186">
        <v>3</v>
      </c>
      <c r="B23" s="186" t="s">
        <v>1150</v>
      </c>
      <c r="C23" s="317">
        <v>5776036989.6000004</v>
      </c>
      <c r="D23" s="318">
        <v>167762761.02000001</v>
      </c>
      <c r="E23" s="218">
        <v>5943799750.6000004</v>
      </c>
    </row>
    <row r="24" spans="1:5" ht="20" customHeight="1" thickBot="1">
      <c r="A24" s="152" t="s">
        <v>1151</v>
      </c>
      <c r="B24" s="152" t="s">
        <v>1152</v>
      </c>
      <c r="C24" s="153">
        <v>368744388.07999998</v>
      </c>
      <c r="D24" s="228">
        <v>13870485.210000001</v>
      </c>
      <c r="E24" s="173">
        <v>382614873.29000002</v>
      </c>
    </row>
    <row r="25" spans="1:5" ht="20" customHeight="1" thickBot="1">
      <c r="A25" s="152">
        <v>48</v>
      </c>
      <c r="B25" s="152" t="s">
        <v>1153</v>
      </c>
      <c r="C25" s="153">
        <v>31829686.440000001</v>
      </c>
      <c r="D25" s="228">
        <v>1486032.99</v>
      </c>
      <c r="E25" s="173">
        <v>33315719.43</v>
      </c>
    </row>
    <row r="26" spans="1:5" ht="20" customHeight="1" thickBot="1">
      <c r="A26" s="152">
        <v>49</v>
      </c>
      <c r="B26" s="152" t="s">
        <v>1154</v>
      </c>
      <c r="C26" s="153">
        <v>1316041.0900000001</v>
      </c>
      <c r="D26" s="228">
        <v>39397.29</v>
      </c>
      <c r="E26" s="173">
        <v>1355438.38</v>
      </c>
    </row>
    <row r="27" spans="1:5" ht="27" customHeight="1" thickBot="1">
      <c r="A27" s="186">
        <v>4</v>
      </c>
      <c r="B27" s="186" t="s">
        <v>1155</v>
      </c>
      <c r="C27" s="317">
        <v>401890115.60000002</v>
      </c>
      <c r="D27" s="318">
        <v>15395915.49</v>
      </c>
      <c r="E27" s="218">
        <v>417286031.08999997</v>
      </c>
    </row>
    <row r="28" spans="1:5" ht="27" customHeight="1" thickBot="1">
      <c r="A28" s="186" t="s">
        <v>1156</v>
      </c>
      <c r="B28" s="186" t="s">
        <v>1157</v>
      </c>
      <c r="C28" s="317">
        <v>6177927105.1999998</v>
      </c>
      <c r="D28" s="318">
        <v>183158676.52000001</v>
      </c>
      <c r="E28" s="218">
        <v>6361085781.6999998</v>
      </c>
    </row>
    <row r="29" spans="1:5" ht="27" customHeight="1" thickBot="1">
      <c r="A29" s="186"/>
      <c r="B29" s="186" t="s">
        <v>1158</v>
      </c>
      <c r="C29" s="317">
        <v>1475099293.7</v>
      </c>
      <c r="D29" s="318">
        <v>108612821.65000001</v>
      </c>
      <c r="E29" s="218">
        <v>1583712115.4000001</v>
      </c>
    </row>
    <row r="30" spans="1:5" ht="27" customHeight="1" thickBot="1">
      <c r="A30" s="186">
        <v>7</v>
      </c>
      <c r="B30" s="186" t="s">
        <v>1159</v>
      </c>
      <c r="C30" s="317">
        <v>48561629.149999999</v>
      </c>
      <c r="D30" s="318">
        <v>2707461.04</v>
      </c>
      <c r="E30" s="218">
        <v>51269090.189999998</v>
      </c>
    </row>
    <row r="31" spans="1:5" ht="34.5" customHeight="1" thickBot="1">
      <c r="A31" s="547"/>
      <c r="B31" s="547" t="s">
        <v>1160</v>
      </c>
      <c r="C31" s="548">
        <v>1523660922.9000001</v>
      </c>
      <c r="D31" s="549">
        <v>111320282.7</v>
      </c>
      <c r="E31" s="550">
        <v>1634981205.5999999</v>
      </c>
    </row>
    <row r="32" spans="1:5" ht="19.5" customHeight="1">
      <c r="A32" s="2" t="s">
        <v>146</v>
      </c>
    </row>
    <row r="34" spans="1:1">
      <c r="A34" s="2" t="s">
        <v>11</v>
      </c>
    </row>
    <row r="36" spans="1:1">
      <c r="A36" s="2" t="s">
        <v>18</v>
      </c>
    </row>
    <row r="39" spans="1:1">
      <c r="A39" s="2" t="s">
        <v>104</v>
      </c>
    </row>
  </sheetData>
  <phoneticPr fontId="0" type="noConversion"/>
  <pageMargins left="0.59" right="0.66" top="1.01" bottom="0.49" header="0.61" footer="0.4921259845"/>
  <pageSetup paperSize="9" scale="82" orientation="portrait" horizontalDpi="4294967292" verticalDpi="4294967292"/>
  <headerFooter alignWithMargins="0">
    <oddHeader>&amp;L&amp;"Arial,Bold"Versicherte und Finanzen in der OKP</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289ED-0167-F847-8BA7-2255074178F8}">
  <sheetPr>
    <pageSetUpPr fitToPage="1"/>
  </sheetPr>
  <dimension ref="A1:E39"/>
  <sheetViews>
    <sheetView topLeftCell="A17" zoomScale="75" workbookViewId="0">
      <selection activeCell="A3" sqref="A3"/>
    </sheetView>
  </sheetViews>
  <sheetFormatPr baseColWidth="10" defaultColWidth="11.3984375" defaultRowHeight="13"/>
  <cols>
    <col min="1" max="1" width="8.796875" style="2" customWidth="1"/>
    <col min="2" max="2" width="52.19921875" style="23" customWidth="1"/>
    <col min="3" max="3" width="16.796875" style="2" customWidth="1"/>
    <col min="4" max="5" width="16.796875" style="9" customWidth="1"/>
    <col min="6" max="16384" width="11.3984375" style="2"/>
  </cols>
  <sheetData>
    <row r="1" spans="1:5" s="1" customFormat="1" ht="14" customHeight="1">
      <c r="B1" s="209"/>
      <c r="D1" s="192"/>
      <c r="E1" s="192"/>
    </row>
    <row r="2" spans="1:5" s="1" customFormat="1" ht="28" customHeight="1">
      <c r="A2" s="21" t="s">
        <v>21</v>
      </c>
      <c r="B2" s="209"/>
      <c r="D2" s="192"/>
      <c r="E2" s="21">
        <v>2004</v>
      </c>
    </row>
    <row r="3" spans="1:5" ht="39" customHeight="1">
      <c r="A3" s="139" t="s">
        <v>1127</v>
      </c>
      <c r="B3" s="139"/>
      <c r="C3" s="164" t="s">
        <v>1128</v>
      </c>
      <c r="D3" s="194" t="s">
        <v>1129</v>
      </c>
      <c r="E3" s="305" t="s">
        <v>652</v>
      </c>
    </row>
    <row r="4" spans="1:5" ht="39" customHeight="1">
      <c r="A4" s="306"/>
      <c r="B4" s="307"/>
      <c r="C4" s="168" t="s">
        <v>884</v>
      </c>
      <c r="D4" s="200" t="s">
        <v>884</v>
      </c>
      <c r="E4" s="308" t="s">
        <v>884</v>
      </c>
    </row>
    <row r="5" spans="1:5" ht="30" customHeight="1" thickBot="1">
      <c r="A5" s="148">
        <v>61</v>
      </c>
      <c r="B5" s="148" t="s">
        <v>526</v>
      </c>
      <c r="C5" s="330">
        <v>16236027.6</v>
      </c>
      <c r="D5" s="381">
        <v>492815.24</v>
      </c>
      <c r="E5" s="505">
        <v>16728842.84</v>
      </c>
    </row>
    <row r="6" spans="1:5" ht="20" customHeight="1" thickBot="1">
      <c r="A6" s="152">
        <v>64</v>
      </c>
      <c r="B6" s="152" t="s">
        <v>1130</v>
      </c>
      <c r="C6" s="153">
        <v>-40818.269999999997</v>
      </c>
      <c r="D6" s="228">
        <v>-1277.98</v>
      </c>
      <c r="E6" s="173">
        <v>-42096.25</v>
      </c>
    </row>
    <row r="7" spans="1:5" ht="20" customHeight="1" thickBot="1">
      <c r="A7" s="152">
        <v>65</v>
      </c>
      <c r="B7" s="152" t="s">
        <v>1131</v>
      </c>
      <c r="C7" s="153">
        <v>1865.48</v>
      </c>
      <c r="D7" s="228">
        <v>52.27</v>
      </c>
      <c r="E7" s="173">
        <v>1917.75</v>
      </c>
    </row>
    <row r="8" spans="1:5" ht="26.25" customHeight="1" thickBot="1">
      <c r="A8" s="186" t="s">
        <v>1132</v>
      </c>
      <c r="B8" s="186" t="s">
        <v>1133</v>
      </c>
      <c r="C8" s="317">
        <v>16197074.810000001</v>
      </c>
      <c r="D8" s="318">
        <v>491589.53</v>
      </c>
      <c r="E8" s="218">
        <v>16688664.34</v>
      </c>
    </row>
    <row r="9" spans="1:5" ht="20" customHeight="1" thickBot="1">
      <c r="A9" s="152">
        <v>66</v>
      </c>
      <c r="B9" s="152" t="s">
        <v>1134</v>
      </c>
      <c r="C9" s="153">
        <v>0</v>
      </c>
      <c r="D9" s="228">
        <v>0</v>
      </c>
      <c r="E9" s="173">
        <v>0</v>
      </c>
    </row>
    <row r="10" spans="1:5" ht="27" customHeight="1" thickBot="1">
      <c r="A10" s="186" t="s">
        <v>1135</v>
      </c>
      <c r="B10" s="186" t="s">
        <v>1136</v>
      </c>
      <c r="C10" s="317">
        <v>16197074.810000001</v>
      </c>
      <c r="D10" s="318">
        <v>491589.53</v>
      </c>
      <c r="E10" s="218">
        <v>16688664.34</v>
      </c>
    </row>
    <row r="11" spans="1:5" ht="20" customHeight="1" thickBot="1">
      <c r="A11" s="152">
        <v>67</v>
      </c>
      <c r="B11" s="152" t="s">
        <v>1137</v>
      </c>
      <c r="C11" s="153">
        <v>599422.31999999995</v>
      </c>
      <c r="D11" s="228">
        <v>20316.57</v>
      </c>
      <c r="E11" s="173">
        <v>619738.89</v>
      </c>
    </row>
    <row r="12" spans="1:5" ht="20" customHeight="1" thickBot="1">
      <c r="A12" s="152">
        <v>68</v>
      </c>
      <c r="B12" s="152" t="s">
        <v>1138</v>
      </c>
      <c r="C12" s="153">
        <v>-606641.39</v>
      </c>
      <c r="D12" s="228">
        <v>-20564.93</v>
      </c>
      <c r="E12" s="173">
        <v>-627206.31999999995</v>
      </c>
    </row>
    <row r="13" spans="1:5" ht="20" customHeight="1" thickBot="1">
      <c r="A13" s="152">
        <v>69</v>
      </c>
      <c r="B13" s="152" t="s">
        <v>1139</v>
      </c>
      <c r="C13" s="153">
        <v>14670.33</v>
      </c>
      <c r="D13" s="228">
        <v>508.64</v>
      </c>
      <c r="E13" s="173">
        <v>15178.97</v>
      </c>
    </row>
    <row r="14" spans="1:5" ht="27" customHeight="1" thickBot="1">
      <c r="A14" s="186">
        <v>6</v>
      </c>
      <c r="B14" s="186" t="s">
        <v>1140</v>
      </c>
      <c r="C14" s="317">
        <v>16204526.08</v>
      </c>
      <c r="D14" s="318">
        <v>491849.81</v>
      </c>
      <c r="E14" s="218">
        <v>16696375.890000001</v>
      </c>
    </row>
    <row r="15" spans="1:5" ht="20" customHeight="1" thickBot="1">
      <c r="A15" s="152">
        <v>31</v>
      </c>
      <c r="B15" s="152" t="s">
        <v>527</v>
      </c>
      <c r="C15" s="153">
        <v>8387873.5300000003</v>
      </c>
      <c r="D15" s="228">
        <v>284190.77</v>
      </c>
      <c r="E15" s="173">
        <v>8672064.3000000007</v>
      </c>
    </row>
    <row r="16" spans="1:5" ht="20" customHeight="1" thickBot="1">
      <c r="A16" s="152">
        <v>32</v>
      </c>
      <c r="B16" s="152" t="s">
        <v>1141</v>
      </c>
      <c r="C16" s="153">
        <v>-1332006.74</v>
      </c>
      <c r="D16" s="228">
        <v>-45600.02</v>
      </c>
      <c r="E16" s="173">
        <v>-1377606.76</v>
      </c>
    </row>
    <row r="17" spans="1:5" ht="27" customHeight="1" thickBot="1">
      <c r="A17" s="186" t="s">
        <v>1142</v>
      </c>
      <c r="B17" s="186" t="s">
        <v>1143</v>
      </c>
      <c r="C17" s="317">
        <v>7055866.79</v>
      </c>
      <c r="D17" s="318">
        <v>238590.75</v>
      </c>
      <c r="E17" s="218">
        <v>7294457.54</v>
      </c>
    </row>
    <row r="18" spans="1:5" ht="20" customHeight="1" thickBot="1">
      <c r="A18" s="152">
        <v>34</v>
      </c>
      <c r="B18" s="152" t="s">
        <v>1144</v>
      </c>
      <c r="C18" s="153">
        <v>6519.95</v>
      </c>
      <c r="D18" s="228">
        <v>187.69</v>
      </c>
      <c r="E18" s="173">
        <v>6707.64</v>
      </c>
    </row>
    <row r="19" spans="1:5" ht="20" customHeight="1" thickBot="1">
      <c r="A19" s="152">
        <v>35</v>
      </c>
      <c r="B19" s="152" t="s">
        <v>1145</v>
      </c>
      <c r="C19" s="153">
        <v>-57273.31</v>
      </c>
      <c r="D19" s="228">
        <v>-1679.43</v>
      </c>
      <c r="E19" s="173">
        <v>-58952.74</v>
      </c>
    </row>
    <row r="20" spans="1:5" ht="27" customHeight="1" thickBot="1">
      <c r="A20" s="186" t="s">
        <v>1146</v>
      </c>
      <c r="B20" s="186" t="s">
        <v>1147</v>
      </c>
      <c r="C20" s="317">
        <v>7005113.4299999997</v>
      </c>
      <c r="D20" s="318">
        <v>237099</v>
      </c>
      <c r="E20" s="218">
        <v>7242212.4299999997</v>
      </c>
    </row>
    <row r="21" spans="1:5" ht="20" customHeight="1" thickBot="1">
      <c r="A21" s="152">
        <v>36</v>
      </c>
      <c r="B21" s="152" t="s">
        <v>1148</v>
      </c>
      <c r="C21" s="153">
        <v>0</v>
      </c>
      <c r="D21" s="228">
        <v>0</v>
      </c>
      <c r="E21" s="173">
        <v>0</v>
      </c>
    </row>
    <row r="22" spans="1:5" ht="20" customHeight="1" thickBot="1">
      <c r="A22" s="152">
        <v>37</v>
      </c>
      <c r="B22" s="152" t="s">
        <v>1149</v>
      </c>
      <c r="C22" s="153">
        <v>3439018.98</v>
      </c>
      <c r="D22" s="228">
        <v>120547.37</v>
      </c>
      <c r="E22" s="173">
        <v>3559566.35</v>
      </c>
    </row>
    <row r="23" spans="1:5" ht="26.25" customHeight="1" thickBot="1">
      <c r="A23" s="186">
        <v>3</v>
      </c>
      <c r="B23" s="186" t="s">
        <v>1150</v>
      </c>
      <c r="C23" s="317">
        <v>10444132.41</v>
      </c>
      <c r="D23" s="318">
        <v>357646.37</v>
      </c>
      <c r="E23" s="218">
        <v>10801778.779999999</v>
      </c>
    </row>
    <row r="24" spans="1:5" ht="20" customHeight="1" thickBot="1">
      <c r="A24" s="152" t="s">
        <v>1151</v>
      </c>
      <c r="B24" s="152" t="s">
        <v>1152</v>
      </c>
      <c r="C24" s="153">
        <v>582552.03</v>
      </c>
      <c r="D24" s="228">
        <v>17878.63</v>
      </c>
      <c r="E24" s="173">
        <v>600430.66</v>
      </c>
    </row>
    <row r="25" spans="1:5" ht="20" customHeight="1" thickBot="1">
      <c r="A25" s="152">
        <v>48</v>
      </c>
      <c r="B25" s="152" t="s">
        <v>1153</v>
      </c>
      <c r="C25" s="153">
        <v>118683.87</v>
      </c>
      <c r="D25" s="228">
        <v>3994.77</v>
      </c>
      <c r="E25" s="173">
        <v>122678.64</v>
      </c>
    </row>
    <row r="26" spans="1:5" ht="20" customHeight="1" thickBot="1">
      <c r="A26" s="152">
        <v>49</v>
      </c>
      <c r="B26" s="152" t="s">
        <v>1154</v>
      </c>
      <c r="C26" s="153">
        <v>1361.12</v>
      </c>
      <c r="D26" s="228">
        <v>38.380000000000003</v>
      </c>
      <c r="E26" s="173">
        <v>1399.5</v>
      </c>
    </row>
    <row r="27" spans="1:5" ht="27" customHeight="1" thickBot="1">
      <c r="A27" s="186">
        <v>4</v>
      </c>
      <c r="B27" s="186" t="s">
        <v>1155</v>
      </c>
      <c r="C27" s="317">
        <v>702597.02</v>
      </c>
      <c r="D27" s="318">
        <v>21911.79</v>
      </c>
      <c r="E27" s="218">
        <v>724508.81</v>
      </c>
    </row>
    <row r="28" spans="1:5" ht="27" customHeight="1" thickBot="1">
      <c r="A28" s="186" t="s">
        <v>1156</v>
      </c>
      <c r="B28" s="186" t="s">
        <v>1157</v>
      </c>
      <c r="C28" s="317">
        <v>11146729.43</v>
      </c>
      <c r="D28" s="318">
        <v>379558.16</v>
      </c>
      <c r="E28" s="218">
        <v>11526287.59</v>
      </c>
    </row>
    <row r="29" spans="1:5" ht="27" customHeight="1" thickBot="1">
      <c r="A29" s="186"/>
      <c r="B29" s="186" t="s">
        <v>1158</v>
      </c>
      <c r="C29" s="317">
        <v>5057796.6500000004</v>
      </c>
      <c r="D29" s="318">
        <v>112291.65</v>
      </c>
      <c r="E29" s="218">
        <v>5170088.3</v>
      </c>
    </row>
    <row r="30" spans="1:5" ht="27" customHeight="1" thickBot="1">
      <c r="A30" s="186">
        <v>7</v>
      </c>
      <c r="B30" s="186" t="s">
        <v>1159</v>
      </c>
      <c r="C30" s="317">
        <v>64432.71</v>
      </c>
      <c r="D30" s="318">
        <v>1803.95</v>
      </c>
      <c r="E30" s="218">
        <v>66236.66</v>
      </c>
    </row>
    <row r="31" spans="1:5" ht="34.5" customHeight="1" thickBot="1">
      <c r="A31" s="547"/>
      <c r="B31" s="547" t="s">
        <v>1160</v>
      </c>
      <c r="C31" s="548">
        <v>5122229.3600000003</v>
      </c>
      <c r="D31" s="549">
        <v>114095.6</v>
      </c>
      <c r="E31" s="550">
        <v>5236324.96</v>
      </c>
    </row>
    <row r="32" spans="1:5" ht="20.25" customHeight="1">
      <c r="A32" s="2" t="s">
        <v>146</v>
      </c>
    </row>
    <row r="34" spans="1:1">
      <c r="A34" s="2" t="s">
        <v>11</v>
      </c>
    </row>
    <row r="36" spans="1:1">
      <c r="A36" s="2" t="s">
        <v>20</v>
      </c>
    </row>
    <row r="39" spans="1:1">
      <c r="A39" s="2" t="s">
        <v>104</v>
      </c>
    </row>
  </sheetData>
  <phoneticPr fontId="0" type="noConversion"/>
  <pageMargins left="0.64" right="0.7" top="0.9" bottom="0.49" header="0.51" footer="0.4921259845"/>
  <pageSetup paperSize="9" scale="80" orientation="portrait" horizontalDpi="4294967292" verticalDpi="4294967292"/>
  <headerFooter alignWithMargins="0">
    <oddHeader>&amp;L&amp;"Arial,Bold"Versicherte und Finanzen in der OKP</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A3C1C-922C-5F47-8B74-5361A60E4B03}">
  <sheetPr>
    <pageSetUpPr fitToPage="1"/>
  </sheetPr>
  <dimension ref="A1:E39"/>
  <sheetViews>
    <sheetView zoomScale="75" workbookViewId="0"/>
  </sheetViews>
  <sheetFormatPr baseColWidth="10" defaultColWidth="11.3984375" defaultRowHeight="13"/>
  <cols>
    <col min="1" max="1" width="8.796875" style="2" customWidth="1"/>
    <col min="2" max="2" width="48.796875" style="23" customWidth="1"/>
    <col min="3" max="3" width="16.796875" style="2" customWidth="1"/>
    <col min="4" max="5" width="16.796875" style="9" customWidth="1"/>
    <col min="6" max="16384" width="11.3984375" style="2"/>
  </cols>
  <sheetData>
    <row r="1" spans="1:5" s="1" customFormat="1" ht="14" customHeight="1">
      <c r="B1" s="209"/>
      <c r="D1" s="192"/>
      <c r="E1" s="192"/>
    </row>
    <row r="2" spans="1:5" s="1" customFormat="1" ht="42" customHeight="1">
      <c r="A2" s="1715" t="s">
        <v>13</v>
      </c>
      <c r="B2" s="1718"/>
      <c r="C2" s="1718"/>
      <c r="D2" s="1718"/>
      <c r="E2" s="21">
        <v>2004</v>
      </c>
    </row>
    <row r="3" spans="1:5" ht="39" customHeight="1">
      <c r="A3" s="139" t="s">
        <v>1127</v>
      </c>
      <c r="B3" s="139"/>
      <c r="C3" s="164" t="s">
        <v>1128</v>
      </c>
      <c r="D3" s="194" t="s">
        <v>1129</v>
      </c>
      <c r="E3" s="305" t="s">
        <v>652</v>
      </c>
    </row>
    <row r="4" spans="1:5" ht="39" customHeight="1">
      <c r="A4" s="306"/>
      <c r="B4" s="307"/>
      <c r="C4" s="168" t="s">
        <v>884</v>
      </c>
      <c r="D4" s="200" t="s">
        <v>884</v>
      </c>
      <c r="E4" s="308" t="s">
        <v>884</v>
      </c>
    </row>
    <row r="5" spans="1:5" ht="30" customHeight="1" thickBot="1">
      <c r="A5" s="148">
        <v>61</v>
      </c>
      <c r="B5" s="148" t="s">
        <v>526</v>
      </c>
      <c r="C5" s="330">
        <v>1508921948.5</v>
      </c>
      <c r="D5" s="381">
        <v>54022414.700000003</v>
      </c>
      <c r="E5" s="505">
        <v>1562944363.2</v>
      </c>
    </row>
    <row r="6" spans="1:5" ht="20" customHeight="1" thickBot="1">
      <c r="A6" s="152">
        <v>64</v>
      </c>
      <c r="B6" s="152" t="s">
        <v>1130</v>
      </c>
      <c r="C6" s="153">
        <v>-4476087.49</v>
      </c>
      <c r="D6" s="228">
        <v>-177171.97</v>
      </c>
      <c r="E6" s="173">
        <v>-4653259.46</v>
      </c>
    </row>
    <row r="7" spans="1:5" ht="20" customHeight="1" thickBot="1">
      <c r="A7" s="152">
        <v>65</v>
      </c>
      <c r="B7" s="152" t="s">
        <v>1131</v>
      </c>
      <c r="C7" s="153">
        <v>163244.75</v>
      </c>
      <c r="D7" s="228">
        <v>6800.93</v>
      </c>
      <c r="E7" s="173">
        <v>170045.68</v>
      </c>
    </row>
    <row r="8" spans="1:5" ht="27" customHeight="1" thickBot="1">
      <c r="A8" s="186" t="s">
        <v>1132</v>
      </c>
      <c r="B8" s="186" t="s">
        <v>1133</v>
      </c>
      <c r="C8" s="317">
        <v>1504609105.8</v>
      </c>
      <c r="D8" s="318">
        <v>53852043.670000002</v>
      </c>
      <c r="E8" s="218">
        <v>1558461149.5</v>
      </c>
    </row>
    <row r="9" spans="1:5" ht="20" customHeight="1" thickBot="1">
      <c r="A9" s="152">
        <v>66</v>
      </c>
      <c r="B9" s="152" t="s">
        <v>1134</v>
      </c>
      <c r="C9" s="153">
        <v>-1329966.6499999999</v>
      </c>
      <c r="D9" s="228">
        <v>-45960.56</v>
      </c>
      <c r="E9" s="173">
        <v>-1375927.21</v>
      </c>
    </row>
    <row r="10" spans="1:5" ht="30" customHeight="1" thickBot="1">
      <c r="A10" s="186" t="s">
        <v>1135</v>
      </c>
      <c r="B10" s="186" t="s">
        <v>1136</v>
      </c>
      <c r="C10" s="317">
        <v>1503279139.0999999</v>
      </c>
      <c r="D10" s="318">
        <v>53806083.109999999</v>
      </c>
      <c r="E10" s="218">
        <v>1557085222.3</v>
      </c>
    </row>
    <row r="11" spans="1:5" ht="20" customHeight="1" thickBot="1">
      <c r="A11" s="152">
        <v>67</v>
      </c>
      <c r="B11" s="152" t="s">
        <v>1137</v>
      </c>
      <c r="C11" s="153">
        <v>111322237.19</v>
      </c>
      <c r="D11" s="228">
        <v>4157121.89</v>
      </c>
      <c r="E11" s="173">
        <v>115479359.08</v>
      </c>
    </row>
    <row r="12" spans="1:5" ht="20" customHeight="1" thickBot="1">
      <c r="A12" s="152">
        <v>68</v>
      </c>
      <c r="B12" s="152" t="s">
        <v>1138</v>
      </c>
      <c r="C12" s="153">
        <v>-109028369.7</v>
      </c>
      <c r="D12" s="228">
        <v>-4036106.11</v>
      </c>
      <c r="E12" s="173">
        <v>-113064475.8</v>
      </c>
    </row>
    <row r="13" spans="1:5" ht="20" customHeight="1" thickBot="1">
      <c r="A13" s="152">
        <v>69</v>
      </c>
      <c r="B13" s="152" t="s">
        <v>1139</v>
      </c>
      <c r="C13" s="153">
        <v>3356495.09</v>
      </c>
      <c r="D13" s="228">
        <v>132986.04</v>
      </c>
      <c r="E13" s="173">
        <v>3489481.13</v>
      </c>
    </row>
    <row r="14" spans="1:5" ht="27" customHeight="1" thickBot="1">
      <c r="A14" s="186">
        <v>6</v>
      </c>
      <c r="B14" s="186" t="s">
        <v>1140</v>
      </c>
      <c r="C14" s="317">
        <v>1508929501.7</v>
      </c>
      <c r="D14" s="318">
        <v>54060084.939999998</v>
      </c>
      <c r="E14" s="218">
        <v>1562989586.7</v>
      </c>
    </row>
    <row r="15" spans="1:5" ht="20" customHeight="1" thickBot="1">
      <c r="A15" s="152">
        <v>31</v>
      </c>
      <c r="B15" s="152" t="s">
        <v>527</v>
      </c>
      <c r="C15" s="153">
        <v>1211564994.4000001</v>
      </c>
      <c r="D15" s="228">
        <v>44312039.280000001</v>
      </c>
      <c r="E15" s="173">
        <v>1255877033.7</v>
      </c>
    </row>
    <row r="16" spans="1:5" ht="20" customHeight="1" thickBot="1">
      <c r="A16" s="152">
        <v>32</v>
      </c>
      <c r="B16" s="152" t="s">
        <v>1141</v>
      </c>
      <c r="C16" s="153">
        <v>-227899405.40000001</v>
      </c>
      <c r="D16" s="228">
        <v>-6263727.5999999996</v>
      </c>
      <c r="E16" s="173">
        <v>-234163133</v>
      </c>
    </row>
    <row r="17" spans="1:5" ht="27" customHeight="1" thickBot="1">
      <c r="A17" s="186" t="s">
        <v>1142</v>
      </c>
      <c r="B17" s="186" t="s">
        <v>1143</v>
      </c>
      <c r="C17" s="317">
        <v>983665588.92999995</v>
      </c>
      <c r="D17" s="318">
        <v>38048311.670000002</v>
      </c>
      <c r="E17" s="218">
        <v>1021713900.6</v>
      </c>
    </row>
    <row r="18" spans="1:5" ht="20" customHeight="1" thickBot="1">
      <c r="A18" s="152">
        <v>34</v>
      </c>
      <c r="B18" s="152" t="s">
        <v>1144</v>
      </c>
      <c r="C18" s="153">
        <v>3029880.83</v>
      </c>
      <c r="D18" s="228">
        <v>107275.5</v>
      </c>
      <c r="E18" s="173">
        <v>3137156.33</v>
      </c>
    </row>
    <row r="19" spans="1:5" ht="20" customHeight="1" thickBot="1">
      <c r="A19" s="152">
        <v>35</v>
      </c>
      <c r="B19" s="152" t="s">
        <v>1145</v>
      </c>
      <c r="C19" s="153">
        <v>25303241.210000001</v>
      </c>
      <c r="D19" s="228">
        <v>892813.82</v>
      </c>
      <c r="E19" s="173">
        <v>26196055.030000001</v>
      </c>
    </row>
    <row r="20" spans="1:5" ht="27" customHeight="1" thickBot="1">
      <c r="A20" s="186" t="s">
        <v>1146</v>
      </c>
      <c r="B20" s="186" t="s">
        <v>1147</v>
      </c>
      <c r="C20" s="317">
        <v>1011998711</v>
      </c>
      <c r="D20" s="318">
        <v>39048400.960000001</v>
      </c>
      <c r="E20" s="218">
        <v>1051047112</v>
      </c>
    </row>
    <row r="21" spans="1:5" ht="20" customHeight="1" thickBot="1">
      <c r="A21" s="152">
        <v>36</v>
      </c>
      <c r="B21" s="152" t="s">
        <v>1148</v>
      </c>
      <c r="C21" s="153">
        <v>-1004525.61</v>
      </c>
      <c r="D21" s="228">
        <v>-32271.45</v>
      </c>
      <c r="E21" s="173">
        <v>-1036797.06</v>
      </c>
    </row>
    <row r="22" spans="1:5" ht="20" customHeight="1" thickBot="1">
      <c r="A22" s="152">
        <v>37</v>
      </c>
      <c r="B22" s="152" t="s">
        <v>1149</v>
      </c>
      <c r="C22" s="153">
        <v>169230689.16999999</v>
      </c>
      <c r="D22" s="228">
        <v>4933671.42</v>
      </c>
      <c r="E22" s="173">
        <v>174164360.59</v>
      </c>
    </row>
    <row r="23" spans="1:5" ht="27" customHeight="1" thickBot="1">
      <c r="A23" s="186">
        <v>3</v>
      </c>
      <c r="B23" s="186" t="s">
        <v>1150</v>
      </c>
      <c r="C23" s="317">
        <v>1180224874.5999999</v>
      </c>
      <c r="D23" s="318">
        <v>43949800.939999998</v>
      </c>
      <c r="E23" s="218">
        <v>1224174675.5</v>
      </c>
    </row>
    <row r="24" spans="1:5" ht="20" customHeight="1" thickBot="1">
      <c r="A24" s="152" t="s">
        <v>1151</v>
      </c>
      <c r="B24" s="152" t="s">
        <v>1152</v>
      </c>
      <c r="C24" s="153">
        <v>77223181.719999999</v>
      </c>
      <c r="D24" s="228">
        <v>2698696.4</v>
      </c>
      <c r="E24" s="173">
        <v>79921878.120000005</v>
      </c>
    </row>
    <row r="25" spans="1:5" ht="20" customHeight="1" thickBot="1">
      <c r="A25" s="152">
        <v>48</v>
      </c>
      <c r="B25" s="152" t="s">
        <v>1153</v>
      </c>
      <c r="C25" s="153">
        <v>5688719.2300000004</v>
      </c>
      <c r="D25" s="228">
        <v>218598.84</v>
      </c>
      <c r="E25" s="173">
        <v>5907318.0700000003</v>
      </c>
    </row>
    <row r="26" spans="1:5" ht="20" customHeight="1" thickBot="1">
      <c r="A26" s="152">
        <v>49</v>
      </c>
      <c r="B26" s="152" t="s">
        <v>1154</v>
      </c>
      <c r="C26" s="153">
        <v>894263.27</v>
      </c>
      <c r="D26" s="228">
        <v>29438.85</v>
      </c>
      <c r="E26" s="173">
        <v>923702.12</v>
      </c>
    </row>
    <row r="27" spans="1:5" ht="27" customHeight="1" thickBot="1">
      <c r="A27" s="186">
        <v>4</v>
      </c>
      <c r="B27" s="186" t="s">
        <v>1155</v>
      </c>
      <c r="C27" s="317">
        <v>83806164.230000004</v>
      </c>
      <c r="D27" s="318">
        <v>2946734.0800000001</v>
      </c>
      <c r="E27" s="218">
        <v>86752898.310000002</v>
      </c>
    </row>
    <row r="28" spans="1:5" ht="27" customHeight="1" thickBot="1">
      <c r="A28" s="186" t="s">
        <v>1156</v>
      </c>
      <c r="B28" s="186" t="s">
        <v>1157</v>
      </c>
      <c r="C28" s="317">
        <v>1264031038.8</v>
      </c>
      <c r="D28" s="318">
        <v>46896535.020000003</v>
      </c>
      <c r="E28" s="218">
        <v>1310927573.8</v>
      </c>
    </row>
    <row r="29" spans="1:5" ht="27" customHeight="1" thickBot="1">
      <c r="A29" s="186"/>
      <c r="B29" s="186" t="s">
        <v>1158</v>
      </c>
      <c r="C29" s="317">
        <v>244898462.94999999</v>
      </c>
      <c r="D29" s="318">
        <v>7163549.9299999997</v>
      </c>
      <c r="E29" s="218">
        <v>252062012.88</v>
      </c>
    </row>
    <row r="30" spans="1:5" ht="27" customHeight="1" thickBot="1">
      <c r="A30" s="186">
        <v>7</v>
      </c>
      <c r="B30" s="186" t="s">
        <v>1159</v>
      </c>
      <c r="C30" s="317">
        <v>13034915.109999999</v>
      </c>
      <c r="D30" s="318">
        <v>467909.22</v>
      </c>
      <c r="E30" s="218">
        <v>13502824.33</v>
      </c>
    </row>
    <row r="31" spans="1:5" ht="34.5" customHeight="1" thickBot="1">
      <c r="A31" s="547"/>
      <c r="B31" s="547" t="s">
        <v>1160</v>
      </c>
      <c r="C31" s="548">
        <v>257933378.06999999</v>
      </c>
      <c r="D31" s="549">
        <v>7631459.1299999999</v>
      </c>
      <c r="E31" s="550">
        <v>265564837.19999999</v>
      </c>
    </row>
    <row r="32" spans="1:5">
      <c r="A32" s="2" t="s">
        <v>146</v>
      </c>
    </row>
    <row r="34" spans="1:1">
      <c r="A34" s="2" t="s">
        <v>11</v>
      </c>
    </row>
    <row r="36" spans="1:1">
      <c r="A36" s="2" t="s">
        <v>12</v>
      </c>
    </row>
    <row r="39" spans="1:1">
      <c r="A39" s="2" t="s">
        <v>104</v>
      </c>
    </row>
  </sheetData>
  <mergeCells count="1">
    <mergeCell ref="A2:D2"/>
  </mergeCells>
  <phoneticPr fontId="0" type="noConversion"/>
  <pageMargins left="0.64" right="0.56000000000000005" top="0.96" bottom="0.49" header="0.53" footer="0.4921259845"/>
  <pageSetup paperSize="9" scale="84" orientation="portrait" horizontalDpi="4294967292" verticalDpi="4294967292"/>
  <headerFooter alignWithMargins="0">
    <oddHeader>&amp;L&amp;"Arial,Bold"Versicherte und Finanzen in der OKP</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2126F-6D52-6940-B164-F550B2A75EB3}">
  <sheetPr>
    <pageSetUpPr fitToPage="1"/>
  </sheetPr>
  <dimension ref="A1:K24"/>
  <sheetViews>
    <sheetView zoomScale="75" workbookViewId="0"/>
  </sheetViews>
  <sheetFormatPr baseColWidth="10" defaultColWidth="11.3984375" defaultRowHeight="13"/>
  <cols>
    <col min="1" max="1" width="14.3984375" style="2" customWidth="1"/>
    <col min="2" max="2" width="15.59765625" style="2" customWidth="1"/>
    <col min="3" max="5" width="15.3984375" style="2" customWidth="1"/>
    <col min="6" max="6" width="15.3984375" style="487" customWidth="1"/>
    <col min="7" max="7" width="15.3984375" style="2" customWidth="1"/>
    <col min="8" max="16384" width="11.3984375" style="2"/>
  </cols>
  <sheetData>
    <row r="1" spans="1:11" s="1" customFormat="1" ht="14" customHeight="1">
      <c r="F1" s="474"/>
    </row>
    <row r="2" spans="1:11" s="1" customFormat="1" ht="28" customHeight="1">
      <c r="A2" s="178" t="s">
        <v>1215</v>
      </c>
      <c r="F2" s="474"/>
      <c r="G2" s="370">
        <v>2004</v>
      </c>
    </row>
    <row r="3" spans="1:11" ht="24" customHeight="1">
      <c r="A3" s="139" t="s">
        <v>1250</v>
      </c>
      <c r="B3" s="164" t="s">
        <v>1202</v>
      </c>
      <c r="C3" s="141" t="s">
        <v>451</v>
      </c>
      <c r="D3" s="164" t="s">
        <v>1221</v>
      </c>
      <c r="E3" s="141" t="s">
        <v>451</v>
      </c>
      <c r="F3" s="475" t="s">
        <v>1216</v>
      </c>
      <c r="G3" s="141" t="s">
        <v>451</v>
      </c>
    </row>
    <row r="4" spans="1:11" ht="15" customHeight="1">
      <c r="A4" s="165"/>
      <c r="B4" s="143" t="s">
        <v>535</v>
      </c>
      <c r="C4" s="144" t="s">
        <v>486</v>
      </c>
      <c r="D4" s="143" t="s">
        <v>1217</v>
      </c>
      <c r="E4" s="144" t="s">
        <v>486</v>
      </c>
      <c r="F4" s="476" t="s">
        <v>1222</v>
      </c>
      <c r="G4" s="144" t="s">
        <v>486</v>
      </c>
    </row>
    <row r="5" spans="1:11" ht="15" customHeight="1">
      <c r="A5" s="165"/>
      <c r="B5" s="166" t="s">
        <v>884</v>
      </c>
      <c r="C5" s="144" t="s">
        <v>454</v>
      </c>
      <c r="D5" s="166" t="s">
        <v>1218</v>
      </c>
      <c r="E5" s="144" t="s">
        <v>454</v>
      </c>
      <c r="F5" s="476"/>
      <c r="G5" s="144" t="s">
        <v>454</v>
      </c>
    </row>
    <row r="6" spans="1:11" ht="24" customHeight="1">
      <c r="A6" s="167"/>
      <c r="B6" s="168"/>
      <c r="C6" s="147"/>
      <c r="D6" s="168" t="s">
        <v>875</v>
      </c>
      <c r="E6" s="147"/>
      <c r="F6" s="477"/>
      <c r="G6" s="147"/>
    </row>
    <row r="7" spans="1:11" ht="23.25" customHeight="1" thickBot="1">
      <c r="A7" s="169">
        <v>1996</v>
      </c>
      <c r="B7" s="149">
        <v>2856077149.5999999</v>
      </c>
      <c r="C7" s="150" t="s">
        <v>2115</v>
      </c>
      <c r="D7" s="149">
        <v>396.96661617617502</v>
      </c>
      <c r="E7" s="150" t="s">
        <v>2115</v>
      </c>
      <c r="F7" s="633">
        <v>0.25659604678130066</v>
      </c>
      <c r="G7" s="150" t="s">
        <v>2115</v>
      </c>
    </row>
    <row r="8" spans="1:11" ht="20" customHeight="1" thickBot="1">
      <c r="A8" s="171">
        <v>1997</v>
      </c>
      <c r="B8" s="153">
        <v>2991879965.3000002</v>
      </c>
      <c r="C8" s="154">
        <v>4.7548721055738909E-2</v>
      </c>
      <c r="D8" s="153">
        <v>414.68618560030387</v>
      </c>
      <c r="E8" s="154">
        <v>4.4637429703320061E-2</v>
      </c>
      <c r="F8" s="544">
        <v>0.24848089473110047</v>
      </c>
      <c r="G8" s="154">
        <v>-3.1626177222897033E-2</v>
      </c>
      <c r="I8" s="10"/>
      <c r="J8" s="10"/>
      <c r="K8" s="10"/>
    </row>
    <row r="9" spans="1:11" ht="20" customHeight="1" thickBot="1">
      <c r="A9" s="171">
        <v>1998</v>
      </c>
      <c r="B9" s="153">
        <v>2985530959.1999998</v>
      </c>
      <c r="C9" s="154">
        <v>-2.1220791521172401E-3</v>
      </c>
      <c r="D9" s="153">
        <v>411.87673806939074</v>
      </c>
      <c r="E9" s="154">
        <v>-6.7748761074501391E-3</v>
      </c>
      <c r="F9" s="544">
        <v>0.23492819435144413</v>
      </c>
      <c r="G9" s="154">
        <v>-5.4542223032167977E-2</v>
      </c>
    </row>
    <row r="10" spans="1:11" ht="20" customHeight="1" thickBot="1">
      <c r="A10" s="171">
        <v>1999</v>
      </c>
      <c r="B10" s="153">
        <v>3077412147.1999998</v>
      </c>
      <c r="C10" s="154">
        <v>3.0775493289347901E-2</v>
      </c>
      <c r="D10" s="153">
        <v>423.5048163539866</v>
      </c>
      <c r="E10" s="154">
        <v>2.823193739734052E-2</v>
      </c>
      <c r="F10" s="544">
        <v>0.23610935015841622</v>
      </c>
      <c r="G10" s="154">
        <v>5.0277311764680014E-3</v>
      </c>
    </row>
    <row r="11" spans="1:11" ht="20" customHeight="1" thickBot="1">
      <c r="A11" s="171">
        <v>2000</v>
      </c>
      <c r="B11" s="153">
        <v>2832106458.9000001</v>
      </c>
      <c r="C11" s="154">
        <v>-7.971167869834804E-2</v>
      </c>
      <c r="D11" s="153">
        <v>389.66197116417186</v>
      </c>
      <c r="E11" s="154">
        <v>-7.9911358461451809E-2</v>
      </c>
      <c r="F11" s="544">
        <v>0.21069626660407667</v>
      </c>
      <c r="G11" s="154">
        <v>-0.10763268602996361</v>
      </c>
    </row>
    <row r="12" spans="1:11" ht="20" customHeight="1" thickBot="1">
      <c r="A12" s="171">
        <v>2001</v>
      </c>
      <c r="B12" s="153">
        <v>2102639270.2</v>
      </c>
      <c r="C12" s="154">
        <v>-0.25757053955638648</v>
      </c>
      <c r="D12" s="153">
        <v>287.19530735511393</v>
      </c>
      <c r="E12" s="154">
        <v>-0.26296295607940356</v>
      </c>
      <c r="F12" s="544">
        <v>0.15021735666544661</v>
      </c>
      <c r="G12" s="154">
        <v>-0.28704310196571786</v>
      </c>
    </row>
    <row r="13" spans="1:11" ht="20" customHeight="1" thickBot="1">
      <c r="A13" s="171">
        <v>2002</v>
      </c>
      <c r="B13" s="153">
        <v>1965532086</v>
      </c>
      <c r="C13" s="154">
        <v>-6.5207183249725284E-2</v>
      </c>
      <c r="D13" s="153">
        <v>267.07903276981096</v>
      </c>
      <c r="E13" s="154">
        <v>-7.0043883274281363E-2</v>
      </c>
      <c r="F13" s="544">
        <v>0.12800562007019203</v>
      </c>
      <c r="G13" s="154">
        <v>-0.14786398248721</v>
      </c>
    </row>
    <row r="14" spans="1:11" ht="20" customHeight="1" thickBot="1">
      <c r="A14" s="171">
        <v>2003</v>
      </c>
      <c r="B14" s="153">
        <v>2393706072.8000002</v>
      </c>
      <c r="C14" s="154">
        <v>0.2178412603130612</v>
      </c>
      <c r="D14" s="153">
        <v>323.77183872505339</v>
      </c>
      <c r="E14" s="154">
        <v>0.21226977410879197</v>
      </c>
      <c r="F14" s="544">
        <v>0.14231214354211111</v>
      </c>
      <c r="G14" s="154">
        <v>0.11176480738950427</v>
      </c>
    </row>
    <row r="15" spans="1:11" ht="30" customHeight="1" thickBot="1">
      <c r="A15" s="488">
        <v>2004</v>
      </c>
      <c r="B15" s="392">
        <v>2968481015</v>
      </c>
      <c r="C15" s="204">
        <v>0.24011926473815803</v>
      </c>
      <c r="D15" s="392">
        <v>400.06622866872578</v>
      </c>
      <c r="E15" s="204">
        <v>0.23564245193190347</v>
      </c>
      <c r="F15" s="634">
        <v>0.16464390527007836</v>
      </c>
      <c r="G15" s="204">
        <v>0.15692098490076592</v>
      </c>
    </row>
    <row r="16" spans="1:11" ht="20" customHeight="1">
      <c r="A16" s="155" t="s">
        <v>146</v>
      </c>
      <c r="B16" s="155"/>
      <c r="C16" s="155"/>
      <c r="D16" s="155"/>
      <c r="E16" s="155"/>
      <c r="F16" s="564"/>
      <c r="G16" s="155"/>
    </row>
    <row r="17" spans="1:7" ht="14.25" customHeight="1">
      <c r="A17" s="4"/>
      <c r="B17" s="4"/>
      <c r="C17" s="4"/>
      <c r="D17" s="4"/>
      <c r="E17" s="4"/>
      <c r="F17" s="565"/>
      <c r="G17" s="4"/>
    </row>
    <row r="18" spans="1:7" ht="12.75" customHeight="1">
      <c r="A18" s="4" t="s">
        <v>1210</v>
      </c>
      <c r="B18" s="4"/>
      <c r="C18" s="4"/>
      <c r="D18" s="4"/>
      <c r="E18" s="4"/>
      <c r="F18" s="565"/>
      <c r="G18" s="4"/>
    </row>
    <row r="19" spans="1:7">
      <c r="A19" s="2" t="s">
        <v>1219</v>
      </c>
    </row>
    <row r="21" spans="1:7">
      <c r="A21" s="2" t="s">
        <v>1220</v>
      </c>
    </row>
    <row r="24" spans="1:7">
      <c r="A24" s="2" t="s">
        <v>104</v>
      </c>
    </row>
  </sheetData>
  <phoneticPr fontId="0" type="noConversion"/>
  <pageMargins left="0.57999999999999996" right="0.69" top="0.94" bottom="0.49" header="0.53" footer="0.4921259845"/>
  <pageSetup paperSize="9" scale="84" orientation="portrait" horizontalDpi="4294967292" verticalDpi="4294967292"/>
  <headerFooter alignWithMargins="0">
    <oddHeader>&amp;L&amp;"Arial,Bold"Versicherte und Finanzen in der OKP</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717CC-78AC-7A41-B3C8-F39733435DF4}">
  <sheetPr>
    <pageSetUpPr fitToPage="1"/>
  </sheetPr>
  <dimension ref="A1:K24"/>
  <sheetViews>
    <sheetView zoomScale="75" workbookViewId="0">
      <selection activeCell="A20" sqref="A20"/>
    </sheetView>
  </sheetViews>
  <sheetFormatPr baseColWidth="10" defaultColWidth="11.3984375" defaultRowHeight="13"/>
  <cols>
    <col min="1" max="1" width="15.19921875" style="2" customWidth="1"/>
    <col min="2" max="2" width="16.796875" style="2" customWidth="1"/>
    <col min="3" max="5" width="15.19921875" style="2" customWidth="1"/>
    <col min="6" max="6" width="15.19921875" style="487" customWidth="1"/>
    <col min="7" max="7" width="15.19921875" style="2" customWidth="1"/>
    <col min="8" max="16384" width="11.3984375" style="2"/>
  </cols>
  <sheetData>
    <row r="1" spans="1:11" s="1" customFormat="1" ht="14" customHeight="1">
      <c r="F1" s="474"/>
    </row>
    <row r="2" spans="1:11" s="1" customFormat="1" ht="37.5" customHeight="1">
      <c r="A2" s="1715" t="s">
        <v>1201</v>
      </c>
      <c r="B2" s="1716"/>
      <c r="C2" s="1716"/>
      <c r="D2" s="1716"/>
      <c r="E2" s="1716"/>
      <c r="F2" s="1716"/>
      <c r="G2" s="370">
        <v>2004</v>
      </c>
    </row>
    <row r="3" spans="1:11" ht="24" customHeight="1">
      <c r="A3" s="139" t="s">
        <v>1250</v>
      </c>
      <c r="B3" s="164" t="s">
        <v>1202</v>
      </c>
      <c r="C3" s="141" t="s">
        <v>451</v>
      </c>
      <c r="D3" s="164" t="s">
        <v>1203</v>
      </c>
      <c r="E3" s="141" t="s">
        <v>451</v>
      </c>
      <c r="F3" s="475" t="s">
        <v>1204</v>
      </c>
      <c r="G3" s="141" t="s">
        <v>451</v>
      </c>
    </row>
    <row r="4" spans="1:11" ht="15" customHeight="1">
      <c r="A4" s="165"/>
      <c r="B4" s="143" t="s">
        <v>1205</v>
      </c>
      <c r="C4" s="144" t="s">
        <v>486</v>
      </c>
      <c r="D4" s="143" t="s">
        <v>1206</v>
      </c>
      <c r="E4" s="144" t="s">
        <v>486</v>
      </c>
      <c r="F4" s="476" t="s">
        <v>1207</v>
      </c>
      <c r="G4" s="144" t="s">
        <v>486</v>
      </c>
    </row>
    <row r="5" spans="1:11" ht="15" customHeight="1">
      <c r="A5" s="165"/>
      <c r="B5" s="166" t="s">
        <v>1208</v>
      </c>
      <c r="C5" s="144" t="s">
        <v>454</v>
      </c>
      <c r="D5" s="166" t="s">
        <v>865</v>
      </c>
      <c r="E5" s="144" t="s">
        <v>454</v>
      </c>
      <c r="F5" s="476" t="s">
        <v>1209</v>
      </c>
      <c r="G5" s="144" t="s">
        <v>454</v>
      </c>
    </row>
    <row r="6" spans="1:11" ht="24" customHeight="1">
      <c r="A6" s="167"/>
      <c r="B6" s="168" t="s">
        <v>884</v>
      </c>
      <c r="C6" s="147"/>
      <c r="D6" s="168" t="s">
        <v>1213</v>
      </c>
      <c r="E6" s="147"/>
      <c r="F6" s="477" t="s">
        <v>1214</v>
      </c>
      <c r="G6" s="147"/>
    </row>
    <row r="7" spans="1:11" ht="23.25" customHeight="1" thickBot="1">
      <c r="A7" s="169">
        <v>1996</v>
      </c>
      <c r="B7" s="149">
        <v>3454536792</v>
      </c>
      <c r="C7" s="150" t="s">
        <v>2115</v>
      </c>
      <c r="D7" s="149">
        <v>480.14661682664899</v>
      </c>
      <c r="E7" s="150" t="s">
        <v>2115</v>
      </c>
      <c r="F7" s="633">
        <v>0.3204435263250443</v>
      </c>
      <c r="G7" s="150" t="s">
        <v>2115</v>
      </c>
    </row>
    <row r="8" spans="1:11" ht="20" customHeight="1" thickBot="1">
      <c r="A8" s="171">
        <v>1997</v>
      </c>
      <c r="B8" s="153">
        <v>3507897754</v>
      </c>
      <c r="C8" s="154">
        <v>1.5446632996809605E-2</v>
      </c>
      <c r="D8" s="153">
        <v>486.20825566318149</v>
      </c>
      <c r="E8" s="154">
        <v>1.2624558049777898E-2</v>
      </c>
      <c r="F8" s="544">
        <v>0.30878035637656381</v>
      </c>
      <c r="G8" s="154">
        <v>-3.6396959184158598E-2</v>
      </c>
      <c r="I8" s="10"/>
      <c r="J8" s="10"/>
      <c r="K8" s="10"/>
    </row>
    <row r="9" spans="1:11" ht="20" customHeight="1" thickBot="1">
      <c r="A9" s="171">
        <v>1998</v>
      </c>
      <c r="B9" s="153">
        <v>3693957839</v>
      </c>
      <c r="C9" s="154">
        <v>5.3040338700818361E-2</v>
      </c>
      <c r="D9" s="153">
        <v>509.60962257141136</v>
      </c>
      <c r="E9" s="154">
        <v>4.8130336405560879E-2</v>
      </c>
      <c r="F9" s="544">
        <v>0.30971755221728081</v>
      </c>
      <c r="G9" s="154">
        <v>3.0351536986182783E-3</v>
      </c>
    </row>
    <row r="10" spans="1:11" ht="20" customHeight="1" thickBot="1">
      <c r="A10" s="171">
        <v>1999</v>
      </c>
      <c r="B10" s="153">
        <v>3810018376.6999998</v>
      </c>
      <c r="C10" s="154">
        <v>3.1419020670636247E-2</v>
      </c>
      <c r="D10" s="153">
        <v>524.32402803041998</v>
      </c>
      <c r="E10" s="154">
        <v>2.8873876801544685E-2</v>
      </c>
      <c r="F10" s="544">
        <v>0.30650294561819263</v>
      </c>
      <c r="G10" s="154">
        <v>-1.037915538229808E-2</v>
      </c>
    </row>
    <row r="11" spans="1:11" ht="20" customHeight="1" thickBot="1">
      <c r="A11" s="171">
        <v>2000</v>
      </c>
      <c r="B11" s="153">
        <v>3956218486.3000002</v>
      </c>
      <c r="C11" s="154">
        <v>3.8372547096906601E-2</v>
      </c>
      <c r="D11" s="153">
        <v>544.32554570231525</v>
      </c>
      <c r="E11" s="154">
        <v>3.8147245982659471E-2</v>
      </c>
      <c r="F11" s="544">
        <v>0.29993370263899466</v>
      </c>
      <c r="G11" s="154">
        <v>-2.1432886936692642E-2</v>
      </c>
    </row>
    <row r="12" spans="1:11" ht="20" customHeight="1" thickBot="1">
      <c r="A12" s="171">
        <v>2001</v>
      </c>
      <c r="B12" s="153">
        <v>3996358840.3000002</v>
      </c>
      <c r="C12" s="154">
        <v>1.0146141862235905E-2</v>
      </c>
      <c r="D12" s="153">
        <v>545.85468925067414</v>
      </c>
      <c r="E12" s="154">
        <v>2.8092445053004324E-3</v>
      </c>
      <c r="F12" s="544">
        <v>0.28573440049664334</v>
      </c>
      <c r="G12" s="154">
        <v>-4.7341469189415654E-2</v>
      </c>
    </row>
    <row r="13" spans="1:11" ht="20" customHeight="1" thickBot="1">
      <c r="A13" s="171">
        <v>2002</v>
      </c>
      <c r="B13" s="153">
        <v>4018023804.0999999</v>
      </c>
      <c r="C13" s="154">
        <v>5.4211757917047706E-3</v>
      </c>
      <c r="D13" s="153">
        <v>545.974252411723</v>
      </c>
      <c r="E13" s="154">
        <v>2.1903844265401507E-4</v>
      </c>
      <c r="F13" s="544">
        <v>0.27534370592196139</v>
      </c>
      <c r="G13" s="154">
        <v>-3.6364870861266885E-2</v>
      </c>
    </row>
    <row r="14" spans="1:11" ht="20" customHeight="1" thickBot="1">
      <c r="A14" s="171">
        <v>2003</v>
      </c>
      <c r="B14" s="153">
        <v>4264253540.5999999</v>
      </c>
      <c r="C14" s="154">
        <v>6.1281303572354812E-2</v>
      </c>
      <c r="D14" s="153">
        <v>576.78142914802106</v>
      </c>
      <c r="E14" s="154">
        <v>5.6426061485892479E-2</v>
      </c>
      <c r="F14" s="544">
        <v>0.27806202962780097</v>
      </c>
      <c r="G14" s="154">
        <v>9.8724744650963998E-3</v>
      </c>
    </row>
    <row r="15" spans="1:11" ht="30" customHeight="1" thickBot="1">
      <c r="A15" s="488">
        <v>2004</v>
      </c>
      <c r="B15" s="392">
        <v>4487986097.3999996</v>
      </c>
      <c r="C15" s="204">
        <v>5.246699209365481E-2</v>
      </c>
      <c r="D15" s="392">
        <v>604.85199778328058</v>
      </c>
      <c r="E15" s="204">
        <v>4.866760130735015E-2</v>
      </c>
      <c r="F15" s="634">
        <v>0.27520979583864619</v>
      </c>
      <c r="G15" s="204">
        <v>-1.0257545026815158E-2</v>
      </c>
    </row>
    <row r="16" spans="1:11" ht="20" customHeight="1">
      <c r="A16" s="155" t="s">
        <v>146</v>
      </c>
      <c r="B16" s="155"/>
      <c r="C16" s="155"/>
      <c r="D16" s="155"/>
      <c r="E16" s="155"/>
      <c r="F16" s="564"/>
      <c r="G16" s="155"/>
    </row>
    <row r="17" spans="1:7" ht="12.75" customHeight="1">
      <c r="A17" s="4"/>
      <c r="B17" s="4"/>
      <c r="C17" s="4"/>
      <c r="D17" s="4"/>
      <c r="E17" s="4"/>
      <c r="F17" s="565"/>
      <c r="G17" s="4"/>
    </row>
    <row r="18" spans="1:7" ht="12.75" customHeight="1">
      <c r="A18" s="2" t="s">
        <v>1210</v>
      </c>
      <c r="B18" s="4"/>
      <c r="C18" s="4"/>
      <c r="D18" s="4"/>
      <c r="E18" s="4"/>
      <c r="F18" s="565"/>
      <c r="G18" s="4"/>
    </row>
    <row r="19" spans="1:7" ht="12.75" customHeight="1">
      <c r="A19" s="2" t="s">
        <v>1211</v>
      </c>
    </row>
    <row r="21" spans="1:7">
      <c r="A21" s="2" t="s">
        <v>1212</v>
      </c>
    </row>
    <row r="24" spans="1:7">
      <c r="A24" s="2" t="s">
        <v>104</v>
      </c>
    </row>
  </sheetData>
  <mergeCells count="1">
    <mergeCell ref="A2:F2"/>
  </mergeCells>
  <phoneticPr fontId="0" type="noConversion"/>
  <pageMargins left="0.62" right="0.78740157480314965" top="0.99" bottom="0.49" header="0.6" footer="0.4921259845"/>
  <pageSetup paperSize="9" scale="82" orientation="portrait" horizontalDpi="4294967292" verticalDpi="4294967292"/>
  <headerFooter alignWithMargins="0">
    <oddHeader>&amp;L&amp;"Arial,Bold"Versicherte und Finanzen in der OKP</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2032F-1BF0-724E-8D4E-302707599760}">
  <sheetPr>
    <pageSetUpPr fitToPage="1"/>
  </sheetPr>
  <dimension ref="A1:F21"/>
  <sheetViews>
    <sheetView zoomScale="75" workbookViewId="0"/>
  </sheetViews>
  <sheetFormatPr baseColWidth="10" defaultColWidth="11.3984375" defaultRowHeight="13"/>
  <cols>
    <col min="1" max="1" width="18.19921875" style="2" customWidth="1"/>
    <col min="2" max="6" width="14.796875" style="2" customWidth="1"/>
    <col min="7" max="7" width="17.796875" style="2" customWidth="1"/>
    <col min="8" max="16384" width="11.3984375" style="2"/>
  </cols>
  <sheetData>
    <row r="1" spans="1:6" s="1" customFormat="1" ht="14" customHeight="1"/>
    <row r="2" spans="1:6" s="1" customFormat="1" ht="39.75" customHeight="1">
      <c r="A2" s="1715" t="s">
        <v>1199</v>
      </c>
      <c r="B2" s="1716"/>
      <c r="C2" s="1716"/>
      <c r="D2" s="1716"/>
      <c r="E2" s="1716"/>
      <c r="F2" s="21">
        <v>2004</v>
      </c>
    </row>
    <row r="3" spans="1:6" ht="24" customHeight="1">
      <c r="A3" s="139" t="s">
        <v>1346</v>
      </c>
      <c r="B3" s="164" t="s">
        <v>1571</v>
      </c>
      <c r="C3" s="141" t="s">
        <v>1572</v>
      </c>
      <c r="D3" s="164" t="s">
        <v>1573</v>
      </c>
      <c r="E3" s="194" t="s">
        <v>1574</v>
      </c>
      <c r="F3" s="164" t="s">
        <v>652</v>
      </c>
    </row>
    <row r="4" spans="1:6" ht="15" customHeight="1">
      <c r="A4" s="165"/>
      <c r="B4" s="166" t="s">
        <v>1575</v>
      </c>
      <c r="C4" s="144" t="s">
        <v>1576</v>
      </c>
      <c r="D4" s="166" t="s">
        <v>1577</v>
      </c>
      <c r="E4" s="197" t="s">
        <v>1578</v>
      </c>
      <c r="F4" s="166"/>
    </row>
    <row r="5" spans="1:6" ht="15" customHeight="1">
      <c r="A5" s="165"/>
      <c r="B5" s="166" t="s">
        <v>1579</v>
      </c>
      <c r="C5" s="144" t="s">
        <v>1580</v>
      </c>
      <c r="D5" s="166" t="s">
        <v>1281</v>
      </c>
      <c r="E5" s="197" t="s">
        <v>1581</v>
      </c>
      <c r="F5" s="166"/>
    </row>
    <row r="6" spans="1:6" ht="24" customHeight="1">
      <c r="A6" s="167"/>
      <c r="B6" s="168"/>
      <c r="C6" s="147"/>
      <c r="D6" s="168"/>
      <c r="E6" s="200" t="s">
        <v>1582</v>
      </c>
      <c r="F6" s="168"/>
    </row>
    <row r="7" spans="1:6" ht="23.25" customHeight="1" thickBot="1">
      <c r="A7" s="169">
        <v>1996</v>
      </c>
      <c r="B7" s="633">
        <v>0.65876331560467527</v>
      </c>
      <c r="C7" s="150">
        <v>0.32046794094697328</v>
      </c>
      <c r="D7" s="633">
        <v>3.8678181352691143E-3</v>
      </c>
      <c r="E7" s="150">
        <v>1.6900925313082283E-2</v>
      </c>
      <c r="F7" s="449">
        <v>1</v>
      </c>
    </row>
    <row r="8" spans="1:6" ht="20" customHeight="1" thickBot="1">
      <c r="A8" s="171">
        <v>1997</v>
      </c>
      <c r="B8" s="544">
        <v>0.56603802874783171</v>
      </c>
      <c r="C8" s="154">
        <v>0.37927068021935451</v>
      </c>
      <c r="D8" s="544">
        <v>1.5931130501794573E-3</v>
      </c>
      <c r="E8" s="154">
        <v>5.3098177982634318E-2</v>
      </c>
      <c r="F8" s="544">
        <v>1</v>
      </c>
    </row>
    <row r="9" spans="1:6" ht="20" customHeight="1" thickBot="1">
      <c r="A9" s="171">
        <v>1998</v>
      </c>
      <c r="B9" s="544">
        <v>0.55407462651768902</v>
      </c>
      <c r="C9" s="154">
        <v>0.37613702943863803</v>
      </c>
      <c r="D9" s="544">
        <v>1.6317626996539885E-3</v>
      </c>
      <c r="E9" s="154">
        <v>6.8156581344018974E-2</v>
      </c>
      <c r="F9" s="544">
        <v>1</v>
      </c>
    </row>
    <row r="10" spans="1:6" ht="20" customHeight="1" thickBot="1">
      <c r="A10" s="171">
        <v>1999</v>
      </c>
      <c r="B10" s="544">
        <v>0.55029591824658086</v>
      </c>
      <c r="C10" s="154">
        <v>0.37371902477852575</v>
      </c>
      <c r="D10" s="544">
        <v>1.4116771489681326E-3</v>
      </c>
      <c r="E10" s="154">
        <v>7.4573379825925268E-2</v>
      </c>
      <c r="F10" s="544">
        <v>1</v>
      </c>
    </row>
    <row r="11" spans="1:6" ht="20" customHeight="1" thickBot="1">
      <c r="A11" s="171">
        <v>2000</v>
      </c>
      <c r="B11" s="544">
        <v>0.53960650848618019</v>
      </c>
      <c r="C11" s="154">
        <v>0.37954002078394233</v>
      </c>
      <c r="D11" s="544">
        <v>1.3498693126728527E-3</v>
      </c>
      <c r="E11" s="154">
        <v>7.9503601417204556E-2</v>
      </c>
      <c r="F11" s="544">
        <v>1</v>
      </c>
    </row>
    <row r="12" spans="1:6" ht="20" customHeight="1" thickBot="1">
      <c r="A12" s="171">
        <v>2001</v>
      </c>
      <c r="B12" s="544">
        <v>0.53026073148068087</v>
      </c>
      <c r="C12" s="154">
        <v>0.38706527964277321</v>
      </c>
      <c r="D12" s="544">
        <v>1.2758685733806091E-3</v>
      </c>
      <c r="E12" s="154">
        <v>8.1398120303165275E-2</v>
      </c>
      <c r="F12" s="544">
        <v>1</v>
      </c>
    </row>
    <row r="13" spans="1:6" ht="20" customHeight="1" thickBot="1">
      <c r="A13" s="171">
        <v>2002</v>
      </c>
      <c r="B13" s="544">
        <v>0.51807119228357335</v>
      </c>
      <c r="C13" s="154">
        <v>0.40503766289618737</v>
      </c>
      <c r="D13" s="544">
        <v>1.2005111854079802E-3</v>
      </c>
      <c r="E13" s="154">
        <v>7.5690633634831264E-2</v>
      </c>
      <c r="F13" s="544">
        <v>1</v>
      </c>
    </row>
    <row r="14" spans="1:6" ht="20" customHeight="1" thickBot="1">
      <c r="A14" s="171">
        <v>2003</v>
      </c>
      <c r="B14" s="544">
        <v>0.49698046363760801</v>
      </c>
      <c r="C14" s="154">
        <v>0.42026484379945434</v>
      </c>
      <c r="D14" s="544">
        <v>1.1249544851287428E-3</v>
      </c>
      <c r="E14" s="154">
        <v>8.1629738077808919E-2</v>
      </c>
      <c r="F14" s="544">
        <v>1</v>
      </c>
    </row>
    <row r="15" spans="1:6" ht="30" customHeight="1" thickBot="1">
      <c r="A15" s="488">
        <v>2004</v>
      </c>
      <c r="B15" s="634">
        <v>0.49047166472550979</v>
      </c>
      <c r="C15" s="635">
        <v>0.40765951470988981</v>
      </c>
      <c r="D15" s="634">
        <v>1.0913784873100634E-3</v>
      </c>
      <c r="E15" s="635">
        <v>0.10077744207729029</v>
      </c>
      <c r="F15" s="634">
        <v>1</v>
      </c>
    </row>
    <row r="16" spans="1:6" ht="19.5" customHeight="1">
      <c r="A16" s="155" t="s">
        <v>146</v>
      </c>
      <c r="B16" s="155"/>
      <c r="C16" s="155"/>
      <c r="D16" s="155"/>
      <c r="E16" s="155"/>
      <c r="F16" s="155"/>
    </row>
    <row r="18" spans="1:1">
      <c r="A18" s="2" t="s">
        <v>1200</v>
      </c>
    </row>
    <row r="21" spans="1:1">
      <c r="A21" s="2" t="s">
        <v>104</v>
      </c>
    </row>
  </sheetData>
  <mergeCells count="1">
    <mergeCell ref="A2:E2"/>
  </mergeCells>
  <phoneticPr fontId="0" type="noConversion"/>
  <pageMargins left="0.65" right="0.72" top="1.05" bottom="0.49" header="0.6" footer="0.4921259845"/>
  <pageSetup paperSize="9" scale="82" orientation="portrait" horizontalDpi="4294967292" verticalDpi="4294967292"/>
  <headerFooter alignWithMargins="0">
    <oddHeader>&amp;L&amp;"Arial,Bold"Versicherte und Finanzen in der OKP</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7A969-D97A-F047-8584-3B8D1ABF8014}">
  <sheetPr>
    <pageSetUpPr fitToPage="1"/>
  </sheetPr>
  <dimension ref="A1:I25"/>
  <sheetViews>
    <sheetView zoomScale="75" workbookViewId="0">
      <selection activeCell="B7" sqref="B7"/>
    </sheetView>
  </sheetViews>
  <sheetFormatPr baseColWidth="10" defaultColWidth="11.3984375" defaultRowHeight="13"/>
  <cols>
    <col min="1" max="1" width="14.796875" style="2" customWidth="1"/>
    <col min="2" max="2" width="14.796875" style="219" customWidth="1"/>
    <col min="3" max="3" width="12.3984375" style="2" customWidth="1"/>
    <col min="4" max="4" width="13.19921875" style="2" customWidth="1"/>
    <col min="5" max="5" width="12.796875" style="2" customWidth="1"/>
    <col min="6" max="6" width="13.59765625" style="2" customWidth="1"/>
    <col min="7" max="7" width="14.796875" style="518" customWidth="1"/>
    <col min="8" max="8" width="15.19921875" style="219" customWidth="1"/>
    <col min="9" max="9" width="12.19921875" style="2" customWidth="1"/>
    <col min="10" max="16384" width="11.3984375" style="2"/>
  </cols>
  <sheetData>
    <row r="1" spans="1:9" s="1" customFormat="1" ht="14" customHeight="1">
      <c r="B1" s="20"/>
      <c r="G1" s="653"/>
      <c r="H1" s="20"/>
    </row>
    <row r="2" spans="1:9" s="1" customFormat="1" ht="28" customHeight="1">
      <c r="A2" s="178" t="s">
        <v>305</v>
      </c>
      <c r="B2" s="20"/>
      <c r="G2" s="653"/>
      <c r="H2" s="20"/>
      <c r="I2" s="178">
        <v>2003</v>
      </c>
    </row>
    <row r="3" spans="1:9" ht="27" customHeight="1">
      <c r="A3" s="139" t="s">
        <v>1267</v>
      </c>
      <c r="B3" s="321" t="s">
        <v>1571</v>
      </c>
      <c r="C3" s="1719" t="s">
        <v>1512</v>
      </c>
      <c r="D3" s="1720"/>
      <c r="E3" s="1720"/>
      <c r="F3" s="1720"/>
      <c r="G3" s="1720"/>
      <c r="H3" s="321" t="s">
        <v>294</v>
      </c>
      <c r="I3" s="141" t="s">
        <v>652</v>
      </c>
    </row>
    <row r="4" spans="1:9" ht="15" customHeight="1">
      <c r="A4" s="142"/>
      <c r="B4" s="323" t="s">
        <v>1575</v>
      </c>
      <c r="C4" s="142"/>
      <c r="D4" s="179"/>
      <c r="E4" s="144"/>
      <c r="F4" s="166"/>
      <c r="G4" s="361" t="s">
        <v>652</v>
      </c>
      <c r="H4" s="323" t="s">
        <v>1577</v>
      </c>
      <c r="I4" s="142"/>
    </row>
    <row r="5" spans="1:9" ht="15" customHeight="1">
      <c r="A5" s="142"/>
      <c r="B5" s="323" t="s">
        <v>1579</v>
      </c>
      <c r="C5" s="142" t="s">
        <v>295</v>
      </c>
      <c r="D5" s="179" t="s">
        <v>296</v>
      </c>
      <c r="E5" s="144" t="s">
        <v>297</v>
      </c>
      <c r="F5" s="166" t="s">
        <v>298</v>
      </c>
      <c r="G5" s="654"/>
      <c r="H5" s="323" t="s">
        <v>299</v>
      </c>
      <c r="I5" s="142"/>
    </row>
    <row r="6" spans="1:9" ht="24" customHeight="1">
      <c r="A6" s="145"/>
      <c r="B6" s="325" t="s">
        <v>300</v>
      </c>
      <c r="C6" s="145"/>
      <c r="D6" s="180"/>
      <c r="E6" s="147"/>
      <c r="F6" s="168"/>
      <c r="G6" s="655"/>
      <c r="H6" s="325"/>
      <c r="I6" s="145"/>
    </row>
    <row r="7" spans="1:9" ht="20" customHeight="1" thickBot="1">
      <c r="A7" s="391">
        <v>1996</v>
      </c>
      <c r="B7" s="656" t="s">
        <v>1300</v>
      </c>
      <c r="C7" s="626" t="s">
        <v>1300</v>
      </c>
      <c r="D7" s="523" t="s">
        <v>1300</v>
      </c>
      <c r="E7" s="626" t="s">
        <v>1300</v>
      </c>
      <c r="F7" s="523" t="s">
        <v>1300</v>
      </c>
      <c r="G7" s="657" t="s">
        <v>1300</v>
      </c>
      <c r="H7" s="656" t="s">
        <v>1300</v>
      </c>
      <c r="I7" s="626" t="s">
        <v>1300</v>
      </c>
    </row>
    <row r="8" spans="1:9" ht="20" customHeight="1" thickBot="1">
      <c r="A8" s="391">
        <v>1997</v>
      </c>
      <c r="B8" s="656">
        <v>0.47310000000000002</v>
      </c>
      <c r="C8" s="626">
        <v>0.2923</v>
      </c>
      <c r="D8" s="523">
        <v>8.3000000000000004E-2</v>
      </c>
      <c r="E8" s="626">
        <v>2.1299999999999999E-2</v>
      </c>
      <c r="F8" s="523">
        <v>5.2400000000000002E-2</v>
      </c>
      <c r="G8" s="657">
        <v>0.44900000000000001</v>
      </c>
      <c r="H8" s="656">
        <v>7.7799999999999994E-2</v>
      </c>
      <c r="I8" s="626">
        <v>1</v>
      </c>
    </row>
    <row r="9" spans="1:9" ht="20" customHeight="1" thickBot="1">
      <c r="A9" s="152">
        <v>1998</v>
      </c>
      <c r="B9" s="656">
        <v>0.47549999999999998</v>
      </c>
      <c r="C9" s="626">
        <v>0.30769999999999997</v>
      </c>
      <c r="D9" s="523">
        <v>7.5800000000000006E-2</v>
      </c>
      <c r="E9" s="626">
        <v>3.1699999999999999E-2</v>
      </c>
      <c r="F9" s="523">
        <v>3.9199999999999999E-2</v>
      </c>
      <c r="G9" s="657">
        <v>0.45440000000000003</v>
      </c>
      <c r="H9" s="656">
        <v>7.0099999999999996E-2</v>
      </c>
      <c r="I9" s="626">
        <v>1</v>
      </c>
    </row>
    <row r="10" spans="1:9" ht="20" customHeight="1" thickBot="1">
      <c r="A10" s="152">
        <v>1999</v>
      </c>
      <c r="B10" s="656">
        <v>0.47310000000000002</v>
      </c>
      <c r="C10" s="626">
        <v>0.2923</v>
      </c>
      <c r="D10" s="523">
        <v>8.3000000000000004E-2</v>
      </c>
      <c r="E10" s="626">
        <v>2.1299999999999999E-2</v>
      </c>
      <c r="F10" s="523">
        <v>5.2400000000000002E-2</v>
      </c>
      <c r="G10" s="657">
        <v>0.44900000000000001</v>
      </c>
      <c r="H10" s="656">
        <v>7.7799999999999994E-2</v>
      </c>
      <c r="I10" s="626">
        <v>1</v>
      </c>
    </row>
    <row r="11" spans="1:9" ht="20" customHeight="1" thickBot="1">
      <c r="A11" s="152">
        <v>2000</v>
      </c>
      <c r="B11" s="656">
        <v>0.45929999999999999</v>
      </c>
      <c r="C11" s="626">
        <v>0.27900000000000003</v>
      </c>
      <c r="D11" s="523">
        <v>8.9399999999999993E-2</v>
      </c>
      <c r="E11" s="626">
        <v>2.23E-2</v>
      </c>
      <c r="F11" s="523">
        <v>6.8099999999999994E-2</v>
      </c>
      <c r="G11" s="657">
        <v>0.4587</v>
      </c>
      <c r="H11" s="656">
        <v>8.2000000000000003E-2</v>
      </c>
      <c r="I11" s="626">
        <v>1</v>
      </c>
    </row>
    <row r="12" spans="1:9" ht="20" customHeight="1" thickBot="1">
      <c r="A12" s="152">
        <v>2001</v>
      </c>
      <c r="B12" s="656">
        <v>0.45299999999999996</v>
      </c>
      <c r="C12" s="626">
        <v>0.26100000000000001</v>
      </c>
      <c r="D12" s="523">
        <v>9.1999999999999998E-2</v>
      </c>
      <c r="E12" s="626">
        <v>2.3E-2</v>
      </c>
      <c r="F12" s="523">
        <v>8.8000000000000009E-2</v>
      </c>
      <c r="G12" s="657">
        <v>0.46299999999999997</v>
      </c>
      <c r="H12" s="656">
        <v>8.4000000000000005E-2</v>
      </c>
      <c r="I12" s="626">
        <v>1</v>
      </c>
    </row>
    <row r="13" spans="1:9" ht="20" customHeight="1" thickBot="1">
      <c r="A13" s="152">
        <v>2002</v>
      </c>
      <c r="B13" s="656">
        <v>0.436</v>
      </c>
      <c r="C13" s="626">
        <v>0.24199999999999999</v>
      </c>
      <c r="D13" s="523">
        <v>9.9000000000000005E-2</v>
      </c>
      <c r="E13" s="626">
        <v>2.5000000000000001E-2</v>
      </c>
      <c r="F13" s="523">
        <v>0.114</v>
      </c>
      <c r="G13" s="657">
        <v>0.47899999999999998</v>
      </c>
      <c r="H13" s="656">
        <v>8.4000000000000005E-2</v>
      </c>
      <c r="I13" s="626">
        <v>1</v>
      </c>
    </row>
    <row r="14" spans="1:9" ht="20" customHeight="1" thickBot="1">
      <c r="A14" s="152">
        <v>2003</v>
      </c>
      <c r="B14" s="656">
        <v>0.41799999999999998</v>
      </c>
      <c r="C14" s="626">
        <v>0.221</v>
      </c>
      <c r="D14" s="523">
        <v>0.10199999999999999</v>
      </c>
      <c r="E14" s="626">
        <v>2.6000000000000002E-2</v>
      </c>
      <c r="F14" s="523">
        <v>0.15</v>
      </c>
      <c r="G14" s="657">
        <v>0.5</v>
      </c>
      <c r="H14" s="656">
        <v>8.3000000000000004E-2</v>
      </c>
      <c r="I14" s="626">
        <v>1</v>
      </c>
    </row>
    <row r="15" spans="1:9" ht="30" customHeight="1" thickBot="1">
      <c r="A15" s="482">
        <v>2004</v>
      </c>
      <c r="B15" s="658">
        <v>0.42599999999999999</v>
      </c>
      <c r="C15" s="628">
        <v>0.19</v>
      </c>
      <c r="D15" s="658">
        <v>9.9000000000000005E-2</v>
      </c>
      <c r="E15" s="628">
        <v>2.4E-2</v>
      </c>
      <c r="F15" s="658">
        <v>0.17</v>
      </c>
      <c r="G15" s="628">
        <v>0.48399999999999999</v>
      </c>
      <c r="H15" s="486">
        <v>0.09</v>
      </c>
      <c r="I15" s="659">
        <v>1</v>
      </c>
    </row>
    <row r="16" spans="1:9" ht="20" customHeight="1">
      <c r="A16" s="493" t="s">
        <v>2103</v>
      </c>
      <c r="B16" s="338"/>
      <c r="C16" s="155"/>
      <c r="D16" s="155"/>
      <c r="E16" s="155"/>
      <c r="F16" s="155"/>
      <c r="G16" s="660"/>
      <c r="I16" s="181"/>
    </row>
    <row r="17" spans="1:1" ht="17.25" customHeight="1">
      <c r="A17" s="4"/>
    </row>
    <row r="18" spans="1:1" ht="12" customHeight="1">
      <c r="A18" s="2" t="s">
        <v>301</v>
      </c>
    </row>
    <row r="19" spans="1:1" ht="12" customHeight="1">
      <c r="A19" s="2" t="s">
        <v>302</v>
      </c>
    </row>
    <row r="20" spans="1:1" ht="12" customHeight="1">
      <c r="A20" s="2" t="s">
        <v>303</v>
      </c>
    </row>
    <row r="21" spans="1:1" ht="12" customHeight="1"/>
    <row r="22" spans="1:1" ht="12" customHeight="1">
      <c r="A22" s="2" t="s">
        <v>304</v>
      </c>
    </row>
    <row r="25" spans="1:1">
      <c r="A25" s="2" t="s">
        <v>104</v>
      </c>
    </row>
  </sheetData>
  <mergeCells count="1">
    <mergeCell ref="C3:G3"/>
  </mergeCells>
  <phoneticPr fontId="0" type="noConversion"/>
  <pageMargins left="0.51" right="0.57999999999999996" top="0.85" bottom="0.49" header="0.4" footer="0.4921259845"/>
  <pageSetup paperSize="9" scale="75" orientation="portrait" horizontalDpi="4294967292" verticalDpi="4294967292"/>
  <headerFooter alignWithMargins="0">
    <oddHeader>&amp;L&amp;"Arial,Bold"Versicherte und Finanzen in der OKP</oddHead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8FE3D-CC8E-1047-91BE-FA2BE95A9398}">
  <sheetPr>
    <pageSetUpPr fitToPage="1"/>
  </sheetPr>
  <dimension ref="A1:I42"/>
  <sheetViews>
    <sheetView zoomScale="75" workbookViewId="0">
      <selection activeCell="B3" sqref="B3"/>
    </sheetView>
  </sheetViews>
  <sheetFormatPr baseColWidth="10" defaultColWidth="11.3984375" defaultRowHeight="13"/>
  <cols>
    <col min="1" max="1" width="14.796875" style="2" customWidth="1"/>
    <col min="2" max="2" width="14.796875" style="219" customWidth="1"/>
    <col min="3" max="3" width="12.3984375" style="2" customWidth="1"/>
    <col min="4" max="4" width="13.19921875" style="2" customWidth="1"/>
    <col min="5" max="5" width="12.796875" style="2" customWidth="1"/>
    <col min="6" max="6" width="13.59765625" style="2" customWidth="1"/>
    <col min="7" max="7" width="14.796875" style="518" customWidth="1"/>
    <col min="8" max="8" width="15.19921875" style="219" customWidth="1"/>
    <col min="9" max="9" width="12.19921875" style="2" customWidth="1"/>
    <col min="10" max="16384" width="11.3984375" style="2"/>
  </cols>
  <sheetData>
    <row r="1" spans="1:9" s="1" customFormat="1" ht="14" customHeight="1">
      <c r="B1" s="20"/>
      <c r="G1" s="653"/>
      <c r="H1" s="20"/>
    </row>
    <row r="2" spans="1:9" s="1" customFormat="1" ht="28" customHeight="1">
      <c r="A2" s="178" t="s">
        <v>597</v>
      </c>
      <c r="B2" s="20"/>
      <c r="G2" s="653"/>
      <c r="H2" s="20"/>
      <c r="I2" s="178">
        <v>2004</v>
      </c>
    </row>
    <row r="3" spans="1:9" ht="27" customHeight="1">
      <c r="A3" s="139" t="s">
        <v>503</v>
      </c>
      <c r="B3" s="321" t="s">
        <v>306</v>
      </c>
      <c r="C3" s="1721" t="s">
        <v>1512</v>
      </c>
      <c r="D3" s="1722"/>
      <c r="E3" s="1722"/>
      <c r="F3" s="1722"/>
      <c r="G3" s="1722"/>
      <c r="H3" s="321" t="s">
        <v>294</v>
      </c>
      <c r="I3" s="141" t="s">
        <v>652</v>
      </c>
    </row>
    <row r="4" spans="1:9" ht="15" customHeight="1">
      <c r="A4" s="142"/>
      <c r="B4" s="323" t="s">
        <v>1575</v>
      </c>
      <c r="C4" s="142"/>
      <c r="D4" s="179"/>
      <c r="E4" s="144"/>
      <c r="F4" s="166"/>
      <c r="G4" s="361" t="s">
        <v>652</v>
      </c>
      <c r="H4" s="323" t="s">
        <v>1577</v>
      </c>
      <c r="I4" s="142"/>
    </row>
    <row r="5" spans="1:9" ht="15" customHeight="1">
      <c r="A5" s="142"/>
      <c r="B5" s="323" t="s">
        <v>1579</v>
      </c>
      <c r="C5" s="142" t="s">
        <v>295</v>
      </c>
      <c r="D5" s="179" t="s">
        <v>296</v>
      </c>
      <c r="E5" s="144" t="s">
        <v>297</v>
      </c>
      <c r="F5" s="166" t="s">
        <v>298</v>
      </c>
      <c r="G5" s="654"/>
      <c r="H5" s="323" t="s">
        <v>299</v>
      </c>
      <c r="I5" s="142"/>
    </row>
    <row r="6" spans="1:9" ht="24" customHeight="1">
      <c r="A6" s="145"/>
      <c r="B6" s="325" t="s">
        <v>300</v>
      </c>
      <c r="C6" s="145"/>
      <c r="D6" s="180"/>
      <c r="E6" s="147"/>
      <c r="F6" s="168"/>
      <c r="G6" s="655"/>
      <c r="H6" s="325"/>
      <c r="I6" s="145"/>
    </row>
    <row r="7" spans="1:9" ht="30" customHeight="1" thickBot="1">
      <c r="A7" s="148" t="s">
        <v>510</v>
      </c>
      <c r="B7" s="656">
        <v>0.42700000000000005</v>
      </c>
      <c r="C7" s="626">
        <v>0.16899999999999998</v>
      </c>
      <c r="D7" s="523">
        <v>9.0999999999999998E-2</v>
      </c>
      <c r="E7" s="626">
        <v>2.4E-2</v>
      </c>
      <c r="F7" s="523">
        <v>0.17800000000000002</v>
      </c>
      <c r="G7" s="657">
        <v>0.46100000000000002</v>
      </c>
      <c r="H7" s="656">
        <v>0.111</v>
      </c>
      <c r="I7" s="626">
        <v>1</v>
      </c>
    </row>
    <row r="8" spans="1:9" ht="20" customHeight="1" thickBot="1">
      <c r="A8" s="152" t="s">
        <v>511</v>
      </c>
      <c r="B8" s="656">
        <v>0.33700000000000002</v>
      </c>
      <c r="C8" s="626">
        <v>0.29499999999999998</v>
      </c>
      <c r="D8" s="523">
        <v>0.10800000000000001</v>
      </c>
      <c r="E8" s="626">
        <v>2.6000000000000002E-2</v>
      </c>
      <c r="F8" s="523">
        <v>0.161</v>
      </c>
      <c r="G8" s="657">
        <v>0.58899999999999997</v>
      </c>
      <c r="H8" s="656">
        <v>7.400000000000001E-2</v>
      </c>
      <c r="I8" s="626">
        <v>1</v>
      </c>
    </row>
    <row r="9" spans="1:9" ht="20" customHeight="1" thickBot="1">
      <c r="A9" s="152" t="s">
        <v>512</v>
      </c>
      <c r="B9" s="656">
        <v>0.56600000000000006</v>
      </c>
      <c r="C9" s="626">
        <v>0.128</v>
      </c>
      <c r="D9" s="523">
        <v>7.4999999999999997E-2</v>
      </c>
      <c r="E9" s="626">
        <v>1.8000000000000002E-2</v>
      </c>
      <c r="F9" s="523">
        <v>0.16300000000000001</v>
      </c>
      <c r="G9" s="657">
        <v>0.38299999999999995</v>
      </c>
      <c r="H9" s="656">
        <v>5.0999999999999997E-2</v>
      </c>
      <c r="I9" s="626">
        <v>1</v>
      </c>
    </row>
    <row r="10" spans="1:9" ht="20" customHeight="1" thickBot="1">
      <c r="A10" s="152" t="s">
        <v>513</v>
      </c>
      <c r="B10" s="656">
        <v>0.51200000000000001</v>
      </c>
      <c r="C10" s="626">
        <v>0.248</v>
      </c>
      <c r="D10" s="523">
        <v>7.6999999999999999E-2</v>
      </c>
      <c r="E10" s="626">
        <v>2.5000000000000001E-2</v>
      </c>
      <c r="F10" s="523">
        <v>0.13400000000000001</v>
      </c>
      <c r="G10" s="657">
        <v>0.48499999999999999</v>
      </c>
      <c r="H10" s="656">
        <v>3.0000000000000001E-3</v>
      </c>
      <c r="I10" s="626">
        <v>1</v>
      </c>
    </row>
    <row r="11" spans="1:9" ht="20" customHeight="1" thickBot="1">
      <c r="A11" s="152" t="s">
        <v>514</v>
      </c>
      <c r="B11" s="656">
        <v>0.52300000000000002</v>
      </c>
      <c r="C11" s="626">
        <v>0.184</v>
      </c>
      <c r="D11" s="523">
        <v>7.6999999999999999E-2</v>
      </c>
      <c r="E11" s="626">
        <v>1.9E-2</v>
      </c>
      <c r="F11" s="523">
        <v>0.16500000000000001</v>
      </c>
      <c r="G11" s="657">
        <v>0.44400000000000001</v>
      </c>
      <c r="H11" s="656">
        <v>3.3000000000000002E-2</v>
      </c>
      <c r="I11" s="626">
        <v>1</v>
      </c>
    </row>
    <row r="12" spans="1:9" ht="20" customHeight="1" thickBot="1">
      <c r="A12" s="152" t="s">
        <v>515</v>
      </c>
      <c r="B12" s="656">
        <v>0.52400000000000002</v>
      </c>
      <c r="C12" s="626">
        <v>0.23399999999999999</v>
      </c>
      <c r="D12" s="523">
        <v>7.2999999999999995E-2</v>
      </c>
      <c r="E12" s="626">
        <v>2.1000000000000001E-2</v>
      </c>
      <c r="F12" s="523">
        <v>0.13900000000000001</v>
      </c>
      <c r="G12" s="657">
        <v>0.46700000000000003</v>
      </c>
      <c r="H12" s="656">
        <v>9.0000000000000011E-3</v>
      </c>
      <c r="I12" s="626">
        <v>1</v>
      </c>
    </row>
    <row r="13" spans="1:9" ht="20" customHeight="1" thickBot="1">
      <c r="A13" s="152" t="s">
        <v>516</v>
      </c>
      <c r="B13" s="656">
        <v>0.55799999999999994</v>
      </c>
      <c r="C13" s="626">
        <v>0.16600000000000001</v>
      </c>
      <c r="D13" s="523">
        <v>7.400000000000001E-2</v>
      </c>
      <c r="E13" s="626">
        <v>0.02</v>
      </c>
      <c r="F13" s="523">
        <v>0.17100000000000001</v>
      </c>
      <c r="G13" s="657">
        <v>0.43099999999999999</v>
      </c>
      <c r="H13" s="656">
        <v>1.1000000000000001E-2</v>
      </c>
      <c r="I13" s="626">
        <v>1</v>
      </c>
    </row>
    <row r="14" spans="1:9" ht="20" customHeight="1" thickBot="1">
      <c r="A14" s="152" t="s">
        <v>517</v>
      </c>
      <c r="B14" s="656">
        <v>0.57899999999999996</v>
      </c>
      <c r="C14" s="626">
        <v>0.159</v>
      </c>
      <c r="D14" s="523">
        <v>8.199999999999999E-2</v>
      </c>
      <c r="E14" s="626">
        <v>2.1000000000000001E-2</v>
      </c>
      <c r="F14" s="523">
        <v>0.13900000000000001</v>
      </c>
      <c r="G14" s="657">
        <v>0.40100000000000002</v>
      </c>
      <c r="H14" s="656">
        <v>0.02</v>
      </c>
      <c r="I14" s="626">
        <v>1</v>
      </c>
    </row>
    <row r="15" spans="1:9" ht="20" customHeight="1" thickBot="1">
      <c r="A15" s="152" t="s">
        <v>518</v>
      </c>
      <c r="B15" s="656">
        <v>0.499</v>
      </c>
      <c r="C15" s="626">
        <v>0.183</v>
      </c>
      <c r="D15" s="523">
        <v>9.0999999999999998E-2</v>
      </c>
      <c r="E15" s="626">
        <v>2.4E-2</v>
      </c>
      <c r="F15" s="523">
        <v>0.17300000000000001</v>
      </c>
      <c r="G15" s="657">
        <v>0.47100000000000003</v>
      </c>
      <c r="H15" s="656">
        <v>0.03</v>
      </c>
      <c r="I15" s="626">
        <v>1</v>
      </c>
    </row>
    <row r="16" spans="1:9" ht="20" customHeight="1" thickBot="1">
      <c r="A16" s="152" t="s">
        <v>519</v>
      </c>
      <c r="B16" s="656">
        <v>0.38</v>
      </c>
      <c r="C16" s="626">
        <v>0.27500000000000002</v>
      </c>
      <c r="D16" s="523">
        <v>0.13100000000000001</v>
      </c>
      <c r="E16" s="626">
        <v>2.7999999999999997E-2</v>
      </c>
      <c r="F16" s="523">
        <v>0.151</v>
      </c>
      <c r="G16" s="657">
        <v>0.58599999999999997</v>
      </c>
      <c r="H16" s="656">
        <v>3.4000000000000002E-2</v>
      </c>
      <c r="I16" s="626">
        <v>1</v>
      </c>
    </row>
    <row r="17" spans="1:9" ht="20" customHeight="1" thickBot="1">
      <c r="A17" s="152" t="s">
        <v>520</v>
      </c>
      <c r="B17" s="656">
        <v>0.441</v>
      </c>
      <c r="C17" s="626">
        <v>0.26</v>
      </c>
      <c r="D17" s="523">
        <v>8.5999999999999993E-2</v>
      </c>
      <c r="E17" s="626">
        <v>2.2000000000000002E-2</v>
      </c>
      <c r="F17" s="523">
        <v>0.153</v>
      </c>
      <c r="G17" s="657">
        <v>0.52100000000000002</v>
      </c>
      <c r="H17" s="656">
        <v>3.7999999999999999E-2</v>
      </c>
      <c r="I17" s="626">
        <v>1</v>
      </c>
    </row>
    <row r="18" spans="1:9" ht="20" customHeight="1" thickBot="1">
      <c r="A18" s="152" t="s">
        <v>521</v>
      </c>
      <c r="B18" s="656">
        <v>0.44900000000000001</v>
      </c>
      <c r="C18" s="626">
        <v>0.11900000000000001</v>
      </c>
      <c r="D18" s="523">
        <v>7.9000000000000001E-2</v>
      </c>
      <c r="E18" s="626">
        <v>2.1000000000000001E-2</v>
      </c>
      <c r="F18" s="523">
        <v>0.192</v>
      </c>
      <c r="G18" s="657">
        <v>0.41100000000000003</v>
      </c>
      <c r="H18" s="656">
        <v>0.14000000000000001</v>
      </c>
      <c r="I18" s="626">
        <v>1</v>
      </c>
    </row>
    <row r="19" spans="1:9" ht="20" customHeight="1" thickBot="1">
      <c r="A19" s="152" t="s">
        <v>522</v>
      </c>
      <c r="B19" s="656">
        <v>0.39799999999999996</v>
      </c>
      <c r="C19" s="626">
        <v>0.18600000000000003</v>
      </c>
      <c r="D19" s="523">
        <v>0.10199999999999999</v>
      </c>
      <c r="E19" s="626">
        <v>2.5000000000000001E-2</v>
      </c>
      <c r="F19" s="523">
        <v>0.187</v>
      </c>
      <c r="G19" s="657">
        <v>0.5</v>
      </c>
      <c r="H19" s="656">
        <v>0.10199999999999999</v>
      </c>
      <c r="I19" s="626">
        <v>1</v>
      </c>
    </row>
    <row r="20" spans="1:9" ht="20" customHeight="1" thickBot="1">
      <c r="A20" s="152" t="s">
        <v>523</v>
      </c>
      <c r="B20" s="656">
        <v>0.38900000000000001</v>
      </c>
      <c r="C20" s="626">
        <v>0.17699999999999999</v>
      </c>
      <c r="D20" s="523">
        <v>6.8000000000000005E-2</v>
      </c>
      <c r="E20" s="626">
        <v>1.8000000000000002E-2</v>
      </c>
      <c r="F20" s="523">
        <v>0.13900000000000001</v>
      </c>
      <c r="G20" s="657">
        <v>0.40100000000000002</v>
      </c>
      <c r="H20" s="656">
        <v>0.21</v>
      </c>
      <c r="I20" s="626">
        <v>1</v>
      </c>
    </row>
    <row r="21" spans="1:9" ht="20" customHeight="1" thickBot="1">
      <c r="A21" s="152" t="s">
        <v>2047</v>
      </c>
      <c r="B21" s="656">
        <v>0.53299999999999992</v>
      </c>
      <c r="C21" s="626">
        <v>0.11900000000000001</v>
      </c>
      <c r="D21" s="523">
        <v>7.9000000000000001E-2</v>
      </c>
      <c r="E21" s="626">
        <v>0.02</v>
      </c>
      <c r="F21" s="523">
        <v>0.11</v>
      </c>
      <c r="G21" s="657">
        <v>0.32700000000000001</v>
      </c>
      <c r="H21" s="656">
        <v>0.14000000000000001</v>
      </c>
      <c r="I21" s="626">
        <v>1</v>
      </c>
    </row>
    <row r="22" spans="1:9" ht="20" customHeight="1" thickBot="1">
      <c r="A22" s="152" t="s">
        <v>2048</v>
      </c>
      <c r="B22" s="656">
        <v>0.59499999999999997</v>
      </c>
      <c r="C22" s="626">
        <v>0.11699999999999999</v>
      </c>
      <c r="D22" s="523">
        <v>7.2000000000000008E-2</v>
      </c>
      <c r="E22" s="626">
        <v>1.3999999999999999E-2</v>
      </c>
      <c r="F22" s="523">
        <v>0.1</v>
      </c>
      <c r="G22" s="657">
        <v>0.30199999999999999</v>
      </c>
      <c r="H22" s="656">
        <v>0.10300000000000001</v>
      </c>
      <c r="I22" s="626">
        <v>1</v>
      </c>
    </row>
    <row r="23" spans="1:9" ht="20" customHeight="1" thickBot="1">
      <c r="A23" s="152" t="s">
        <v>2049</v>
      </c>
      <c r="B23" s="656">
        <v>0.48</v>
      </c>
      <c r="C23" s="626">
        <v>0.124</v>
      </c>
      <c r="D23" s="523">
        <v>7.400000000000001E-2</v>
      </c>
      <c r="E23" s="626">
        <v>1.6E-2</v>
      </c>
      <c r="F23" s="523">
        <v>0.12</v>
      </c>
      <c r="G23" s="657">
        <v>0.33500000000000002</v>
      </c>
      <c r="H23" s="656">
        <v>0.185</v>
      </c>
      <c r="I23" s="626">
        <v>1</v>
      </c>
    </row>
    <row r="24" spans="1:9" ht="20" customHeight="1" thickBot="1">
      <c r="A24" s="152" t="s">
        <v>2050</v>
      </c>
      <c r="B24" s="656">
        <v>0.59799999999999998</v>
      </c>
      <c r="C24" s="626">
        <v>8.199999999999999E-2</v>
      </c>
      <c r="D24" s="523">
        <v>5.5999999999999994E-2</v>
      </c>
      <c r="E24" s="626">
        <v>1.3999999999999999E-2</v>
      </c>
      <c r="F24" s="523">
        <v>0.122</v>
      </c>
      <c r="G24" s="657">
        <v>0.27399999999999997</v>
      </c>
      <c r="H24" s="656">
        <v>0.128</v>
      </c>
      <c r="I24" s="626">
        <v>1</v>
      </c>
    </row>
    <row r="25" spans="1:9" ht="20" customHeight="1" thickBot="1">
      <c r="A25" s="152" t="s">
        <v>2051</v>
      </c>
      <c r="B25" s="656">
        <v>0.47100000000000003</v>
      </c>
      <c r="C25" s="626">
        <v>0.14099999999999999</v>
      </c>
      <c r="D25" s="523">
        <v>6.8000000000000005E-2</v>
      </c>
      <c r="E25" s="626">
        <v>1.9E-2</v>
      </c>
      <c r="F25" s="523">
        <v>0.13100000000000001</v>
      </c>
      <c r="G25" s="657">
        <v>0.36</v>
      </c>
      <c r="H25" s="656">
        <v>0.16899999999999998</v>
      </c>
      <c r="I25" s="626">
        <v>1</v>
      </c>
    </row>
    <row r="26" spans="1:9" ht="20" customHeight="1" thickBot="1">
      <c r="A26" s="152" t="s">
        <v>2052</v>
      </c>
      <c r="B26" s="656">
        <v>0.4</v>
      </c>
      <c r="C26" s="626">
        <v>9.1999999999999998E-2</v>
      </c>
      <c r="D26" s="523">
        <v>6.9000000000000006E-2</v>
      </c>
      <c r="E26" s="626">
        <v>1.7000000000000001E-2</v>
      </c>
      <c r="F26" s="523">
        <v>0.14000000000000001</v>
      </c>
      <c r="G26" s="657">
        <v>0.318</v>
      </c>
      <c r="H26" s="656">
        <v>0.28199999999999997</v>
      </c>
      <c r="I26" s="626">
        <v>1</v>
      </c>
    </row>
    <row r="27" spans="1:9" ht="20" customHeight="1" thickBot="1">
      <c r="A27" s="152" t="s">
        <v>2053</v>
      </c>
      <c r="B27" s="656">
        <v>0.38500000000000001</v>
      </c>
      <c r="C27" s="626">
        <v>0.215</v>
      </c>
      <c r="D27" s="523">
        <v>0.11900000000000001</v>
      </c>
      <c r="E27" s="626">
        <v>2.2000000000000002E-2</v>
      </c>
      <c r="F27" s="523">
        <v>0.23600000000000002</v>
      </c>
      <c r="G27" s="657">
        <v>0.59200000000000008</v>
      </c>
      <c r="H27" s="656">
        <v>2.3E-2</v>
      </c>
      <c r="I27" s="626">
        <v>1</v>
      </c>
    </row>
    <row r="28" spans="1:9" ht="20" customHeight="1" thickBot="1">
      <c r="A28" s="152" t="s">
        <v>2054</v>
      </c>
      <c r="B28" s="656">
        <v>0.33600000000000002</v>
      </c>
      <c r="C28" s="626">
        <v>0.17800000000000002</v>
      </c>
      <c r="D28" s="523">
        <v>0.16200000000000001</v>
      </c>
      <c r="E28" s="626">
        <v>4.2000000000000003E-2</v>
      </c>
      <c r="F28" s="523">
        <v>0.23899999999999999</v>
      </c>
      <c r="G28" s="657">
        <v>0.62</v>
      </c>
      <c r="H28" s="656">
        <v>4.2999999999999997E-2</v>
      </c>
      <c r="I28" s="626">
        <v>1</v>
      </c>
    </row>
    <row r="29" spans="1:9" ht="20" customHeight="1" thickBot="1">
      <c r="A29" s="152" t="s">
        <v>2055</v>
      </c>
      <c r="B29" s="656">
        <v>0.56600000000000006</v>
      </c>
      <c r="C29" s="626">
        <v>0.24399999999999999</v>
      </c>
      <c r="D29" s="523">
        <v>8.199999999999999E-2</v>
      </c>
      <c r="E29" s="626">
        <v>1.9E-2</v>
      </c>
      <c r="F29" s="523">
        <v>8.5999999999999993E-2</v>
      </c>
      <c r="G29" s="657">
        <v>0.43</v>
      </c>
      <c r="H29" s="656">
        <v>4.0000000000000001E-3</v>
      </c>
      <c r="I29" s="626">
        <v>1</v>
      </c>
    </row>
    <row r="30" spans="1:9" ht="20" customHeight="1" thickBot="1">
      <c r="A30" s="152" t="s">
        <v>2056</v>
      </c>
      <c r="B30" s="656">
        <v>0.36799999999999999</v>
      </c>
      <c r="C30" s="626">
        <v>0.23</v>
      </c>
      <c r="D30" s="523">
        <v>0.14199999999999999</v>
      </c>
      <c r="E30" s="626">
        <v>2.4E-2</v>
      </c>
      <c r="F30" s="523">
        <v>0.22500000000000001</v>
      </c>
      <c r="G30" s="657">
        <v>0.621</v>
      </c>
      <c r="H30" s="656">
        <v>1.1000000000000001E-2</v>
      </c>
      <c r="I30" s="626">
        <v>1</v>
      </c>
    </row>
    <row r="31" spans="1:9" ht="20" customHeight="1" thickBot="1">
      <c r="A31" s="152" t="s">
        <v>2057</v>
      </c>
      <c r="B31" s="656">
        <v>0.34399999999999997</v>
      </c>
      <c r="C31" s="626">
        <v>0.217</v>
      </c>
      <c r="D31" s="523">
        <v>0.13600000000000001</v>
      </c>
      <c r="E31" s="626">
        <v>0.03</v>
      </c>
      <c r="F31" s="523">
        <v>0.21100000000000002</v>
      </c>
      <c r="G31" s="657">
        <v>0.59499999999999997</v>
      </c>
      <c r="H31" s="656">
        <v>6.0999999999999999E-2</v>
      </c>
      <c r="I31" s="626">
        <v>1</v>
      </c>
    </row>
    <row r="32" spans="1:9" ht="20" customHeight="1" thickBot="1">
      <c r="A32" s="186" t="s">
        <v>2058</v>
      </c>
      <c r="B32" s="656">
        <v>0.33299999999999996</v>
      </c>
      <c r="C32" s="626">
        <v>0.22</v>
      </c>
      <c r="D32" s="523">
        <v>0.151</v>
      </c>
      <c r="E32" s="626">
        <v>2.4E-2</v>
      </c>
      <c r="F32" s="523">
        <v>0.27</v>
      </c>
      <c r="G32" s="657">
        <v>0.66400000000000003</v>
      </c>
      <c r="H32" s="656">
        <v>3.0000000000000001E-3</v>
      </c>
      <c r="I32" s="626">
        <v>1</v>
      </c>
    </row>
    <row r="33" spans="1:9" ht="30" customHeight="1" thickBot="1">
      <c r="A33" s="482" t="s">
        <v>2059</v>
      </c>
      <c r="B33" s="658">
        <v>0.42599999999999999</v>
      </c>
      <c r="C33" s="628">
        <v>0.19</v>
      </c>
      <c r="D33" s="658">
        <v>9.9000000000000005E-2</v>
      </c>
      <c r="E33" s="628">
        <v>2.4E-2</v>
      </c>
      <c r="F33" s="658">
        <v>0.17</v>
      </c>
      <c r="G33" s="628">
        <v>0.48399999999999999</v>
      </c>
      <c r="H33" s="486">
        <v>0.09</v>
      </c>
      <c r="I33" s="659">
        <v>1</v>
      </c>
    </row>
    <row r="34" spans="1:9" ht="20" customHeight="1">
      <c r="A34" s="493" t="s">
        <v>2103</v>
      </c>
      <c r="B34" s="338"/>
      <c r="C34" s="155"/>
      <c r="D34" s="155"/>
      <c r="E34" s="155"/>
      <c r="F34" s="155"/>
      <c r="G34" s="660"/>
      <c r="I34" s="181"/>
    </row>
    <row r="35" spans="1:9" ht="11.25" customHeight="1">
      <c r="A35" s="231"/>
      <c r="B35" s="340"/>
      <c r="C35" s="4"/>
      <c r="D35" s="4"/>
      <c r="E35" s="4"/>
      <c r="F35" s="4"/>
      <c r="G35" s="88"/>
      <c r="I35" s="181"/>
    </row>
    <row r="36" spans="1:9" ht="12" customHeight="1">
      <c r="A36" s="4" t="s">
        <v>307</v>
      </c>
    </row>
    <row r="37" spans="1:9" ht="12" customHeight="1"/>
    <row r="38" spans="1:9" ht="12" customHeight="1">
      <c r="A38" s="80" t="s">
        <v>596</v>
      </c>
      <c r="F38" s="219"/>
      <c r="H38" s="2"/>
    </row>
    <row r="39" spans="1:9" ht="12" customHeight="1">
      <c r="A39" s="2" t="s">
        <v>2100</v>
      </c>
      <c r="F39" s="219"/>
      <c r="H39" s="2"/>
    </row>
    <row r="40" spans="1:9" ht="12" customHeight="1">
      <c r="F40" s="219"/>
      <c r="H40" s="2"/>
    </row>
    <row r="41" spans="1:9" ht="12" customHeight="1"/>
    <row r="42" spans="1:9" ht="12" customHeight="1">
      <c r="A42" s="2" t="s">
        <v>104</v>
      </c>
    </row>
  </sheetData>
  <mergeCells count="1">
    <mergeCell ref="C3:G3"/>
  </mergeCells>
  <phoneticPr fontId="0" type="noConversion"/>
  <pageMargins left="0.49" right="0.48" top="0.65" bottom="0.49" header="0.35" footer="0.4921259845"/>
  <pageSetup paperSize="9" scale="76" orientation="portrait" horizontalDpi="4294967292" verticalDpi="4294967292"/>
  <headerFooter alignWithMargins="0">
    <oddHeader>&amp;L&amp;"Arial,Bold"Versicherte und Finanzen in der OKP</oddHead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84128-30F8-664C-AF76-3EC45D11FB57}">
  <sheetPr>
    <pageSetUpPr fitToPage="1"/>
  </sheetPr>
  <dimension ref="A1:H21"/>
  <sheetViews>
    <sheetView zoomScale="75" workbookViewId="0">
      <selection activeCell="A15" sqref="A15"/>
    </sheetView>
  </sheetViews>
  <sheetFormatPr baseColWidth="10" defaultColWidth="11.3984375" defaultRowHeight="13"/>
  <cols>
    <col min="1" max="1" width="14.796875" style="2" customWidth="1"/>
    <col min="2" max="2" width="14.796875" style="219" customWidth="1"/>
    <col min="3" max="4" width="12.19921875" style="2" customWidth="1"/>
    <col min="5" max="5" width="12.59765625" style="2" customWidth="1"/>
    <col min="6" max="6" width="15.19921875" style="219" customWidth="1"/>
    <col min="7" max="7" width="16" style="518" customWidth="1"/>
    <col min="8" max="8" width="13.796875" style="2" customWidth="1"/>
    <col min="9" max="16384" width="11.3984375" style="2"/>
  </cols>
  <sheetData>
    <row r="1" spans="1:8" s="1" customFormat="1" ht="14" customHeight="1">
      <c r="A1" s="591"/>
      <c r="B1" s="649"/>
      <c r="C1" s="591"/>
      <c r="D1" s="591"/>
      <c r="E1" s="591"/>
      <c r="F1" s="649"/>
      <c r="G1" s="650"/>
    </row>
    <row r="2" spans="1:8" s="1" customFormat="1" ht="28" customHeight="1">
      <c r="A2" s="592" t="s">
        <v>598</v>
      </c>
      <c r="B2" s="649"/>
      <c r="C2" s="591"/>
      <c r="D2" s="591"/>
      <c r="E2" s="591"/>
      <c r="F2" s="661"/>
      <c r="G2" s="662"/>
      <c r="H2" s="592">
        <v>2004</v>
      </c>
    </row>
    <row r="3" spans="1:8" ht="27" customHeight="1">
      <c r="A3" s="139" t="s">
        <v>1346</v>
      </c>
      <c r="B3" s="321" t="s">
        <v>306</v>
      </c>
      <c r="C3" s="1719" t="s">
        <v>1512</v>
      </c>
      <c r="D3" s="1719"/>
      <c r="E3" s="1719"/>
      <c r="F3" s="323"/>
      <c r="G3" s="359" t="s">
        <v>294</v>
      </c>
      <c r="H3" s="164" t="s">
        <v>652</v>
      </c>
    </row>
    <row r="4" spans="1:8" ht="15" customHeight="1">
      <c r="A4" s="142"/>
      <c r="B4" s="323" t="s">
        <v>1575</v>
      </c>
      <c r="C4" s="142"/>
      <c r="D4" s="179"/>
      <c r="E4" s="144"/>
      <c r="F4" s="323" t="s">
        <v>652</v>
      </c>
      <c r="G4" s="361" t="s">
        <v>1577</v>
      </c>
      <c r="H4" s="166"/>
    </row>
    <row r="5" spans="1:8" ht="15" customHeight="1">
      <c r="A5" s="142"/>
      <c r="B5" s="323" t="s">
        <v>1579</v>
      </c>
      <c r="C5" s="142" t="s">
        <v>599</v>
      </c>
      <c r="D5" s="179" t="s">
        <v>300</v>
      </c>
      <c r="E5" s="144" t="s">
        <v>600</v>
      </c>
      <c r="F5" s="323"/>
      <c r="G5" s="361" t="s">
        <v>299</v>
      </c>
      <c r="H5" s="166"/>
    </row>
    <row r="6" spans="1:8" ht="24" customHeight="1">
      <c r="A6" s="145"/>
      <c r="B6" s="325" t="s">
        <v>601</v>
      </c>
      <c r="C6" s="145"/>
      <c r="D6" s="180"/>
      <c r="E6" s="147"/>
      <c r="F6" s="325"/>
      <c r="G6" s="655"/>
      <c r="H6" s="168"/>
    </row>
    <row r="7" spans="1:8" ht="22.5" customHeight="1" thickBot="1">
      <c r="A7" s="391">
        <v>1996</v>
      </c>
      <c r="B7" s="656" t="s">
        <v>1300</v>
      </c>
      <c r="C7" s="626" t="s">
        <v>1300</v>
      </c>
      <c r="D7" s="523" t="s">
        <v>1300</v>
      </c>
      <c r="E7" s="626" t="s">
        <v>1300</v>
      </c>
      <c r="F7" s="656" t="s">
        <v>1300</v>
      </c>
      <c r="G7" s="657" t="s">
        <v>1300</v>
      </c>
      <c r="H7" s="523" t="s">
        <v>1300</v>
      </c>
    </row>
    <row r="8" spans="1:8" ht="20" customHeight="1" thickBot="1">
      <c r="A8" s="391">
        <v>1997</v>
      </c>
      <c r="B8" s="656">
        <v>0.8206</v>
      </c>
      <c r="C8" s="626">
        <v>9.915910780669146E-2</v>
      </c>
      <c r="D8" s="523">
        <v>2.4563271375464685E-2</v>
      </c>
      <c r="E8" s="626">
        <v>1.1677620817843865E-2</v>
      </c>
      <c r="F8" s="656">
        <v>0.13550000000000001</v>
      </c>
      <c r="G8" s="657">
        <v>4.3900000000000002E-2</v>
      </c>
      <c r="H8" s="523">
        <v>1</v>
      </c>
    </row>
    <row r="9" spans="1:8" ht="20" customHeight="1" thickBot="1">
      <c r="A9" s="152">
        <v>1998</v>
      </c>
      <c r="B9" s="656">
        <v>0.8075</v>
      </c>
      <c r="C9" s="626">
        <v>8.9319669551534225E-2</v>
      </c>
      <c r="D9" s="523">
        <v>2.1300078678206137E-2</v>
      </c>
      <c r="E9" s="626">
        <v>1.7080251770259638E-2</v>
      </c>
      <c r="F9" s="656">
        <v>0.12759999999999999</v>
      </c>
      <c r="G9" s="657">
        <v>6.4899999999999999E-2</v>
      </c>
      <c r="H9" s="523">
        <v>1</v>
      </c>
    </row>
    <row r="10" spans="1:8" ht="20" customHeight="1" thickBot="1">
      <c r="A10" s="152">
        <v>1999</v>
      </c>
      <c r="B10" s="656">
        <v>0.80579999999999996</v>
      </c>
      <c r="C10" s="626">
        <v>8.0600000000000005E-2</v>
      </c>
      <c r="D10" s="523">
        <v>1.9599999999999999E-2</v>
      </c>
      <c r="E10" s="626">
        <v>2.2200000000000001E-2</v>
      </c>
      <c r="F10" s="656">
        <v>0.1226</v>
      </c>
      <c r="G10" s="657">
        <v>7.17E-2</v>
      </c>
      <c r="H10" s="523">
        <v>1</v>
      </c>
    </row>
    <row r="11" spans="1:8" ht="20" customHeight="1" thickBot="1">
      <c r="A11" s="152">
        <v>2000</v>
      </c>
      <c r="B11" s="656">
        <v>0.8034</v>
      </c>
      <c r="C11" s="626">
        <v>7.5622923588039861E-2</v>
      </c>
      <c r="D11" s="523">
        <v>1.9056976744186046E-2</v>
      </c>
      <c r="E11" s="626">
        <v>2.6720099667774087E-2</v>
      </c>
      <c r="F11" s="656">
        <v>0.12139999999999999</v>
      </c>
      <c r="G11" s="657">
        <v>7.5200000000000003E-2</v>
      </c>
      <c r="H11" s="523">
        <v>1</v>
      </c>
    </row>
    <row r="12" spans="1:8" ht="20" customHeight="1" thickBot="1">
      <c r="A12" s="152">
        <v>2001</v>
      </c>
      <c r="B12" s="656">
        <v>0.80599999999999994</v>
      </c>
      <c r="C12" s="626">
        <v>7.0999999999999994E-2</v>
      </c>
      <c r="D12" s="523">
        <v>1.6E-2</v>
      </c>
      <c r="E12" s="626">
        <v>2.8999999999999998E-2</v>
      </c>
      <c r="F12" s="656">
        <v>0.11599999999999999</v>
      </c>
      <c r="G12" s="657">
        <v>7.8E-2</v>
      </c>
      <c r="H12" s="523">
        <v>1</v>
      </c>
    </row>
    <row r="13" spans="1:8" ht="20" customHeight="1" thickBot="1">
      <c r="A13" s="152">
        <v>2002</v>
      </c>
      <c r="B13" s="656">
        <v>0.80900000000000005</v>
      </c>
      <c r="C13" s="626">
        <v>6.5000000000000002E-2</v>
      </c>
      <c r="D13" s="523">
        <v>1.4999999999999999E-2</v>
      </c>
      <c r="E13" s="626">
        <v>3.2000000000000001E-2</v>
      </c>
      <c r="F13" s="656">
        <v>0.111</v>
      </c>
      <c r="G13" s="657">
        <v>0.08</v>
      </c>
      <c r="H13" s="523">
        <v>1</v>
      </c>
    </row>
    <row r="14" spans="1:8" ht="20" customHeight="1" thickBot="1">
      <c r="A14" s="152">
        <v>2003</v>
      </c>
      <c r="B14" s="656">
        <v>0.80299999999999994</v>
      </c>
      <c r="C14" s="626">
        <v>6.0999999999999999E-2</v>
      </c>
      <c r="D14" s="523">
        <v>1.3999999999999999E-2</v>
      </c>
      <c r="E14" s="626">
        <v>0.04</v>
      </c>
      <c r="F14" s="656">
        <v>0.114</v>
      </c>
      <c r="G14" s="657">
        <v>8.3000000000000004E-2</v>
      </c>
      <c r="H14" s="523">
        <v>1</v>
      </c>
    </row>
    <row r="15" spans="1:8" ht="30" customHeight="1" thickBot="1">
      <c r="A15" s="482">
        <v>2004</v>
      </c>
      <c r="B15" s="658">
        <v>0.79900000000000004</v>
      </c>
      <c r="C15" s="628">
        <v>5.4000000000000006E-2</v>
      </c>
      <c r="D15" s="658">
        <v>1.3000000000000001E-2</v>
      </c>
      <c r="E15" s="628">
        <v>4.5999999999999999E-2</v>
      </c>
      <c r="F15" s="658">
        <v>0.113</v>
      </c>
      <c r="G15" s="628">
        <v>8.8000000000000009E-2</v>
      </c>
      <c r="H15" s="528">
        <v>1</v>
      </c>
    </row>
    <row r="16" spans="1:8" ht="20" customHeight="1">
      <c r="A16" s="493" t="s">
        <v>2103</v>
      </c>
      <c r="B16" s="663"/>
      <c r="C16" s="593"/>
      <c r="D16" s="593"/>
      <c r="E16" s="593"/>
      <c r="F16" s="663"/>
      <c r="G16" s="664"/>
    </row>
    <row r="17" spans="1:1" ht="12" customHeight="1"/>
    <row r="18" spans="1:1" ht="12" customHeight="1">
      <c r="A18" s="2" t="s">
        <v>602</v>
      </c>
    </row>
    <row r="21" spans="1:1">
      <c r="A21" s="2" t="s">
        <v>104</v>
      </c>
    </row>
  </sheetData>
  <mergeCells count="1">
    <mergeCell ref="C3:E3"/>
  </mergeCells>
  <phoneticPr fontId="0" type="noConversion"/>
  <pageMargins left="0.6" right="0.62" top="0.9" bottom="0.49" header="0.49" footer="0.4921259845"/>
  <pageSetup paperSize="9" scale="81" orientation="portrait" horizontalDpi="4294967292" verticalDpi="4294967292"/>
  <headerFooter alignWithMargins="0">
    <oddHeader>&amp;L&amp;"Arial,Bold"Versicherte und Finanzen in der OKP</oddHead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2B55B-8836-314E-8698-9B3FF075A298}">
  <sheetPr>
    <pageSetUpPr fitToPage="1"/>
  </sheetPr>
  <dimension ref="A1:H42"/>
  <sheetViews>
    <sheetView zoomScale="75" workbookViewId="0">
      <selection activeCell="A36" sqref="A36"/>
    </sheetView>
  </sheetViews>
  <sheetFormatPr baseColWidth="10" defaultColWidth="11.3984375" defaultRowHeight="13"/>
  <cols>
    <col min="1" max="1" width="14.796875" style="2" customWidth="1"/>
    <col min="2" max="2" width="14.796875" style="219" customWidth="1"/>
    <col min="3" max="4" width="12.19921875" style="2" customWidth="1"/>
    <col min="5" max="5" width="12.59765625" style="2" customWidth="1"/>
    <col min="6" max="6" width="15.19921875" style="219" customWidth="1"/>
    <col min="7" max="7" width="15.3984375" style="518" customWidth="1"/>
    <col min="8" max="8" width="13.796875" style="2" customWidth="1"/>
    <col min="9" max="16384" width="11.3984375" style="2"/>
  </cols>
  <sheetData>
    <row r="1" spans="1:8" s="1" customFormat="1" ht="14" customHeight="1">
      <c r="A1" s="591"/>
      <c r="B1" s="649"/>
      <c r="C1" s="591"/>
      <c r="D1" s="591"/>
      <c r="E1" s="591"/>
      <c r="F1" s="649"/>
      <c r="G1" s="650"/>
    </row>
    <row r="2" spans="1:8" s="1" customFormat="1" ht="28" customHeight="1">
      <c r="A2" s="592" t="s">
        <v>603</v>
      </c>
      <c r="B2" s="649"/>
      <c r="C2" s="591"/>
      <c r="D2" s="591"/>
      <c r="E2" s="591"/>
      <c r="F2" s="661"/>
      <c r="G2" s="662"/>
      <c r="H2" s="592">
        <v>2004</v>
      </c>
    </row>
    <row r="3" spans="1:8" ht="27" customHeight="1">
      <c r="A3" s="139" t="s">
        <v>503</v>
      </c>
      <c r="B3" s="321" t="s">
        <v>306</v>
      </c>
      <c r="C3" s="1719" t="s">
        <v>1512</v>
      </c>
      <c r="D3" s="1719"/>
      <c r="E3" s="1719"/>
      <c r="F3" s="323"/>
      <c r="G3" s="359" t="s">
        <v>294</v>
      </c>
      <c r="H3" s="164" t="s">
        <v>652</v>
      </c>
    </row>
    <row r="4" spans="1:8" ht="15" customHeight="1">
      <c r="A4" s="142"/>
      <c r="B4" s="323" t="s">
        <v>1575</v>
      </c>
      <c r="C4" s="142"/>
      <c r="D4" s="179"/>
      <c r="E4" s="144"/>
      <c r="F4" s="323" t="s">
        <v>652</v>
      </c>
      <c r="G4" s="361" t="s">
        <v>1577</v>
      </c>
      <c r="H4" s="166"/>
    </row>
    <row r="5" spans="1:8" ht="15" customHeight="1">
      <c r="A5" s="142"/>
      <c r="B5" s="323" t="s">
        <v>1579</v>
      </c>
      <c r="C5" s="142" t="s">
        <v>599</v>
      </c>
      <c r="D5" s="179" t="s">
        <v>300</v>
      </c>
      <c r="E5" s="144" t="s">
        <v>600</v>
      </c>
      <c r="F5" s="323"/>
      <c r="G5" s="361" t="s">
        <v>299</v>
      </c>
      <c r="H5" s="166"/>
    </row>
    <row r="6" spans="1:8" ht="24" customHeight="1">
      <c r="A6" s="145"/>
      <c r="B6" s="325" t="s">
        <v>601</v>
      </c>
      <c r="C6" s="145"/>
      <c r="D6" s="180"/>
      <c r="E6" s="147"/>
      <c r="F6" s="325"/>
      <c r="G6" s="655"/>
      <c r="H6" s="168"/>
    </row>
    <row r="7" spans="1:8" ht="30" customHeight="1" thickBot="1">
      <c r="A7" s="148" t="s">
        <v>510</v>
      </c>
      <c r="B7" s="656">
        <v>0.79400000000000004</v>
      </c>
      <c r="C7" s="626">
        <v>4.2999999999999997E-2</v>
      </c>
      <c r="D7" s="523">
        <v>8.0000000000000002E-3</v>
      </c>
      <c r="E7" s="626">
        <v>3.7000000000000005E-2</v>
      </c>
      <c r="F7" s="656">
        <v>8.8000000000000009E-2</v>
      </c>
      <c r="G7" s="657">
        <v>0.11800000000000001</v>
      </c>
      <c r="H7" s="523">
        <v>1</v>
      </c>
    </row>
    <row r="8" spans="1:8" ht="20" customHeight="1" thickBot="1">
      <c r="A8" s="152" t="s">
        <v>511</v>
      </c>
      <c r="B8" s="656">
        <v>0.81099999999999994</v>
      </c>
      <c r="C8" s="626">
        <v>6.6000000000000003E-2</v>
      </c>
      <c r="D8" s="523">
        <v>9.0000000000000011E-3</v>
      </c>
      <c r="E8" s="626">
        <v>3.6000000000000004E-2</v>
      </c>
      <c r="F8" s="656">
        <v>0.11</v>
      </c>
      <c r="G8" s="657">
        <v>7.9000000000000001E-2</v>
      </c>
      <c r="H8" s="523">
        <v>1</v>
      </c>
    </row>
    <row r="9" spans="1:8" ht="20" customHeight="1" thickBot="1">
      <c r="A9" s="152" t="s">
        <v>512</v>
      </c>
      <c r="B9" s="656">
        <v>0.9</v>
      </c>
      <c r="C9" s="626">
        <v>1.4999999999999999E-2</v>
      </c>
      <c r="D9" s="523">
        <v>5.0000000000000001E-3</v>
      </c>
      <c r="E9" s="626">
        <v>4.2000000000000003E-2</v>
      </c>
      <c r="F9" s="656">
        <v>6.2E-2</v>
      </c>
      <c r="G9" s="657">
        <v>3.7999999999999999E-2</v>
      </c>
      <c r="H9" s="523">
        <v>1</v>
      </c>
    </row>
    <row r="10" spans="1:8" ht="20" customHeight="1" thickBot="1">
      <c r="A10" s="152" t="s">
        <v>513</v>
      </c>
      <c r="B10" s="656">
        <v>0.91599999999999993</v>
      </c>
      <c r="C10" s="626">
        <v>1.4999999999999999E-2</v>
      </c>
      <c r="D10" s="523">
        <v>1.8000000000000002E-2</v>
      </c>
      <c r="E10" s="626">
        <v>0.05</v>
      </c>
      <c r="F10" s="656">
        <v>8.4000000000000005E-2</v>
      </c>
      <c r="G10" s="657">
        <v>1E-3</v>
      </c>
      <c r="H10" s="523">
        <v>1</v>
      </c>
    </row>
    <row r="11" spans="1:8" ht="20" customHeight="1" thickBot="1">
      <c r="A11" s="152" t="s">
        <v>514</v>
      </c>
      <c r="B11" s="656">
        <v>0.90599999999999992</v>
      </c>
      <c r="C11" s="626">
        <v>2.3E-2</v>
      </c>
      <c r="D11" s="523">
        <v>6.0000000000000001E-3</v>
      </c>
      <c r="E11" s="626">
        <v>2.8999999999999998E-2</v>
      </c>
      <c r="F11" s="656">
        <v>5.7000000000000002E-2</v>
      </c>
      <c r="G11" s="657">
        <v>3.7000000000000005E-2</v>
      </c>
      <c r="H11" s="523">
        <v>1</v>
      </c>
    </row>
    <row r="12" spans="1:8" ht="20" customHeight="1" thickBot="1">
      <c r="A12" s="152" t="s">
        <v>515</v>
      </c>
      <c r="B12" s="656">
        <v>0.93099999999999994</v>
      </c>
      <c r="C12" s="626">
        <v>2.1000000000000001E-2</v>
      </c>
      <c r="D12" s="523">
        <v>6.9999999999999993E-3</v>
      </c>
      <c r="E12" s="626">
        <v>3.2000000000000001E-2</v>
      </c>
      <c r="F12" s="656">
        <v>0.06</v>
      </c>
      <c r="G12" s="657">
        <v>9.0000000000000011E-3</v>
      </c>
      <c r="H12" s="523">
        <v>1</v>
      </c>
    </row>
    <row r="13" spans="1:8" ht="20" customHeight="1" thickBot="1">
      <c r="A13" s="152" t="s">
        <v>516</v>
      </c>
      <c r="B13" s="656">
        <v>0.91099999999999992</v>
      </c>
      <c r="C13" s="626">
        <v>1.7000000000000001E-2</v>
      </c>
      <c r="D13" s="523">
        <v>4.0000000000000001E-3</v>
      </c>
      <c r="E13" s="626">
        <v>5.7999999999999996E-2</v>
      </c>
      <c r="F13" s="656">
        <v>7.9000000000000001E-2</v>
      </c>
      <c r="G13" s="657">
        <v>9.0000000000000011E-3</v>
      </c>
      <c r="H13" s="523">
        <v>1</v>
      </c>
    </row>
    <row r="14" spans="1:8" ht="20" customHeight="1" thickBot="1">
      <c r="A14" s="152" t="s">
        <v>517</v>
      </c>
      <c r="B14" s="656">
        <v>0.92</v>
      </c>
      <c r="C14" s="626">
        <v>1.9E-2</v>
      </c>
      <c r="D14" s="523">
        <v>5.0000000000000001E-3</v>
      </c>
      <c r="E14" s="626">
        <v>3.3000000000000002E-2</v>
      </c>
      <c r="F14" s="656">
        <v>5.7000000000000002E-2</v>
      </c>
      <c r="G14" s="657">
        <v>2.3E-2</v>
      </c>
      <c r="H14" s="523">
        <v>1</v>
      </c>
    </row>
    <row r="15" spans="1:8" ht="20" customHeight="1" thickBot="1">
      <c r="A15" s="152" t="s">
        <v>518</v>
      </c>
      <c r="B15" s="656">
        <v>0.90099999999999991</v>
      </c>
      <c r="C15" s="626">
        <v>2.7999999999999997E-2</v>
      </c>
      <c r="D15" s="523">
        <v>6.0000000000000001E-3</v>
      </c>
      <c r="E15" s="626">
        <v>3.4000000000000002E-2</v>
      </c>
      <c r="F15" s="656">
        <v>6.8000000000000005E-2</v>
      </c>
      <c r="G15" s="657">
        <v>3.1E-2</v>
      </c>
      <c r="H15" s="523">
        <v>1</v>
      </c>
    </row>
    <row r="16" spans="1:8" ht="20" customHeight="1" thickBot="1">
      <c r="A16" s="152" t="s">
        <v>519</v>
      </c>
      <c r="B16" s="656">
        <v>0.84799999999999998</v>
      </c>
      <c r="C16" s="626">
        <v>6.8000000000000005E-2</v>
      </c>
      <c r="D16" s="523">
        <v>1.4999999999999999E-2</v>
      </c>
      <c r="E16" s="626">
        <v>3.6000000000000004E-2</v>
      </c>
      <c r="F16" s="656">
        <v>0.11900000000000001</v>
      </c>
      <c r="G16" s="657">
        <v>3.2000000000000001E-2</v>
      </c>
      <c r="H16" s="523">
        <v>1</v>
      </c>
    </row>
    <row r="17" spans="1:8" ht="20" customHeight="1" thickBot="1">
      <c r="A17" s="152" t="s">
        <v>520</v>
      </c>
      <c r="B17" s="656">
        <v>0.8640000000000001</v>
      </c>
      <c r="C17" s="626">
        <v>3.4000000000000002E-2</v>
      </c>
      <c r="D17" s="523">
        <v>0.01</v>
      </c>
      <c r="E17" s="626">
        <v>3.4000000000000002E-2</v>
      </c>
      <c r="F17" s="656">
        <v>7.8E-2</v>
      </c>
      <c r="G17" s="657">
        <v>5.7999999999999996E-2</v>
      </c>
      <c r="H17" s="523">
        <v>1</v>
      </c>
    </row>
    <row r="18" spans="1:8" ht="20" customHeight="1" thickBot="1">
      <c r="A18" s="152" t="s">
        <v>521</v>
      </c>
      <c r="B18" s="656">
        <v>0.70900000000000007</v>
      </c>
      <c r="C18" s="626">
        <v>4.2000000000000003E-2</v>
      </c>
      <c r="D18" s="523">
        <v>1.1000000000000001E-2</v>
      </c>
      <c r="E18" s="626">
        <v>6.8000000000000005E-2</v>
      </c>
      <c r="F18" s="656">
        <v>0.121</v>
      </c>
      <c r="G18" s="657">
        <v>0.17</v>
      </c>
      <c r="H18" s="523">
        <v>1</v>
      </c>
    </row>
    <row r="19" spans="1:8" ht="20" customHeight="1" thickBot="1">
      <c r="A19" s="152" t="s">
        <v>522</v>
      </c>
      <c r="B19" s="656">
        <v>0.79299999999999993</v>
      </c>
      <c r="C19" s="626">
        <v>3.7999999999999999E-2</v>
      </c>
      <c r="D19" s="523">
        <v>8.0000000000000002E-3</v>
      </c>
      <c r="E19" s="626">
        <v>5.9000000000000004E-2</v>
      </c>
      <c r="F19" s="656">
        <v>0.105</v>
      </c>
      <c r="G19" s="657">
        <v>0.10199999999999999</v>
      </c>
      <c r="H19" s="523">
        <v>1</v>
      </c>
    </row>
    <row r="20" spans="1:8" ht="20" customHeight="1" thickBot="1">
      <c r="A20" s="152" t="s">
        <v>523</v>
      </c>
      <c r="B20" s="656">
        <v>0.73299999999999998</v>
      </c>
      <c r="C20" s="626">
        <v>0.02</v>
      </c>
      <c r="D20" s="523">
        <v>4.0000000000000001E-3</v>
      </c>
      <c r="E20" s="626">
        <v>4.0999999999999995E-2</v>
      </c>
      <c r="F20" s="656">
        <v>6.6000000000000003E-2</v>
      </c>
      <c r="G20" s="657">
        <v>0.20100000000000001</v>
      </c>
      <c r="H20" s="523">
        <v>1</v>
      </c>
    </row>
    <row r="21" spans="1:8" ht="20" customHeight="1" thickBot="1">
      <c r="A21" s="152" t="s">
        <v>2047</v>
      </c>
      <c r="B21" s="656">
        <v>0.79700000000000004</v>
      </c>
      <c r="C21" s="626">
        <v>1.3999999999999999E-2</v>
      </c>
      <c r="D21" s="523">
        <v>3.0000000000000001E-3</v>
      </c>
      <c r="E21" s="626">
        <v>1.8000000000000002E-2</v>
      </c>
      <c r="F21" s="656">
        <v>3.6000000000000004E-2</v>
      </c>
      <c r="G21" s="657">
        <v>0.16699999999999998</v>
      </c>
      <c r="H21" s="523">
        <v>1</v>
      </c>
    </row>
    <row r="22" spans="1:8" ht="20" customHeight="1" thickBot="1">
      <c r="A22" s="152" t="s">
        <v>2048</v>
      </c>
      <c r="B22" s="656">
        <v>0.86</v>
      </c>
      <c r="C22" s="626">
        <v>5.0000000000000001E-3</v>
      </c>
      <c r="D22" s="523">
        <v>2E-3</v>
      </c>
      <c r="E22" s="626">
        <v>4.0000000000000001E-3</v>
      </c>
      <c r="F22" s="656">
        <v>1.2E-2</v>
      </c>
      <c r="G22" s="657">
        <v>0.129</v>
      </c>
      <c r="H22" s="523">
        <v>1</v>
      </c>
    </row>
    <row r="23" spans="1:8" ht="20" customHeight="1" thickBot="1">
      <c r="A23" s="152" t="s">
        <v>2049</v>
      </c>
      <c r="B23" s="656">
        <v>0.78099999999999992</v>
      </c>
      <c r="C23" s="626">
        <v>1.6E-2</v>
      </c>
      <c r="D23" s="523">
        <v>4.0000000000000001E-3</v>
      </c>
      <c r="E23" s="626">
        <v>3.1E-2</v>
      </c>
      <c r="F23" s="656">
        <v>0.05</v>
      </c>
      <c r="G23" s="657">
        <v>0.17</v>
      </c>
      <c r="H23" s="523">
        <v>1</v>
      </c>
    </row>
    <row r="24" spans="1:8" ht="20" customHeight="1" thickBot="1">
      <c r="A24" s="152" t="s">
        <v>2050</v>
      </c>
      <c r="B24" s="656">
        <v>0.82</v>
      </c>
      <c r="C24" s="626">
        <v>1.1000000000000001E-2</v>
      </c>
      <c r="D24" s="523">
        <v>4.0000000000000001E-3</v>
      </c>
      <c r="E24" s="626">
        <v>2.3E-2</v>
      </c>
      <c r="F24" s="656">
        <v>3.7000000000000005E-2</v>
      </c>
      <c r="G24" s="657">
        <v>0.14300000000000002</v>
      </c>
      <c r="H24" s="523">
        <v>1</v>
      </c>
    </row>
    <row r="25" spans="1:8" ht="20" customHeight="1" thickBot="1">
      <c r="A25" s="152" t="s">
        <v>2051</v>
      </c>
      <c r="B25" s="656">
        <v>0.80799999999999994</v>
      </c>
      <c r="C25" s="626">
        <v>2.6000000000000002E-2</v>
      </c>
      <c r="D25" s="523">
        <v>5.0000000000000001E-3</v>
      </c>
      <c r="E25" s="626">
        <v>2.6000000000000002E-2</v>
      </c>
      <c r="F25" s="656">
        <v>5.7999999999999996E-2</v>
      </c>
      <c r="G25" s="657">
        <v>0.13500000000000001</v>
      </c>
      <c r="H25" s="523">
        <v>1</v>
      </c>
    </row>
    <row r="26" spans="1:8" ht="20" customHeight="1" thickBot="1">
      <c r="A26" s="152" t="s">
        <v>2052</v>
      </c>
      <c r="B26" s="656">
        <v>0.64900000000000002</v>
      </c>
      <c r="C26" s="626">
        <v>1.8000000000000002E-2</v>
      </c>
      <c r="D26" s="523">
        <v>6.9999999999999993E-3</v>
      </c>
      <c r="E26" s="626">
        <v>4.4999999999999998E-2</v>
      </c>
      <c r="F26" s="656">
        <v>7.0000000000000007E-2</v>
      </c>
      <c r="G26" s="657">
        <v>0.28100000000000003</v>
      </c>
      <c r="H26" s="523">
        <v>1</v>
      </c>
    </row>
    <row r="27" spans="1:8" ht="20" customHeight="1" thickBot="1">
      <c r="A27" s="152" t="s">
        <v>2053</v>
      </c>
      <c r="B27" s="656">
        <v>0.81099999999999994</v>
      </c>
      <c r="C27" s="626">
        <v>7.5999999999999998E-2</v>
      </c>
      <c r="D27" s="523">
        <v>1.3000000000000001E-2</v>
      </c>
      <c r="E27" s="626">
        <v>6.8000000000000005E-2</v>
      </c>
      <c r="F27" s="656">
        <v>0.157</v>
      </c>
      <c r="G27" s="657">
        <v>3.2000000000000001E-2</v>
      </c>
      <c r="H27" s="523">
        <v>1</v>
      </c>
    </row>
    <row r="28" spans="1:8" ht="20" customHeight="1" thickBot="1">
      <c r="A28" s="152" t="s">
        <v>2054</v>
      </c>
      <c r="B28" s="656">
        <v>0.67700000000000005</v>
      </c>
      <c r="C28" s="626">
        <v>0.127</v>
      </c>
      <c r="D28" s="523">
        <v>4.9000000000000002E-2</v>
      </c>
      <c r="E28" s="626">
        <v>0.10400000000000001</v>
      </c>
      <c r="F28" s="656">
        <v>0.28000000000000003</v>
      </c>
      <c r="G28" s="657">
        <v>4.2000000000000003E-2</v>
      </c>
      <c r="H28" s="523">
        <v>1</v>
      </c>
    </row>
    <row r="29" spans="1:8" ht="20" customHeight="1" thickBot="1">
      <c r="A29" s="152" t="s">
        <v>2055</v>
      </c>
      <c r="B29" s="656">
        <v>0.88500000000000001</v>
      </c>
      <c r="C29" s="626">
        <v>8.3000000000000004E-2</v>
      </c>
      <c r="D29" s="523">
        <v>9.0000000000000011E-3</v>
      </c>
      <c r="E29" s="626">
        <v>2.1000000000000001E-2</v>
      </c>
      <c r="F29" s="656">
        <v>0.113</v>
      </c>
      <c r="G29" s="657">
        <v>2E-3</v>
      </c>
      <c r="H29" s="523">
        <v>1</v>
      </c>
    </row>
    <row r="30" spans="1:8" ht="20" customHeight="1" thickBot="1">
      <c r="A30" s="152" t="s">
        <v>2056</v>
      </c>
      <c r="B30" s="656">
        <v>0.81</v>
      </c>
      <c r="C30" s="626">
        <v>8.4000000000000005E-2</v>
      </c>
      <c r="D30" s="523">
        <v>1.6E-2</v>
      </c>
      <c r="E30" s="626">
        <v>6.3E-2</v>
      </c>
      <c r="F30" s="656">
        <v>0.16200000000000001</v>
      </c>
      <c r="G30" s="657">
        <v>2.7000000000000003E-2</v>
      </c>
      <c r="H30" s="523">
        <v>1</v>
      </c>
    </row>
    <row r="31" spans="1:8" ht="20" customHeight="1" thickBot="1">
      <c r="A31" s="152" t="s">
        <v>2057</v>
      </c>
      <c r="B31" s="656">
        <v>0.77200000000000002</v>
      </c>
      <c r="C31" s="626">
        <v>0.114</v>
      </c>
      <c r="D31" s="523">
        <v>2.6000000000000002E-2</v>
      </c>
      <c r="E31" s="626">
        <v>6.5000000000000002E-2</v>
      </c>
      <c r="F31" s="656">
        <v>0.20499999999999999</v>
      </c>
      <c r="G31" s="657">
        <v>2.3E-2</v>
      </c>
      <c r="H31" s="523">
        <v>1</v>
      </c>
    </row>
    <row r="32" spans="1:8" ht="20" customHeight="1" thickBot="1">
      <c r="A32" s="186" t="s">
        <v>2058</v>
      </c>
      <c r="B32" s="656">
        <v>0.78900000000000003</v>
      </c>
      <c r="C32" s="626">
        <v>6.4000000000000001E-2</v>
      </c>
      <c r="D32" s="523">
        <v>2.2000000000000002E-2</v>
      </c>
      <c r="E32" s="626">
        <v>0.105</v>
      </c>
      <c r="F32" s="656">
        <v>0.191</v>
      </c>
      <c r="G32" s="657">
        <v>0.02</v>
      </c>
      <c r="H32" s="523">
        <v>1</v>
      </c>
    </row>
    <row r="33" spans="1:8" ht="30" customHeight="1" thickBot="1">
      <c r="A33" s="482" t="s">
        <v>2059</v>
      </c>
      <c r="B33" s="658">
        <v>0.79900000000000004</v>
      </c>
      <c r="C33" s="628">
        <v>5.4000000000000006E-2</v>
      </c>
      <c r="D33" s="658">
        <v>1.3000000000000001E-2</v>
      </c>
      <c r="E33" s="628">
        <v>4.5999999999999999E-2</v>
      </c>
      <c r="F33" s="658">
        <v>0.113</v>
      </c>
      <c r="G33" s="628">
        <v>8.8000000000000009E-2</v>
      </c>
      <c r="H33" s="528">
        <v>1</v>
      </c>
    </row>
    <row r="34" spans="1:8" ht="20" customHeight="1">
      <c r="A34" s="493" t="s">
        <v>2103</v>
      </c>
      <c r="B34" s="663"/>
      <c r="C34" s="593"/>
      <c r="D34" s="593"/>
      <c r="E34" s="593"/>
      <c r="F34" s="663"/>
      <c r="G34" s="664"/>
    </row>
    <row r="35" spans="1:8" ht="13.5" customHeight="1">
      <c r="A35" s="231"/>
      <c r="B35" s="665"/>
      <c r="C35" s="394"/>
      <c r="D35" s="394"/>
      <c r="E35" s="394"/>
      <c r="F35" s="665"/>
      <c r="G35" s="666"/>
    </row>
    <row r="36" spans="1:8" ht="12" customHeight="1">
      <c r="A36" s="4" t="s">
        <v>307</v>
      </c>
    </row>
    <row r="37" spans="1:8" ht="12" customHeight="1"/>
    <row r="38" spans="1:8" ht="12" customHeight="1">
      <c r="A38" s="80" t="s">
        <v>596</v>
      </c>
    </row>
    <row r="39" spans="1:8" ht="12" customHeight="1">
      <c r="A39" s="2" t="s">
        <v>2100</v>
      </c>
    </row>
    <row r="40" spans="1:8" ht="12" customHeight="1"/>
    <row r="41" spans="1:8" ht="12" customHeight="1"/>
    <row r="42" spans="1:8">
      <c r="A42" s="2" t="s">
        <v>104</v>
      </c>
    </row>
  </sheetData>
  <mergeCells count="1">
    <mergeCell ref="C3:E3"/>
  </mergeCells>
  <phoneticPr fontId="0" type="noConversion"/>
  <pageMargins left="0.56000000000000005" right="0.55000000000000004" top="0.81" bottom="0.49" header="0.38" footer="0.4921259845"/>
  <pageSetup paperSize="9" scale="83" orientation="portrait" horizontalDpi="1200" verticalDpi="1200"/>
  <headerFooter alignWithMargins="0">
    <oddHeader>&amp;L&amp;"Arial,Bold"Versicherte und Finanzen in der OKP</oddHead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5C963-9F88-FD4E-8269-C71CBB92E4BC}">
  <sheetPr>
    <pageSetUpPr fitToPage="1"/>
  </sheetPr>
  <dimension ref="A1:I17"/>
  <sheetViews>
    <sheetView zoomScale="75" workbookViewId="0">
      <selection activeCell="A3" sqref="A3"/>
    </sheetView>
  </sheetViews>
  <sheetFormatPr baseColWidth="10" defaultColWidth="11.3984375" defaultRowHeight="13"/>
  <cols>
    <col min="1" max="1" width="19.3984375" style="2" customWidth="1"/>
    <col min="2" max="2" width="16.3984375" style="2" customWidth="1"/>
    <col min="3" max="4" width="17.19921875" style="2" customWidth="1"/>
    <col min="5" max="5" width="18.19921875" style="2" customWidth="1"/>
    <col min="6" max="7" width="13.3984375" style="2" customWidth="1"/>
    <col min="8" max="8" width="11.3984375" style="2"/>
    <col min="9" max="9" width="15.796875" style="2" hidden="1" customWidth="1"/>
    <col min="10" max="16384" width="11.3984375" style="2"/>
  </cols>
  <sheetData>
    <row r="1" spans="1:9" ht="14" customHeight="1">
      <c r="A1" s="444"/>
      <c r="B1" s="4"/>
      <c r="C1" s="4"/>
      <c r="D1" s="4"/>
      <c r="E1" s="4"/>
      <c r="F1" s="4"/>
      <c r="G1" s="4"/>
      <c r="I1" s="4"/>
    </row>
    <row r="2" spans="1:9" ht="27.75" customHeight="1">
      <c r="A2" s="445" t="s">
        <v>24</v>
      </c>
      <c r="B2" s="519"/>
      <c r="C2" s="519"/>
      <c r="D2" s="519"/>
      <c r="E2" s="519"/>
      <c r="F2" s="519"/>
      <c r="G2" s="370">
        <v>2004</v>
      </c>
      <c r="I2" s="4"/>
    </row>
    <row r="3" spans="1:9" ht="24" customHeight="1">
      <c r="A3" s="139" t="s">
        <v>1508</v>
      </c>
      <c r="B3" s="164" t="s">
        <v>2063</v>
      </c>
      <c r="C3" s="141" t="s">
        <v>2064</v>
      </c>
      <c r="D3" s="164" t="s">
        <v>504</v>
      </c>
      <c r="E3" s="141" t="s">
        <v>652</v>
      </c>
      <c r="F3" s="164" t="s">
        <v>1509</v>
      </c>
      <c r="G3" s="141" t="s">
        <v>451</v>
      </c>
      <c r="I3" s="141" t="s">
        <v>652</v>
      </c>
    </row>
    <row r="4" spans="1:9" ht="15" customHeight="1">
      <c r="A4" s="165"/>
      <c r="B4" s="166"/>
      <c r="C4" s="144"/>
      <c r="D4" s="166"/>
      <c r="E4" s="197"/>
      <c r="F4" s="166" t="s">
        <v>529</v>
      </c>
      <c r="G4" s="144" t="s">
        <v>486</v>
      </c>
      <c r="I4" s="197">
        <v>1999</v>
      </c>
    </row>
    <row r="5" spans="1:9" ht="15" customHeight="1">
      <c r="A5" s="142"/>
      <c r="B5" s="166"/>
      <c r="C5" s="144"/>
      <c r="D5" s="166"/>
      <c r="E5" s="144"/>
      <c r="F5" s="166" t="s">
        <v>1510</v>
      </c>
      <c r="G5" s="144" t="s">
        <v>454</v>
      </c>
      <c r="I5" s="144"/>
    </row>
    <row r="6" spans="1:9" ht="24" customHeight="1">
      <c r="A6" s="307"/>
      <c r="B6" s="446"/>
      <c r="C6" s="447"/>
      <c r="D6" s="446"/>
      <c r="E6" s="447"/>
      <c r="F6" s="168"/>
      <c r="G6" s="147"/>
      <c r="I6" s="447"/>
    </row>
    <row r="7" spans="1:9" ht="36" customHeight="1" thickBot="1">
      <c r="A7" s="551" t="s">
        <v>1511</v>
      </c>
      <c r="B7" s="175">
        <v>4069366254.3000002</v>
      </c>
      <c r="C7" s="201">
        <v>6183858432.3000002</v>
      </c>
      <c r="D7" s="175">
        <v>990911471.04999995</v>
      </c>
      <c r="E7" s="201">
        <v>11244136157.65</v>
      </c>
      <c r="F7" s="449">
        <v>0.58747342470632224</v>
      </c>
      <c r="G7" s="450">
        <v>8.112463372470495E-2</v>
      </c>
      <c r="I7" s="496">
        <v>6794064715</v>
      </c>
    </row>
    <row r="8" spans="1:9" ht="31.5" customHeight="1" thickBot="1">
      <c r="A8" s="551" t="s">
        <v>1512</v>
      </c>
      <c r="B8" s="175">
        <v>2703737742.4000001</v>
      </c>
      <c r="C8" s="201">
        <v>3815364903.0999999</v>
      </c>
      <c r="D8" s="175">
        <v>112033049.05</v>
      </c>
      <c r="E8" s="201">
        <v>6631135694.5500002</v>
      </c>
      <c r="F8" s="449">
        <v>0.34645756166152658</v>
      </c>
      <c r="G8" s="450">
        <v>2.4256767425638003E-2</v>
      </c>
      <c r="I8" s="496">
        <v>5396193285</v>
      </c>
    </row>
    <row r="9" spans="1:9" ht="33" customHeight="1" thickBot="1">
      <c r="A9" s="551" t="s">
        <v>1513</v>
      </c>
      <c r="B9" s="175">
        <v>4866375</v>
      </c>
      <c r="C9" s="201">
        <v>3697595</v>
      </c>
      <c r="D9" s="175">
        <v>108095</v>
      </c>
      <c r="E9" s="201">
        <v>8672065</v>
      </c>
      <c r="F9" s="449">
        <v>4.5309018437665328E-4</v>
      </c>
      <c r="G9" s="450">
        <v>4.6212899351261175E-2</v>
      </c>
      <c r="I9" s="496">
        <v>15330070</v>
      </c>
    </row>
    <row r="10" spans="1:9" ht="34.5" customHeight="1" thickBot="1">
      <c r="A10" s="551" t="s">
        <v>1514</v>
      </c>
      <c r="B10" s="175">
        <v>484319770</v>
      </c>
      <c r="C10" s="201">
        <v>673949641</v>
      </c>
      <c r="D10" s="175">
        <v>97607624</v>
      </c>
      <c r="E10" s="201">
        <v>1255877035</v>
      </c>
      <c r="F10" s="449">
        <v>6.5615923928447797E-2</v>
      </c>
      <c r="G10" s="450">
        <v>0.20603367951399859</v>
      </c>
      <c r="I10" s="496">
        <v>828254703</v>
      </c>
    </row>
    <row r="11" spans="1:9" s="412" customFormat="1" ht="38.25" customHeight="1" thickBot="1">
      <c r="A11" s="494" t="s">
        <v>652</v>
      </c>
      <c r="B11" s="457">
        <v>7262290139</v>
      </c>
      <c r="C11" s="458">
        <v>10676870572</v>
      </c>
      <c r="D11" s="457">
        <v>1200660232</v>
      </c>
      <c r="E11" s="458">
        <v>19139820943</v>
      </c>
      <c r="F11" s="497">
        <v>1</v>
      </c>
      <c r="G11" s="495">
        <v>6.7824899529461399E-2</v>
      </c>
      <c r="I11" s="498">
        <v>13033842773</v>
      </c>
    </row>
    <row r="12" spans="1:9" ht="19.5" customHeight="1">
      <c r="A12" s="155" t="s">
        <v>146</v>
      </c>
      <c r="B12" s="155"/>
      <c r="C12" s="155"/>
      <c r="D12" s="155"/>
      <c r="E12" s="155"/>
      <c r="F12" s="155"/>
      <c r="G12" s="155"/>
      <c r="I12" s="155"/>
    </row>
    <row r="14" spans="1:9">
      <c r="A14" s="2" t="s">
        <v>112</v>
      </c>
    </row>
    <row r="17" spans="1:1">
      <c r="A17" s="2" t="s">
        <v>104</v>
      </c>
    </row>
  </sheetData>
  <phoneticPr fontId="0" type="noConversion"/>
  <pageMargins left="0.57999999999999996" right="0.63" top="1.01" bottom="0.49" header="0.59" footer="0.4921259845"/>
  <pageSetup paperSize="9" scale="79" orientation="portrait" horizontalDpi="4294967292" verticalDpi="4294967292"/>
  <headerFooter alignWithMargins="0">
    <oddHeader>&amp;L&amp;"Arial,Bold"Versicherte und Finanzen in der OKP</oddHead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5D2CA-5C4F-C846-B8B9-BB3A3D82FAEE}">
  <sheetPr>
    <pageSetUpPr fitToPage="1"/>
  </sheetPr>
  <dimension ref="A1:G17"/>
  <sheetViews>
    <sheetView zoomScale="75" workbookViewId="0">
      <selection activeCell="E14" sqref="E14"/>
    </sheetView>
  </sheetViews>
  <sheetFormatPr baseColWidth="10" defaultColWidth="11.3984375" defaultRowHeight="13"/>
  <cols>
    <col min="1" max="1" width="19.796875" style="2" customWidth="1"/>
    <col min="2" max="6" width="14.796875" style="2" customWidth="1"/>
    <col min="7" max="7" width="14.59765625" style="2" customWidth="1"/>
    <col min="8" max="8" width="10.3984375" style="2" customWidth="1"/>
    <col min="9" max="16384" width="11.3984375" style="2"/>
  </cols>
  <sheetData>
    <row r="1" spans="1:7" ht="14" customHeight="1">
      <c r="A1" s="444"/>
      <c r="B1" s="4"/>
      <c r="C1" s="4"/>
      <c r="D1" s="4"/>
      <c r="E1" s="4"/>
      <c r="F1" s="4"/>
      <c r="G1" s="4"/>
    </row>
    <row r="2" spans="1:7" ht="28.5" customHeight="1">
      <c r="A2" s="1715" t="s">
        <v>22</v>
      </c>
      <c r="B2" s="1716"/>
      <c r="C2" s="1716"/>
      <c r="D2" s="1716"/>
      <c r="E2" s="1716"/>
      <c r="F2" s="1716"/>
      <c r="G2" s="370">
        <v>2004</v>
      </c>
    </row>
    <row r="3" spans="1:7" ht="24" customHeight="1">
      <c r="A3" s="139" t="s">
        <v>1508</v>
      </c>
      <c r="B3" s="164" t="s">
        <v>2063</v>
      </c>
      <c r="C3" s="141" t="s">
        <v>2064</v>
      </c>
      <c r="D3" s="164" t="s">
        <v>504</v>
      </c>
      <c r="E3" s="141" t="s">
        <v>652</v>
      </c>
      <c r="F3" s="164" t="s">
        <v>1552</v>
      </c>
      <c r="G3" s="141" t="s">
        <v>451</v>
      </c>
    </row>
    <row r="4" spans="1:7" ht="15" customHeight="1">
      <c r="A4" s="165"/>
      <c r="B4" s="166"/>
      <c r="C4" s="144"/>
      <c r="D4" s="166"/>
      <c r="E4" s="197"/>
      <c r="F4" s="166" t="s">
        <v>1553</v>
      </c>
      <c r="G4" s="144" t="s">
        <v>486</v>
      </c>
    </row>
    <row r="5" spans="1:7" ht="15" customHeight="1">
      <c r="A5" s="142"/>
      <c r="B5" s="166"/>
      <c r="C5" s="144"/>
      <c r="D5" s="166"/>
      <c r="E5" s="144"/>
      <c r="F5" s="166" t="s">
        <v>1554</v>
      </c>
      <c r="G5" s="144" t="s">
        <v>454</v>
      </c>
    </row>
    <row r="6" spans="1:7" ht="24" customHeight="1">
      <c r="A6" s="307"/>
      <c r="B6" s="446"/>
      <c r="C6" s="447"/>
      <c r="D6" s="446"/>
      <c r="E6" s="447"/>
      <c r="F6" s="168"/>
      <c r="G6" s="147"/>
    </row>
    <row r="7" spans="1:7" ht="37.5" customHeight="1" thickBot="1">
      <c r="A7" s="551" t="s">
        <v>1511</v>
      </c>
      <c r="B7" s="175">
        <v>3826.33</v>
      </c>
      <c r="C7" s="201">
        <v>4609.1000000000004</v>
      </c>
      <c r="D7" s="175">
        <v>802.94</v>
      </c>
      <c r="E7" s="201">
        <v>3089.65</v>
      </c>
      <c r="F7" s="175">
        <v>510.15</v>
      </c>
      <c r="G7" s="450">
        <v>9.1517699427683244E-2</v>
      </c>
    </row>
    <row r="8" spans="1:7" ht="34.5" customHeight="1" thickBot="1">
      <c r="A8" s="551" t="s">
        <v>1512</v>
      </c>
      <c r="B8" s="175">
        <v>1849.63</v>
      </c>
      <c r="C8" s="201">
        <v>2756.98</v>
      </c>
      <c r="D8" s="175">
        <v>625.33000000000004</v>
      </c>
      <c r="E8" s="201">
        <v>2192.2399999999998</v>
      </c>
      <c r="F8" s="175">
        <v>-387.26</v>
      </c>
      <c r="G8" s="450">
        <v>5.2115278477671244E-2</v>
      </c>
    </row>
    <row r="9" spans="1:7" ht="35.25" customHeight="1" thickBot="1">
      <c r="A9" s="551" t="s">
        <v>1513</v>
      </c>
      <c r="B9" s="175">
        <v>952.32</v>
      </c>
      <c r="C9" s="201">
        <v>1359.91</v>
      </c>
      <c r="D9" s="175">
        <v>401.84</v>
      </c>
      <c r="E9" s="201">
        <v>1070.8900000000001</v>
      </c>
      <c r="F9" s="175">
        <v>-1508.6</v>
      </c>
      <c r="G9" s="450">
        <v>7.4511102415139127E-2</v>
      </c>
    </row>
    <row r="10" spans="1:7" ht="34.5" customHeight="1" thickBot="1">
      <c r="A10" s="551" t="s">
        <v>1514</v>
      </c>
      <c r="B10" s="175">
        <v>1591.89</v>
      </c>
      <c r="C10" s="201">
        <v>2302.13</v>
      </c>
      <c r="D10" s="175">
        <v>647.38</v>
      </c>
      <c r="E10" s="201">
        <v>1679.51</v>
      </c>
      <c r="F10" s="175">
        <v>-899.99</v>
      </c>
      <c r="G10" s="450">
        <v>-2.6636220855766855E-2</v>
      </c>
    </row>
    <row r="11" spans="1:7" ht="36" customHeight="1" thickBot="1">
      <c r="A11" s="494" t="s">
        <v>652</v>
      </c>
      <c r="B11" s="457">
        <v>2561.98</v>
      </c>
      <c r="C11" s="458">
        <v>3534.19</v>
      </c>
      <c r="D11" s="457">
        <v>767.53</v>
      </c>
      <c r="E11" s="458">
        <v>2579.5</v>
      </c>
      <c r="F11" s="457">
        <v>0</v>
      </c>
      <c r="G11" s="495">
        <v>6.3970203059713557E-2</v>
      </c>
    </row>
    <row r="12" spans="1:7" ht="19.5" customHeight="1">
      <c r="A12" s="155" t="s">
        <v>146</v>
      </c>
      <c r="B12" s="155"/>
      <c r="C12" s="155"/>
      <c r="D12" s="155"/>
      <c r="E12" s="155"/>
      <c r="F12" s="155"/>
      <c r="G12" s="155"/>
    </row>
    <row r="14" spans="1:7">
      <c r="A14" s="2" t="s">
        <v>23</v>
      </c>
    </row>
    <row r="17" spans="1:1">
      <c r="A17" s="2" t="s">
        <v>104</v>
      </c>
    </row>
  </sheetData>
  <mergeCells count="1">
    <mergeCell ref="A2:F2"/>
  </mergeCells>
  <phoneticPr fontId="0" type="noConversion"/>
  <pageMargins left="0.57999999999999996" right="0.53" top="1.01" bottom="0.49" header="0.59" footer="0.4921259845"/>
  <pageSetup paperSize="9" scale="86" orientation="portrait" horizontalDpi="4294967292" verticalDpi="4294967292"/>
  <headerFooter alignWithMargins="0">
    <oddHeader>&amp;L&amp;"Arial,Bold"Versicherte und Finanzen in der OKP</oddHead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048B5-4070-F442-A8F1-01BBDEE2DB93}">
  <sheetPr>
    <pageSetUpPr fitToPage="1"/>
  </sheetPr>
  <dimension ref="A1:J73"/>
  <sheetViews>
    <sheetView topLeftCell="A63" zoomScale="75" workbookViewId="0">
      <selection activeCell="A76" sqref="A76"/>
    </sheetView>
  </sheetViews>
  <sheetFormatPr baseColWidth="10" defaultColWidth="11.3984375" defaultRowHeight="13"/>
  <cols>
    <col min="1" max="1" width="21.796875" style="2" customWidth="1"/>
    <col min="2" max="3" width="15.796875" style="2" customWidth="1"/>
    <col min="4" max="6" width="14.19921875" style="2" customWidth="1"/>
    <col min="7" max="7" width="15" style="2" customWidth="1"/>
    <col min="8" max="10" width="13.19921875" style="2" customWidth="1"/>
    <col min="11" max="16384" width="11.3984375" style="2"/>
  </cols>
  <sheetData>
    <row r="1" spans="1:10" s="1" customFormat="1" ht="14" customHeight="1"/>
    <row r="2" spans="1:10" s="1" customFormat="1" ht="39" customHeight="1">
      <c r="A2" s="1715" t="s">
        <v>1335</v>
      </c>
      <c r="B2" s="1716"/>
      <c r="C2" s="1716"/>
      <c r="D2" s="1716"/>
      <c r="E2" s="1716"/>
      <c r="F2" s="178">
        <v>2004</v>
      </c>
      <c r="G2" s="21"/>
    </row>
    <row r="3" spans="1:10" ht="24" customHeight="1">
      <c r="A3" s="316" t="s">
        <v>1570</v>
      </c>
      <c r="B3" s="164" t="s">
        <v>1571</v>
      </c>
      <c r="C3" s="141" t="s">
        <v>1572</v>
      </c>
      <c r="D3" s="164" t="s">
        <v>1573</v>
      </c>
      <c r="E3" s="141" t="s">
        <v>1574</v>
      </c>
      <c r="F3" s="164" t="s">
        <v>652</v>
      </c>
      <c r="G3"/>
    </row>
    <row r="4" spans="1:10" ht="15" customHeight="1">
      <c r="A4" s="165"/>
      <c r="B4" s="166" t="s">
        <v>1575</v>
      </c>
      <c r="C4" s="144" t="s">
        <v>1576</v>
      </c>
      <c r="D4" s="166" t="s">
        <v>1577</v>
      </c>
      <c r="E4" s="197" t="s">
        <v>1578</v>
      </c>
      <c r="F4" s="166"/>
      <c r="G4"/>
    </row>
    <row r="5" spans="1:10" ht="15" customHeight="1">
      <c r="A5" s="165"/>
      <c r="B5" s="166" t="s">
        <v>1579</v>
      </c>
      <c r="C5" s="144" t="s">
        <v>1580</v>
      </c>
      <c r="D5" s="166" t="s">
        <v>1281</v>
      </c>
      <c r="E5" s="197" t="s">
        <v>1581</v>
      </c>
      <c r="F5" s="166"/>
      <c r="G5"/>
    </row>
    <row r="6" spans="1:10" ht="24" customHeight="1">
      <c r="A6" s="306" t="s">
        <v>1346</v>
      </c>
      <c r="B6" s="168"/>
      <c r="C6" s="147"/>
      <c r="D6" s="168"/>
      <c r="E6" s="200" t="s">
        <v>1582</v>
      </c>
      <c r="F6" s="168"/>
      <c r="G6"/>
    </row>
    <row r="7" spans="1:10" ht="20" customHeight="1" thickBot="1">
      <c r="A7" s="169">
        <v>1996</v>
      </c>
      <c r="B7" s="149">
        <v>1762.4032289372187</v>
      </c>
      <c r="C7" s="225">
        <v>1851.8696723754472</v>
      </c>
      <c r="D7" s="149">
        <v>1523.4818714963344</v>
      </c>
      <c r="E7" s="225">
        <v>1182.6582195430847</v>
      </c>
      <c r="F7" s="149">
        <v>1780.3486086417965</v>
      </c>
      <c r="G7"/>
    </row>
    <row r="8" spans="1:10" ht="20" customHeight="1" thickBot="1">
      <c r="A8" s="171">
        <v>1997</v>
      </c>
      <c r="B8" s="153">
        <v>1817.036018937014</v>
      </c>
      <c r="C8" s="228">
        <v>2136.4045612937462</v>
      </c>
      <c r="D8" s="153">
        <v>1581.5520584652863</v>
      </c>
      <c r="E8" s="228">
        <v>1393.7818327403529</v>
      </c>
      <c r="F8" s="153">
        <v>1915.3212348289387</v>
      </c>
      <c r="G8"/>
      <c r="H8" s="10"/>
      <c r="I8" s="10"/>
      <c r="J8" s="10"/>
    </row>
    <row r="9" spans="1:10" ht="20" customHeight="1" thickBot="1">
      <c r="A9" s="171">
        <v>1998</v>
      </c>
      <c r="B9" s="153">
        <v>1917.5436317431086</v>
      </c>
      <c r="C9" s="228">
        <v>2297.0275244162049</v>
      </c>
      <c r="D9" s="153">
        <v>1557.2473452823806</v>
      </c>
      <c r="E9" s="228">
        <v>1665.6859877742693</v>
      </c>
      <c r="F9" s="153">
        <v>2042.5288306988257</v>
      </c>
      <c r="G9"/>
    </row>
    <row r="10" spans="1:10" ht="20" customHeight="1" thickBot="1">
      <c r="A10" s="171">
        <v>1999</v>
      </c>
      <c r="B10" s="153">
        <v>1951.9706761523119</v>
      </c>
      <c r="C10" s="228">
        <v>2375.7795321695567</v>
      </c>
      <c r="D10" s="153">
        <v>1571.7040144277639</v>
      </c>
      <c r="E10" s="228">
        <v>1753.9237096089612</v>
      </c>
      <c r="F10" s="153">
        <v>2095.0444565648495</v>
      </c>
      <c r="G10"/>
    </row>
    <row r="11" spans="1:10" ht="20" customHeight="1" thickBot="1">
      <c r="A11" s="171">
        <v>2000</v>
      </c>
      <c r="B11" s="153">
        <v>2026.1832106468257</v>
      </c>
      <c r="C11" s="228">
        <v>2432.7132486834516</v>
      </c>
      <c r="D11" s="153">
        <v>1662.2381561512589</v>
      </c>
      <c r="E11" s="228">
        <v>1827.6377331826575</v>
      </c>
      <c r="F11" s="153">
        <v>2164.2004551705386</v>
      </c>
      <c r="G11"/>
    </row>
    <row r="12" spans="1:10" ht="20" customHeight="1" thickBot="1">
      <c r="A12" s="171">
        <v>2001</v>
      </c>
      <c r="B12" s="153">
        <v>2116.9786126133413</v>
      </c>
      <c r="C12" s="228">
        <v>2477.4021372312104</v>
      </c>
      <c r="D12" s="153">
        <v>1726.5264425650357</v>
      </c>
      <c r="E12" s="228">
        <v>1916.8896220082929</v>
      </c>
      <c r="F12" s="153">
        <v>2239.7071041635163</v>
      </c>
      <c r="G12"/>
    </row>
    <row r="13" spans="1:10" ht="20" customHeight="1" thickBot="1">
      <c r="A13" s="171">
        <v>2002</v>
      </c>
      <c r="B13" s="153">
        <v>2281.1636520290872</v>
      </c>
      <c r="C13" s="228">
        <v>2649.5868375145092</v>
      </c>
      <c r="D13" s="153">
        <v>1946.8786304470855</v>
      </c>
      <c r="E13" s="228">
        <v>2235.8137826168913</v>
      </c>
      <c r="F13" s="153">
        <v>2426.5478155180508</v>
      </c>
      <c r="G13"/>
    </row>
    <row r="14" spans="1:10" ht="20" customHeight="1" thickBot="1">
      <c r="A14" s="171">
        <v>2003</v>
      </c>
      <c r="B14" s="153">
        <v>2503.7957617703655</v>
      </c>
      <c r="C14" s="228">
        <v>2851.9007177922031</v>
      </c>
      <c r="D14" s="153">
        <v>2118.535939641698</v>
      </c>
      <c r="E14" s="228">
        <v>2204.1912741920514</v>
      </c>
      <c r="F14" s="153">
        <v>2625.1995494582311</v>
      </c>
      <c r="G14"/>
    </row>
    <row r="15" spans="1:10" ht="30" customHeight="1" thickBot="1">
      <c r="A15" s="488">
        <v>2004</v>
      </c>
      <c r="B15" s="392">
        <v>2677.3469867009662</v>
      </c>
      <c r="C15" s="393">
        <v>3075.6013654055132</v>
      </c>
      <c r="D15" s="392">
        <v>2235.9169128179801</v>
      </c>
      <c r="E15" s="393">
        <v>2403.3002809702502</v>
      </c>
      <c r="F15" s="392">
        <v>2811.604598428512</v>
      </c>
      <c r="G15" s="230"/>
    </row>
    <row r="16" spans="1:10" ht="20" customHeight="1">
      <c r="A16" s="155" t="s">
        <v>146</v>
      </c>
      <c r="B16" s="155"/>
      <c r="C16" s="155"/>
      <c r="D16" s="155"/>
      <c r="E16" s="155"/>
      <c r="F16" s="155"/>
      <c r="G16" s="4"/>
    </row>
    <row r="18" spans="1:9">
      <c r="A18" s="2" t="s">
        <v>1336</v>
      </c>
    </row>
    <row r="21" spans="1:9" ht="18">
      <c r="A21" s="515" t="s">
        <v>945</v>
      </c>
    </row>
    <row r="23" spans="1:9" ht="18" customHeight="1">
      <c r="A23" s="316" t="s">
        <v>504</v>
      </c>
      <c r="B23" s="164" t="s">
        <v>1571</v>
      </c>
      <c r="C23" s="141" t="s">
        <v>1572</v>
      </c>
      <c r="D23" s="164"/>
      <c r="E23" s="141"/>
      <c r="F23" s="164"/>
      <c r="G23" s="141" t="s">
        <v>1573</v>
      </c>
      <c r="H23" s="164" t="s">
        <v>1574</v>
      </c>
      <c r="I23" s="141" t="s">
        <v>652</v>
      </c>
    </row>
    <row r="24" spans="1:9" ht="18" customHeight="1">
      <c r="A24" s="516" t="s">
        <v>507</v>
      </c>
      <c r="B24" s="166" t="s">
        <v>1575</v>
      </c>
      <c r="C24" s="144" t="s">
        <v>1576</v>
      </c>
      <c r="D24" s="166"/>
      <c r="E24" s="197"/>
      <c r="F24" s="166"/>
      <c r="G24" s="144" t="s">
        <v>1577</v>
      </c>
      <c r="H24" s="143" t="s">
        <v>1578</v>
      </c>
      <c r="I24" s="144"/>
    </row>
    <row r="25" spans="1:9" ht="18" customHeight="1">
      <c r="A25" s="165"/>
      <c r="B25" s="166" t="s">
        <v>1579</v>
      </c>
      <c r="C25" s="447" t="s">
        <v>1580</v>
      </c>
      <c r="D25" s="446"/>
      <c r="E25" s="503"/>
      <c r="F25" s="446"/>
      <c r="G25" s="144" t="s">
        <v>1281</v>
      </c>
      <c r="H25" s="143" t="s">
        <v>1581</v>
      </c>
      <c r="I25" s="144"/>
    </row>
    <row r="26" spans="1:9" ht="18" customHeight="1">
      <c r="A26" s="167" t="s">
        <v>1250</v>
      </c>
      <c r="B26" s="168"/>
      <c r="C26" s="147"/>
      <c r="D26" s="446" t="s">
        <v>1584</v>
      </c>
      <c r="E26" s="447" t="s">
        <v>1585</v>
      </c>
      <c r="F26" s="446" t="s">
        <v>1586</v>
      </c>
      <c r="G26" s="147"/>
      <c r="H26" s="146" t="s">
        <v>1582</v>
      </c>
      <c r="I26" s="147"/>
    </row>
    <row r="27" spans="1:9" ht="18" customHeight="1" thickBot="1">
      <c r="A27" s="169">
        <v>1996</v>
      </c>
      <c r="B27" s="149" t="s">
        <v>1300</v>
      </c>
      <c r="C27" s="225" t="s">
        <v>1300</v>
      </c>
      <c r="D27" s="149" t="s">
        <v>1300</v>
      </c>
      <c r="E27" s="225" t="s">
        <v>1300</v>
      </c>
      <c r="F27" s="149" t="s">
        <v>1300</v>
      </c>
      <c r="G27" s="225" t="s">
        <v>1300</v>
      </c>
      <c r="H27" s="149" t="s">
        <v>1300</v>
      </c>
      <c r="I27" s="225" t="s">
        <v>1300</v>
      </c>
    </row>
    <row r="28" spans="1:9" ht="18" customHeight="1" thickBot="1">
      <c r="A28" s="171">
        <v>1997</v>
      </c>
      <c r="B28" s="153">
        <v>631.72</v>
      </c>
      <c r="C28" s="228">
        <v>698.99</v>
      </c>
      <c r="D28" s="153">
        <v>705.26</v>
      </c>
      <c r="E28" s="228">
        <v>729.91</v>
      </c>
      <c r="F28" s="153">
        <v>580.55999999999995</v>
      </c>
      <c r="G28" s="228">
        <v>585.37</v>
      </c>
      <c r="H28" s="153">
        <v>503.02</v>
      </c>
      <c r="I28" s="228">
        <v>635</v>
      </c>
    </row>
    <row r="29" spans="1:9" ht="18" customHeight="1" thickBot="1">
      <c r="A29" s="171">
        <v>1998</v>
      </c>
      <c r="B29" s="153">
        <v>651.27</v>
      </c>
      <c r="C29" s="228">
        <v>760.79</v>
      </c>
      <c r="D29" s="153">
        <v>777.92</v>
      </c>
      <c r="E29" s="228">
        <v>795.76</v>
      </c>
      <c r="F29" s="153">
        <v>626.49</v>
      </c>
      <c r="G29" s="228">
        <v>518.76</v>
      </c>
      <c r="H29" s="153">
        <v>519.47</v>
      </c>
      <c r="I29" s="228">
        <v>656.52</v>
      </c>
    </row>
    <row r="30" spans="1:9" ht="18" customHeight="1" thickBot="1">
      <c r="A30" s="171">
        <v>1999</v>
      </c>
      <c r="B30" s="153">
        <v>668.89</v>
      </c>
      <c r="C30" s="228">
        <v>764.58</v>
      </c>
      <c r="D30" s="153">
        <v>792.64</v>
      </c>
      <c r="E30" s="228">
        <v>786.07</v>
      </c>
      <c r="F30" s="153">
        <v>642.61</v>
      </c>
      <c r="G30" s="228">
        <v>567.98</v>
      </c>
      <c r="H30" s="153">
        <v>545.73</v>
      </c>
      <c r="I30" s="228">
        <v>671.71</v>
      </c>
    </row>
    <row r="31" spans="1:9" ht="18" customHeight="1" thickBot="1">
      <c r="A31" s="171">
        <v>2000</v>
      </c>
      <c r="B31" s="153">
        <v>692.8</v>
      </c>
      <c r="C31" s="228">
        <v>780.96</v>
      </c>
      <c r="D31" s="153">
        <v>810.18</v>
      </c>
      <c r="E31" s="228">
        <v>791.16</v>
      </c>
      <c r="F31" s="153">
        <v>689.86</v>
      </c>
      <c r="G31" s="228">
        <v>589.41</v>
      </c>
      <c r="H31" s="153">
        <v>563.48</v>
      </c>
      <c r="I31" s="228">
        <v>693.68</v>
      </c>
    </row>
    <row r="32" spans="1:9" ht="18" customHeight="1" thickBot="1">
      <c r="A32" s="171">
        <v>2001</v>
      </c>
      <c r="B32" s="153">
        <v>731.18</v>
      </c>
      <c r="C32" s="228">
        <v>792.38</v>
      </c>
      <c r="D32" s="153">
        <v>822.62</v>
      </c>
      <c r="E32" s="228">
        <v>801.17</v>
      </c>
      <c r="F32" s="153">
        <v>714.37</v>
      </c>
      <c r="G32" s="228">
        <v>620.72</v>
      </c>
      <c r="H32" s="153">
        <v>597.34</v>
      </c>
      <c r="I32" s="228">
        <v>727.82</v>
      </c>
    </row>
    <row r="33" spans="1:10" ht="18" customHeight="1" thickBot="1">
      <c r="A33" s="171">
        <v>2002</v>
      </c>
      <c r="B33" s="153">
        <v>795.44</v>
      </c>
      <c r="C33" s="228">
        <v>824.21</v>
      </c>
      <c r="D33" s="153">
        <v>870.79</v>
      </c>
      <c r="E33" s="228">
        <v>836.04</v>
      </c>
      <c r="F33" s="153">
        <v>724.14</v>
      </c>
      <c r="G33" s="228">
        <v>685.48</v>
      </c>
      <c r="H33" s="153">
        <v>655.45</v>
      </c>
      <c r="I33" s="228">
        <v>787.47</v>
      </c>
    </row>
    <row r="34" spans="1:10" ht="18" customHeight="1" thickBot="1">
      <c r="A34" s="171">
        <v>2003</v>
      </c>
      <c r="B34" s="153">
        <v>867.36</v>
      </c>
      <c r="C34" s="228">
        <v>861.07</v>
      </c>
      <c r="D34" s="153">
        <v>922.61</v>
      </c>
      <c r="E34" s="228">
        <v>872.51</v>
      </c>
      <c r="F34" s="153">
        <v>763.35</v>
      </c>
      <c r="G34" s="228">
        <v>726.44</v>
      </c>
      <c r="H34" s="153">
        <v>697.17</v>
      </c>
      <c r="I34" s="228">
        <v>852.56</v>
      </c>
    </row>
    <row r="35" spans="1:10" ht="18" customHeight="1" thickBot="1">
      <c r="A35" s="517">
        <v>2004</v>
      </c>
      <c r="B35" s="483">
        <v>910.65</v>
      </c>
      <c r="C35" s="484">
        <v>884.46</v>
      </c>
      <c r="D35" s="483">
        <v>956.02</v>
      </c>
      <c r="E35" s="484">
        <v>917.78</v>
      </c>
      <c r="F35" s="483">
        <v>791.93</v>
      </c>
      <c r="G35" s="484">
        <v>755.42</v>
      </c>
      <c r="H35" s="483">
        <v>740.37</v>
      </c>
      <c r="I35" s="484">
        <v>892.68</v>
      </c>
    </row>
    <row r="36" spans="1:10">
      <c r="A36" s="155"/>
    </row>
    <row r="38" spans="1:10" ht="18" customHeight="1">
      <c r="A38" s="316" t="s">
        <v>1587</v>
      </c>
      <c r="B38" s="164" t="s">
        <v>1571</v>
      </c>
      <c r="C38" s="141" t="s">
        <v>1572</v>
      </c>
      <c r="D38" s="164"/>
      <c r="E38" s="141"/>
      <c r="F38" s="164"/>
      <c r="G38" s="141"/>
      <c r="H38" s="164" t="s">
        <v>1573</v>
      </c>
      <c r="I38" s="141" t="s">
        <v>1574</v>
      </c>
      <c r="J38" s="164" t="s">
        <v>652</v>
      </c>
    </row>
    <row r="39" spans="1:10" ht="18" customHeight="1">
      <c r="A39" s="516" t="s">
        <v>508</v>
      </c>
      <c r="B39" s="166" t="s">
        <v>1575</v>
      </c>
      <c r="C39" s="144" t="s">
        <v>1576</v>
      </c>
      <c r="D39" s="166"/>
      <c r="E39" s="197"/>
      <c r="F39" s="166"/>
      <c r="G39" s="197"/>
      <c r="H39" s="166" t="s">
        <v>1577</v>
      </c>
      <c r="I39" s="197" t="s">
        <v>1578</v>
      </c>
      <c r="J39" s="166"/>
    </row>
    <row r="40" spans="1:10" ht="18" customHeight="1">
      <c r="A40" s="165"/>
      <c r="B40" s="166" t="s">
        <v>1579</v>
      </c>
      <c r="C40" s="447" t="s">
        <v>1580</v>
      </c>
      <c r="D40" s="446"/>
      <c r="E40" s="503"/>
      <c r="F40" s="446"/>
      <c r="G40" s="503"/>
      <c r="H40" s="166" t="s">
        <v>1281</v>
      </c>
      <c r="I40" s="197" t="s">
        <v>1581</v>
      </c>
      <c r="J40" s="166"/>
    </row>
    <row r="41" spans="1:10" ht="18" customHeight="1">
      <c r="A41" s="167" t="s">
        <v>1250</v>
      </c>
      <c r="B41" s="168"/>
      <c r="C41" s="147"/>
      <c r="D41" s="446" t="s">
        <v>1588</v>
      </c>
      <c r="E41" s="447" t="s">
        <v>1589</v>
      </c>
      <c r="F41" s="446" t="s">
        <v>1590</v>
      </c>
      <c r="G41" s="447" t="s">
        <v>1591</v>
      </c>
      <c r="H41" s="168"/>
      <c r="I41" s="200" t="s">
        <v>1582</v>
      </c>
      <c r="J41" s="168"/>
    </row>
    <row r="42" spans="1:10" ht="18" customHeight="1" thickBot="1">
      <c r="A42" s="391" t="s">
        <v>1333</v>
      </c>
      <c r="B42" s="149" t="s">
        <v>1300</v>
      </c>
      <c r="C42" s="225" t="s">
        <v>1300</v>
      </c>
      <c r="D42" s="149" t="s">
        <v>1300</v>
      </c>
      <c r="E42" s="225" t="s">
        <v>1300</v>
      </c>
      <c r="F42" s="149" t="s">
        <v>1300</v>
      </c>
      <c r="G42" s="225" t="s">
        <v>1300</v>
      </c>
      <c r="H42" s="149" t="s">
        <v>1300</v>
      </c>
      <c r="I42" s="225" t="s">
        <v>1300</v>
      </c>
      <c r="J42" s="149" t="s">
        <v>1300</v>
      </c>
    </row>
    <row r="43" spans="1:10" ht="18" customHeight="1" thickBot="1">
      <c r="A43" s="152" t="s">
        <v>1334</v>
      </c>
      <c r="B43" s="153">
        <v>1651.46</v>
      </c>
      <c r="C43" s="228">
        <v>1656.13</v>
      </c>
      <c r="D43" s="153">
        <v>1679.39</v>
      </c>
      <c r="E43" s="228">
        <v>1742.94</v>
      </c>
      <c r="F43" s="153">
        <v>1522.11</v>
      </c>
      <c r="G43" s="228">
        <v>1252.75</v>
      </c>
      <c r="H43" s="153">
        <v>1165.8699999999999</v>
      </c>
      <c r="I43" s="228">
        <v>1315.82</v>
      </c>
      <c r="J43" s="153">
        <v>1640.15</v>
      </c>
    </row>
    <row r="44" spans="1:10" ht="18" customHeight="1" thickBot="1">
      <c r="A44" s="171">
        <v>1998</v>
      </c>
      <c r="B44" s="153">
        <v>1811.07</v>
      </c>
      <c r="C44" s="228">
        <v>1791.68</v>
      </c>
      <c r="D44" s="153">
        <v>1798.77</v>
      </c>
      <c r="E44" s="228">
        <v>1920.91</v>
      </c>
      <c r="F44" s="153">
        <v>1905.97</v>
      </c>
      <c r="G44" s="228">
        <v>1375.18</v>
      </c>
      <c r="H44" s="153">
        <v>1254.44</v>
      </c>
      <c r="I44" s="228">
        <v>1519.2</v>
      </c>
      <c r="J44" s="153">
        <v>1784.45</v>
      </c>
    </row>
    <row r="45" spans="1:10" ht="18" customHeight="1" thickBot="1">
      <c r="A45" s="171">
        <v>1999</v>
      </c>
      <c r="B45" s="153">
        <v>1787.86</v>
      </c>
      <c r="C45" s="228">
        <v>1891.33</v>
      </c>
      <c r="D45" s="153">
        <v>1953.09</v>
      </c>
      <c r="E45" s="228">
        <v>1962.19</v>
      </c>
      <c r="F45" s="153">
        <v>1631.58</v>
      </c>
      <c r="G45" s="228">
        <v>1395.42</v>
      </c>
      <c r="H45" s="153">
        <v>1319.45</v>
      </c>
      <c r="I45" s="228">
        <v>1545.48</v>
      </c>
      <c r="J45" s="153">
        <v>1815.15</v>
      </c>
    </row>
    <row r="46" spans="1:10" ht="18" customHeight="1" thickBot="1">
      <c r="A46" s="171">
        <v>2000</v>
      </c>
      <c r="B46" s="153">
        <v>1783.47</v>
      </c>
      <c r="C46" s="228">
        <v>1887.28</v>
      </c>
      <c r="D46" s="153">
        <v>1971.89</v>
      </c>
      <c r="E46" s="228">
        <v>1958.51</v>
      </c>
      <c r="F46" s="153">
        <v>1603.35</v>
      </c>
      <c r="G46" s="228">
        <v>1402.63</v>
      </c>
      <c r="H46" s="153">
        <v>1314.66</v>
      </c>
      <c r="I46" s="228">
        <v>1536.83</v>
      </c>
      <c r="J46" s="153">
        <v>1808.28</v>
      </c>
    </row>
    <row r="47" spans="1:10" ht="18" customHeight="1" thickBot="1">
      <c r="A47" s="171">
        <v>2001</v>
      </c>
      <c r="B47" s="153">
        <v>1864.61</v>
      </c>
      <c r="C47" s="228">
        <v>1850.57</v>
      </c>
      <c r="D47" s="153">
        <v>1968.04</v>
      </c>
      <c r="E47" s="228">
        <v>1910.58</v>
      </c>
      <c r="F47" s="153">
        <v>1590.24</v>
      </c>
      <c r="G47" s="228">
        <v>1383.98</v>
      </c>
      <c r="H47" s="153" t="s">
        <v>1300</v>
      </c>
      <c r="I47" s="228">
        <v>1540.62</v>
      </c>
      <c r="J47" s="153">
        <v>1832.96</v>
      </c>
    </row>
    <row r="48" spans="1:10" ht="18" customHeight="1" thickBot="1">
      <c r="A48" s="171">
        <v>2002</v>
      </c>
      <c r="B48" s="153">
        <v>2115.08</v>
      </c>
      <c r="C48" s="228">
        <v>2017.86</v>
      </c>
      <c r="D48" s="153">
        <v>2196.44</v>
      </c>
      <c r="E48" s="228">
        <v>2100.8200000000002</v>
      </c>
      <c r="F48" s="153">
        <v>1746.23</v>
      </c>
      <c r="G48" s="228">
        <v>1515.03</v>
      </c>
      <c r="H48" s="153" t="s">
        <v>1300</v>
      </c>
      <c r="I48" s="228">
        <v>1744.03</v>
      </c>
      <c r="J48" s="153">
        <v>2041.33</v>
      </c>
    </row>
    <row r="49" spans="1:10" ht="18" customHeight="1" thickBot="1">
      <c r="A49" s="171">
        <v>2003</v>
      </c>
      <c r="B49" s="153">
        <v>2434.64</v>
      </c>
      <c r="C49" s="228">
        <v>2224.9299999999998</v>
      </c>
      <c r="D49" s="153">
        <v>2509.23</v>
      </c>
      <c r="E49" s="228">
        <v>2379.39</v>
      </c>
      <c r="F49" s="153">
        <v>1962.87</v>
      </c>
      <c r="G49" s="228">
        <v>1717.1</v>
      </c>
      <c r="H49" s="153" t="s">
        <v>1300</v>
      </c>
      <c r="I49" s="228">
        <v>1931.59</v>
      </c>
      <c r="J49" s="153">
        <v>2294.29</v>
      </c>
    </row>
    <row r="50" spans="1:10" ht="18" customHeight="1" thickBot="1">
      <c r="A50" s="517">
        <v>2004</v>
      </c>
      <c r="B50" s="483">
        <v>2653.83</v>
      </c>
      <c r="C50" s="484">
        <v>2463.4499999999998</v>
      </c>
      <c r="D50" s="483">
        <v>2766.34</v>
      </c>
      <c r="E50" s="484">
        <v>2675.13</v>
      </c>
      <c r="F50" s="483">
        <v>2236.17</v>
      </c>
      <c r="G50" s="484">
        <v>2069.9699999999998</v>
      </c>
      <c r="H50" s="483" t="s">
        <v>1300</v>
      </c>
      <c r="I50" s="484">
        <v>2142.5700000000002</v>
      </c>
      <c r="J50" s="483">
        <v>2519.3000000000002</v>
      </c>
    </row>
    <row r="51" spans="1:10">
      <c r="H51" s="5"/>
      <c r="I51" s="5"/>
      <c r="J51" s="5"/>
    </row>
    <row r="52" spans="1:10">
      <c r="H52" s="5"/>
      <c r="I52" s="5"/>
      <c r="J52" s="5"/>
    </row>
    <row r="53" spans="1:10" ht="18.75" customHeight="1">
      <c r="A53" s="316" t="s">
        <v>1592</v>
      </c>
      <c r="B53" s="164" t="s">
        <v>1571</v>
      </c>
      <c r="C53" s="141" t="s">
        <v>1572</v>
      </c>
      <c r="D53" s="164"/>
      <c r="E53" s="141"/>
      <c r="F53" s="164"/>
      <c r="G53" s="141"/>
      <c r="H53" s="164" t="s">
        <v>1573</v>
      </c>
      <c r="I53" s="141" t="s">
        <v>1574</v>
      </c>
      <c r="J53" s="164" t="s">
        <v>652</v>
      </c>
    </row>
    <row r="54" spans="1:10" ht="18.75" customHeight="1">
      <c r="A54" s="516" t="s">
        <v>1593</v>
      </c>
      <c r="B54" s="166" t="s">
        <v>1575</v>
      </c>
      <c r="C54" s="144" t="s">
        <v>1576</v>
      </c>
      <c r="D54" s="166"/>
      <c r="E54" s="197"/>
      <c r="F54" s="166"/>
      <c r="G54" s="197"/>
      <c r="H54" s="166" t="s">
        <v>1577</v>
      </c>
      <c r="I54" s="197" t="s">
        <v>1578</v>
      </c>
      <c r="J54" s="166"/>
    </row>
    <row r="55" spans="1:10" ht="18.75" customHeight="1">
      <c r="A55" s="165"/>
      <c r="B55" s="166" t="s">
        <v>1579</v>
      </c>
      <c r="C55" s="447" t="s">
        <v>1580</v>
      </c>
      <c r="D55" s="446"/>
      <c r="E55" s="503"/>
      <c r="F55" s="446"/>
      <c r="G55" s="503"/>
      <c r="H55" s="166" t="s">
        <v>1281</v>
      </c>
      <c r="I55" s="197" t="s">
        <v>1581</v>
      </c>
      <c r="J55" s="166"/>
    </row>
    <row r="56" spans="1:10" ht="18.75" customHeight="1">
      <c r="A56" s="167" t="s">
        <v>1250</v>
      </c>
      <c r="B56" s="168"/>
      <c r="C56" s="147"/>
      <c r="D56" s="446" t="s">
        <v>1588</v>
      </c>
      <c r="E56" s="447" t="s">
        <v>1589</v>
      </c>
      <c r="F56" s="446" t="s">
        <v>1590</v>
      </c>
      <c r="G56" s="447" t="s">
        <v>1591</v>
      </c>
      <c r="H56" s="168"/>
      <c r="I56" s="200" t="s">
        <v>1582</v>
      </c>
      <c r="J56" s="168"/>
    </row>
    <row r="57" spans="1:10" ht="18.75" customHeight="1" thickBot="1">
      <c r="A57" s="391" t="s">
        <v>1333</v>
      </c>
      <c r="B57" s="149" t="s">
        <v>1300</v>
      </c>
      <c r="C57" s="225" t="s">
        <v>1300</v>
      </c>
      <c r="D57" s="149" t="s">
        <v>1300</v>
      </c>
      <c r="E57" s="225" t="s">
        <v>1300</v>
      </c>
      <c r="F57" s="149" t="s">
        <v>1300</v>
      </c>
      <c r="G57" s="225" t="s">
        <v>1300</v>
      </c>
      <c r="H57" s="149" t="s">
        <v>1300</v>
      </c>
      <c r="I57" s="225" t="s">
        <v>1300</v>
      </c>
      <c r="J57" s="149" t="s">
        <v>1300</v>
      </c>
    </row>
    <row r="58" spans="1:10" ht="18.75" customHeight="1" thickBot="1">
      <c r="A58" s="152" t="s">
        <v>1334</v>
      </c>
      <c r="B58" s="153">
        <v>2436.63</v>
      </c>
      <c r="C58" s="228">
        <v>2292.0500000000002</v>
      </c>
      <c r="D58" s="153">
        <v>2360.75</v>
      </c>
      <c r="E58" s="228">
        <v>2313.81</v>
      </c>
      <c r="F58" s="153">
        <v>2071.71</v>
      </c>
      <c r="G58" s="228">
        <v>1676.99</v>
      </c>
      <c r="H58" s="153">
        <v>1646.6</v>
      </c>
      <c r="I58" s="228">
        <v>1872.69</v>
      </c>
      <c r="J58" s="153">
        <v>2340.06</v>
      </c>
    </row>
    <row r="59" spans="1:10" ht="18.75" customHeight="1" thickBot="1">
      <c r="A59" s="171">
        <v>1998</v>
      </c>
      <c r="B59" s="153">
        <v>2590.79</v>
      </c>
      <c r="C59" s="228">
        <v>2501.2399999999998</v>
      </c>
      <c r="D59" s="153">
        <v>2616.36</v>
      </c>
      <c r="E59" s="228">
        <v>2529.06</v>
      </c>
      <c r="F59" s="153">
        <v>2216.5500000000002</v>
      </c>
      <c r="G59" s="228">
        <v>1799.04</v>
      </c>
      <c r="H59" s="153">
        <v>1655.82</v>
      </c>
      <c r="I59" s="228">
        <v>2060.8200000000002</v>
      </c>
      <c r="J59" s="153">
        <v>2512.02</v>
      </c>
    </row>
    <row r="60" spans="1:10" ht="18.75" customHeight="1" thickBot="1">
      <c r="A60" s="171">
        <v>1999</v>
      </c>
      <c r="B60" s="153">
        <v>2664.42</v>
      </c>
      <c r="C60" s="228">
        <v>2559.23</v>
      </c>
      <c r="D60" s="153">
        <v>2701.75</v>
      </c>
      <c r="E60" s="228">
        <v>2587.62</v>
      </c>
      <c r="F60" s="153">
        <v>2212.63</v>
      </c>
      <c r="G60" s="228">
        <v>1870.11</v>
      </c>
      <c r="H60" s="153">
        <v>1701.12</v>
      </c>
      <c r="I60" s="228">
        <v>2138.92</v>
      </c>
      <c r="J60" s="153">
        <v>2575.1999999999998</v>
      </c>
    </row>
    <row r="61" spans="1:10" ht="18.75" customHeight="1" thickBot="1">
      <c r="A61" s="171">
        <v>2000</v>
      </c>
      <c r="B61" s="153">
        <v>2783.82</v>
      </c>
      <c r="C61" s="228">
        <v>2623.77</v>
      </c>
      <c r="D61" s="153">
        <v>2800.43</v>
      </c>
      <c r="E61" s="228">
        <v>2679.21</v>
      </c>
      <c r="F61" s="153">
        <v>2288.09</v>
      </c>
      <c r="G61" s="228">
        <v>1944.77</v>
      </c>
      <c r="H61" s="153">
        <v>1709.08</v>
      </c>
      <c r="I61" s="228">
        <v>2213.5300000000002</v>
      </c>
      <c r="J61" s="153">
        <v>2662.32</v>
      </c>
    </row>
    <row r="62" spans="1:10" ht="18.75" customHeight="1" thickBot="1">
      <c r="A62" s="171">
        <v>2001</v>
      </c>
      <c r="B62" s="153">
        <v>2936.16</v>
      </c>
      <c r="C62" s="228">
        <v>2709.13</v>
      </c>
      <c r="D62" s="153">
        <v>2944.07</v>
      </c>
      <c r="E62" s="228">
        <v>2805.38</v>
      </c>
      <c r="F62" s="153">
        <v>2402.21</v>
      </c>
      <c r="G62" s="228">
        <v>2010.23</v>
      </c>
      <c r="H62" s="153">
        <v>1806.6</v>
      </c>
      <c r="I62" s="228">
        <v>2304.65</v>
      </c>
      <c r="J62" s="153">
        <v>2775.24</v>
      </c>
    </row>
    <row r="63" spans="1:10" ht="18.75" customHeight="1" thickBot="1">
      <c r="A63" s="171">
        <v>2002</v>
      </c>
      <c r="B63" s="153">
        <v>3187.69</v>
      </c>
      <c r="C63" s="228">
        <v>2897.84</v>
      </c>
      <c r="D63" s="153">
        <v>3217.85</v>
      </c>
      <c r="E63" s="228">
        <v>3044.51</v>
      </c>
      <c r="F63" s="153">
        <v>2598.2399999999998</v>
      </c>
      <c r="G63" s="228">
        <v>2173.9899999999998</v>
      </c>
      <c r="H63" s="153">
        <v>2029.69</v>
      </c>
      <c r="I63" s="228">
        <v>2498.9299999999998</v>
      </c>
      <c r="J63" s="153">
        <v>2988.54</v>
      </c>
    </row>
    <row r="64" spans="1:10" ht="18.75" customHeight="1" thickBot="1">
      <c r="A64" s="171">
        <v>2003</v>
      </c>
      <c r="B64" s="153">
        <v>3484.97</v>
      </c>
      <c r="C64" s="228">
        <v>3082.04</v>
      </c>
      <c r="D64" s="153">
        <v>3495.22</v>
      </c>
      <c r="E64" s="228">
        <v>3307.52</v>
      </c>
      <c r="F64" s="153">
        <v>2818.6</v>
      </c>
      <c r="G64" s="228">
        <v>2370.56</v>
      </c>
      <c r="H64" s="153">
        <v>2182.84</v>
      </c>
      <c r="I64" s="228">
        <v>2655.45</v>
      </c>
      <c r="J64" s="153">
        <v>3212.78</v>
      </c>
    </row>
    <row r="65" spans="1:10" ht="18.75" customHeight="1" thickBot="1">
      <c r="A65" s="517">
        <v>2004</v>
      </c>
      <c r="B65" s="483">
        <v>3676.51</v>
      </c>
      <c r="C65" s="484">
        <v>3318.93</v>
      </c>
      <c r="D65" s="483">
        <v>3747.66</v>
      </c>
      <c r="E65" s="484">
        <v>3578.94</v>
      </c>
      <c r="F65" s="483">
        <v>3120.64</v>
      </c>
      <c r="G65" s="484">
        <v>2708.34</v>
      </c>
      <c r="H65" s="483">
        <v>2323.6</v>
      </c>
      <c r="I65" s="484">
        <v>2890.14</v>
      </c>
      <c r="J65" s="483">
        <v>3430.62</v>
      </c>
    </row>
    <row r="66" spans="1:10" ht="15" customHeight="1">
      <c r="A66" s="493" t="s">
        <v>1594</v>
      </c>
    </row>
    <row r="68" spans="1:10">
      <c r="A68" s="89" t="str">
        <f>A18</f>
        <v>Quelle: T 1.10 + 1.20</v>
      </c>
    </row>
    <row r="70" spans="1:10">
      <c r="A70" s="2" t="s">
        <v>1332</v>
      </c>
    </row>
    <row r="73" spans="1:10">
      <c r="A73" s="2" t="s">
        <v>104</v>
      </c>
    </row>
  </sheetData>
  <mergeCells count="1">
    <mergeCell ref="A2:E2"/>
  </mergeCells>
  <phoneticPr fontId="0" type="noConversion"/>
  <pageMargins left="0.56000000000000005" right="0.54" top="0.74" bottom="0.49" header="0.42" footer="0.4921259845"/>
  <pageSetup paperSize="9" scale="60" orientation="portrait" horizontalDpi="1200" verticalDpi="1200"/>
  <headerFooter alignWithMargins="0">
    <oddHeader>&amp;L&amp;"Arial,Bold"Versicherte und Finanzen in der OKP</oddHead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15891-A368-904F-992D-6897A2EFB1CA}">
  <sheetPr>
    <pageSetUpPr fitToPage="1"/>
  </sheetPr>
  <dimension ref="A1:K24"/>
  <sheetViews>
    <sheetView zoomScale="75" workbookViewId="0">
      <selection activeCell="A19" sqref="A19"/>
    </sheetView>
  </sheetViews>
  <sheetFormatPr baseColWidth="10" defaultColWidth="11.3984375" defaultRowHeight="13"/>
  <cols>
    <col min="1" max="1" width="20.796875" style="2" customWidth="1"/>
    <col min="2" max="5" width="14" style="2" customWidth="1"/>
    <col min="6" max="6" width="14.796875" style="2" customWidth="1"/>
    <col min="7" max="7" width="13.796875" style="2" customWidth="1"/>
    <col min="8" max="16384" width="11.3984375" style="2"/>
  </cols>
  <sheetData>
    <row r="1" spans="1:11" s="1" customFormat="1" ht="14" customHeight="1"/>
    <row r="2" spans="1:11" s="1" customFormat="1" ht="28" customHeight="1">
      <c r="A2" s="178" t="s">
        <v>1198</v>
      </c>
      <c r="G2" s="445">
        <v>2004</v>
      </c>
    </row>
    <row r="3" spans="1:11" ht="24" customHeight="1">
      <c r="A3" s="139" t="s">
        <v>1549</v>
      </c>
      <c r="B3" s="164" t="s">
        <v>2063</v>
      </c>
      <c r="C3" s="141" t="s">
        <v>2064</v>
      </c>
      <c r="D3" s="164" t="s">
        <v>506</v>
      </c>
      <c r="E3" s="141" t="s">
        <v>504</v>
      </c>
      <c r="F3" s="164" t="s">
        <v>652</v>
      </c>
      <c r="G3" s="141" t="s">
        <v>451</v>
      </c>
    </row>
    <row r="4" spans="1:11" ht="15" customHeight="1">
      <c r="A4" s="165"/>
      <c r="B4" s="166"/>
      <c r="C4" s="144"/>
      <c r="D4" s="166"/>
      <c r="E4" s="197"/>
      <c r="F4" s="166"/>
      <c r="G4" s="144" t="s">
        <v>486</v>
      </c>
    </row>
    <row r="5" spans="1:11" ht="15" customHeight="1">
      <c r="A5" s="165"/>
      <c r="B5" s="166"/>
      <c r="C5" s="144"/>
      <c r="D5" s="166"/>
      <c r="E5" s="197"/>
      <c r="F5" s="166"/>
      <c r="G5" s="144" t="s">
        <v>454</v>
      </c>
    </row>
    <row r="6" spans="1:11" ht="24" customHeight="1">
      <c r="A6" s="167"/>
      <c r="B6" s="168"/>
      <c r="C6" s="147"/>
      <c r="D6" s="168"/>
      <c r="E6" s="200"/>
      <c r="F6" s="168"/>
      <c r="G6" s="147"/>
    </row>
    <row r="7" spans="1:11" ht="21.75" customHeight="1" thickBot="1">
      <c r="A7" s="169">
        <v>1996</v>
      </c>
      <c r="B7" s="149">
        <v>2792349</v>
      </c>
      <c r="C7" s="225">
        <v>2968829</v>
      </c>
      <c r="D7" s="149">
        <v>5761178</v>
      </c>
      <c r="E7" s="225">
        <v>1471489</v>
      </c>
      <c r="F7" s="149">
        <v>7232667</v>
      </c>
      <c r="G7" s="150">
        <v>1.8350297937143788E-2</v>
      </c>
    </row>
    <row r="8" spans="1:11" ht="20" customHeight="1" thickBot="1">
      <c r="A8" s="171">
        <v>1997</v>
      </c>
      <c r="B8" s="153">
        <v>2750986</v>
      </c>
      <c r="C8" s="228">
        <v>2929423</v>
      </c>
      <c r="D8" s="153">
        <v>5680409</v>
      </c>
      <c r="E8" s="228">
        <v>1556062</v>
      </c>
      <c r="F8" s="153">
        <v>7236471</v>
      </c>
      <c r="G8" s="154">
        <v>5.2594706765844463E-4</v>
      </c>
      <c r="I8" s="10"/>
      <c r="J8" s="10"/>
      <c r="K8" s="10"/>
    </row>
    <row r="9" spans="1:11" ht="20" customHeight="1" thickBot="1">
      <c r="A9" s="171">
        <v>1998</v>
      </c>
      <c r="B9" s="153">
        <v>2746839</v>
      </c>
      <c r="C9" s="228">
        <v>2927739</v>
      </c>
      <c r="D9" s="153">
        <v>5674578</v>
      </c>
      <c r="E9" s="228">
        <v>1572038</v>
      </c>
      <c r="F9" s="153">
        <v>7246616</v>
      </c>
      <c r="G9" s="154">
        <v>1.401926436242196E-3</v>
      </c>
    </row>
    <row r="10" spans="1:11" ht="20" customHeight="1" thickBot="1">
      <c r="A10" s="171">
        <v>1999</v>
      </c>
      <c r="B10" s="153">
        <v>2760031</v>
      </c>
      <c r="C10" s="228">
        <v>2940891</v>
      </c>
      <c r="D10" s="153">
        <v>5700922</v>
      </c>
      <c r="E10" s="228">
        <v>1569600</v>
      </c>
      <c r="F10" s="153">
        <v>7270522</v>
      </c>
      <c r="G10" s="154">
        <v>3.298919109278041E-3</v>
      </c>
    </row>
    <row r="11" spans="1:11" ht="20" customHeight="1" thickBot="1">
      <c r="A11" s="171">
        <v>2000</v>
      </c>
      <c r="B11" s="153">
        <v>2758998</v>
      </c>
      <c r="C11" s="228">
        <v>2947662</v>
      </c>
      <c r="D11" s="153">
        <v>5706660</v>
      </c>
      <c r="E11" s="228">
        <v>1558453</v>
      </c>
      <c r="F11" s="153">
        <v>7265113</v>
      </c>
      <c r="G11" s="154">
        <v>-7.4396308820742166E-4</v>
      </c>
    </row>
    <row r="12" spans="1:11" ht="20" customHeight="1" thickBot="1">
      <c r="A12" s="171">
        <v>2001</v>
      </c>
      <c r="B12" s="153">
        <v>2778660</v>
      </c>
      <c r="C12" s="228">
        <v>2968477</v>
      </c>
      <c r="D12" s="153">
        <v>5747137</v>
      </c>
      <c r="E12" s="228">
        <v>1553913</v>
      </c>
      <c r="F12" s="153">
        <v>7301050</v>
      </c>
      <c r="G12" s="154">
        <v>4.9465163170896312E-3</v>
      </c>
    </row>
    <row r="13" spans="1:11" ht="20" customHeight="1" thickBot="1">
      <c r="A13" s="171">
        <v>2002</v>
      </c>
      <c r="B13" s="153">
        <v>2803463</v>
      </c>
      <c r="C13" s="228">
        <v>2992002</v>
      </c>
      <c r="D13" s="153">
        <v>5795465</v>
      </c>
      <c r="E13" s="228">
        <v>1549167</v>
      </c>
      <c r="F13" s="153">
        <v>7344632</v>
      </c>
      <c r="G13" s="154">
        <v>5.9692783914642418E-3</v>
      </c>
    </row>
    <row r="14" spans="1:11" ht="20" customHeight="1" thickBot="1">
      <c r="A14" s="171">
        <v>2003</v>
      </c>
      <c r="B14" s="153">
        <v>2880411</v>
      </c>
      <c r="C14" s="228">
        <v>2950352</v>
      </c>
      <c r="D14" s="153">
        <v>5830763</v>
      </c>
      <c r="E14" s="228">
        <v>1541742</v>
      </c>
      <c r="F14" s="153">
        <v>7372505</v>
      </c>
      <c r="G14" s="154">
        <v>3.7950165508632699E-3</v>
      </c>
    </row>
    <row r="15" spans="1:11" ht="30" customHeight="1" thickBot="1">
      <c r="A15" s="488">
        <v>2004</v>
      </c>
      <c r="B15" s="392">
        <v>2832331</v>
      </c>
      <c r="C15" s="393">
        <v>3021580</v>
      </c>
      <c r="D15" s="392">
        <v>5853911</v>
      </c>
      <c r="E15" s="393">
        <v>1529663</v>
      </c>
      <c r="F15" s="392">
        <v>7383574</v>
      </c>
      <c r="G15" s="204">
        <v>1.5013892835610148E-3</v>
      </c>
    </row>
    <row r="16" spans="1:11" ht="20" customHeight="1">
      <c r="A16" s="155" t="s">
        <v>146</v>
      </c>
      <c r="B16" s="489"/>
      <c r="C16" s="489"/>
      <c r="D16" s="489"/>
      <c r="E16" s="489"/>
      <c r="F16" s="489"/>
      <c r="G16" s="490"/>
    </row>
    <row r="17" spans="1:7" ht="20" customHeight="1">
      <c r="A17" s="4"/>
      <c r="B17" s="491"/>
      <c r="C17" s="491"/>
      <c r="D17" s="491"/>
      <c r="E17" s="491"/>
      <c r="F17" s="491"/>
      <c r="G17" s="492"/>
    </row>
    <row r="18" spans="1:7" ht="12.75" customHeight="1">
      <c r="A18" s="632" t="s">
        <v>1195</v>
      </c>
      <c r="B18" s="491"/>
      <c r="C18" s="491"/>
      <c r="D18" s="491"/>
      <c r="E18" s="491"/>
      <c r="F18" s="491"/>
      <c r="G18" s="492"/>
    </row>
    <row r="19" spans="1:7" ht="12.75" customHeight="1">
      <c r="A19" s="473" t="s">
        <v>1196</v>
      </c>
    </row>
    <row r="21" spans="1:7">
      <c r="A21" s="2" t="s">
        <v>1197</v>
      </c>
    </row>
    <row r="24" spans="1:7">
      <c r="A24" s="2" t="s">
        <v>104</v>
      </c>
    </row>
  </sheetData>
  <phoneticPr fontId="0" type="noConversion"/>
  <pageMargins left="0.5" right="0.49" top="1.03" bottom="0.49" header="0.56000000000000005" footer="0.4921259845"/>
  <pageSetup paperSize="9" scale="89" orientation="portrait" horizontalDpi="1200" verticalDpi="1200"/>
  <headerFooter alignWithMargins="0">
    <oddHeader>&amp;L&amp;"Arial,Bold"Versicherte und Finanzen in der OKP</oddHead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9397E-37A8-0E45-85AE-7437A6F0A370}">
  <sheetPr>
    <pageSetUpPr fitToPage="1"/>
  </sheetPr>
  <dimension ref="A1:U57"/>
  <sheetViews>
    <sheetView zoomScale="75" workbookViewId="0"/>
  </sheetViews>
  <sheetFormatPr baseColWidth="10" defaultColWidth="11.3984375" defaultRowHeight="13"/>
  <cols>
    <col min="1" max="1" width="3.796875" style="2" customWidth="1"/>
    <col min="2" max="2" width="3.19921875" style="2" customWidth="1"/>
    <col min="3" max="3" width="53.59765625" style="2" customWidth="1"/>
    <col min="4" max="5" width="10.796875" style="886" customWidth="1"/>
    <col min="6" max="8" width="10.796875" style="2" customWidth="1"/>
    <col min="9" max="9" width="10.796875" style="219" customWidth="1"/>
    <col min="10" max="10" width="10.796875" style="2" customWidth="1"/>
    <col min="11" max="11" width="10.796875" style="219" customWidth="1"/>
    <col min="12" max="12" width="10.3984375" style="219" customWidth="1"/>
    <col min="13" max="13" width="3.796875" style="2" customWidth="1"/>
    <col min="14" max="14" width="11" style="2" customWidth="1"/>
    <col min="15" max="15" width="11.19921875" style="2" customWidth="1"/>
    <col min="16" max="16" width="4.19921875" style="2" customWidth="1"/>
    <col min="17" max="18" width="9.796875" style="2" customWidth="1"/>
    <col min="19" max="19" width="3.796875" style="2" customWidth="1"/>
    <col min="20" max="20" width="11.19921875" style="2" customWidth="1"/>
    <col min="21" max="16384" width="11.3984375" style="2"/>
  </cols>
  <sheetData>
    <row r="1" spans="2:21" ht="18">
      <c r="C1" s="805"/>
      <c r="D1" s="806"/>
      <c r="E1" s="806"/>
      <c r="F1" s="394"/>
      <c r="G1" s="394"/>
      <c r="H1" s="394"/>
      <c r="I1" s="665"/>
      <c r="K1" s="665"/>
      <c r="L1" s="665"/>
    </row>
    <row r="2" spans="2:21" ht="26.25" customHeight="1">
      <c r="B2" s="807" t="s">
        <v>1441</v>
      </c>
      <c r="C2" s="807"/>
      <c r="D2" s="808"/>
      <c r="E2" s="808"/>
      <c r="F2" s="809"/>
      <c r="G2" s="809"/>
      <c r="H2" s="809"/>
      <c r="I2" s="810"/>
      <c r="J2" s="810"/>
      <c r="K2" s="810"/>
      <c r="L2" s="810"/>
      <c r="M2" s="811"/>
      <c r="N2" s="811"/>
      <c r="O2" s="811"/>
      <c r="P2" s="811"/>
      <c r="Q2" s="811"/>
      <c r="R2" s="445"/>
      <c r="S2" s="811"/>
      <c r="T2" s="445"/>
      <c r="U2" s="445">
        <v>2004</v>
      </c>
    </row>
    <row r="3" spans="2:21" ht="72.75" customHeight="1">
      <c r="B3" s="812"/>
      <c r="C3" s="813" t="s">
        <v>1442</v>
      </c>
      <c r="D3" s="814">
        <v>1996</v>
      </c>
      <c r="E3" s="813">
        <v>1997</v>
      </c>
      <c r="F3" s="814">
        <v>1998</v>
      </c>
      <c r="G3" s="813">
        <v>1999</v>
      </c>
      <c r="H3" s="814">
        <v>2000</v>
      </c>
      <c r="I3" s="323">
        <v>2001</v>
      </c>
      <c r="J3" s="361">
        <v>2002</v>
      </c>
      <c r="K3" s="323">
        <v>2003</v>
      </c>
      <c r="L3" s="361">
        <v>2004</v>
      </c>
      <c r="M3" s="815"/>
      <c r="N3" s="816" t="s">
        <v>1443</v>
      </c>
      <c r="O3" s="817" t="s">
        <v>1444</v>
      </c>
      <c r="P3" s="818"/>
      <c r="Q3" s="819" t="s">
        <v>99</v>
      </c>
      <c r="R3" s="820" t="s">
        <v>100</v>
      </c>
      <c r="S3" s="815"/>
      <c r="T3" s="821" t="s">
        <v>101</v>
      </c>
      <c r="U3" s="923" t="s">
        <v>102</v>
      </c>
    </row>
    <row r="4" spans="2:21" ht="14" customHeight="1">
      <c r="B4" s="812"/>
      <c r="C4" s="813"/>
      <c r="D4" s="814"/>
      <c r="E4" s="813"/>
      <c r="F4" s="814"/>
      <c r="G4" s="813"/>
      <c r="H4" s="814"/>
      <c r="I4" s="323"/>
      <c r="J4" s="822"/>
      <c r="K4" s="323"/>
      <c r="L4" s="361"/>
      <c r="M4" s="815"/>
      <c r="N4" s="813"/>
      <c r="O4" s="814"/>
      <c r="P4" s="823"/>
      <c r="Q4" s="813"/>
      <c r="R4" s="361"/>
      <c r="S4" s="815"/>
      <c r="T4" s="824"/>
      <c r="U4" s="924"/>
    </row>
    <row r="5" spans="2:21" ht="9.75" customHeight="1">
      <c r="B5" s="825"/>
      <c r="C5" s="826"/>
      <c r="D5" s="827"/>
      <c r="E5" s="826"/>
      <c r="F5" s="827"/>
      <c r="G5" s="826"/>
      <c r="H5" s="827"/>
      <c r="I5" s="325"/>
      <c r="J5" s="828"/>
      <c r="K5" s="325"/>
      <c r="L5" s="364"/>
      <c r="M5" s="829"/>
      <c r="N5" s="830"/>
      <c r="O5" s="828"/>
      <c r="P5" s="831"/>
      <c r="Q5" s="830"/>
      <c r="R5" s="364"/>
      <c r="S5" s="829"/>
      <c r="T5" s="832"/>
      <c r="U5" s="925"/>
    </row>
    <row r="6" spans="2:21" ht="20" customHeight="1" thickBot="1">
      <c r="B6" s="833">
        <v>1</v>
      </c>
      <c r="C6" s="834" t="s">
        <v>1445</v>
      </c>
      <c r="D6" s="637">
        <v>145</v>
      </c>
      <c r="E6" s="638">
        <v>129</v>
      </c>
      <c r="F6" s="637">
        <v>118</v>
      </c>
      <c r="G6" s="638">
        <v>109</v>
      </c>
      <c r="H6" s="637">
        <v>101</v>
      </c>
      <c r="I6" s="638">
        <v>99</v>
      </c>
      <c r="J6" s="637">
        <v>93</v>
      </c>
      <c r="K6" s="638">
        <v>93</v>
      </c>
      <c r="L6" s="835">
        <v>92</v>
      </c>
      <c r="M6" s="836"/>
      <c r="N6" s="837">
        <v>-1.0752688172043001E-2</v>
      </c>
      <c r="O6" s="838">
        <v>-5.5281373605189033E-2</v>
      </c>
      <c r="P6" s="839"/>
      <c r="Q6" s="436" t="s">
        <v>1300</v>
      </c>
      <c r="R6" s="840" t="s">
        <v>1300</v>
      </c>
      <c r="S6" s="836"/>
      <c r="T6" s="841" t="s">
        <v>1300</v>
      </c>
      <c r="U6" s="926" t="s">
        <v>1300</v>
      </c>
    </row>
    <row r="7" spans="2:21" ht="16" customHeight="1" thickBot="1">
      <c r="B7" s="842">
        <v>2</v>
      </c>
      <c r="C7" s="843" t="s">
        <v>1446</v>
      </c>
      <c r="D7" s="332">
        <v>7194.7539999999999</v>
      </c>
      <c r="E7" s="641">
        <v>7214.8050000000003</v>
      </c>
      <c r="F7" s="332">
        <v>7248.6030000000001</v>
      </c>
      <c r="G7" s="641">
        <v>7266.5339999999997</v>
      </c>
      <c r="H7" s="332">
        <v>7268.1109999999999</v>
      </c>
      <c r="I7" s="641">
        <v>7321.2870000000003</v>
      </c>
      <c r="J7" s="332">
        <v>7359.3649999999998</v>
      </c>
      <c r="K7" s="641">
        <v>7393.1880000000001</v>
      </c>
      <c r="L7" s="844">
        <v>7419.9740000000002</v>
      </c>
      <c r="M7" s="836"/>
      <c r="N7" s="837">
        <v>3.6230649078583532E-3</v>
      </c>
      <c r="O7" s="838">
        <v>3.8603575324929196E-3</v>
      </c>
      <c r="P7" s="839"/>
      <c r="Q7" s="845">
        <v>7438.9403612799988</v>
      </c>
      <c r="R7" s="846">
        <v>7591.6315208779988</v>
      </c>
      <c r="S7" s="836"/>
      <c r="T7" s="841">
        <v>2.5561223368166797E-3</v>
      </c>
      <c r="U7" s="926">
        <v>2.0525928718660547E-2</v>
      </c>
    </row>
    <row r="8" spans="2:21" ht="16" customHeight="1" thickBot="1">
      <c r="B8" s="842" t="s">
        <v>1447</v>
      </c>
      <c r="C8" s="843" t="s">
        <v>1448</v>
      </c>
      <c r="D8" s="332">
        <v>5599.991</v>
      </c>
      <c r="E8" s="641">
        <v>5669.3249999999998</v>
      </c>
      <c r="F8" s="332">
        <v>5768.6210000000001</v>
      </c>
      <c r="G8" s="641">
        <v>5833.1670000000004</v>
      </c>
      <c r="H8" s="332">
        <v>5947.0349999999999</v>
      </c>
      <c r="I8" s="641">
        <v>6043.9049999999997</v>
      </c>
      <c r="J8" s="228">
        <v>6170.7879999999996</v>
      </c>
      <c r="K8" s="641">
        <v>6105.0770000000002</v>
      </c>
      <c r="L8" s="844">
        <v>6076.2309999999998</v>
      </c>
      <c r="M8" s="836"/>
      <c r="N8" s="837">
        <v>-4.7249199313948997E-3</v>
      </c>
      <c r="O8" s="838">
        <v>1.0254673936920033E-2</v>
      </c>
      <c r="P8" s="839"/>
      <c r="Q8" s="791" t="s">
        <v>1300</v>
      </c>
      <c r="R8" s="793" t="s">
        <v>1300</v>
      </c>
      <c r="S8" s="836"/>
      <c r="T8" s="841" t="s">
        <v>1300</v>
      </c>
      <c r="U8" s="926" t="s">
        <v>1300</v>
      </c>
    </row>
    <row r="9" spans="2:21" ht="16" customHeight="1" thickBot="1">
      <c r="B9" s="842" t="s">
        <v>1449</v>
      </c>
      <c r="C9" s="843" t="s">
        <v>1450</v>
      </c>
      <c r="D9" s="847">
        <v>77.834363760039608</v>
      </c>
      <c r="E9" s="640">
        <v>78.579046834945643</v>
      </c>
      <c r="F9" s="847">
        <v>79.582520935413342</v>
      </c>
      <c r="G9" s="640">
        <v>80.274405927227477</v>
      </c>
      <c r="H9" s="847">
        <v>81.823667800340417</v>
      </c>
      <c r="I9" s="640">
        <v>82.6</v>
      </c>
      <c r="J9" s="848">
        <v>83.849462556000006</v>
      </c>
      <c r="K9" s="640">
        <v>82.577056068000005</v>
      </c>
      <c r="L9" s="849">
        <v>81.890192607000003</v>
      </c>
      <c r="M9" s="850"/>
      <c r="N9" s="837">
        <v>-8.3178487306980742E-3</v>
      </c>
      <c r="O9" s="838">
        <v>6.3697269806755052E-3</v>
      </c>
      <c r="P9" s="839"/>
      <c r="Q9" s="851" t="s">
        <v>1300</v>
      </c>
      <c r="R9" s="852" t="s">
        <v>1300</v>
      </c>
      <c r="S9" s="850"/>
      <c r="T9" s="841" t="s">
        <v>1300</v>
      </c>
      <c r="U9" s="926" t="s">
        <v>1300</v>
      </c>
    </row>
    <row r="10" spans="2:21" ht="16" customHeight="1" thickBot="1">
      <c r="B10" s="842">
        <v>4</v>
      </c>
      <c r="C10" s="843" t="s">
        <v>1451</v>
      </c>
      <c r="D10" s="332">
        <v>1117.0840000000001</v>
      </c>
      <c r="E10" s="641">
        <v>1150.1220000000001</v>
      </c>
      <c r="F10" s="332">
        <v>1154.759</v>
      </c>
      <c r="G10" s="641">
        <v>1096.0329999999999</v>
      </c>
      <c r="H10" s="332">
        <v>1097.932</v>
      </c>
      <c r="I10" s="641">
        <v>1193.3150000000001</v>
      </c>
      <c r="J10" s="228">
        <v>1207.239</v>
      </c>
      <c r="K10" s="641">
        <v>1148.028</v>
      </c>
      <c r="L10" s="844">
        <v>1196.146</v>
      </c>
      <c r="M10" s="836"/>
      <c r="N10" s="837">
        <v>4.1913611863125144E-2</v>
      </c>
      <c r="O10" s="838">
        <v>8.5845127735091342E-3</v>
      </c>
      <c r="P10" s="839"/>
      <c r="Q10" s="791" t="s">
        <v>1300</v>
      </c>
      <c r="R10" s="793" t="s">
        <v>1300</v>
      </c>
      <c r="S10" s="836"/>
      <c r="T10" s="841" t="s">
        <v>1300</v>
      </c>
      <c r="U10" s="926" t="s">
        <v>1300</v>
      </c>
    </row>
    <row r="11" spans="2:21" ht="15.75" customHeight="1" thickBot="1">
      <c r="B11" s="842">
        <v>5</v>
      </c>
      <c r="C11" s="843" t="s">
        <v>1452</v>
      </c>
      <c r="D11" s="332">
        <v>18812.841</v>
      </c>
      <c r="E11" s="641">
        <v>18987.651000000002</v>
      </c>
      <c r="F11" s="332">
        <v>17067.058000000001</v>
      </c>
      <c r="G11" s="641">
        <v>12747.16</v>
      </c>
      <c r="H11" s="332">
        <v>12447.351000000001</v>
      </c>
      <c r="I11" s="641">
        <v>12514.1</v>
      </c>
      <c r="J11" s="228">
        <v>12391.460999999999</v>
      </c>
      <c r="K11" s="641">
        <v>11395.671</v>
      </c>
      <c r="L11" s="844">
        <v>11754.955</v>
      </c>
      <c r="M11" s="836"/>
      <c r="N11" s="837">
        <v>3.1528112736845415E-2</v>
      </c>
      <c r="O11" s="838">
        <v>-5.7088737308124138E-2</v>
      </c>
      <c r="P11" s="839"/>
      <c r="Q11" s="791" t="s">
        <v>1300</v>
      </c>
      <c r="R11" s="793" t="s">
        <v>1300</v>
      </c>
      <c r="S11" s="836"/>
      <c r="T11" s="841" t="s">
        <v>1300</v>
      </c>
      <c r="U11" s="926" t="s">
        <v>1300</v>
      </c>
    </row>
    <row r="12" spans="2:21" ht="16" customHeight="1" thickBot="1">
      <c r="B12" s="842" t="s">
        <v>2182</v>
      </c>
      <c r="C12" s="843" t="s">
        <v>1453</v>
      </c>
      <c r="D12" s="332">
        <v>11130.63582</v>
      </c>
      <c r="E12" s="641">
        <v>12040.684128000001</v>
      </c>
      <c r="F12" s="332">
        <v>12708.270148</v>
      </c>
      <c r="G12" s="641">
        <v>13033.842773</v>
      </c>
      <c r="H12" s="332">
        <v>13441.654683999999</v>
      </c>
      <c r="I12" s="641">
        <v>13997.312</v>
      </c>
      <c r="J12" s="332">
        <v>15355.045232</v>
      </c>
      <c r="K12" s="641">
        <v>16820.111152000001</v>
      </c>
      <c r="L12" s="844">
        <v>18029.704831999999</v>
      </c>
      <c r="M12" s="836"/>
      <c r="N12" s="837">
        <v>7.1913536662697508E-2</v>
      </c>
      <c r="O12" s="838">
        <v>6.214444092503868E-2</v>
      </c>
      <c r="P12" s="839"/>
      <c r="Q12" s="845">
        <v>18528.759228499992</v>
      </c>
      <c r="R12" s="846">
        <v>19931.993343330003</v>
      </c>
      <c r="S12" s="836"/>
      <c r="T12" s="841">
        <v>2.7679565536438799E-2</v>
      </c>
      <c r="U12" s="926">
        <v>7.5732762109166352E-2</v>
      </c>
    </row>
    <row r="13" spans="2:21" ht="15.75" customHeight="1" thickBot="1">
      <c r="B13" s="842" t="s">
        <v>2183</v>
      </c>
      <c r="C13" s="843" t="s">
        <v>1454</v>
      </c>
      <c r="D13" s="332">
        <v>1547.0488386399313</v>
      </c>
      <c r="E13" s="641">
        <v>1668.885593997343</v>
      </c>
      <c r="F13" s="332">
        <v>1753.2026720183185</v>
      </c>
      <c r="G13" s="641">
        <v>1793.6808350446031</v>
      </c>
      <c r="H13" s="332">
        <v>1849.401403473337</v>
      </c>
      <c r="I13" s="641">
        <v>1912</v>
      </c>
      <c r="J13" s="332">
        <v>2086.4633337</v>
      </c>
      <c r="K13" s="641">
        <v>2275.0822990000001</v>
      </c>
      <c r="L13" s="844">
        <v>2429.8878718000001</v>
      </c>
      <c r="M13" s="836"/>
      <c r="N13" s="837">
        <v>6.8043944110524723E-2</v>
      </c>
      <c r="O13" s="838">
        <v>5.8059951220096995E-2</v>
      </c>
      <c r="P13" s="839"/>
      <c r="Q13" s="845">
        <v>2490.7793756410488</v>
      </c>
      <c r="R13" s="846">
        <v>2625.5217061726935</v>
      </c>
      <c r="S13" s="836"/>
      <c r="T13" s="841">
        <v>2.5059388356032164E-2</v>
      </c>
      <c r="U13" s="926">
        <v>5.4096453443198467E-2</v>
      </c>
    </row>
    <row r="14" spans="2:21" ht="18" customHeight="1" thickBot="1">
      <c r="B14" s="842" t="s">
        <v>1455</v>
      </c>
      <c r="C14" s="843" t="s">
        <v>1622</v>
      </c>
      <c r="D14" s="332">
        <v>12459.017247</v>
      </c>
      <c r="E14" s="641">
        <v>13138.477535</v>
      </c>
      <c r="F14" s="332">
        <v>14024.092651999999</v>
      </c>
      <c r="G14" s="641">
        <v>14620.510517999999</v>
      </c>
      <c r="H14" s="332">
        <v>15478.327442</v>
      </c>
      <c r="I14" s="641">
        <v>16386.46</v>
      </c>
      <c r="J14" s="332">
        <v>17095.587409</v>
      </c>
      <c r="K14" s="641">
        <v>17924.119354999999</v>
      </c>
      <c r="L14" s="844">
        <v>19139.820941000002</v>
      </c>
      <c r="M14" s="836"/>
      <c r="N14" s="837">
        <v>6.7824899060431543E-2</v>
      </c>
      <c r="O14" s="838">
        <v>5.5131917233061101E-2</v>
      </c>
      <c r="P14" s="839"/>
      <c r="Q14" s="845">
        <v>20392.193410619995</v>
      </c>
      <c r="R14" s="846">
        <v>21753.259749789999</v>
      </c>
      <c r="S14" s="836"/>
      <c r="T14" s="841">
        <v>6.5432820582832507E-2</v>
      </c>
      <c r="U14" s="926">
        <v>6.6744479701785098E-2</v>
      </c>
    </row>
    <row r="15" spans="2:21" ht="18" customHeight="1" thickBot="1">
      <c r="B15" s="842" t="s">
        <v>1456</v>
      </c>
      <c r="C15" s="843" t="s">
        <v>1623</v>
      </c>
      <c r="D15" s="332">
        <v>1731.6807839434121</v>
      </c>
      <c r="E15" s="641">
        <v>1821.0440247518818</v>
      </c>
      <c r="F15" s="332">
        <v>1934.7304097079118</v>
      </c>
      <c r="G15" s="641">
        <v>2012.0335937325824</v>
      </c>
      <c r="H15" s="332">
        <v>2129.6217740758225</v>
      </c>
      <c r="I15" s="641">
        <v>2238</v>
      </c>
      <c r="J15" s="332">
        <v>2322.9704477</v>
      </c>
      <c r="K15" s="641">
        <v>2424.4100589999998</v>
      </c>
      <c r="L15" s="844">
        <v>2579.4997315000001</v>
      </c>
      <c r="M15" s="836"/>
      <c r="N15" s="837">
        <v>6.3970066418537419E-2</v>
      </c>
      <c r="O15" s="838">
        <v>5.1074394276094504E-2</v>
      </c>
      <c r="P15" s="839"/>
      <c r="Q15" s="845">
        <v>2741.2766362212328</v>
      </c>
      <c r="R15" s="846">
        <v>2865.4261853944877</v>
      </c>
      <c r="S15" s="836"/>
      <c r="T15" s="841">
        <v>6.2716387501679627E-2</v>
      </c>
      <c r="U15" s="926">
        <v>4.5288953158843182E-2</v>
      </c>
    </row>
    <row r="16" spans="2:21" ht="16" customHeight="1" thickBot="1">
      <c r="B16" s="842" t="s">
        <v>1457</v>
      </c>
      <c r="C16" s="843" t="s">
        <v>1458</v>
      </c>
      <c r="D16" s="332">
        <v>1141.7516401488422</v>
      </c>
      <c r="E16" s="641">
        <v>1210.7956888559779</v>
      </c>
      <c r="F16" s="332">
        <v>1287.51</v>
      </c>
      <c r="G16" s="641">
        <v>1352.3238940325607</v>
      </c>
      <c r="H16" s="332">
        <v>1450.5580412847301</v>
      </c>
      <c r="I16" s="641">
        <v>1545</v>
      </c>
      <c r="J16" s="332">
        <v>1612.1984029</v>
      </c>
      <c r="K16" s="641">
        <v>1661.9584311999999</v>
      </c>
      <c r="L16" s="844">
        <v>1742.7206435000001</v>
      </c>
      <c r="M16" s="836"/>
      <c r="N16" s="837">
        <v>4.8594604283626053E-2</v>
      </c>
      <c r="O16" s="838">
        <v>5.4282545404552796E-2</v>
      </c>
      <c r="P16" s="839"/>
      <c r="Q16" s="791">
        <v>1875.8870513135162</v>
      </c>
      <c r="R16" s="793">
        <v>1964.7917664366091</v>
      </c>
      <c r="S16" s="836"/>
      <c r="T16" s="841">
        <v>7.6412939911052469E-2</v>
      </c>
      <c r="U16" s="926">
        <v>4.7393426518318904E-2</v>
      </c>
    </row>
    <row r="17" spans="2:21" ht="16" customHeight="1" thickBot="1">
      <c r="B17" s="842" t="s">
        <v>1459</v>
      </c>
      <c r="C17" s="843" t="s">
        <v>1460</v>
      </c>
      <c r="D17" s="332">
        <v>589.92914393356</v>
      </c>
      <c r="E17" s="641">
        <v>610.24833589590401</v>
      </c>
      <c r="F17" s="332">
        <v>647.22</v>
      </c>
      <c r="G17" s="641">
        <v>659.70969970002204</v>
      </c>
      <c r="H17" s="332">
        <v>679.06373279109243</v>
      </c>
      <c r="I17" s="641">
        <v>694</v>
      </c>
      <c r="J17" s="332">
        <v>710.77204486999995</v>
      </c>
      <c r="K17" s="641">
        <v>762.45162776999996</v>
      </c>
      <c r="L17" s="844">
        <v>836.77908804000003</v>
      </c>
      <c r="M17" s="836"/>
      <c r="N17" s="837">
        <v>9.7484820758257484E-2</v>
      </c>
      <c r="O17" s="838">
        <v>4.4663379343598875E-2</v>
      </c>
      <c r="P17" s="839"/>
      <c r="Q17" s="791">
        <v>865.38958490771677</v>
      </c>
      <c r="R17" s="793">
        <v>900.6344189578798</v>
      </c>
      <c r="S17" s="836"/>
      <c r="T17" s="841">
        <v>3.4191218777624544E-2</v>
      </c>
      <c r="U17" s="926">
        <v>4.0727129913311177E-2</v>
      </c>
    </row>
    <row r="18" spans="2:21" ht="16" customHeight="1" thickBot="1">
      <c r="B18" s="842" t="s">
        <v>2184</v>
      </c>
      <c r="C18" s="843" t="s">
        <v>1461</v>
      </c>
      <c r="D18" s="332">
        <v>1678.5317379999999</v>
      </c>
      <c r="E18" s="641">
        <v>1777.9823429999999</v>
      </c>
      <c r="F18" s="332">
        <v>2097.2328000000002</v>
      </c>
      <c r="G18" s="641">
        <v>2189.9011839999998</v>
      </c>
      <c r="H18" s="332">
        <v>2288.0175450000002</v>
      </c>
      <c r="I18" s="641">
        <v>2400.1799999999998</v>
      </c>
      <c r="J18" s="332">
        <v>2502.8303667999999</v>
      </c>
      <c r="K18" s="641">
        <v>2588.499652</v>
      </c>
      <c r="L18" s="844">
        <v>2832.3123952999999</v>
      </c>
      <c r="M18" s="836"/>
      <c r="N18" s="837">
        <v>9.419075761189255E-2</v>
      </c>
      <c r="O18" s="838">
        <v>6.7582508134955921E-2</v>
      </c>
      <c r="P18" s="839"/>
      <c r="Q18" s="845">
        <v>3099.4394553699999</v>
      </c>
      <c r="R18" s="846">
        <v>3304.8211339999998</v>
      </c>
      <c r="S18" s="836"/>
      <c r="T18" s="841">
        <v>9.4314123157204222E-2</v>
      </c>
      <c r="U18" s="926">
        <v>6.6264136334123647E-2</v>
      </c>
    </row>
    <row r="19" spans="2:21" ht="16" customHeight="1" thickBot="1">
      <c r="B19" s="842" t="s">
        <v>2185</v>
      </c>
      <c r="C19" s="843" t="s">
        <v>1462</v>
      </c>
      <c r="D19" s="332">
        <v>233.29939258520861</v>
      </c>
      <c r="E19" s="641">
        <v>246.43525958082026</v>
      </c>
      <c r="F19" s="332">
        <v>289.32924040673771</v>
      </c>
      <c r="G19" s="641">
        <v>301.36805029743203</v>
      </c>
      <c r="H19" s="332">
        <v>314.80222921746793</v>
      </c>
      <c r="I19" s="641">
        <v>328</v>
      </c>
      <c r="J19" s="332">
        <v>340.08781556000002</v>
      </c>
      <c r="K19" s="641">
        <v>350.11954950000001</v>
      </c>
      <c r="L19" s="844">
        <v>381.71459836999998</v>
      </c>
      <c r="M19" s="836"/>
      <c r="N19" s="837">
        <v>9.0240744668843353E-2</v>
      </c>
      <c r="O19" s="838">
        <v>6.3477106278318374E-2</v>
      </c>
      <c r="P19" s="839"/>
      <c r="Q19" s="845">
        <v>416.6506659339164</v>
      </c>
      <c r="R19" s="846">
        <v>435.32422838375402</v>
      </c>
      <c r="S19" s="836"/>
      <c r="T19" s="841">
        <v>9.152405413128184E-2</v>
      </c>
      <c r="U19" s="926">
        <v>4.4818270980033326E-2</v>
      </c>
    </row>
    <row r="20" spans="2:21" ht="18.75" customHeight="1" thickBot="1">
      <c r="B20" s="842" t="s">
        <v>2187</v>
      </c>
      <c r="C20" s="843" t="s">
        <v>1624</v>
      </c>
      <c r="D20" s="332">
        <v>10780.485509</v>
      </c>
      <c r="E20" s="641">
        <v>11360.495192</v>
      </c>
      <c r="F20" s="332">
        <v>11926.859852</v>
      </c>
      <c r="G20" s="641">
        <v>12430.609334000001</v>
      </c>
      <c r="H20" s="332">
        <v>13190.309896999999</v>
      </c>
      <c r="I20" s="641">
        <v>13986.27</v>
      </c>
      <c r="J20" s="332">
        <v>14592.757041999999</v>
      </c>
      <c r="K20" s="641">
        <v>15335.619703</v>
      </c>
      <c r="L20" s="844">
        <v>16307.508545999999</v>
      </c>
      <c r="M20" s="836"/>
      <c r="N20" s="837">
        <v>6.3374605123383221E-2</v>
      </c>
      <c r="O20" s="838">
        <v>5.3097694121430505E-2</v>
      </c>
      <c r="P20" s="839"/>
      <c r="Q20" s="845">
        <v>17292.753955250002</v>
      </c>
      <c r="R20" s="846">
        <v>18448.438615789997</v>
      </c>
      <c r="S20" s="836"/>
      <c r="T20" s="841">
        <v>6.0416672876229649E-2</v>
      </c>
      <c r="U20" s="926">
        <v>6.6830573286976946E-2</v>
      </c>
    </row>
    <row r="21" spans="2:21" ht="18.75" customHeight="1" thickBot="1">
      <c r="B21" s="842" t="s">
        <v>2188</v>
      </c>
      <c r="C21" s="843" t="s">
        <v>1625</v>
      </c>
      <c r="D21" s="332">
        <v>1498.3813913582035</v>
      </c>
      <c r="E21" s="641">
        <v>1574.6087651710613</v>
      </c>
      <c r="F21" s="332">
        <v>1645.4011693011744</v>
      </c>
      <c r="G21" s="641">
        <v>1710.665543435151</v>
      </c>
      <c r="H21" s="332">
        <v>1814.8195448583544</v>
      </c>
      <c r="I21" s="641">
        <v>1910</v>
      </c>
      <c r="J21" s="332">
        <v>1982.8826322</v>
      </c>
      <c r="K21" s="641">
        <v>2074.2905095000001</v>
      </c>
      <c r="L21" s="844">
        <v>2197.7851332</v>
      </c>
      <c r="M21" s="836"/>
      <c r="N21" s="837">
        <v>5.9535837981425255E-2</v>
      </c>
      <c r="O21" s="838">
        <v>4.9047993796072609E-2</v>
      </c>
      <c r="P21" s="839"/>
      <c r="Q21" s="845">
        <v>2324.6259702873172</v>
      </c>
      <c r="R21" s="846">
        <v>2430.1019570107337</v>
      </c>
      <c r="S21" s="836"/>
      <c r="T21" s="841">
        <v>5.7713028981425163E-2</v>
      </c>
      <c r="U21" s="926">
        <v>4.537331513610332E-2</v>
      </c>
    </row>
    <row r="22" spans="2:21" ht="15.75" customHeight="1" thickBot="1">
      <c r="B22" s="842" t="s">
        <v>1463</v>
      </c>
      <c r="C22" s="843" t="s">
        <v>1464</v>
      </c>
      <c r="D22" s="332">
        <v>959.82757900000001</v>
      </c>
      <c r="E22" s="641">
        <v>893.208437</v>
      </c>
      <c r="F22" s="332">
        <v>854.94479699999999</v>
      </c>
      <c r="G22" s="641">
        <v>854.24312299999997</v>
      </c>
      <c r="H22" s="332">
        <v>863.27835700000003</v>
      </c>
      <c r="I22" s="641">
        <v>908.85</v>
      </c>
      <c r="J22" s="332">
        <v>923.57338863999996</v>
      </c>
      <c r="K22" s="641">
        <v>949.13385871000003</v>
      </c>
      <c r="L22" s="844">
        <v>987.38075149999997</v>
      </c>
      <c r="M22" s="836"/>
      <c r="N22" s="837">
        <v>4.0296626697084115E-2</v>
      </c>
      <c r="O22" s="838">
        <v>3.5440238021828829E-3</v>
      </c>
      <c r="P22" s="839"/>
      <c r="Q22" s="845">
        <v>979.24330788000009</v>
      </c>
      <c r="R22" s="846">
        <v>1026.2012389900001</v>
      </c>
      <c r="S22" s="836"/>
      <c r="T22" s="841">
        <v>-8.2414444555838351E-3</v>
      </c>
      <c r="U22" s="926">
        <v>4.795328263377252E-2</v>
      </c>
    </row>
    <row r="23" spans="2:21" ht="15.75" customHeight="1" thickBot="1">
      <c r="B23" s="842" t="s">
        <v>1465</v>
      </c>
      <c r="C23" s="853" t="s">
        <v>1466</v>
      </c>
      <c r="D23" s="332">
        <v>133.40658749416588</v>
      </c>
      <c r="E23" s="641">
        <v>123.8021591713151</v>
      </c>
      <c r="F23" s="332">
        <v>117.94614727831004</v>
      </c>
      <c r="G23" s="641">
        <v>117.55853932562621</v>
      </c>
      <c r="H23" s="332">
        <v>118.77616577402299</v>
      </c>
      <c r="I23" s="641">
        <v>124.1380101613282</v>
      </c>
      <c r="J23" s="332">
        <v>125.49634223061365</v>
      </c>
      <c r="K23" s="641">
        <v>128.37951080237647</v>
      </c>
      <c r="L23" s="844">
        <v>133.07064842814813</v>
      </c>
      <c r="M23" s="836"/>
      <c r="N23" s="837">
        <v>3.6541170755768348E-2</v>
      </c>
      <c r="O23" s="838">
        <v>-3.1511726500244031E-4</v>
      </c>
      <c r="P23" s="839"/>
      <c r="Q23" s="845">
        <v>131.6374725864188</v>
      </c>
      <c r="R23" s="846">
        <v>135.1753224807882</v>
      </c>
      <c r="S23" s="836"/>
      <c r="T23" s="841">
        <v>-1.0770037259592913E-2</v>
      </c>
      <c r="U23" s="926">
        <v>2.6875705107805237E-2</v>
      </c>
    </row>
    <row r="24" spans="2:21" ht="15.75" customHeight="1" thickBot="1">
      <c r="B24" s="842">
        <v>11</v>
      </c>
      <c r="C24" s="843" t="s">
        <v>1467</v>
      </c>
      <c r="D24" s="332">
        <v>-319.932346</v>
      </c>
      <c r="E24" s="641">
        <v>70.171887999999996</v>
      </c>
      <c r="F24" s="332">
        <v>-3.3297E-2</v>
      </c>
      <c r="G24" s="641">
        <v>-49.386769999999999</v>
      </c>
      <c r="H24" s="332">
        <v>-305.95411300000001</v>
      </c>
      <c r="I24" s="641">
        <v>-789.7</v>
      </c>
      <c r="J24" s="332">
        <v>-223.6723628</v>
      </c>
      <c r="K24" s="641">
        <v>399.72993602999998</v>
      </c>
      <c r="L24" s="844">
        <v>514.14165576000005</v>
      </c>
      <c r="M24" s="836"/>
      <c r="N24" s="837" t="s">
        <v>1300</v>
      </c>
      <c r="O24" s="838" t="s">
        <v>1300</v>
      </c>
      <c r="P24" s="839"/>
      <c r="Q24" s="791" t="s">
        <v>1300</v>
      </c>
      <c r="R24" s="793" t="s">
        <v>1300</v>
      </c>
      <c r="S24" s="836"/>
      <c r="T24" s="841" t="s">
        <v>1300</v>
      </c>
      <c r="U24" s="926" t="s">
        <v>1300</v>
      </c>
    </row>
    <row r="25" spans="2:21" ht="18" customHeight="1" thickBot="1">
      <c r="B25" s="842" t="s">
        <v>1468</v>
      </c>
      <c r="C25" s="843" t="s">
        <v>1469</v>
      </c>
      <c r="D25" s="332">
        <v>3454.5367919999999</v>
      </c>
      <c r="E25" s="641">
        <v>3507.8977540000001</v>
      </c>
      <c r="F25" s="332">
        <v>3693.9578390000001</v>
      </c>
      <c r="G25" s="641">
        <v>3810.0183769999999</v>
      </c>
      <c r="H25" s="332">
        <v>3956.2184860000002</v>
      </c>
      <c r="I25" s="641">
        <v>3996.3</v>
      </c>
      <c r="J25" s="332">
        <v>4018.0238040999998</v>
      </c>
      <c r="K25" s="641">
        <v>4264.2535405999997</v>
      </c>
      <c r="L25" s="844">
        <v>4487.9860974000003</v>
      </c>
      <c r="M25" s="836"/>
      <c r="N25" s="837">
        <v>5.2466992093654907E-2</v>
      </c>
      <c r="O25" s="838">
        <v>3.3255462789724133E-2</v>
      </c>
      <c r="P25" s="839"/>
      <c r="Q25" s="845">
        <v>4697.095566</v>
      </c>
      <c r="R25" s="846">
        <v>4891.2309739999992</v>
      </c>
      <c r="S25" s="836"/>
      <c r="T25" s="841">
        <v>4.659316318317952E-2</v>
      </c>
      <c r="U25" s="926">
        <v>4.1330947022932829E-2</v>
      </c>
    </row>
    <row r="26" spans="2:21" ht="18" customHeight="1" thickBot="1">
      <c r="B26" s="842" t="s">
        <v>1470</v>
      </c>
      <c r="C26" s="843" t="s">
        <v>1471</v>
      </c>
      <c r="D26" s="332">
        <v>480.14661682664899</v>
      </c>
      <c r="E26" s="641">
        <v>486.20825566318149</v>
      </c>
      <c r="F26" s="332">
        <v>509.60962257141136</v>
      </c>
      <c r="G26" s="641">
        <v>524.32402807170513</v>
      </c>
      <c r="H26" s="332">
        <v>544.32554566103897</v>
      </c>
      <c r="I26" s="641">
        <v>545.84665237136585</v>
      </c>
      <c r="J26" s="332">
        <v>545.974252411723</v>
      </c>
      <c r="K26" s="641">
        <v>576.78142914802106</v>
      </c>
      <c r="L26" s="844">
        <v>604.85199778328069</v>
      </c>
      <c r="M26" s="836"/>
      <c r="N26" s="837">
        <v>4.8667601307350372E-2</v>
      </c>
      <c r="O26" s="838">
        <v>2.9282066013130548E-2</v>
      </c>
      <c r="P26" s="839"/>
      <c r="Q26" s="845">
        <v>631.41997890567609</v>
      </c>
      <c r="R26" s="846">
        <v>644.29246342482008</v>
      </c>
      <c r="S26" s="836"/>
      <c r="T26" s="841">
        <v>4.3924763776534315E-2</v>
      </c>
      <c r="U26" s="926">
        <v>2.0386565121764955E-2</v>
      </c>
    </row>
    <row r="27" spans="2:21" ht="19.5" customHeight="1" thickBot="1">
      <c r="B27" s="842" t="s">
        <v>1472</v>
      </c>
      <c r="C27" s="843" t="s">
        <v>1626</v>
      </c>
      <c r="D27" s="854">
        <v>0.3204435263250443</v>
      </c>
      <c r="E27" s="855">
        <v>0.30878035637656381</v>
      </c>
      <c r="F27" s="854">
        <v>0.30971755221728081</v>
      </c>
      <c r="G27" s="855">
        <v>0.30650294564232661</v>
      </c>
      <c r="H27" s="854">
        <v>0.29993370261147551</v>
      </c>
      <c r="I27" s="855">
        <v>0.28573021970832824</v>
      </c>
      <c r="J27" s="854">
        <v>0.27534370595875501</v>
      </c>
      <c r="K27" s="855">
        <v>0.27806202965282278</v>
      </c>
      <c r="L27" s="856">
        <v>0.27520979582750793</v>
      </c>
      <c r="M27" s="836"/>
      <c r="N27" s="837">
        <v>-1.0257545155935355E-2</v>
      </c>
      <c r="O27" s="838">
        <v>-1.8841776449107228E-2</v>
      </c>
      <c r="P27" s="839"/>
      <c r="Q27" s="857">
        <v>0.27162218222471052</v>
      </c>
      <c r="R27" s="858">
        <v>0.26512980723548063</v>
      </c>
      <c r="S27" s="836"/>
      <c r="T27" s="841">
        <v>-1.3035922620450613E-2</v>
      </c>
      <c r="U27" s="926">
        <v>-2.3902226747662292E-2</v>
      </c>
    </row>
    <row r="28" spans="2:21" ht="19.5" customHeight="1" thickBot="1">
      <c r="B28" s="842" t="s">
        <v>1473</v>
      </c>
      <c r="C28" s="843" t="s">
        <v>1474</v>
      </c>
      <c r="D28" s="332">
        <v>2856.0771500000001</v>
      </c>
      <c r="E28" s="641">
        <v>2991.8799650000001</v>
      </c>
      <c r="F28" s="332">
        <v>2985.5309590000002</v>
      </c>
      <c r="G28" s="641">
        <v>3077.412147</v>
      </c>
      <c r="H28" s="332">
        <v>2832.1064590000001</v>
      </c>
      <c r="I28" s="641">
        <v>2102.63</v>
      </c>
      <c r="J28" s="332">
        <v>1965.5320859999999</v>
      </c>
      <c r="K28" s="641">
        <v>2393.7060728000001</v>
      </c>
      <c r="L28" s="844">
        <v>2968.4810149999998</v>
      </c>
      <c r="M28" s="836"/>
      <c r="N28" s="837">
        <v>0.24011926473815803</v>
      </c>
      <c r="O28" s="838">
        <v>4.8368250813104474E-3</v>
      </c>
      <c r="P28" s="839"/>
      <c r="Q28" s="845">
        <v>3152.0680310000002</v>
      </c>
      <c r="R28" s="846">
        <v>3356.3785470000007</v>
      </c>
      <c r="S28" s="836"/>
      <c r="T28" s="841">
        <v>6.1845440503853322E-2</v>
      </c>
      <c r="U28" s="926">
        <v>6.4817927148349774E-2</v>
      </c>
    </row>
    <row r="29" spans="2:21" ht="19.5" customHeight="1" thickBot="1">
      <c r="B29" s="842" t="s">
        <v>1475</v>
      </c>
      <c r="C29" s="843" t="s">
        <v>1476</v>
      </c>
      <c r="D29" s="332">
        <v>396.96661623177107</v>
      </c>
      <c r="E29" s="641">
        <v>414.68618555872263</v>
      </c>
      <c r="F29" s="332">
        <v>411.87673804179923</v>
      </c>
      <c r="G29" s="641">
        <v>423.50481632646319</v>
      </c>
      <c r="H29" s="332">
        <v>389.66197117793052</v>
      </c>
      <c r="I29" s="641">
        <v>287.19404115697142</v>
      </c>
      <c r="J29" s="332">
        <v>267.07903276981096</v>
      </c>
      <c r="K29" s="641">
        <v>323.77183872505339</v>
      </c>
      <c r="L29" s="844">
        <v>400.06622866872578</v>
      </c>
      <c r="M29" s="836"/>
      <c r="N29" s="837">
        <v>0.23564245193190358</v>
      </c>
      <c r="O29" s="838">
        <v>9.7271253067288121E-4</v>
      </c>
      <c r="P29" s="839"/>
      <c r="Q29" s="845">
        <v>423.72540683437234</v>
      </c>
      <c r="R29" s="846">
        <v>442.11557657527402</v>
      </c>
      <c r="S29" s="836"/>
      <c r="T29" s="841">
        <v>5.9138153811121752E-2</v>
      </c>
      <c r="U29" s="926">
        <v>4.3401149528166316E-2</v>
      </c>
    </row>
    <row r="30" spans="2:21" ht="19.5" customHeight="1" thickBot="1">
      <c r="B30" s="859" t="s">
        <v>1477</v>
      </c>
      <c r="C30" s="860" t="s">
        <v>1627</v>
      </c>
      <c r="D30" s="861">
        <v>0.25659604681954279</v>
      </c>
      <c r="E30" s="862">
        <v>0.24848089470618492</v>
      </c>
      <c r="F30" s="861">
        <v>0.23492819433570639</v>
      </c>
      <c r="G30" s="862">
        <v>0.23610935014307161</v>
      </c>
      <c r="H30" s="861">
        <v>0.21069626661151625</v>
      </c>
      <c r="I30" s="862">
        <v>0.15</v>
      </c>
      <c r="J30" s="861">
        <v>0.12800562009999999</v>
      </c>
      <c r="K30" s="862">
        <v>0.1423121436</v>
      </c>
      <c r="L30" s="861">
        <v>0.1646439053</v>
      </c>
      <c r="M30" s="863"/>
      <c r="N30" s="864">
        <v>0.15692098464041404</v>
      </c>
      <c r="O30" s="865">
        <v>-5.3954635205802015E-2</v>
      </c>
      <c r="P30" s="866"/>
      <c r="Q30" s="867">
        <v>0.17011759892436024</v>
      </c>
      <c r="R30" s="868">
        <v>0.16839151454579288</v>
      </c>
      <c r="S30" s="863"/>
      <c r="T30" s="869">
        <v>3.3245649842832181E-2</v>
      </c>
      <c r="U30" s="927">
        <v>-1.014641865087007E-2</v>
      </c>
    </row>
    <row r="31" spans="2:21" ht="17.25" customHeight="1">
      <c r="C31" s="870" t="s">
        <v>1756</v>
      </c>
      <c r="D31" s="871"/>
      <c r="E31" s="871"/>
      <c r="F31" s="871"/>
      <c r="G31" s="871"/>
      <c r="H31" s="871"/>
      <c r="I31" s="872"/>
      <c r="K31" s="872"/>
      <c r="L31" s="873"/>
    </row>
    <row r="32" spans="2:21" ht="13.5" customHeight="1">
      <c r="C32" s="340"/>
      <c r="D32" s="591"/>
      <c r="E32" s="591"/>
      <c r="F32" s="591"/>
      <c r="G32" s="591"/>
      <c r="H32" s="591"/>
      <c r="I32" s="649"/>
      <c r="K32" s="649"/>
      <c r="L32" s="649"/>
    </row>
    <row r="33" spans="1:12" ht="12" customHeight="1">
      <c r="C33" s="394" t="s">
        <v>1478</v>
      </c>
      <c r="D33" s="591"/>
      <c r="E33" s="591"/>
      <c r="F33" s="591"/>
      <c r="G33" s="591"/>
      <c r="H33" s="591"/>
      <c r="I33" s="649"/>
      <c r="K33" s="649"/>
      <c r="L33" s="649"/>
    </row>
    <row r="34" spans="1:12" ht="12.75" customHeight="1">
      <c r="C34" s="394" t="s">
        <v>1479</v>
      </c>
      <c r="D34" s="591"/>
      <c r="E34" s="591"/>
      <c r="F34" s="591"/>
      <c r="G34" s="591"/>
      <c r="H34" s="591"/>
      <c r="I34" s="649"/>
      <c r="K34" s="649"/>
      <c r="L34" s="649"/>
    </row>
    <row r="35" spans="1:12" ht="12" customHeight="1">
      <c r="C35" s="5" t="s">
        <v>1480</v>
      </c>
      <c r="D35" s="29"/>
      <c r="E35" s="29"/>
      <c r="F35" s="1"/>
      <c r="G35" s="1"/>
      <c r="H35" s="1"/>
      <c r="I35" s="20"/>
      <c r="K35" s="20"/>
      <c r="L35" s="20"/>
    </row>
    <row r="36" spans="1:12" ht="12" customHeight="1">
      <c r="C36" s="5" t="s">
        <v>1481</v>
      </c>
      <c r="D36" s="29"/>
      <c r="E36" s="29"/>
      <c r="F36" s="1"/>
      <c r="G36" s="1"/>
      <c r="H36" s="1"/>
      <c r="I36" s="20"/>
      <c r="K36" s="20"/>
      <c r="L36" s="20"/>
    </row>
    <row r="37" spans="1:12" ht="12.75" customHeight="1">
      <c r="C37" s="5" t="s">
        <v>1482</v>
      </c>
      <c r="D37" s="29"/>
      <c r="E37" s="29"/>
      <c r="F37" s="1"/>
      <c r="G37" s="1"/>
      <c r="H37" s="1"/>
      <c r="I37" s="20"/>
      <c r="K37" s="20"/>
      <c r="L37" s="20"/>
    </row>
    <row r="38" spans="1:12" ht="11.25" customHeight="1">
      <c r="C38" s="768"/>
      <c r="D38" s="874"/>
      <c r="E38" s="874"/>
      <c r="F38" s="444"/>
      <c r="G38" s="444"/>
      <c r="H38" s="444"/>
      <c r="I38" s="875"/>
      <c r="K38" s="875"/>
      <c r="L38" s="875"/>
    </row>
    <row r="39" spans="1:12">
      <c r="C39" s="5" t="s">
        <v>1483</v>
      </c>
      <c r="D39" s="590"/>
      <c r="E39" s="590"/>
    </row>
    <row r="40" spans="1:12">
      <c r="C40" s="5" t="s">
        <v>1484</v>
      </c>
      <c r="D40" s="590"/>
      <c r="E40" s="590"/>
    </row>
    <row r="41" spans="1:12">
      <c r="C41" s="5" t="s">
        <v>1485</v>
      </c>
      <c r="D41" s="590"/>
      <c r="E41" s="590"/>
    </row>
    <row r="42" spans="1:12">
      <c r="A42" s="162"/>
      <c r="B42" s="876">
        <v>1</v>
      </c>
      <c r="C42" s="2" t="s">
        <v>1486</v>
      </c>
      <c r="D42" s="877"/>
      <c r="E42" s="878" t="s">
        <v>2185</v>
      </c>
      <c r="F42" s="879" t="s">
        <v>1487</v>
      </c>
      <c r="G42" s="880"/>
      <c r="H42" s="880"/>
      <c r="I42" s="881"/>
      <c r="J42" s="880"/>
      <c r="K42" s="881"/>
      <c r="L42" s="340"/>
    </row>
    <row r="43" spans="1:12">
      <c r="A43" s="162"/>
      <c r="B43" s="876">
        <v>2</v>
      </c>
      <c r="C43" s="882" t="s">
        <v>1488</v>
      </c>
      <c r="D43" s="877"/>
      <c r="E43" s="883" t="s">
        <v>2187</v>
      </c>
      <c r="F43" s="884" t="s">
        <v>1489</v>
      </c>
      <c r="G43" s="880"/>
      <c r="H43" s="880"/>
      <c r="I43" s="881"/>
      <c r="J43" s="880"/>
      <c r="K43" s="881"/>
      <c r="L43" s="340"/>
    </row>
    <row r="44" spans="1:12">
      <c r="A44" s="162"/>
      <c r="B44" s="876" t="s">
        <v>1447</v>
      </c>
      <c r="C44" s="880" t="s">
        <v>1490</v>
      </c>
      <c r="D44" s="877"/>
      <c r="E44" s="883" t="s">
        <v>2187</v>
      </c>
      <c r="F44" s="884" t="s">
        <v>1489</v>
      </c>
      <c r="G44" s="880"/>
      <c r="H44" s="880"/>
      <c r="I44" s="881"/>
      <c r="J44" s="880"/>
      <c r="K44" s="881"/>
      <c r="L44" s="340"/>
    </row>
    <row r="45" spans="1:12">
      <c r="A45" s="162"/>
      <c r="B45" s="876" t="s">
        <v>1449</v>
      </c>
      <c r="C45" s="879" t="s">
        <v>1491</v>
      </c>
      <c r="D45" s="877"/>
      <c r="E45" s="883" t="s">
        <v>2188</v>
      </c>
      <c r="F45" s="884" t="s">
        <v>1492</v>
      </c>
      <c r="G45" s="880"/>
      <c r="H45" s="880"/>
      <c r="I45" s="881"/>
      <c r="J45" s="880"/>
      <c r="K45" s="881"/>
      <c r="L45" s="340"/>
    </row>
    <row r="46" spans="1:12">
      <c r="A46" s="162"/>
      <c r="B46" s="876">
        <v>4</v>
      </c>
      <c r="C46" s="880" t="s">
        <v>1493</v>
      </c>
      <c r="D46" s="884"/>
      <c r="E46" s="883" t="s">
        <v>1463</v>
      </c>
      <c r="F46" s="884" t="s">
        <v>1494</v>
      </c>
      <c r="G46" s="880"/>
      <c r="H46" s="880"/>
      <c r="I46" s="881"/>
      <c r="J46" s="880"/>
      <c r="K46" s="881"/>
      <c r="L46" s="340"/>
    </row>
    <row r="47" spans="1:12">
      <c r="A47" s="162"/>
      <c r="B47" s="876">
        <v>5</v>
      </c>
      <c r="C47" s="880" t="s">
        <v>1493</v>
      </c>
      <c r="D47" s="884"/>
      <c r="E47" s="883" t="s">
        <v>1465</v>
      </c>
      <c r="F47" s="884" t="s">
        <v>1495</v>
      </c>
      <c r="G47" s="880"/>
      <c r="H47" s="880"/>
      <c r="I47" s="881"/>
      <c r="J47" s="880"/>
      <c r="K47" s="881"/>
      <c r="L47" s="340"/>
    </row>
    <row r="48" spans="1:12">
      <c r="A48" s="162"/>
      <c r="B48" s="876" t="s">
        <v>2182</v>
      </c>
      <c r="C48" s="880" t="s">
        <v>1496</v>
      </c>
      <c r="D48" s="884"/>
      <c r="E48" s="883">
        <v>11</v>
      </c>
      <c r="F48" s="884" t="s">
        <v>1497</v>
      </c>
      <c r="G48" s="880"/>
      <c r="H48" s="880"/>
      <c r="I48" s="881"/>
      <c r="J48" s="880"/>
      <c r="K48" s="881"/>
      <c r="L48" s="340"/>
    </row>
    <row r="49" spans="1:12">
      <c r="A49" s="162"/>
      <c r="B49" s="876" t="s">
        <v>2183</v>
      </c>
      <c r="C49" s="879" t="s">
        <v>1498</v>
      </c>
      <c r="D49" s="884"/>
      <c r="E49" s="883" t="s">
        <v>1468</v>
      </c>
      <c r="F49" s="884" t="s">
        <v>1499</v>
      </c>
      <c r="G49" s="880"/>
      <c r="H49" s="880"/>
      <c r="I49" s="881"/>
      <c r="J49" s="880"/>
      <c r="K49" s="881"/>
      <c r="L49" s="340"/>
    </row>
    <row r="50" spans="1:12">
      <c r="A50" s="162"/>
      <c r="B50" s="876" t="s">
        <v>1455</v>
      </c>
      <c r="C50" s="880" t="s">
        <v>1500</v>
      </c>
      <c r="D50" s="884"/>
      <c r="E50" s="883" t="s">
        <v>1470</v>
      </c>
      <c r="F50" s="884" t="s">
        <v>1501</v>
      </c>
      <c r="G50" s="880"/>
      <c r="H50" s="880"/>
      <c r="I50" s="881"/>
      <c r="J50" s="880"/>
      <c r="K50" s="881"/>
      <c r="L50" s="340"/>
    </row>
    <row r="51" spans="1:12">
      <c r="A51" s="162"/>
      <c r="B51" s="876" t="s">
        <v>1456</v>
      </c>
      <c r="C51" s="879" t="s">
        <v>1502</v>
      </c>
      <c r="D51" s="884"/>
      <c r="E51" s="883" t="s">
        <v>1472</v>
      </c>
      <c r="F51" s="885" t="s">
        <v>1503</v>
      </c>
      <c r="G51" s="880"/>
      <c r="H51" s="880"/>
      <c r="I51" s="881"/>
      <c r="J51" s="880"/>
      <c r="K51" s="881"/>
      <c r="L51" s="340"/>
    </row>
    <row r="52" spans="1:12">
      <c r="A52" s="162"/>
      <c r="B52" s="876" t="s">
        <v>1457</v>
      </c>
      <c r="C52" s="880" t="s">
        <v>1504</v>
      </c>
      <c r="D52" s="884"/>
      <c r="E52" s="883" t="s">
        <v>1473</v>
      </c>
      <c r="F52" s="884" t="s">
        <v>1505</v>
      </c>
      <c r="G52" s="880"/>
      <c r="H52" s="880"/>
      <c r="I52" s="881"/>
      <c r="J52" s="880"/>
      <c r="K52" s="881"/>
      <c r="L52" s="340"/>
    </row>
    <row r="53" spans="1:12">
      <c r="A53" s="162"/>
      <c r="B53" s="876" t="s">
        <v>1459</v>
      </c>
      <c r="C53" s="880" t="s">
        <v>1618</v>
      </c>
      <c r="D53" s="884"/>
      <c r="E53" s="883" t="s">
        <v>1475</v>
      </c>
      <c r="F53" s="884" t="s">
        <v>1619</v>
      </c>
      <c r="G53" s="880"/>
      <c r="H53" s="880"/>
      <c r="I53" s="881"/>
      <c r="J53" s="880"/>
      <c r="K53" s="881"/>
      <c r="L53" s="340"/>
    </row>
    <row r="54" spans="1:12">
      <c r="A54" s="162"/>
      <c r="B54" s="876" t="s">
        <v>2184</v>
      </c>
      <c r="C54" s="880" t="s">
        <v>1620</v>
      </c>
      <c r="D54" s="884"/>
      <c r="E54" s="883" t="s">
        <v>1477</v>
      </c>
      <c r="F54" s="884" t="s">
        <v>1621</v>
      </c>
      <c r="G54" s="880"/>
      <c r="H54" s="880"/>
      <c r="I54" s="881"/>
      <c r="J54" s="880"/>
      <c r="K54" s="881"/>
      <c r="L54" s="340"/>
    </row>
    <row r="57" spans="1:12">
      <c r="A57" s="2" t="s">
        <v>104</v>
      </c>
    </row>
  </sheetData>
  <phoneticPr fontId="0" type="noConversion"/>
  <pageMargins left="0.38" right="0.34" top="0.39" bottom="0.4" header="0.19" footer="0.23"/>
  <pageSetup paperSize="9" scale="60" orientation="landscape" horizontalDpi="4294967292" verticalDpi="4294967292"/>
  <headerFooter alignWithMargins="0">
    <oddHeader>&amp;L&amp;"55 Helvetica Roman,Gras"Versicherte und Finanzen in der OKP</oddHead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F770F-9B73-6C4D-88D4-CE3DDA918B72}">
  <sheetPr>
    <pageSetUpPr fitToPage="1"/>
  </sheetPr>
  <dimension ref="A1:J73"/>
  <sheetViews>
    <sheetView topLeftCell="A57" zoomScale="75" workbookViewId="0">
      <selection activeCell="A67" sqref="A67"/>
    </sheetView>
  </sheetViews>
  <sheetFormatPr baseColWidth="10" defaultColWidth="11.3984375" defaultRowHeight="13"/>
  <cols>
    <col min="1" max="1" width="21.59765625" style="2" customWidth="1"/>
    <col min="2" max="6" width="14.3984375" style="2" customWidth="1"/>
    <col min="7" max="7" width="13.796875" style="2" customWidth="1"/>
    <col min="8" max="9" width="13.19921875" style="2" customWidth="1"/>
    <col min="10" max="10" width="13.796875" style="2" customWidth="1"/>
    <col min="11" max="16384" width="11.3984375" style="2"/>
  </cols>
  <sheetData>
    <row r="1" spans="1:10" s="1" customFormat="1" ht="14" customHeight="1"/>
    <row r="2" spans="1:10" s="1" customFormat="1" ht="39.75" customHeight="1">
      <c r="A2" s="1715" t="s">
        <v>1337</v>
      </c>
      <c r="B2" s="1716"/>
      <c r="C2" s="1716"/>
      <c r="D2" s="1716"/>
      <c r="E2" s="1716"/>
      <c r="F2" s="652">
        <v>2004</v>
      </c>
    </row>
    <row r="3" spans="1:10" ht="24" customHeight="1">
      <c r="A3" s="139" t="s">
        <v>1346</v>
      </c>
      <c r="B3" s="164" t="s">
        <v>1571</v>
      </c>
      <c r="C3" s="141" t="s">
        <v>1572</v>
      </c>
      <c r="D3" s="164" t="s">
        <v>1573</v>
      </c>
      <c r="E3" s="141" t="s">
        <v>1574</v>
      </c>
      <c r="F3" s="321" t="s">
        <v>652</v>
      </c>
    </row>
    <row r="4" spans="1:10" ht="15" customHeight="1">
      <c r="A4" s="165"/>
      <c r="B4" s="166" t="s">
        <v>1575</v>
      </c>
      <c r="C4" s="144" t="s">
        <v>1576</v>
      </c>
      <c r="D4" s="166" t="s">
        <v>1577</v>
      </c>
      <c r="E4" s="197" t="s">
        <v>1578</v>
      </c>
      <c r="F4" s="323"/>
    </row>
    <row r="5" spans="1:10" ht="15" customHeight="1">
      <c r="A5" s="165"/>
      <c r="B5" s="166" t="s">
        <v>1579</v>
      </c>
      <c r="C5" s="144" t="s">
        <v>1580</v>
      </c>
      <c r="D5" s="166" t="s">
        <v>1281</v>
      </c>
      <c r="E5" s="197" t="s">
        <v>1581</v>
      </c>
      <c r="F5" s="323"/>
    </row>
    <row r="6" spans="1:10" ht="24" customHeight="1">
      <c r="A6" s="167"/>
      <c r="B6" s="168"/>
      <c r="C6" s="147"/>
      <c r="D6" s="168"/>
      <c r="E6" s="200" t="s">
        <v>1582</v>
      </c>
      <c r="F6" s="325"/>
    </row>
    <row r="7" spans="1:10" ht="20" customHeight="1" thickBot="1">
      <c r="A7" s="169">
        <v>1996</v>
      </c>
      <c r="B7" s="633" t="s">
        <v>1300</v>
      </c>
      <c r="C7" s="150" t="s">
        <v>1300</v>
      </c>
      <c r="D7" s="633" t="s">
        <v>1300</v>
      </c>
      <c r="E7" s="150" t="s">
        <v>1300</v>
      </c>
      <c r="F7" s="667" t="s">
        <v>1300</v>
      </c>
      <c r="H7" s="10"/>
      <c r="I7" s="10"/>
      <c r="J7" s="10"/>
    </row>
    <row r="8" spans="1:10" ht="20" customHeight="1" thickBot="1">
      <c r="A8" s="169">
        <v>1997</v>
      </c>
      <c r="B8" s="633">
        <v>4.5015594618225574E-2</v>
      </c>
      <c r="C8" s="150">
        <v>0.1407574971723522</v>
      </c>
      <c r="D8" s="633">
        <v>4.907593778591024E-2</v>
      </c>
      <c r="E8" s="150">
        <v>0.11495097396065668</v>
      </c>
      <c r="F8" s="667">
        <v>7.8756342716783667E-2</v>
      </c>
      <c r="H8" s="10"/>
      <c r="I8" s="10"/>
      <c r="J8" s="10"/>
    </row>
    <row r="9" spans="1:10" ht="20" customHeight="1" thickBot="1">
      <c r="A9" s="171">
        <v>1998</v>
      </c>
      <c r="B9" s="544">
        <v>3.9667326435934624E-2</v>
      </c>
      <c r="C9" s="154">
        <v>6.1040141986940633E-2</v>
      </c>
      <c r="D9" s="544">
        <v>1.0130468150422178E-2</v>
      </c>
      <c r="E9" s="154">
        <v>0.14747114984819842</v>
      </c>
      <c r="F9" s="668">
        <v>5.0518608176692181E-2</v>
      </c>
    </row>
    <row r="10" spans="1:10" ht="20" customHeight="1" thickBot="1">
      <c r="A10" s="171">
        <v>1999</v>
      </c>
      <c r="B10" s="544">
        <v>2.0389165815867027E-2</v>
      </c>
      <c r="C10" s="154">
        <v>2.5880895221869427E-2</v>
      </c>
      <c r="D10" s="544">
        <v>3.2207042311889644E-2</v>
      </c>
      <c r="E10" s="154">
        <v>4.4979387011424343E-2</v>
      </c>
      <c r="F10" s="668">
        <v>2.308920830481398E-2</v>
      </c>
    </row>
    <row r="11" spans="1:10" ht="20" customHeight="1" thickBot="1">
      <c r="A11" s="171">
        <v>2000</v>
      </c>
      <c r="B11" s="544">
        <v>3.4295635796474544E-2</v>
      </c>
      <c r="C11" s="154">
        <v>2.5283330313827346E-2</v>
      </c>
      <c r="D11" s="544">
        <v>2.6939676804175416E-2</v>
      </c>
      <c r="E11" s="154">
        <v>3.5421273700325662E-2</v>
      </c>
      <c r="F11" s="668">
        <v>3.1064626912269855E-2</v>
      </c>
    </row>
    <row r="12" spans="1:10" ht="20" customHeight="1" thickBot="1">
      <c r="A12" s="171">
        <v>2001</v>
      </c>
      <c r="B12" s="544">
        <v>4.5842532947897974E-2</v>
      </c>
      <c r="C12" s="154">
        <v>1.5363320440578754E-2</v>
      </c>
      <c r="D12" s="544">
        <v>3.6528073707736253E-2</v>
      </c>
      <c r="E12" s="154">
        <v>4.4768103121445746E-2</v>
      </c>
      <c r="F12" s="668">
        <v>3.3778522764139618E-2</v>
      </c>
    </row>
    <row r="13" spans="1:10" ht="20" customHeight="1" thickBot="1">
      <c r="A13" s="171">
        <v>2002</v>
      </c>
      <c r="B13" s="544">
        <v>8.5663917121901134E-2</v>
      </c>
      <c r="C13" s="154">
        <v>7.9076872504374895E-2</v>
      </c>
      <c r="D13" s="544">
        <v>0.13418658888462831</v>
      </c>
      <c r="E13" s="154">
        <v>0.17025613111977989</v>
      </c>
      <c r="F13" s="668">
        <v>9.131897043209003E-2</v>
      </c>
    </row>
    <row r="14" spans="1:10" ht="18.75" customHeight="1" thickBot="1">
      <c r="A14" s="171">
        <v>2003</v>
      </c>
      <c r="B14" s="544">
        <v>0.10753162400016048</v>
      </c>
      <c r="C14" s="154">
        <v>8.4199444494221121E-2</v>
      </c>
      <c r="D14" s="544">
        <v>9.2859557816908023E-2</v>
      </c>
      <c r="E14" s="154">
        <v>-2.8941166742465496E-3</v>
      </c>
      <c r="F14" s="544">
        <v>9.0401924791273292E-2</v>
      </c>
    </row>
    <row r="15" spans="1:10" ht="23.25" customHeight="1" thickBot="1">
      <c r="A15" s="669">
        <v>2004</v>
      </c>
      <c r="B15" s="670">
        <v>5.5428349050627101E-2</v>
      </c>
      <c r="C15" s="671">
        <v>8.7606140115282116E-2</v>
      </c>
      <c r="D15" s="670">
        <v>4.768811778250015E-2</v>
      </c>
      <c r="E15" s="671">
        <v>8.333851639922063E-2</v>
      </c>
      <c r="F15" s="670">
        <v>6.8045958823425901E-2</v>
      </c>
    </row>
    <row r="16" spans="1:10" ht="20" customHeight="1">
      <c r="A16" s="155" t="s">
        <v>146</v>
      </c>
      <c r="B16" s="489"/>
      <c r="C16" s="489"/>
      <c r="D16" s="489"/>
      <c r="E16" s="489"/>
      <c r="F16" s="489"/>
    </row>
    <row r="17" spans="1:9" ht="13.5" customHeight="1">
      <c r="A17" s="4"/>
      <c r="B17" s="491"/>
      <c r="C17" s="491"/>
      <c r="D17" s="491"/>
      <c r="E17" s="491"/>
      <c r="F17" s="491"/>
    </row>
    <row r="18" spans="1:9">
      <c r="A18" s="2" t="s">
        <v>1338</v>
      </c>
    </row>
    <row r="21" spans="1:9" ht="16">
      <c r="A21" s="515" t="s">
        <v>1331</v>
      </c>
    </row>
    <row r="22" spans="1:9" ht="18.75" customHeight="1"/>
    <row r="23" spans="1:9" ht="14">
      <c r="A23" s="316" t="s">
        <v>504</v>
      </c>
      <c r="B23" s="164" t="s">
        <v>1571</v>
      </c>
      <c r="C23" s="141" t="s">
        <v>1572</v>
      </c>
      <c r="D23" s="164"/>
      <c r="E23" s="141"/>
      <c r="F23" s="164"/>
      <c r="G23" s="141" t="s">
        <v>1573</v>
      </c>
      <c r="H23" s="164" t="s">
        <v>1574</v>
      </c>
      <c r="I23" s="141" t="s">
        <v>652</v>
      </c>
    </row>
    <row r="24" spans="1:9" ht="14">
      <c r="A24" s="516" t="s">
        <v>507</v>
      </c>
      <c r="B24" s="166" t="s">
        <v>1575</v>
      </c>
      <c r="C24" s="144" t="s">
        <v>1576</v>
      </c>
      <c r="D24" s="166"/>
      <c r="E24" s="197"/>
      <c r="F24" s="166"/>
      <c r="G24" s="144" t="s">
        <v>1577</v>
      </c>
      <c r="H24" s="143" t="s">
        <v>1578</v>
      </c>
      <c r="I24" s="144"/>
    </row>
    <row r="25" spans="1:9" ht="14">
      <c r="A25" s="165"/>
      <c r="B25" s="166" t="s">
        <v>1579</v>
      </c>
      <c r="C25" s="144" t="s">
        <v>1580</v>
      </c>
      <c r="D25" s="446"/>
      <c r="E25" s="503"/>
      <c r="F25" s="446"/>
      <c r="G25" s="144" t="s">
        <v>1281</v>
      </c>
      <c r="H25" s="143" t="s">
        <v>1581</v>
      </c>
      <c r="I25" s="144"/>
    </row>
    <row r="26" spans="1:9" ht="18" customHeight="1">
      <c r="A26" s="306" t="s">
        <v>1250</v>
      </c>
      <c r="B26" s="168"/>
      <c r="C26" s="147"/>
      <c r="D26" s="446" t="s">
        <v>1584</v>
      </c>
      <c r="E26" s="447" t="s">
        <v>1585</v>
      </c>
      <c r="F26" s="446" t="s">
        <v>1586</v>
      </c>
      <c r="G26" s="147"/>
      <c r="H26" s="146" t="s">
        <v>1582</v>
      </c>
      <c r="I26" s="147"/>
    </row>
    <row r="27" spans="1:9" ht="18" customHeight="1" thickBot="1">
      <c r="A27" s="169">
        <v>1996</v>
      </c>
      <c r="B27" s="633" t="s">
        <v>1300</v>
      </c>
      <c r="C27" s="150" t="s">
        <v>1300</v>
      </c>
      <c r="D27" s="633" t="s">
        <v>1300</v>
      </c>
      <c r="E27" s="150" t="s">
        <v>1300</v>
      </c>
      <c r="F27" s="633" t="s">
        <v>1300</v>
      </c>
      <c r="G27" s="150" t="s">
        <v>1300</v>
      </c>
      <c r="H27" s="633" t="s">
        <v>1300</v>
      </c>
      <c r="I27" s="150" t="s">
        <v>1300</v>
      </c>
    </row>
    <row r="28" spans="1:9" ht="18" customHeight="1" thickBot="1">
      <c r="A28" s="171">
        <v>1997</v>
      </c>
      <c r="B28" s="544" t="s">
        <v>1300</v>
      </c>
      <c r="C28" s="154" t="s">
        <v>1300</v>
      </c>
      <c r="D28" s="544" t="s">
        <v>1300</v>
      </c>
      <c r="E28" s="154" t="s">
        <v>1300</v>
      </c>
      <c r="F28" s="544" t="s">
        <v>1300</v>
      </c>
      <c r="G28" s="154" t="s">
        <v>1300</v>
      </c>
      <c r="H28" s="544" t="s">
        <v>1300</v>
      </c>
      <c r="I28" s="154" t="s">
        <v>1300</v>
      </c>
    </row>
    <row r="29" spans="1:9" ht="18" customHeight="1" thickBot="1">
      <c r="A29" s="169">
        <v>1998</v>
      </c>
      <c r="B29" s="633">
        <v>2.8030133255184442E-2</v>
      </c>
      <c r="C29" s="150">
        <v>8.7214902317128695E-2</v>
      </c>
      <c r="D29" s="633">
        <v>0.10506735312786519</v>
      </c>
      <c r="E29" s="150">
        <v>9.257409257409277E-2</v>
      </c>
      <c r="F29" s="633">
        <v>6.8946987219924649E-2</v>
      </c>
      <c r="G29" s="150">
        <v>1.0399153122859328E-2</v>
      </c>
      <c r="H29" s="633">
        <v>1.6930288307185348E-2</v>
      </c>
      <c r="I29" s="150">
        <v>3.0633500796471091E-2</v>
      </c>
    </row>
    <row r="30" spans="1:9" ht="18" customHeight="1" thickBot="1">
      <c r="A30" s="171">
        <v>1999</v>
      </c>
      <c r="B30" s="544">
        <v>2.813783851764895E-2</v>
      </c>
      <c r="C30" s="154">
        <v>1.3372559507907056E-4</v>
      </c>
      <c r="D30" s="544">
        <v>2.1300358994814639E-2</v>
      </c>
      <c r="E30" s="154">
        <v>-1.0430424328626287E-2</v>
      </c>
      <c r="F30" s="544">
        <v>6.5570904004208508E-4</v>
      </c>
      <c r="G30" s="154">
        <v>8.8992974238875977E-2</v>
      </c>
      <c r="H30" s="544">
        <v>5.0155750126283927E-2</v>
      </c>
      <c r="I30" s="154">
        <v>2.4491737011057113E-2</v>
      </c>
    </row>
    <row r="31" spans="1:9" ht="18" customHeight="1" thickBot="1">
      <c r="A31" s="171">
        <v>2000</v>
      </c>
      <c r="B31" s="544">
        <v>3.487025590005377E-2</v>
      </c>
      <c r="C31" s="154">
        <v>7.7550474662386737E-3</v>
      </c>
      <c r="D31" s="544">
        <v>1.8278394000937226E-2</v>
      </c>
      <c r="E31" s="154">
        <v>2.3613154922830226E-3</v>
      </c>
      <c r="F31" s="544">
        <v>3.839937093180712E-2</v>
      </c>
      <c r="G31" s="154">
        <v>5.0160347104319936E-2</v>
      </c>
      <c r="H31" s="544">
        <v>3.0063132578414864E-2</v>
      </c>
      <c r="I31" s="154">
        <v>3.073658382930744E-2</v>
      </c>
    </row>
    <row r="32" spans="1:9" ht="18" customHeight="1" thickBot="1">
      <c r="A32" s="171">
        <v>2001</v>
      </c>
      <c r="B32" s="544">
        <v>5.4609068414997353E-2</v>
      </c>
      <c r="C32" s="154">
        <v>1.2637654239087137E-2</v>
      </c>
      <c r="D32" s="544">
        <v>1.7121816508131493E-2</v>
      </c>
      <c r="E32" s="154">
        <v>5.3772618641176884E-3</v>
      </c>
      <c r="F32" s="544">
        <v>4.3268826251577686E-2</v>
      </c>
      <c r="G32" s="154">
        <v>4.1782679767913944E-2</v>
      </c>
      <c r="H32" s="544">
        <v>6.0453351493335861E-2</v>
      </c>
      <c r="I32" s="154">
        <v>4.9764367169028212E-2</v>
      </c>
    </row>
    <row r="33" spans="1:10" ht="18" customHeight="1" thickBot="1">
      <c r="A33" s="171">
        <v>2002</v>
      </c>
      <c r="B33" s="544">
        <v>9.5433080279753835E-2</v>
      </c>
      <c r="C33" s="154">
        <v>5.2212650266959315E-2</v>
      </c>
      <c r="D33" s="544">
        <v>7.0139978279232462E-2</v>
      </c>
      <c r="E33" s="154">
        <v>5.7560064521606114E-2</v>
      </c>
      <c r="F33" s="544">
        <v>3.9760469383228969E-2</v>
      </c>
      <c r="G33" s="154">
        <v>0.11064746960944905</v>
      </c>
      <c r="H33" s="544">
        <v>0.10051007302484316</v>
      </c>
      <c r="I33" s="154">
        <v>9.1378491427520858E-2</v>
      </c>
    </row>
    <row r="34" spans="1:10" ht="18" customHeight="1" thickBot="1">
      <c r="A34" s="171">
        <v>2003</v>
      </c>
      <c r="B34" s="544">
        <v>9.526343073858845E-2</v>
      </c>
      <c r="C34" s="154">
        <v>5.6532702425053705E-2</v>
      </c>
      <c r="D34" s="544">
        <v>7.0870803146054762E-2</v>
      </c>
      <c r="E34" s="154">
        <v>6.892510235209115E-2</v>
      </c>
      <c r="F34" s="544">
        <v>8.5826756384649761E-2</v>
      </c>
      <c r="G34" s="154">
        <v>6.3714835744892229E-2</v>
      </c>
      <c r="H34" s="544">
        <v>6.5605201733911267E-2</v>
      </c>
      <c r="I34" s="154">
        <v>8.8191938903005695E-2</v>
      </c>
    </row>
    <row r="35" spans="1:10" ht="18" customHeight="1" thickBot="1">
      <c r="A35" s="517">
        <v>2004</v>
      </c>
      <c r="B35" s="670">
        <v>4.9436382885968744E-2</v>
      </c>
      <c r="C35" s="671">
        <v>3.1939656442441011E-2</v>
      </c>
      <c r="D35" s="670">
        <v>4.2633006028378162E-2</v>
      </c>
      <c r="E35" s="671">
        <v>6.8596232989876604E-2</v>
      </c>
      <c r="F35" s="670">
        <v>5.4987052415394144E-2</v>
      </c>
      <c r="G35" s="671">
        <v>4.2778329149395944E-2</v>
      </c>
      <c r="H35" s="670">
        <v>5.8030196354533325E-2</v>
      </c>
      <c r="I35" s="671">
        <v>4.7372698773109123E-2</v>
      </c>
    </row>
    <row r="36" spans="1:10">
      <c r="A36" s="155"/>
    </row>
    <row r="38" spans="1:10" ht="14">
      <c r="A38" s="316" t="s">
        <v>1587</v>
      </c>
      <c r="B38" s="164" t="s">
        <v>1571</v>
      </c>
      <c r="C38" s="141" t="s">
        <v>1572</v>
      </c>
      <c r="D38" s="164"/>
      <c r="E38" s="141"/>
      <c r="F38" s="164"/>
      <c r="G38" s="141"/>
      <c r="H38" s="164" t="s">
        <v>1573</v>
      </c>
      <c r="I38" s="141" t="s">
        <v>1574</v>
      </c>
      <c r="J38" s="164" t="s">
        <v>652</v>
      </c>
    </row>
    <row r="39" spans="1:10" ht="14">
      <c r="A39" s="516" t="s">
        <v>508</v>
      </c>
      <c r="B39" s="166" t="s">
        <v>1575</v>
      </c>
      <c r="C39" s="144" t="s">
        <v>1576</v>
      </c>
      <c r="D39" s="166"/>
      <c r="E39" s="197"/>
      <c r="F39" s="166"/>
      <c r="G39" s="197"/>
      <c r="H39" s="166" t="s">
        <v>1577</v>
      </c>
      <c r="I39" s="197" t="s">
        <v>1578</v>
      </c>
      <c r="J39" s="166"/>
    </row>
    <row r="40" spans="1:10" ht="14">
      <c r="A40" s="165"/>
      <c r="B40" s="166" t="s">
        <v>1579</v>
      </c>
      <c r="C40" s="447" t="s">
        <v>1580</v>
      </c>
      <c r="D40" s="446"/>
      <c r="E40" s="503"/>
      <c r="F40" s="446"/>
      <c r="G40" s="503"/>
      <c r="H40" s="166" t="s">
        <v>1281</v>
      </c>
      <c r="I40" s="197" t="s">
        <v>1581</v>
      </c>
      <c r="J40" s="166"/>
    </row>
    <row r="41" spans="1:10" ht="19.5" customHeight="1">
      <c r="A41" s="167" t="s">
        <v>1250</v>
      </c>
      <c r="B41" s="168"/>
      <c r="C41" s="147"/>
      <c r="D41" s="446" t="s">
        <v>1588</v>
      </c>
      <c r="E41" s="447" t="s">
        <v>1589</v>
      </c>
      <c r="F41" s="446" t="s">
        <v>1590</v>
      </c>
      <c r="G41" s="447" t="s">
        <v>1591</v>
      </c>
      <c r="H41" s="168"/>
      <c r="I41" s="200" t="s">
        <v>1582</v>
      </c>
      <c r="J41" s="168"/>
    </row>
    <row r="42" spans="1:10" ht="19.5" customHeight="1" thickBot="1">
      <c r="A42" s="391" t="s">
        <v>1333</v>
      </c>
      <c r="B42" s="633" t="s">
        <v>1300</v>
      </c>
      <c r="C42" s="150" t="s">
        <v>1300</v>
      </c>
      <c r="D42" s="633" t="s">
        <v>1300</v>
      </c>
      <c r="E42" s="150" t="s">
        <v>1300</v>
      </c>
      <c r="F42" s="633" t="s">
        <v>1300</v>
      </c>
      <c r="G42" s="150" t="s">
        <v>1300</v>
      </c>
      <c r="H42" s="633" t="s">
        <v>1300</v>
      </c>
      <c r="I42" s="150" t="s">
        <v>1300</v>
      </c>
      <c r="J42" s="633" t="s">
        <v>1300</v>
      </c>
    </row>
    <row r="43" spans="1:10" ht="19.5" customHeight="1" thickBot="1">
      <c r="A43" s="152" t="s">
        <v>1334</v>
      </c>
      <c r="B43" s="544" t="s">
        <v>1300</v>
      </c>
      <c r="C43" s="154" t="s">
        <v>1300</v>
      </c>
      <c r="D43" s="544" t="s">
        <v>1300</v>
      </c>
      <c r="E43" s="154" t="s">
        <v>1300</v>
      </c>
      <c r="F43" s="544" t="s">
        <v>1300</v>
      </c>
      <c r="G43" s="154" t="s">
        <v>1300</v>
      </c>
      <c r="H43" s="544" t="s">
        <v>1300</v>
      </c>
      <c r="I43" s="154" t="s">
        <v>1300</v>
      </c>
      <c r="J43" s="544" t="s">
        <v>1300</v>
      </c>
    </row>
    <row r="44" spans="1:10" ht="19.5" customHeight="1" thickBot="1">
      <c r="A44" s="169">
        <v>1998</v>
      </c>
      <c r="B44" s="633">
        <v>8.1897976669972561E-2</v>
      </c>
      <c r="C44" s="150">
        <v>6.848059750854385E-2</v>
      </c>
      <c r="D44" s="633">
        <v>5.582204345640096E-2</v>
      </c>
      <c r="E44" s="150">
        <v>0.10739444740986759</v>
      </c>
      <c r="F44" s="633">
        <v>0.22828094752552786</v>
      </c>
      <c r="G44" s="150">
        <v>0.10011521379592292</v>
      </c>
      <c r="H44" s="633">
        <v>9.9451443492833747E-2</v>
      </c>
      <c r="I44" s="150">
        <v>0.12965759055144521</v>
      </c>
      <c r="J44" s="633">
        <v>7.1844673501836764E-2</v>
      </c>
    </row>
    <row r="45" spans="1:10" ht="19.5" customHeight="1" thickBot="1">
      <c r="A45" s="171">
        <v>1999</v>
      </c>
      <c r="B45" s="544">
        <v>-1.8626839610875412E-2</v>
      </c>
      <c r="C45" s="154">
        <v>4.9376108334676649E-2</v>
      </c>
      <c r="D45" s="544">
        <v>8.2961170671437268E-2</v>
      </c>
      <c r="E45" s="154">
        <v>1.8816276495721374E-2</v>
      </c>
      <c r="F45" s="544">
        <v>-0.18057243229586495</v>
      </c>
      <c r="G45" s="154">
        <v>-1.8378223156898965E-2</v>
      </c>
      <c r="H45" s="544">
        <v>5.4900744416873204E-2</v>
      </c>
      <c r="I45" s="154">
        <v>5.0864699898269805E-3</v>
      </c>
      <c r="J45" s="544">
        <v>1.1106493174334098E-2</v>
      </c>
    </row>
    <row r="46" spans="1:10" ht="19.5" customHeight="1" thickBot="1">
      <c r="A46" s="171">
        <v>2000</v>
      </c>
      <c r="B46" s="544">
        <v>-6.9897631741150379E-3</v>
      </c>
      <c r="C46" s="154">
        <v>-8.5600865226260758E-3</v>
      </c>
      <c r="D46" s="544">
        <v>7.5405549943547978E-3</v>
      </c>
      <c r="E46" s="154">
        <v>-1.2937479557029952E-2</v>
      </c>
      <c r="F46" s="544">
        <v>-2.9687270591689963E-2</v>
      </c>
      <c r="G46" s="154">
        <v>-2.0658206065820583E-2</v>
      </c>
      <c r="H46" s="544">
        <v>4.4272692905447109E-3</v>
      </c>
      <c r="I46" s="154">
        <v>-1.1635982150772772E-2</v>
      </c>
      <c r="J46" s="544">
        <v>-9.0873447499556503E-3</v>
      </c>
    </row>
    <row r="47" spans="1:10" ht="19.5" customHeight="1" thickBot="1">
      <c r="A47" s="171">
        <v>2001</v>
      </c>
      <c r="B47" s="544">
        <v>4.5842851932195394E-2</v>
      </c>
      <c r="C47" s="154">
        <v>-3.1164194646055909E-2</v>
      </c>
      <c r="D47" s="544">
        <v>-1.0922451771949615E-2</v>
      </c>
      <c r="E47" s="154">
        <v>-3.9682117010763851E-2</v>
      </c>
      <c r="F47" s="544">
        <v>-1.4420167049993937E-2</v>
      </c>
      <c r="G47" s="154">
        <v>-2.4370958673039067E-2</v>
      </c>
      <c r="H47" s="544">
        <v>-8.8406015289138495E-2</v>
      </c>
      <c r="I47" s="154">
        <v>-6.562964845531094E-3</v>
      </c>
      <c r="J47" s="544">
        <v>8.8324451960815065E-3</v>
      </c>
    </row>
    <row r="48" spans="1:10" ht="19.5" customHeight="1" thickBot="1">
      <c r="A48" s="171">
        <v>2002</v>
      </c>
      <c r="B48" s="544">
        <v>0.14898707147096446</v>
      </c>
      <c r="C48" s="154">
        <v>0.10716456295462251</v>
      </c>
      <c r="D48" s="544">
        <v>0.13472902144812093</v>
      </c>
      <c r="E48" s="154">
        <v>0.11309593497938852</v>
      </c>
      <c r="F48" s="544">
        <v>0.117409994626545</v>
      </c>
      <c r="G48" s="154">
        <v>0.12757316524088247</v>
      </c>
      <c r="H48" s="544">
        <v>7.1840135055782905E-3</v>
      </c>
      <c r="I48" s="154">
        <v>0.13856722572101465</v>
      </c>
      <c r="J48" s="544">
        <v>0.12763871228942492</v>
      </c>
    </row>
    <row r="49" spans="1:10" ht="19.5" customHeight="1" thickBot="1">
      <c r="A49" s="171">
        <v>2003</v>
      </c>
      <c r="B49" s="544">
        <v>0.16664625346802509</v>
      </c>
      <c r="C49" s="154">
        <v>0.1140978377691233</v>
      </c>
      <c r="D49" s="544">
        <v>0.15763365597839218</v>
      </c>
      <c r="E49" s="154">
        <v>0.14238185129621739</v>
      </c>
      <c r="F49" s="544">
        <v>0.14590045684058661</v>
      </c>
      <c r="G49" s="154">
        <v>0.15779007642732212</v>
      </c>
      <c r="H49" s="544" t="s">
        <v>1300</v>
      </c>
      <c r="I49" s="154">
        <v>0.12359320376158967</v>
      </c>
      <c r="J49" s="544">
        <v>0.13713423391077995</v>
      </c>
    </row>
    <row r="50" spans="1:10" ht="19.5" customHeight="1" thickBot="1">
      <c r="A50" s="517">
        <v>2004</v>
      </c>
      <c r="B50" s="670">
        <v>8.578105814744319E-2</v>
      </c>
      <c r="C50" s="671">
        <v>0.11586137504667859</v>
      </c>
      <c r="D50" s="670">
        <v>0.10898774398547428</v>
      </c>
      <c r="E50" s="671">
        <v>0.13383342782793251</v>
      </c>
      <c r="F50" s="670">
        <v>0.15309077174870955</v>
      </c>
      <c r="G50" s="671">
        <v>0.23114330056906351</v>
      </c>
      <c r="H50" s="670" t="s">
        <v>1300</v>
      </c>
      <c r="I50" s="671">
        <v>0.10834543968098065</v>
      </c>
      <c r="J50" s="670">
        <v>9.9881105667954273E-2</v>
      </c>
    </row>
    <row r="51" spans="1:10">
      <c r="H51" s="5"/>
      <c r="I51" s="5"/>
      <c r="J51" s="5"/>
    </row>
    <row r="52" spans="1:10">
      <c r="H52" s="5"/>
      <c r="I52" s="5"/>
      <c r="J52" s="5"/>
    </row>
    <row r="53" spans="1:10" ht="14">
      <c r="A53" s="316" t="s">
        <v>1592</v>
      </c>
      <c r="B53" s="164" t="s">
        <v>1571</v>
      </c>
      <c r="C53" s="141" t="s">
        <v>1572</v>
      </c>
      <c r="D53" s="164"/>
      <c r="E53" s="141"/>
      <c r="F53" s="164"/>
      <c r="G53" s="141"/>
      <c r="H53" s="164" t="s">
        <v>1573</v>
      </c>
      <c r="I53" s="141" t="s">
        <v>1574</v>
      </c>
      <c r="J53" s="164" t="s">
        <v>652</v>
      </c>
    </row>
    <row r="54" spans="1:10" ht="14">
      <c r="A54" s="516" t="s">
        <v>1593</v>
      </c>
      <c r="B54" s="166" t="s">
        <v>1575</v>
      </c>
      <c r="C54" s="144" t="s">
        <v>1576</v>
      </c>
      <c r="D54" s="166"/>
      <c r="E54" s="197"/>
      <c r="F54" s="166"/>
      <c r="G54" s="197"/>
      <c r="H54" s="166" t="s">
        <v>1577</v>
      </c>
      <c r="I54" s="197" t="s">
        <v>1578</v>
      </c>
      <c r="J54" s="166"/>
    </row>
    <row r="55" spans="1:10" ht="14">
      <c r="A55" s="165"/>
      <c r="B55" s="166" t="s">
        <v>1579</v>
      </c>
      <c r="C55" s="447" t="s">
        <v>1580</v>
      </c>
      <c r="D55" s="446"/>
      <c r="E55" s="503"/>
      <c r="F55" s="446"/>
      <c r="G55" s="503"/>
      <c r="H55" s="166" t="s">
        <v>1281</v>
      </c>
      <c r="I55" s="197" t="s">
        <v>1581</v>
      </c>
      <c r="J55" s="166"/>
    </row>
    <row r="56" spans="1:10" ht="15.75" customHeight="1">
      <c r="A56" s="167" t="s">
        <v>1250</v>
      </c>
      <c r="B56" s="168"/>
      <c r="C56" s="147"/>
      <c r="D56" s="446" t="s">
        <v>1588</v>
      </c>
      <c r="E56" s="447" t="s">
        <v>1589</v>
      </c>
      <c r="F56" s="446" t="s">
        <v>1590</v>
      </c>
      <c r="G56" s="447" t="s">
        <v>1591</v>
      </c>
      <c r="H56" s="168"/>
      <c r="I56" s="200" t="s">
        <v>1582</v>
      </c>
      <c r="J56" s="168"/>
    </row>
    <row r="57" spans="1:10" ht="18.75" customHeight="1" thickBot="1">
      <c r="A57" s="391" t="s">
        <v>1333</v>
      </c>
      <c r="B57" s="633" t="s">
        <v>1300</v>
      </c>
      <c r="C57" s="150" t="s">
        <v>1300</v>
      </c>
      <c r="D57" s="633" t="s">
        <v>1300</v>
      </c>
      <c r="E57" s="150" t="s">
        <v>1300</v>
      </c>
      <c r="F57" s="633" t="s">
        <v>1300</v>
      </c>
      <c r="G57" s="150" t="s">
        <v>1300</v>
      </c>
      <c r="H57" s="633" t="s">
        <v>1300</v>
      </c>
      <c r="I57" s="150" t="s">
        <v>1300</v>
      </c>
      <c r="J57" s="633" t="s">
        <v>1300</v>
      </c>
    </row>
    <row r="58" spans="1:10" ht="18.75" customHeight="1" thickBot="1">
      <c r="A58" s="152" t="s">
        <v>1334</v>
      </c>
      <c r="B58" s="544" t="s">
        <v>1300</v>
      </c>
      <c r="C58" s="154" t="s">
        <v>1300</v>
      </c>
      <c r="D58" s="544" t="s">
        <v>1300</v>
      </c>
      <c r="E58" s="154" t="s">
        <v>1300</v>
      </c>
      <c r="F58" s="544" t="s">
        <v>1300</v>
      </c>
      <c r="G58" s="154" t="s">
        <v>1300</v>
      </c>
      <c r="H58" s="544" t="s">
        <v>1300</v>
      </c>
      <c r="I58" s="154" t="s">
        <v>1300</v>
      </c>
      <c r="J58" s="544" t="s">
        <v>1300</v>
      </c>
    </row>
    <row r="59" spans="1:10" ht="18.75" customHeight="1" thickBot="1">
      <c r="A59" s="169">
        <v>1998</v>
      </c>
      <c r="B59" s="633">
        <v>5.1304237419645959E-2</v>
      </c>
      <c r="C59" s="150">
        <v>7.2791887503446562E-2</v>
      </c>
      <c r="D59" s="633">
        <v>8.8360410803190792E-2</v>
      </c>
      <c r="E59" s="150">
        <v>9.6064387884749358E-2</v>
      </c>
      <c r="F59" s="633">
        <v>1.8396817372573926E-2</v>
      </c>
      <c r="G59" s="150">
        <v>6.4997072517913423E-2</v>
      </c>
      <c r="H59" s="633">
        <v>2.3934066664451192E-2</v>
      </c>
      <c r="I59" s="150">
        <v>6.1219396244354574E-2</v>
      </c>
      <c r="J59" s="633">
        <v>5.8106512967161184E-2</v>
      </c>
    </row>
    <row r="60" spans="1:10" ht="18.75" customHeight="1" thickBot="1">
      <c r="A60" s="171">
        <v>1999</v>
      </c>
      <c r="B60" s="544">
        <v>2.5192004043602889E-2</v>
      </c>
      <c r="C60" s="154">
        <v>2.1418168318245501E-2</v>
      </c>
      <c r="D60" s="544">
        <v>3.441576210891184E-2</v>
      </c>
      <c r="E60" s="154">
        <v>1.9533240162099341E-2</v>
      </c>
      <c r="F60" s="544">
        <v>-2.2683126861483993E-2</v>
      </c>
      <c r="G60" s="154">
        <v>1.7317547269835698E-2</v>
      </c>
      <c r="H60" s="544">
        <v>2.129095913174428E-2</v>
      </c>
      <c r="I60" s="154">
        <v>2.8519111668589225E-2</v>
      </c>
      <c r="J60" s="544">
        <v>2.2325637842026014E-2</v>
      </c>
    </row>
    <row r="61" spans="1:10" ht="18.75" customHeight="1" thickBot="1">
      <c r="A61" s="171">
        <v>2000</v>
      </c>
      <c r="B61" s="544">
        <v>4.3347367961779515E-2</v>
      </c>
      <c r="C61" s="154">
        <v>2.0237462838184062E-2</v>
      </c>
      <c r="D61" s="544">
        <v>3.4090808885126611E-2</v>
      </c>
      <c r="E61" s="154">
        <v>2.9107563657036151E-2</v>
      </c>
      <c r="F61" s="544">
        <v>2.6610427754344856E-2</v>
      </c>
      <c r="G61" s="154">
        <v>2.4916526740393241E-2</v>
      </c>
      <c r="H61" s="544">
        <v>1.9359841358621122E-2</v>
      </c>
      <c r="I61" s="154">
        <v>3.0085749285422514E-2</v>
      </c>
      <c r="J61" s="544">
        <v>3.0344122253117334E-2</v>
      </c>
    </row>
    <row r="62" spans="1:10" ht="18.75" customHeight="1" thickBot="1">
      <c r="A62" s="171">
        <v>2001</v>
      </c>
      <c r="B62" s="544">
        <v>5.6366829757872328E-2</v>
      </c>
      <c r="C62" s="154">
        <v>3.112653862842274E-2</v>
      </c>
      <c r="D62" s="544">
        <v>5.2298561427146062E-2</v>
      </c>
      <c r="E62" s="154">
        <v>4.5449078054626169E-2</v>
      </c>
      <c r="F62" s="544">
        <v>4.7221863706762957E-2</v>
      </c>
      <c r="G62" s="154">
        <v>2.8189966857487203E-2</v>
      </c>
      <c r="H62" s="544">
        <v>4.3047224750907276E-2</v>
      </c>
      <c r="I62" s="154">
        <v>4.1733394643791444E-2</v>
      </c>
      <c r="J62" s="544">
        <v>4.2491813158326064E-2</v>
      </c>
    </row>
    <row r="63" spans="1:10" ht="18.75" customHeight="1" thickBot="1">
      <c r="A63" s="171">
        <v>2002</v>
      </c>
      <c r="B63" s="544">
        <v>9.5059954316750295E-2</v>
      </c>
      <c r="C63" s="154">
        <v>7.9699681077250339E-2</v>
      </c>
      <c r="D63" s="544">
        <v>0.10467415438971828</v>
      </c>
      <c r="E63" s="154">
        <v>9.590366169094855E-2</v>
      </c>
      <c r="F63" s="544">
        <v>9.5022415307112862E-2</v>
      </c>
      <c r="G63" s="154">
        <v>9.2947015622424578E-2</v>
      </c>
      <c r="H63" s="544">
        <v>0.1242303599823058</v>
      </c>
      <c r="I63" s="154">
        <v>8.6297609806339048E-2</v>
      </c>
      <c r="J63" s="544">
        <v>8.5617370013942207E-2</v>
      </c>
    </row>
    <row r="64" spans="1:10" ht="18.75" customHeight="1" thickBot="1">
      <c r="A64" s="171">
        <v>2003</v>
      </c>
      <c r="B64" s="544">
        <v>0.1015320545726659</v>
      </c>
      <c r="C64" s="154">
        <v>7.2216547078394866E-2</v>
      </c>
      <c r="D64" s="544">
        <v>9.5434238807502902E-2</v>
      </c>
      <c r="E64" s="154">
        <v>9.5684328813783415E-2</v>
      </c>
      <c r="F64" s="544">
        <v>9.7145429733113797E-2</v>
      </c>
      <c r="G64" s="154">
        <v>0.1044305918627253</v>
      </c>
      <c r="H64" s="544">
        <v>8.1911861667056662E-2</v>
      </c>
      <c r="I64" s="154">
        <v>7.9899675861489161E-2</v>
      </c>
      <c r="J64" s="544">
        <v>8.3630255522752828E-2</v>
      </c>
    </row>
    <row r="65" spans="1:10" ht="18.75" customHeight="1" thickBot="1">
      <c r="A65" s="517">
        <v>2004</v>
      </c>
      <c r="B65" s="670">
        <v>4.1347782138965838E-2</v>
      </c>
      <c r="C65" s="671">
        <v>8.3369044521648616E-2</v>
      </c>
      <c r="D65" s="670">
        <v>7.3666446793478668E-2</v>
      </c>
      <c r="E65" s="671">
        <v>8.5724323691298787E-2</v>
      </c>
      <c r="F65" s="670">
        <v>0.11237347832033917</v>
      </c>
      <c r="G65" s="671">
        <v>0.16570067366632268</v>
      </c>
      <c r="H65" s="670">
        <v>4.9810048507664462E-2</v>
      </c>
      <c r="I65" s="671">
        <v>7.9152123799267171E-2</v>
      </c>
      <c r="J65" s="670">
        <v>6.4099553037502144E-2</v>
      </c>
    </row>
    <row r="66" spans="1:10" ht="16.5" customHeight="1">
      <c r="A66" s="493" t="s">
        <v>1594</v>
      </c>
    </row>
    <row r="68" spans="1:10">
      <c r="A68" s="2" t="s">
        <v>1338</v>
      </c>
    </row>
    <row r="70" spans="1:10" ht="13.5" customHeight="1">
      <c r="A70" s="2" t="s">
        <v>1332</v>
      </c>
      <c r="B70" s="491"/>
      <c r="C70" s="491"/>
      <c r="D70" s="491"/>
      <c r="E70" s="491"/>
      <c r="F70" s="491"/>
    </row>
    <row r="73" spans="1:10">
      <c r="A73" s="2" t="s">
        <v>104</v>
      </c>
    </row>
  </sheetData>
  <mergeCells count="1">
    <mergeCell ref="A2:E2"/>
  </mergeCells>
  <phoneticPr fontId="0" type="noConversion"/>
  <pageMargins left="0.53" right="0.56999999999999995" top="0.7" bottom="0.49" header="0.38" footer="0.4921259845"/>
  <pageSetup paperSize="9" scale="61" orientation="portrait" horizontalDpi="1200" verticalDpi="1200"/>
  <headerFooter alignWithMargins="0">
    <oddHeader>&amp;L&amp;"Arial,Bold"Versicherte und Finanzen in der OKP</oddHead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2E1C3-D5E1-3C4E-B170-434EAFF3CFDC}">
  <sheetPr>
    <pageSetUpPr fitToPage="1"/>
  </sheetPr>
  <dimension ref="A1:J73"/>
  <sheetViews>
    <sheetView zoomScale="75" workbookViewId="0">
      <selection activeCell="B13" sqref="B13"/>
    </sheetView>
  </sheetViews>
  <sheetFormatPr baseColWidth="10" defaultColWidth="11.3984375" defaultRowHeight="13"/>
  <cols>
    <col min="1" max="1" width="21.59765625" style="2" customWidth="1"/>
    <col min="2" max="6" width="14.3984375" style="2" customWidth="1"/>
    <col min="7" max="7" width="13.796875" style="2" customWidth="1"/>
    <col min="8" max="9" width="13.19921875" style="2" customWidth="1"/>
    <col min="10" max="10" width="13.796875" style="2" customWidth="1"/>
    <col min="11" max="16384" width="11.3984375" style="2"/>
  </cols>
  <sheetData>
    <row r="1" spans="1:10" s="1" customFormat="1" ht="14" customHeight="1"/>
    <row r="2" spans="1:10" s="1" customFormat="1" ht="39.75" customHeight="1">
      <c r="A2" s="1715" t="s">
        <v>1339</v>
      </c>
      <c r="B2" s="1716"/>
      <c r="C2" s="1716"/>
      <c r="D2" s="1716"/>
      <c r="E2" s="1716"/>
      <c r="F2" s="652">
        <v>2004</v>
      </c>
    </row>
    <row r="3" spans="1:10" ht="24" customHeight="1">
      <c r="A3" s="139" t="s">
        <v>1346</v>
      </c>
      <c r="B3" s="164" t="s">
        <v>1571</v>
      </c>
      <c r="C3" s="141" t="s">
        <v>1572</v>
      </c>
      <c r="D3" s="164" t="s">
        <v>1573</v>
      </c>
      <c r="E3" s="141" t="s">
        <v>1574</v>
      </c>
      <c r="F3" s="321" t="s">
        <v>652</v>
      </c>
    </row>
    <row r="4" spans="1:10" ht="15" customHeight="1">
      <c r="A4" s="165"/>
      <c r="B4" s="166" t="s">
        <v>1575</v>
      </c>
      <c r="C4" s="144" t="s">
        <v>1576</v>
      </c>
      <c r="D4" s="166" t="s">
        <v>1577</v>
      </c>
      <c r="E4" s="197" t="s">
        <v>1578</v>
      </c>
      <c r="F4" s="323"/>
    </row>
    <row r="5" spans="1:10" ht="15" customHeight="1">
      <c r="A5" s="165"/>
      <c r="B5" s="166" t="s">
        <v>1579</v>
      </c>
      <c r="C5" s="144" t="s">
        <v>1580</v>
      </c>
      <c r="D5" s="166" t="s">
        <v>1281</v>
      </c>
      <c r="E5" s="197" t="s">
        <v>1581</v>
      </c>
      <c r="F5" s="323"/>
    </row>
    <row r="6" spans="1:10" ht="24" customHeight="1">
      <c r="A6" s="167"/>
      <c r="B6" s="168"/>
      <c r="C6" s="147"/>
      <c r="D6" s="168"/>
      <c r="E6" s="200" t="s">
        <v>1582</v>
      </c>
      <c r="F6" s="325"/>
    </row>
    <row r="7" spans="1:10" ht="20" customHeight="1" thickBot="1">
      <c r="A7" s="169">
        <v>1996</v>
      </c>
      <c r="B7" s="633" t="s">
        <v>1300</v>
      </c>
      <c r="C7" s="150" t="s">
        <v>1300</v>
      </c>
      <c r="D7" s="633" t="s">
        <v>1300</v>
      </c>
      <c r="E7" s="150" t="s">
        <v>1300</v>
      </c>
      <c r="F7" s="667" t="s">
        <v>1300</v>
      </c>
      <c r="H7" s="10"/>
      <c r="I7" s="10"/>
      <c r="J7" s="10"/>
    </row>
    <row r="8" spans="1:10" ht="20" customHeight="1" thickBot="1">
      <c r="A8" s="169">
        <v>1997</v>
      </c>
      <c r="B8" s="633">
        <v>-6.2470665243880785E-2</v>
      </c>
      <c r="C8" s="150">
        <v>0.23563182081505829</v>
      </c>
      <c r="D8" s="633">
        <v>-5.7111913415452076E-2</v>
      </c>
      <c r="E8" s="150">
        <v>2.0235393760331015</v>
      </c>
      <c r="F8" s="667">
        <v>5.629106090086311E-2</v>
      </c>
      <c r="H8" s="10"/>
      <c r="I8" s="10"/>
      <c r="J8" s="10"/>
    </row>
    <row r="9" spans="1:10" ht="20" customHeight="1" thickBot="1">
      <c r="A9" s="171">
        <v>1998</v>
      </c>
      <c r="B9" s="544">
        <v>0.17161691197767981</v>
      </c>
      <c r="C9" s="154">
        <v>0.15823546501550978</v>
      </c>
      <c r="D9" s="544">
        <v>-0.26188313056035251</v>
      </c>
      <c r="E9" s="154">
        <v>0.70470117977687186</v>
      </c>
      <c r="F9" s="668">
        <v>0.1740753192251161</v>
      </c>
    </row>
    <row r="10" spans="1:10" ht="20" customHeight="1" thickBot="1">
      <c r="A10" s="171">
        <v>1999</v>
      </c>
      <c r="B10" s="544">
        <v>1.8897066482099767E-3</v>
      </c>
      <c r="C10" s="154">
        <v>7.9488459602574002E-2</v>
      </c>
      <c r="D10" s="544">
        <v>-0.29401545629744275</v>
      </c>
      <c r="E10" s="154">
        <v>0.11057120220330274</v>
      </c>
      <c r="F10" s="668">
        <v>4.1598432610236324E-2</v>
      </c>
    </row>
    <row r="11" spans="1:10" ht="20" customHeight="1" thickBot="1">
      <c r="A11" s="171">
        <v>2000</v>
      </c>
      <c r="B11" s="544">
        <v>6.3033733489282318E-2</v>
      </c>
      <c r="C11" s="154">
        <v>1.7220798997449771E-2</v>
      </c>
      <c r="D11" s="544">
        <v>0.65076413304714165</v>
      </c>
      <c r="E11" s="154">
        <v>8.681673697130754E-2</v>
      </c>
      <c r="F11" s="668">
        <v>4.4583886098717995E-2</v>
      </c>
    </row>
    <row r="12" spans="1:10" ht="20" customHeight="1" thickBot="1">
      <c r="A12" s="171">
        <v>2001</v>
      </c>
      <c r="B12" s="544">
        <v>3.8069180018684534E-2</v>
      </c>
      <c r="C12" s="154">
        <v>3.3862208301077557E-2</v>
      </c>
      <c r="D12" s="544">
        <v>6.4521331305202878E-2</v>
      </c>
      <c r="E12" s="154">
        <v>7.5098184212788022E-2</v>
      </c>
      <c r="F12" s="668">
        <v>4.1412421039593639E-2</v>
      </c>
    </row>
    <row r="13" spans="1:10" ht="20" customHeight="1" thickBot="1">
      <c r="A13" s="171">
        <v>2002</v>
      </c>
      <c r="B13" s="544">
        <v>2.416722660348869E-2</v>
      </c>
      <c r="C13" s="154">
        <v>2.1049599528934593E-2</v>
      </c>
      <c r="D13" s="544">
        <v>5.0768772014247565E-2</v>
      </c>
      <c r="E13" s="154">
        <v>0.14202176697406843</v>
      </c>
      <c r="F13" s="668">
        <v>3.7368288088659662E-2</v>
      </c>
    </row>
    <row r="14" spans="1:10" ht="20" customHeight="1" thickBot="1">
      <c r="A14" s="171">
        <v>2003</v>
      </c>
      <c r="B14" s="544">
        <v>2.823959771006801E-2</v>
      </c>
      <c r="C14" s="154">
        <v>3.4413831454841004E-2</v>
      </c>
      <c r="D14" s="544">
        <v>2.8863292845559885E-2</v>
      </c>
      <c r="E14" s="154">
        <v>-8.6495533473071484E-2</v>
      </c>
      <c r="F14" s="668">
        <v>2.9497481187025221E-2</v>
      </c>
    </row>
    <row r="15" spans="1:10" ht="23.25" customHeight="1" thickBot="1">
      <c r="A15" s="669">
        <v>2004</v>
      </c>
      <c r="B15" s="670">
        <v>0.17372741299425454</v>
      </c>
      <c r="C15" s="671">
        <v>2.705414752531321E-2</v>
      </c>
      <c r="D15" s="670">
        <v>0.15910348976941879</v>
      </c>
      <c r="E15" s="671">
        <v>0.13942738827976697</v>
      </c>
      <c r="F15" s="670">
        <v>9.0240744966028297E-2</v>
      </c>
    </row>
    <row r="16" spans="1:10" ht="20" customHeight="1">
      <c r="A16" s="155" t="s">
        <v>146</v>
      </c>
      <c r="B16" s="489"/>
      <c r="C16" s="489"/>
      <c r="D16" s="489"/>
      <c r="E16" s="489"/>
      <c r="F16" s="489"/>
    </row>
    <row r="17" spans="1:9" ht="13.5" customHeight="1">
      <c r="A17" s="4"/>
      <c r="B17" s="491"/>
      <c r="C17" s="491"/>
      <c r="D17" s="491"/>
      <c r="E17" s="491"/>
      <c r="F17" s="491"/>
    </row>
    <row r="18" spans="1:9">
      <c r="A18" s="2" t="s">
        <v>1340</v>
      </c>
    </row>
    <row r="21" spans="1:9" ht="16">
      <c r="A21" s="515" t="s">
        <v>1331</v>
      </c>
    </row>
    <row r="22" spans="1:9" ht="15" customHeight="1"/>
    <row r="23" spans="1:9" ht="14">
      <c r="A23" s="316" t="s">
        <v>504</v>
      </c>
      <c r="B23" s="164" t="s">
        <v>1571</v>
      </c>
      <c r="C23" s="141" t="s">
        <v>1572</v>
      </c>
      <c r="D23" s="164"/>
      <c r="E23" s="141"/>
      <c r="F23" s="164"/>
      <c r="G23" s="141" t="s">
        <v>1573</v>
      </c>
      <c r="H23" s="164" t="s">
        <v>1574</v>
      </c>
      <c r="I23" s="141" t="s">
        <v>652</v>
      </c>
    </row>
    <row r="24" spans="1:9" ht="14">
      <c r="A24" s="516" t="s">
        <v>507</v>
      </c>
      <c r="B24" s="166" t="s">
        <v>1575</v>
      </c>
      <c r="C24" s="144" t="s">
        <v>1576</v>
      </c>
      <c r="D24" s="166"/>
      <c r="E24" s="197"/>
      <c r="F24" s="166"/>
      <c r="G24" s="144" t="s">
        <v>1577</v>
      </c>
      <c r="H24" s="143" t="s">
        <v>1578</v>
      </c>
      <c r="I24" s="144"/>
    </row>
    <row r="25" spans="1:9" ht="14">
      <c r="A25" s="165"/>
      <c r="B25" s="166" t="s">
        <v>1579</v>
      </c>
      <c r="C25" s="144" t="s">
        <v>1580</v>
      </c>
      <c r="D25" s="446"/>
      <c r="E25" s="503"/>
      <c r="F25" s="446"/>
      <c r="G25" s="144" t="s">
        <v>1281</v>
      </c>
      <c r="H25" s="143" t="s">
        <v>1581</v>
      </c>
      <c r="I25" s="144"/>
    </row>
    <row r="26" spans="1:9" ht="18" customHeight="1">
      <c r="A26" s="306" t="s">
        <v>1250</v>
      </c>
      <c r="B26" s="168"/>
      <c r="C26" s="147"/>
      <c r="D26" s="446" t="s">
        <v>1584</v>
      </c>
      <c r="E26" s="447" t="s">
        <v>1585</v>
      </c>
      <c r="F26" s="446" t="s">
        <v>1586</v>
      </c>
      <c r="G26" s="147"/>
      <c r="H26" s="146" t="s">
        <v>1582</v>
      </c>
      <c r="I26" s="147"/>
    </row>
    <row r="27" spans="1:9" ht="18" customHeight="1" thickBot="1">
      <c r="A27" s="169">
        <v>1996</v>
      </c>
      <c r="B27" s="633" t="s">
        <v>1300</v>
      </c>
      <c r="C27" s="150" t="s">
        <v>1300</v>
      </c>
      <c r="D27" s="633" t="s">
        <v>1300</v>
      </c>
      <c r="E27" s="150" t="s">
        <v>1300</v>
      </c>
      <c r="F27" s="633" t="s">
        <v>1300</v>
      </c>
      <c r="G27" s="150" t="s">
        <v>1300</v>
      </c>
      <c r="H27" s="633" t="s">
        <v>1300</v>
      </c>
      <c r="I27" s="150" t="s">
        <v>1300</v>
      </c>
    </row>
    <row r="28" spans="1:9" ht="18" customHeight="1" thickBot="1">
      <c r="A28" s="171">
        <v>1997</v>
      </c>
      <c r="B28" s="544" t="s">
        <v>1300</v>
      </c>
      <c r="C28" s="154" t="s">
        <v>1300</v>
      </c>
      <c r="D28" s="544" t="s">
        <v>1300</v>
      </c>
      <c r="E28" s="154" t="s">
        <v>1300</v>
      </c>
      <c r="F28" s="544" t="s">
        <v>1300</v>
      </c>
      <c r="G28" s="154" t="s">
        <v>1300</v>
      </c>
      <c r="H28" s="544" t="s">
        <v>1300</v>
      </c>
      <c r="I28" s="154" t="s">
        <v>1300</v>
      </c>
    </row>
    <row r="29" spans="1:9" ht="18" customHeight="1" thickBot="1">
      <c r="A29" s="169">
        <v>1998</v>
      </c>
      <c r="B29" s="633">
        <v>6.372264187487886E-2</v>
      </c>
      <c r="C29" s="150">
        <v>9.2846577921204876E-2</v>
      </c>
      <c r="D29" s="633">
        <v>9.4641564083997043E-2</v>
      </c>
      <c r="E29" s="150">
        <v>8.3487352801394188E-2</v>
      </c>
      <c r="F29" s="633">
        <v>0.10763684038020305</v>
      </c>
      <c r="G29" s="150">
        <v>-0.69131274131274134</v>
      </c>
      <c r="H29" s="633">
        <v>0.23848087126500972</v>
      </c>
      <c r="I29" s="150">
        <v>6.3078612898164188E-2</v>
      </c>
    </row>
    <row r="30" spans="1:9" ht="18" customHeight="1" thickBot="1">
      <c r="A30" s="171">
        <v>1999</v>
      </c>
      <c r="B30" s="544">
        <v>1.5294974508375692E-2</v>
      </c>
      <c r="C30" s="154">
        <v>2.2823746539526235E-2</v>
      </c>
      <c r="D30" s="544">
        <v>9.062644704637135E-3</v>
      </c>
      <c r="E30" s="154">
        <v>-1.7204405887513374E-2</v>
      </c>
      <c r="F30" s="544">
        <v>9.3626087471148756E-2</v>
      </c>
      <c r="G30" s="154">
        <v>0.18449030644152598</v>
      </c>
      <c r="H30" s="544">
        <v>5.4791431792559075E-2</v>
      </c>
      <c r="I30" s="154">
        <v>1.1365313653136422E-2</v>
      </c>
    </row>
    <row r="31" spans="1:9" ht="18" customHeight="1" thickBot="1">
      <c r="A31" s="171">
        <v>2000</v>
      </c>
      <c r="B31" s="544">
        <v>4.5373027259684395E-2</v>
      </c>
      <c r="C31" s="154">
        <v>7.0612293997353692E-2</v>
      </c>
      <c r="D31" s="544">
        <v>3.8285039989510938E-2</v>
      </c>
      <c r="E31" s="154">
        <v>1.8398214728490014E-2</v>
      </c>
      <c r="F31" s="544">
        <v>0.16056063639807361</v>
      </c>
      <c r="G31" s="154">
        <v>-0.13621964097148898</v>
      </c>
      <c r="H31" s="544">
        <v>5.87858058999573E-2</v>
      </c>
      <c r="I31" s="154">
        <v>5.0058377116170671E-2</v>
      </c>
    </row>
    <row r="32" spans="1:9" ht="18" customHeight="1" thickBot="1">
      <c r="A32" s="171">
        <v>2001</v>
      </c>
      <c r="B32" s="544">
        <v>6.3990392863269907E-2</v>
      </c>
      <c r="C32" s="154">
        <v>2.1348314606741692E-2</v>
      </c>
      <c r="D32" s="544">
        <v>8.0818285137012058E-3</v>
      </c>
      <c r="E32" s="154">
        <v>3.3404752629528467E-2</v>
      </c>
      <c r="F32" s="544">
        <v>1.8371724330877637E-2</v>
      </c>
      <c r="G32" s="154">
        <v>0.24602689486552576</v>
      </c>
      <c r="H32" s="544">
        <v>5.6329497274379081E-2</v>
      </c>
      <c r="I32" s="154">
        <v>4.4475330090340659E-2</v>
      </c>
    </row>
    <row r="33" spans="1:10" ht="18" customHeight="1" thickBot="1">
      <c r="A33" s="171">
        <v>2002</v>
      </c>
      <c r="B33" s="544">
        <v>6.4495324089002271E-3</v>
      </c>
      <c r="C33" s="154">
        <v>-2.7502750275032462E-4</v>
      </c>
      <c r="D33" s="544">
        <v>1.0459726919704426E-2</v>
      </c>
      <c r="E33" s="154">
        <v>4.5707284893035105E-3</v>
      </c>
      <c r="F33" s="544">
        <v>-4.5558608058608119E-2</v>
      </c>
      <c r="G33" s="154">
        <v>1.447142506745136E-2</v>
      </c>
      <c r="H33" s="544">
        <v>6.3646788990825653E-2</v>
      </c>
      <c r="I33" s="154">
        <v>1.3306719893524388E-4</v>
      </c>
    </row>
    <row r="34" spans="1:10" ht="18" customHeight="1" thickBot="1">
      <c r="A34" s="171">
        <v>2003</v>
      </c>
      <c r="B34" s="544">
        <v>3.3482858058314635E-2</v>
      </c>
      <c r="C34" s="154">
        <v>2.9711141678128161E-3</v>
      </c>
      <c r="D34" s="544">
        <v>9.5456517696645982E-3</v>
      </c>
      <c r="E34" s="154">
        <v>-3.0301608893475329E-2</v>
      </c>
      <c r="F34" s="544">
        <v>-2.4226433197409358E-2</v>
      </c>
      <c r="G34" s="154">
        <v>-1.9342359767891004E-3</v>
      </c>
      <c r="H34" s="544">
        <v>4.258760107816717E-2</v>
      </c>
      <c r="I34" s="154">
        <v>3.0202235231506336E-2</v>
      </c>
    </row>
    <row r="35" spans="1:10" ht="18" customHeight="1" thickBot="1">
      <c r="A35" s="517">
        <v>2004</v>
      </c>
      <c r="B35" s="670">
        <v>5.5805301503642823E-2</v>
      </c>
      <c r="C35" s="671">
        <v>9.3806571945800332E-3</v>
      </c>
      <c r="D35" s="670">
        <v>6.2626634739362252E-3</v>
      </c>
      <c r="E35" s="671">
        <v>-1.9348909205242348E-3</v>
      </c>
      <c r="F35" s="670">
        <v>-1.0865290068829969E-2</v>
      </c>
      <c r="G35" s="671">
        <v>-7.9941860465115866E-3</v>
      </c>
      <c r="H35" s="670">
        <v>0.10530851430541177</v>
      </c>
      <c r="I35" s="671">
        <v>4.391062895518516E-2</v>
      </c>
    </row>
    <row r="36" spans="1:10">
      <c r="A36" s="155"/>
    </row>
    <row r="38" spans="1:10" ht="14">
      <c r="A38" s="316" t="s">
        <v>1587</v>
      </c>
      <c r="B38" s="164" t="s">
        <v>1571</v>
      </c>
      <c r="C38" s="141" t="s">
        <v>1572</v>
      </c>
      <c r="D38" s="164"/>
      <c r="E38" s="141"/>
      <c r="F38" s="164"/>
      <c r="G38" s="141"/>
      <c r="H38" s="164" t="s">
        <v>1573</v>
      </c>
      <c r="I38" s="141" t="s">
        <v>1574</v>
      </c>
      <c r="J38" s="164" t="s">
        <v>652</v>
      </c>
    </row>
    <row r="39" spans="1:10" ht="14">
      <c r="A39" s="516" t="s">
        <v>508</v>
      </c>
      <c r="B39" s="166" t="s">
        <v>1575</v>
      </c>
      <c r="C39" s="144" t="s">
        <v>1576</v>
      </c>
      <c r="D39" s="166"/>
      <c r="E39" s="197"/>
      <c r="F39" s="166"/>
      <c r="G39" s="197"/>
      <c r="H39" s="166" t="s">
        <v>1577</v>
      </c>
      <c r="I39" s="197" t="s">
        <v>1578</v>
      </c>
      <c r="J39" s="166"/>
    </row>
    <row r="40" spans="1:10" ht="14">
      <c r="A40" s="165"/>
      <c r="B40" s="166" t="s">
        <v>1579</v>
      </c>
      <c r="C40" s="447" t="s">
        <v>1580</v>
      </c>
      <c r="D40" s="446"/>
      <c r="E40" s="503"/>
      <c r="F40" s="446"/>
      <c r="G40" s="503"/>
      <c r="H40" s="166" t="s">
        <v>1281</v>
      </c>
      <c r="I40" s="197" t="s">
        <v>1581</v>
      </c>
      <c r="J40" s="166"/>
    </row>
    <row r="41" spans="1:10" ht="19.5" customHeight="1">
      <c r="A41" s="167" t="s">
        <v>1250</v>
      </c>
      <c r="B41" s="168"/>
      <c r="C41" s="147"/>
      <c r="D41" s="446" t="s">
        <v>1588</v>
      </c>
      <c r="E41" s="447" t="s">
        <v>1589</v>
      </c>
      <c r="F41" s="446" t="s">
        <v>1590</v>
      </c>
      <c r="G41" s="447" t="s">
        <v>1591</v>
      </c>
      <c r="H41" s="168"/>
      <c r="I41" s="200" t="s">
        <v>1582</v>
      </c>
      <c r="J41" s="168"/>
    </row>
    <row r="42" spans="1:10" ht="19.5" customHeight="1" thickBot="1">
      <c r="A42" s="391" t="s">
        <v>1333</v>
      </c>
      <c r="B42" s="633" t="s">
        <v>1300</v>
      </c>
      <c r="C42" s="150" t="s">
        <v>1300</v>
      </c>
      <c r="D42" s="633" t="s">
        <v>1300</v>
      </c>
      <c r="E42" s="150" t="s">
        <v>1300</v>
      </c>
      <c r="F42" s="633" t="s">
        <v>1300</v>
      </c>
      <c r="G42" s="150" t="s">
        <v>1300</v>
      </c>
      <c r="H42" s="633" t="s">
        <v>1300</v>
      </c>
      <c r="I42" s="150" t="s">
        <v>1300</v>
      </c>
      <c r="J42" s="633" t="s">
        <v>1300</v>
      </c>
    </row>
    <row r="43" spans="1:10" ht="19.5" customHeight="1" thickBot="1">
      <c r="A43" s="152" t="s">
        <v>1334</v>
      </c>
      <c r="B43" s="544" t="s">
        <v>1300</v>
      </c>
      <c r="C43" s="154" t="s">
        <v>1300</v>
      </c>
      <c r="D43" s="544" t="s">
        <v>1300</v>
      </c>
      <c r="E43" s="154" t="s">
        <v>1300</v>
      </c>
      <c r="F43" s="544" t="s">
        <v>1300</v>
      </c>
      <c r="G43" s="154" t="s">
        <v>1300</v>
      </c>
      <c r="H43" s="544" t="s">
        <v>1300</v>
      </c>
      <c r="I43" s="154" t="s">
        <v>1300</v>
      </c>
      <c r="J43" s="544" t="s">
        <v>1300</v>
      </c>
    </row>
    <row r="44" spans="1:10" ht="19.5" customHeight="1" thickBot="1">
      <c r="A44" s="169">
        <v>1998</v>
      </c>
      <c r="B44" s="633">
        <v>0.22581979320531764</v>
      </c>
      <c r="C44" s="150">
        <v>0.1765883674366362</v>
      </c>
      <c r="D44" s="633">
        <v>0.17931300284241458</v>
      </c>
      <c r="E44" s="150">
        <v>6.6533599467731186E-2</v>
      </c>
      <c r="F44" s="633">
        <v>0.44400972197522082</v>
      </c>
      <c r="G44" s="150">
        <v>8.3177517139781054E-2</v>
      </c>
      <c r="H44" s="633">
        <v>-9.674645263007009E-2</v>
      </c>
      <c r="I44" s="150">
        <v>0.39464747736093142</v>
      </c>
      <c r="J44" s="633">
        <v>0.21803016074683756</v>
      </c>
    </row>
    <row r="45" spans="1:10" ht="19.5" customHeight="1" thickBot="1">
      <c r="A45" s="171">
        <v>1999</v>
      </c>
      <c r="B45" s="544">
        <v>3.2101026654456133E-2</v>
      </c>
      <c r="C45" s="154">
        <v>9.5795459262026261E-2</v>
      </c>
      <c r="D45" s="544">
        <v>0.10376240859512231</v>
      </c>
      <c r="E45" s="154">
        <v>4.0174672489083019E-2</v>
      </c>
      <c r="F45" s="544">
        <v>0.10587462539513104</v>
      </c>
      <c r="G45" s="154">
        <v>0.21969974368363232</v>
      </c>
      <c r="H45" s="544">
        <v>2.4278006981910405E-2</v>
      </c>
      <c r="I45" s="154">
        <v>0.11264421125862345</v>
      </c>
      <c r="J45" s="544">
        <v>6.0453514739229108E-2</v>
      </c>
    </row>
    <row r="46" spans="1:10" ht="19.5" customHeight="1" thickBot="1">
      <c r="A46" s="171">
        <v>2000</v>
      </c>
      <c r="B46" s="544">
        <v>3.0869098211367074E-2</v>
      </c>
      <c r="C46" s="154">
        <v>3.742282489299642E-2</v>
      </c>
      <c r="D46" s="544">
        <v>2.2613716273733431E-2</v>
      </c>
      <c r="E46" s="154">
        <v>7.3847507096877152E-2</v>
      </c>
      <c r="F46" s="544">
        <v>4.5326304848169796E-2</v>
      </c>
      <c r="G46" s="154">
        <v>0.13389372560792556</v>
      </c>
      <c r="H46" s="544">
        <v>-7.7924089852827172E-2</v>
      </c>
      <c r="I46" s="154">
        <v>3.6994581075448174E-2</v>
      </c>
      <c r="J46" s="544">
        <v>3.2074584099559544E-2</v>
      </c>
    </row>
    <row r="47" spans="1:10" ht="19.5" customHeight="1" thickBot="1">
      <c r="A47" s="171">
        <v>2001</v>
      </c>
      <c r="B47" s="544">
        <v>4.3037057171332771E-2</v>
      </c>
      <c r="C47" s="154">
        <v>4.9545437949541693E-2</v>
      </c>
      <c r="D47" s="544">
        <v>5.3094462540716592E-2</v>
      </c>
      <c r="E47" s="154">
        <v>7.1226450219673776E-2</v>
      </c>
      <c r="F47" s="544">
        <v>2.1130011719166397E-2</v>
      </c>
      <c r="G47" s="154">
        <v>3.4381028026778671E-2</v>
      </c>
      <c r="H47" s="544" t="s">
        <v>1300</v>
      </c>
      <c r="I47" s="154">
        <v>6.3159481459149847E-2</v>
      </c>
      <c r="J47" s="544">
        <v>4.4917747482699832E-2</v>
      </c>
    </row>
    <row r="48" spans="1:10" ht="19.5" customHeight="1" thickBot="1">
      <c r="A48" s="171">
        <v>2002</v>
      </c>
      <c r="B48" s="544">
        <v>3.0272758860319771E-2</v>
      </c>
      <c r="C48" s="154">
        <v>-7.6532387114713885E-4</v>
      </c>
      <c r="D48" s="544">
        <v>8.4201120390416939E-3</v>
      </c>
      <c r="E48" s="154">
        <v>2.3287337944458031E-2</v>
      </c>
      <c r="F48" s="544">
        <v>1.0572442095012846E-2</v>
      </c>
      <c r="G48" s="154">
        <v>-3.8832821412900453E-2</v>
      </c>
      <c r="H48" s="544" t="s">
        <v>1300</v>
      </c>
      <c r="I48" s="154">
        <v>9.0977834491233089E-2</v>
      </c>
      <c r="J48" s="544">
        <v>2.6172819923067747E-2</v>
      </c>
    </row>
    <row r="49" spans="1:10" ht="19.5" customHeight="1" thickBot="1">
      <c r="A49" s="171">
        <v>2003</v>
      </c>
      <c r="B49" s="544">
        <v>2.7907761055604663E-2</v>
      </c>
      <c r="C49" s="154">
        <v>3.3456343127698185E-2</v>
      </c>
      <c r="D49" s="544">
        <v>4.3657555722173003E-2</v>
      </c>
      <c r="E49" s="154">
        <v>7.2585849665432356E-2</v>
      </c>
      <c r="F49" s="544">
        <v>1.4660334503406869E-2</v>
      </c>
      <c r="G49" s="154">
        <v>1.7081336072434006E-2</v>
      </c>
      <c r="H49" s="544" t="s">
        <v>1300</v>
      </c>
      <c r="I49" s="154">
        <v>2.3392826199966077E-3</v>
      </c>
      <c r="J49" s="544">
        <v>3.2886346949028145E-2</v>
      </c>
    </row>
    <row r="50" spans="1:10" ht="19.5" customHeight="1" thickBot="1">
      <c r="A50" s="517">
        <v>2004</v>
      </c>
      <c r="B50" s="670">
        <v>0.12820407661075328</v>
      </c>
      <c r="C50" s="671">
        <v>5.0968502610746258E-2</v>
      </c>
      <c r="D50" s="670">
        <v>5.5546484668386409E-2</v>
      </c>
      <c r="E50" s="671">
        <v>6.1941858255747606E-2</v>
      </c>
      <c r="F50" s="670">
        <v>6.0846560846560926E-2</v>
      </c>
      <c r="G50" s="671">
        <v>6.6467177856742055E-2</v>
      </c>
      <c r="H50" s="670" t="s">
        <v>1300</v>
      </c>
      <c r="I50" s="671">
        <v>0.11569712161811729</v>
      </c>
      <c r="J50" s="670">
        <v>8.4368452559114182E-2</v>
      </c>
    </row>
    <row r="51" spans="1:10">
      <c r="H51" s="5"/>
      <c r="I51" s="5"/>
      <c r="J51" s="5"/>
    </row>
    <row r="52" spans="1:10">
      <c r="H52" s="5"/>
      <c r="I52" s="5"/>
      <c r="J52" s="5"/>
    </row>
    <row r="53" spans="1:10" ht="14">
      <c r="A53" s="316" t="s">
        <v>1592</v>
      </c>
      <c r="B53" s="164" t="s">
        <v>1571</v>
      </c>
      <c r="C53" s="141" t="s">
        <v>1572</v>
      </c>
      <c r="D53" s="164"/>
      <c r="E53" s="141"/>
      <c r="F53" s="164"/>
      <c r="G53" s="141"/>
      <c r="H53" s="164" t="s">
        <v>1573</v>
      </c>
      <c r="I53" s="141" t="s">
        <v>1574</v>
      </c>
      <c r="J53" s="164" t="s">
        <v>652</v>
      </c>
    </row>
    <row r="54" spans="1:10" ht="14">
      <c r="A54" s="516" t="s">
        <v>1593</v>
      </c>
      <c r="B54" s="166" t="s">
        <v>1575</v>
      </c>
      <c r="C54" s="144" t="s">
        <v>1576</v>
      </c>
      <c r="D54" s="166"/>
      <c r="E54" s="197"/>
      <c r="F54" s="166"/>
      <c r="G54" s="197"/>
      <c r="H54" s="166" t="s">
        <v>1577</v>
      </c>
      <c r="I54" s="197" t="s">
        <v>1578</v>
      </c>
      <c r="J54" s="166"/>
    </row>
    <row r="55" spans="1:10" ht="14">
      <c r="A55" s="165"/>
      <c r="B55" s="166" t="s">
        <v>1579</v>
      </c>
      <c r="C55" s="447" t="s">
        <v>1580</v>
      </c>
      <c r="D55" s="446"/>
      <c r="E55" s="503"/>
      <c r="F55" s="446"/>
      <c r="G55" s="503"/>
      <c r="H55" s="166" t="s">
        <v>1281</v>
      </c>
      <c r="I55" s="197" t="s">
        <v>1581</v>
      </c>
      <c r="J55" s="166"/>
    </row>
    <row r="56" spans="1:10" ht="15.75" customHeight="1">
      <c r="A56" s="167" t="s">
        <v>1250</v>
      </c>
      <c r="B56" s="168"/>
      <c r="C56" s="147"/>
      <c r="D56" s="446" t="s">
        <v>1588</v>
      </c>
      <c r="E56" s="447" t="s">
        <v>1589</v>
      </c>
      <c r="F56" s="446" t="s">
        <v>1590</v>
      </c>
      <c r="G56" s="447" t="s">
        <v>1591</v>
      </c>
      <c r="H56" s="168"/>
      <c r="I56" s="200" t="s">
        <v>1582</v>
      </c>
      <c r="J56" s="168"/>
    </row>
    <row r="57" spans="1:10" ht="18.75" customHeight="1" thickBot="1">
      <c r="A57" s="391" t="s">
        <v>1333</v>
      </c>
      <c r="B57" s="633" t="s">
        <v>1300</v>
      </c>
      <c r="C57" s="150" t="s">
        <v>1300</v>
      </c>
      <c r="D57" s="633" t="s">
        <v>1300</v>
      </c>
      <c r="E57" s="150" t="s">
        <v>1300</v>
      </c>
      <c r="F57" s="633" t="s">
        <v>1300</v>
      </c>
      <c r="G57" s="150" t="s">
        <v>1300</v>
      </c>
      <c r="H57" s="633" t="s">
        <v>1300</v>
      </c>
      <c r="I57" s="150" t="s">
        <v>1300</v>
      </c>
      <c r="J57" s="633" t="s">
        <v>1300</v>
      </c>
    </row>
    <row r="58" spans="1:10" ht="18.75" customHeight="1" thickBot="1">
      <c r="A58" s="152" t="s">
        <v>1334</v>
      </c>
      <c r="B58" s="544" t="s">
        <v>1300</v>
      </c>
      <c r="C58" s="154" t="s">
        <v>1300</v>
      </c>
      <c r="D58" s="544" t="s">
        <v>1300</v>
      </c>
      <c r="E58" s="154" t="s">
        <v>1300</v>
      </c>
      <c r="F58" s="544" t="s">
        <v>1300</v>
      </c>
      <c r="G58" s="154" t="s">
        <v>1300</v>
      </c>
      <c r="H58" s="544" t="s">
        <v>1300</v>
      </c>
      <c r="I58" s="154" t="s">
        <v>1300</v>
      </c>
      <c r="J58" s="544" t="s">
        <v>1300</v>
      </c>
    </row>
    <row r="59" spans="1:10" ht="18.75" customHeight="1" thickBot="1">
      <c r="A59" s="169">
        <v>1998</v>
      </c>
      <c r="B59" s="633">
        <v>0.14530796517252509</v>
      </c>
      <c r="C59" s="150">
        <v>0.19973620312359497</v>
      </c>
      <c r="D59" s="633">
        <v>0.22417379246591151</v>
      </c>
      <c r="E59" s="150">
        <v>7.6653126640692015E-2</v>
      </c>
      <c r="F59" s="633">
        <v>0.44220307350196553</v>
      </c>
      <c r="G59" s="150">
        <v>0.11885601089513442</v>
      </c>
      <c r="H59" s="633">
        <v>-0.18859556494192187</v>
      </c>
      <c r="I59" s="150">
        <v>0.44820685660119031</v>
      </c>
      <c r="J59" s="633">
        <v>0.17223226461167673</v>
      </c>
    </row>
    <row r="60" spans="1:10" ht="18.75" customHeight="1" thickBot="1">
      <c r="A60" s="171">
        <v>1999</v>
      </c>
      <c r="B60" s="544">
        <v>4.8738596688816305E-2</v>
      </c>
      <c r="C60" s="154">
        <v>3.2457148568287408E-2</v>
      </c>
      <c r="D60" s="544">
        <v>2.3433075325655972E-2</v>
      </c>
      <c r="E60" s="154">
        <v>4.3040833611374785E-2</v>
      </c>
      <c r="F60" s="544">
        <v>0.10495883697238351</v>
      </c>
      <c r="G60" s="154">
        <v>0.16454575633506696</v>
      </c>
      <c r="H60" s="544">
        <v>0.10845045982994961</v>
      </c>
      <c r="I60" s="154">
        <v>9.8799999999999999E-2</v>
      </c>
      <c r="J60" s="544">
        <v>4.1526891029109558E-2</v>
      </c>
    </row>
    <row r="61" spans="1:10" ht="18.75" customHeight="1" thickBot="1">
      <c r="A61" s="171">
        <v>2000</v>
      </c>
      <c r="B61" s="544">
        <v>5.3829838644722905E-2</v>
      </c>
      <c r="C61" s="154">
        <v>5.1087824592822129E-2</v>
      </c>
      <c r="D61" s="544">
        <v>4.9251769697249204E-2</v>
      </c>
      <c r="E61" s="154">
        <v>6.9143700787401619E-2</v>
      </c>
      <c r="F61" s="544">
        <v>6.792753731529233E-2</v>
      </c>
      <c r="G61" s="154">
        <v>0.11380337007474961</v>
      </c>
      <c r="H61" s="544">
        <v>-0.17611145898559799</v>
      </c>
      <c r="I61" s="154">
        <v>6.4036800476552802E-2</v>
      </c>
      <c r="J61" s="544">
        <v>5.3663731525493974E-2</v>
      </c>
    </row>
    <row r="62" spans="1:10" ht="18.75" customHeight="1" thickBot="1">
      <c r="A62" s="171">
        <v>2001</v>
      </c>
      <c r="B62" s="544">
        <v>4.4711097523693066E-2</v>
      </c>
      <c r="C62" s="154">
        <v>3.96251611714864E-2</v>
      </c>
      <c r="D62" s="544">
        <v>4.6104823645753079E-2</v>
      </c>
      <c r="E62" s="154">
        <v>5.5581127733026481E-2</v>
      </c>
      <c r="F62" s="544">
        <v>6.1390204634015344E-2</v>
      </c>
      <c r="G62" s="154">
        <v>5.8438788568178524E-2</v>
      </c>
      <c r="H62" s="544">
        <v>0.27056811704351125</v>
      </c>
      <c r="I62" s="154">
        <v>3.7820353321721845E-2</v>
      </c>
      <c r="J62" s="544">
        <v>4.1982004190805E-2</v>
      </c>
    </row>
    <row r="63" spans="1:10" ht="18.75" customHeight="1" thickBot="1">
      <c r="A63" s="171">
        <v>2002</v>
      </c>
      <c r="B63" s="544">
        <v>2.7800131684834417E-2</v>
      </c>
      <c r="C63" s="154">
        <v>1.9444998117511547E-2</v>
      </c>
      <c r="D63" s="544">
        <v>3.2434930571602738E-2</v>
      </c>
      <c r="E63" s="154">
        <v>3.0676986809113904E-2</v>
      </c>
      <c r="F63" s="544">
        <v>2.4160218079493534E-2</v>
      </c>
      <c r="G63" s="154">
        <v>3.0924234282643681E-2</v>
      </c>
      <c r="H63" s="544">
        <v>0.11417676087931783</v>
      </c>
      <c r="I63" s="154">
        <v>7.2494605610165408E-2</v>
      </c>
      <c r="J63" s="544">
        <v>2.8106368884262212E-2</v>
      </c>
    </row>
    <row r="64" spans="1:10" ht="18.75" customHeight="1" thickBot="1">
      <c r="A64" s="171">
        <v>2003</v>
      </c>
      <c r="B64" s="544">
        <v>3.8958882008209184E-2</v>
      </c>
      <c r="C64" s="154">
        <v>1.7748908344376702E-2</v>
      </c>
      <c r="D64" s="544">
        <v>3.4956355423525265E-2</v>
      </c>
      <c r="E64" s="154">
        <v>3.5814012523269545E-2</v>
      </c>
      <c r="F64" s="544">
        <v>2.8355549831498017E-2</v>
      </c>
      <c r="G64" s="154">
        <v>2.5044955826014403E-2</v>
      </c>
      <c r="H64" s="544">
        <v>-6.0398630964363376E-3</v>
      </c>
      <c r="I64" s="154">
        <v>-4.0657221896219342E-2</v>
      </c>
      <c r="J64" s="544">
        <v>2.4507547864506485E-2</v>
      </c>
    </row>
    <row r="65" spans="1:10" ht="18.75" customHeight="1" thickBot="1">
      <c r="A65" s="517">
        <v>2004</v>
      </c>
      <c r="B65" s="670">
        <v>0.14969512891365411</v>
      </c>
      <c r="C65" s="671">
        <v>4.0556693989071135E-2</v>
      </c>
      <c r="D65" s="670">
        <v>6.3757003833677439E-2</v>
      </c>
      <c r="E65" s="671">
        <v>6.0982334320432985E-2</v>
      </c>
      <c r="F65" s="670">
        <v>8.1698254988728403E-2</v>
      </c>
      <c r="G65" s="671">
        <v>2.5805959524051847E-2</v>
      </c>
      <c r="H65" s="670">
        <v>0.26608601714941593</v>
      </c>
      <c r="I65" s="671">
        <v>0.15053011767447289</v>
      </c>
      <c r="J65" s="670">
        <v>9.0833539228678539E-2</v>
      </c>
    </row>
    <row r="66" spans="1:10" ht="16.5" customHeight="1">
      <c r="A66" s="493" t="s">
        <v>1594</v>
      </c>
    </row>
    <row r="68" spans="1:10">
      <c r="A68" s="2" t="s">
        <v>1341</v>
      </c>
    </row>
    <row r="70" spans="1:10" ht="13.5" customHeight="1">
      <c r="A70" s="2" t="s">
        <v>1332</v>
      </c>
      <c r="B70" s="491"/>
      <c r="C70" s="491"/>
      <c r="D70" s="491"/>
      <c r="E70" s="491"/>
      <c r="F70" s="491"/>
    </row>
    <row r="73" spans="1:10">
      <c r="A73" s="2" t="s">
        <v>104</v>
      </c>
    </row>
  </sheetData>
  <mergeCells count="1">
    <mergeCell ref="A2:E2"/>
  </mergeCells>
  <phoneticPr fontId="0" type="noConversion"/>
  <pageMargins left="0.53" right="0.56999999999999995" top="0.7" bottom="0.49" header="0.38" footer="0.4921259845"/>
  <pageSetup paperSize="9" scale="61" orientation="portrait" horizontalDpi="1200" verticalDpi="1200"/>
  <headerFooter alignWithMargins="0">
    <oddHeader>&amp;L&amp;"Arial,Bold"Versicherte und Finanzen in der OKP</oddHead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9F9CE-2692-0C49-8E6B-3F32711B5823}">
  <sheetPr>
    <pageSetUpPr fitToPage="1"/>
  </sheetPr>
  <dimension ref="A1:J73"/>
  <sheetViews>
    <sheetView zoomScale="75" workbookViewId="0">
      <selection activeCell="B8" sqref="B8"/>
    </sheetView>
  </sheetViews>
  <sheetFormatPr baseColWidth="10" defaultColWidth="11.3984375" defaultRowHeight="13"/>
  <cols>
    <col min="1" max="1" width="21.59765625" style="2" customWidth="1"/>
    <col min="2" max="6" width="14.3984375" style="2" customWidth="1"/>
    <col min="7" max="7" width="13.796875" style="2" customWidth="1"/>
    <col min="8" max="9" width="13.19921875" style="2" customWidth="1"/>
    <col min="10" max="10" width="13.796875" style="2" customWidth="1"/>
    <col min="11" max="16384" width="11.3984375" style="2"/>
  </cols>
  <sheetData>
    <row r="1" spans="1:10" s="1" customFormat="1" ht="14" customHeight="1"/>
    <row r="2" spans="1:10" s="1" customFormat="1" ht="52.5" customHeight="1">
      <c r="A2" s="1715" t="s">
        <v>1329</v>
      </c>
      <c r="B2" s="1716"/>
      <c r="C2" s="1716"/>
      <c r="D2" s="1716"/>
      <c r="E2" s="1716"/>
      <c r="F2" s="652">
        <v>2004</v>
      </c>
    </row>
    <row r="3" spans="1:10" ht="24" customHeight="1">
      <c r="A3" s="139" t="s">
        <v>1346</v>
      </c>
      <c r="B3" s="164" t="s">
        <v>1571</v>
      </c>
      <c r="C3" s="141" t="s">
        <v>1572</v>
      </c>
      <c r="D3" s="164" t="s">
        <v>1573</v>
      </c>
      <c r="E3" s="141" t="s">
        <v>1574</v>
      </c>
      <c r="F3" s="321" t="s">
        <v>652</v>
      </c>
    </row>
    <row r="4" spans="1:10" ht="15" customHeight="1">
      <c r="A4" s="165"/>
      <c r="B4" s="166" t="s">
        <v>1575</v>
      </c>
      <c r="C4" s="144" t="s">
        <v>1576</v>
      </c>
      <c r="D4" s="166" t="s">
        <v>1577</v>
      </c>
      <c r="E4" s="197" t="s">
        <v>1578</v>
      </c>
      <c r="F4" s="323"/>
    </row>
    <row r="5" spans="1:10" ht="15" customHeight="1">
      <c r="A5" s="165"/>
      <c r="B5" s="166" t="s">
        <v>1579</v>
      </c>
      <c r="C5" s="144" t="s">
        <v>1580</v>
      </c>
      <c r="D5" s="166" t="s">
        <v>1281</v>
      </c>
      <c r="E5" s="197" t="s">
        <v>1581</v>
      </c>
      <c r="F5" s="323"/>
    </row>
    <row r="6" spans="1:10" ht="24" customHeight="1">
      <c r="A6" s="167"/>
      <c r="B6" s="168"/>
      <c r="C6" s="147"/>
      <c r="D6" s="168"/>
      <c r="E6" s="200" t="s">
        <v>1582</v>
      </c>
      <c r="F6" s="325"/>
    </row>
    <row r="7" spans="1:10" ht="20" customHeight="1" thickBot="1">
      <c r="A7" s="169">
        <v>1996</v>
      </c>
      <c r="B7" s="633" t="s">
        <v>1300</v>
      </c>
      <c r="C7" s="150" t="s">
        <v>1300</v>
      </c>
      <c r="D7" s="633" t="s">
        <v>1300</v>
      </c>
      <c r="E7" s="150" t="s">
        <v>1300</v>
      </c>
      <c r="F7" s="667" t="s">
        <v>1300</v>
      </c>
      <c r="H7" s="10"/>
      <c r="I7" s="10"/>
      <c r="J7" s="10"/>
    </row>
    <row r="8" spans="1:10" ht="20" customHeight="1" thickBot="1">
      <c r="A8" s="169">
        <v>1997</v>
      </c>
      <c r="B8" s="633">
        <v>3.099902967877588E-2</v>
      </c>
      <c r="C8" s="150">
        <v>0.15364736145460922</v>
      </c>
      <c r="D8" s="633">
        <v>3.811675613305221E-2</v>
      </c>
      <c r="E8" s="150">
        <v>0.17851616782305468</v>
      </c>
      <c r="F8" s="667">
        <v>7.581247039595862E-2</v>
      </c>
      <c r="H8" s="10"/>
      <c r="I8" s="10"/>
      <c r="J8" s="10"/>
    </row>
    <row r="9" spans="1:10" ht="20" customHeight="1" thickBot="1">
      <c r="A9" s="171">
        <v>1998</v>
      </c>
      <c r="B9" s="544">
        <v>5.5314045378634047E-2</v>
      </c>
      <c r="C9" s="154">
        <v>7.5183776533967794E-2</v>
      </c>
      <c r="D9" s="544">
        <v>-1.536763399776464E-2</v>
      </c>
      <c r="E9" s="154">
        <v>0.19508372734297885</v>
      </c>
      <c r="F9" s="668">
        <v>6.6415801984907263E-2</v>
      </c>
    </row>
    <row r="10" spans="1:10" ht="20" customHeight="1" thickBot="1">
      <c r="A10" s="171">
        <v>1999</v>
      </c>
      <c r="B10" s="544">
        <v>1.7953721542131484E-2</v>
      </c>
      <c r="C10" s="154">
        <v>3.428431175345481E-2</v>
      </c>
      <c r="D10" s="544">
        <v>9.283476506914079E-3</v>
      </c>
      <c r="E10" s="154">
        <v>5.2973803275248477E-2</v>
      </c>
      <c r="F10" s="668">
        <v>2.5711081810314562E-2</v>
      </c>
    </row>
    <row r="11" spans="1:10" ht="20" customHeight="1" thickBot="1">
      <c r="A11" s="171">
        <v>2000</v>
      </c>
      <c r="B11" s="544">
        <v>3.8019287585201011E-2</v>
      </c>
      <c r="C11" s="154">
        <v>2.3964225528074756E-2</v>
      </c>
      <c r="D11" s="544">
        <v>5.7602538959256488E-2</v>
      </c>
      <c r="E11" s="154">
        <v>4.2028067224275656E-2</v>
      </c>
      <c r="F11" s="668">
        <v>3.3009322732502344E-2</v>
      </c>
    </row>
    <row r="12" spans="1:10" ht="20" customHeight="1" thickBot="1">
      <c r="A12" s="171">
        <v>2001</v>
      </c>
      <c r="B12" s="544">
        <v>4.4811052371483528E-2</v>
      </c>
      <c r="C12" s="154">
        <v>1.8369977872214838E-2</v>
      </c>
      <c r="D12" s="544">
        <v>3.8675737394110676E-2</v>
      </c>
      <c r="E12" s="154">
        <v>4.8834562345247523E-2</v>
      </c>
      <c r="F12" s="668">
        <v>3.4888934993328791E-2</v>
      </c>
    </row>
    <row r="13" spans="1:10" ht="20" customHeight="1" thickBot="1">
      <c r="A13" s="171">
        <v>2002</v>
      </c>
      <c r="B13" s="544">
        <v>7.7556305216076149E-2</v>
      </c>
      <c r="C13" s="154">
        <v>6.9502119860014089E-2</v>
      </c>
      <c r="D13" s="544">
        <v>0.12762746196616637</v>
      </c>
      <c r="E13" s="154">
        <v>0.1663758606374357</v>
      </c>
      <c r="F13" s="668">
        <v>8.3421939863121297E-2</v>
      </c>
    </row>
    <row r="14" spans="1:10" ht="20" customHeight="1" thickBot="1">
      <c r="A14" s="171">
        <v>2003</v>
      </c>
      <c r="B14" s="544">
        <v>9.7595851811529633E-2</v>
      </c>
      <c r="C14" s="154">
        <v>7.6356765293821516E-2</v>
      </c>
      <c r="D14" s="544">
        <v>8.8170524094351332E-2</v>
      </c>
      <c r="E14" s="154">
        <v>-1.4143623530143756E-2</v>
      </c>
      <c r="F14" s="668">
        <v>8.1865987832500098E-2</v>
      </c>
    </row>
    <row r="15" spans="1:10" ht="23.25" customHeight="1" thickBot="1">
      <c r="A15" s="669">
        <v>2004</v>
      </c>
      <c r="B15" s="670">
        <v>6.9315248304393506E-2</v>
      </c>
      <c r="C15" s="671">
        <v>7.8439142785618365E-2</v>
      </c>
      <c r="D15" s="670">
        <v>5.5406647099947026E-2</v>
      </c>
      <c r="E15" s="671">
        <v>9.0332000271247992E-2</v>
      </c>
      <c r="F15" s="670">
        <v>7.1006049429175766E-2</v>
      </c>
    </row>
    <row r="16" spans="1:10" ht="20" customHeight="1">
      <c r="A16" s="155" t="s">
        <v>146</v>
      </c>
      <c r="B16" s="489"/>
      <c r="C16" s="489"/>
      <c r="D16" s="489"/>
      <c r="E16" s="489"/>
      <c r="F16" s="489"/>
    </row>
    <row r="17" spans="1:9" ht="13.5" customHeight="1">
      <c r="A17" s="4"/>
      <c r="B17" s="491"/>
      <c r="C17" s="491"/>
      <c r="D17" s="491"/>
      <c r="E17" s="491"/>
      <c r="F17" s="491"/>
    </row>
    <row r="18" spans="1:9">
      <c r="A18" s="2" t="s">
        <v>1330</v>
      </c>
    </row>
    <row r="21" spans="1:9" ht="16">
      <c r="A21" s="515" t="s">
        <v>1331</v>
      </c>
    </row>
    <row r="22" spans="1:9" ht="18.75" customHeight="1"/>
    <row r="23" spans="1:9" ht="14">
      <c r="A23" s="316" t="s">
        <v>504</v>
      </c>
      <c r="B23" s="164" t="s">
        <v>1571</v>
      </c>
      <c r="C23" s="141" t="s">
        <v>1572</v>
      </c>
      <c r="D23" s="164"/>
      <c r="E23" s="141"/>
      <c r="F23" s="164"/>
      <c r="G23" s="141" t="s">
        <v>1573</v>
      </c>
      <c r="H23" s="164" t="s">
        <v>1574</v>
      </c>
      <c r="I23" s="141" t="s">
        <v>652</v>
      </c>
    </row>
    <row r="24" spans="1:9" ht="14">
      <c r="A24" s="516" t="s">
        <v>507</v>
      </c>
      <c r="B24" s="166" t="s">
        <v>1575</v>
      </c>
      <c r="C24" s="144" t="s">
        <v>1576</v>
      </c>
      <c r="D24" s="166"/>
      <c r="E24" s="197"/>
      <c r="F24" s="166"/>
      <c r="G24" s="144" t="s">
        <v>1577</v>
      </c>
      <c r="H24" s="143" t="s">
        <v>1578</v>
      </c>
      <c r="I24" s="144"/>
    </row>
    <row r="25" spans="1:9" ht="14">
      <c r="A25" s="165"/>
      <c r="B25" s="166" t="s">
        <v>1579</v>
      </c>
      <c r="C25" s="144" t="s">
        <v>1580</v>
      </c>
      <c r="D25" s="446"/>
      <c r="E25" s="503"/>
      <c r="F25" s="446"/>
      <c r="G25" s="144" t="s">
        <v>1281</v>
      </c>
      <c r="H25" s="143" t="s">
        <v>1581</v>
      </c>
      <c r="I25" s="144"/>
    </row>
    <row r="26" spans="1:9" ht="18" customHeight="1">
      <c r="A26" s="306" t="s">
        <v>1250</v>
      </c>
      <c r="B26" s="168"/>
      <c r="C26" s="147"/>
      <c r="D26" s="446" t="s">
        <v>1584</v>
      </c>
      <c r="E26" s="447" t="s">
        <v>1585</v>
      </c>
      <c r="F26" s="446" t="s">
        <v>1586</v>
      </c>
      <c r="G26" s="147"/>
      <c r="H26" s="146" t="s">
        <v>1582</v>
      </c>
      <c r="I26" s="147"/>
    </row>
    <row r="27" spans="1:9" ht="18" customHeight="1" thickBot="1">
      <c r="A27" s="391">
        <v>1996</v>
      </c>
      <c r="B27" s="633" t="s">
        <v>1300</v>
      </c>
      <c r="C27" s="150" t="s">
        <v>1300</v>
      </c>
      <c r="D27" s="633" t="s">
        <v>1300</v>
      </c>
      <c r="E27" s="150" t="s">
        <v>1300</v>
      </c>
      <c r="F27" s="633" t="s">
        <v>1300</v>
      </c>
      <c r="G27" s="150" t="s">
        <v>1300</v>
      </c>
      <c r="H27" s="633" t="s">
        <v>1300</v>
      </c>
      <c r="I27" s="150" t="s">
        <v>1300</v>
      </c>
    </row>
    <row r="28" spans="1:9" ht="18" customHeight="1" thickBot="1">
      <c r="A28" s="152">
        <v>1997</v>
      </c>
      <c r="B28" s="544" t="s">
        <v>1300</v>
      </c>
      <c r="C28" s="154" t="s">
        <v>1300</v>
      </c>
      <c r="D28" s="544" t="s">
        <v>1300</v>
      </c>
      <c r="E28" s="154" t="s">
        <v>1300</v>
      </c>
      <c r="F28" s="544" t="s">
        <v>1300</v>
      </c>
      <c r="G28" s="154" t="s">
        <v>1300</v>
      </c>
      <c r="H28" s="544" t="s">
        <v>1300</v>
      </c>
      <c r="I28" s="154" t="s">
        <v>1300</v>
      </c>
    </row>
    <row r="29" spans="1:9" ht="18" customHeight="1" thickBot="1">
      <c r="A29" s="169">
        <v>1998</v>
      </c>
      <c r="B29" s="633">
        <v>3.0947255113024763E-2</v>
      </c>
      <c r="C29" s="150">
        <v>8.8413282021202022E-2</v>
      </c>
      <c r="D29" s="633">
        <v>0.10302583444403468</v>
      </c>
      <c r="E29" s="150">
        <v>9.0216602046827798E-2</v>
      </c>
      <c r="F29" s="633">
        <v>7.9113269946258891E-2</v>
      </c>
      <c r="G29" s="150">
        <v>-0.11379127731178573</v>
      </c>
      <c r="H29" s="633">
        <v>3.2702477038686339E-2</v>
      </c>
      <c r="I29" s="150">
        <v>3.388976377952746E-2</v>
      </c>
    </row>
    <row r="30" spans="1:9" ht="18" customHeight="1" thickBot="1">
      <c r="A30" s="171">
        <v>1999</v>
      </c>
      <c r="B30" s="544">
        <v>2.7054831329555995E-2</v>
      </c>
      <c r="C30" s="154">
        <v>4.98166379684295E-3</v>
      </c>
      <c r="D30" s="544">
        <v>1.8922254216371837E-2</v>
      </c>
      <c r="E30" s="154">
        <v>-1.2177038303005983E-2</v>
      </c>
      <c r="F30" s="544">
        <v>2.5730658111063232E-2</v>
      </c>
      <c r="G30" s="154">
        <v>9.4880098696892734E-2</v>
      </c>
      <c r="H30" s="544">
        <v>5.0551523668354248E-2</v>
      </c>
      <c r="I30" s="154">
        <v>2.3137147383171852E-2</v>
      </c>
    </row>
    <row r="31" spans="1:9" ht="18" customHeight="1" thickBot="1">
      <c r="A31" s="171">
        <v>2000</v>
      </c>
      <c r="B31" s="544">
        <v>3.574578779769455E-2</v>
      </c>
      <c r="C31" s="154">
        <v>2.1423526642077917E-2</v>
      </c>
      <c r="D31" s="544">
        <v>2.2128582963262033E-2</v>
      </c>
      <c r="E31" s="154">
        <v>6.4752502957752256E-3</v>
      </c>
      <c r="F31" s="544">
        <v>7.3528267533963021E-2</v>
      </c>
      <c r="G31" s="154">
        <v>3.7730201767667948E-2</v>
      </c>
      <c r="H31" s="544">
        <v>3.2525241419749662E-2</v>
      </c>
      <c r="I31" s="154">
        <v>3.2707567253725589E-2</v>
      </c>
    </row>
    <row r="32" spans="1:9" ht="18" customHeight="1" thickBot="1">
      <c r="A32" s="171">
        <v>2001</v>
      </c>
      <c r="B32" s="544">
        <v>5.5398383371824567E-2</v>
      </c>
      <c r="C32" s="154">
        <v>1.4623028068018851E-2</v>
      </c>
      <c r="D32" s="544">
        <v>1.5354612555234626E-2</v>
      </c>
      <c r="E32" s="154">
        <v>1.2652308003438195E-2</v>
      </c>
      <c r="F32" s="544">
        <v>3.5528947902472963E-2</v>
      </c>
      <c r="G32" s="154">
        <v>5.3120917527696987E-2</v>
      </c>
      <c r="H32" s="544">
        <v>6.0090863917086734E-2</v>
      </c>
      <c r="I32" s="154">
        <v>4.9215776727020932E-2</v>
      </c>
    </row>
    <row r="33" spans="1:10" ht="18" customHeight="1" thickBot="1">
      <c r="A33" s="171">
        <v>2002</v>
      </c>
      <c r="B33" s="544">
        <v>8.7885336032167194E-2</v>
      </c>
      <c r="C33" s="154">
        <v>4.0170120396779252E-2</v>
      </c>
      <c r="D33" s="544">
        <v>5.8556806301816255E-2</v>
      </c>
      <c r="E33" s="154">
        <v>4.3523846374676989E-2</v>
      </c>
      <c r="F33" s="544">
        <v>1.3676386186430189E-2</v>
      </c>
      <c r="G33" s="154">
        <v>0.1043304549555355</v>
      </c>
      <c r="H33" s="544">
        <v>9.7281280342853105E-2</v>
      </c>
      <c r="I33" s="154">
        <v>8.1957077299332326E-2</v>
      </c>
    </row>
    <row r="34" spans="1:10" ht="18" customHeight="1" thickBot="1">
      <c r="A34" s="171">
        <v>2003</v>
      </c>
      <c r="B34" s="544">
        <v>9.0415367595293228E-2</v>
      </c>
      <c r="C34" s="154">
        <v>4.4721612210480322E-2</v>
      </c>
      <c r="D34" s="544">
        <v>5.9509181318113447E-2</v>
      </c>
      <c r="E34" s="154">
        <v>4.3622314721783573E-2</v>
      </c>
      <c r="F34" s="544">
        <v>5.4146988151462239E-2</v>
      </c>
      <c r="G34" s="154">
        <v>5.9753749197642314E-2</v>
      </c>
      <c r="H34" s="544">
        <v>6.3650926844152966E-2</v>
      </c>
      <c r="I34" s="154">
        <v>8.2657117096524457E-2</v>
      </c>
    </row>
    <row r="35" spans="1:10" ht="18" customHeight="1" thickBot="1">
      <c r="A35" s="517">
        <v>2004</v>
      </c>
      <c r="B35" s="670">
        <v>4.9910071942445899E-2</v>
      </c>
      <c r="C35" s="671">
        <v>2.7163877501248601E-2</v>
      </c>
      <c r="D35" s="670">
        <v>3.6212484148231638E-2</v>
      </c>
      <c r="E35" s="671">
        <v>5.1884792151379422E-2</v>
      </c>
      <c r="F35" s="670">
        <v>3.7440230562651555E-2</v>
      </c>
      <c r="G35" s="671">
        <v>3.9893177688453463E-2</v>
      </c>
      <c r="H35" s="670">
        <v>6.1964800550798227E-2</v>
      </c>
      <c r="I35" s="671">
        <v>4.7058271558600095E-2</v>
      </c>
    </row>
    <row r="36" spans="1:10">
      <c r="A36" s="155"/>
    </row>
    <row r="38" spans="1:10" ht="14">
      <c r="A38" s="316" t="s">
        <v>1587</v>
      </c>
      <c r="B38" s="164" t="s">
        <v>1571</v>
      </c>
      <c r="C38" s="141" t="s">
        <v>1572</v>
      </c>
      <c r="D38" s="164"/>
      <c r="E38" s="141"/>
      <c r="F38" s="164"/>
      <c r="G38" s="141"/>
      <c r="H38" s="164" t="s">
        <v>1573</v>
      </c>
      <c r="I38" s="141" t="s">
        <v>1574</v>
      </c>
      <c r="J38" s="164" t="s">
        <v>652</v>
      </c>
    </row>
    <row r="39" spans="1:10" ht="14">
      <c r="A39" s="516" t="s">
        <v>508</v>
      </c>
      <c r="B39" s="166" t="s">
        <v>1575</v>
      </c>
      <c r="C39" s="144" t="s">
        <v>1576</v>
      </c>
      <c r="D39" s="166"/>
      <c r="E39" s="197"/>
      <c r="F39" s="166"/>
      <c r="G39" s="197"/>
      <c r="H39" s="166" t="s">
        <v>1577</v>
      </c>
      <c r="I39" s="197" t="s">
        <v>1578</v>
      </c>
      <c r="J39" s="166"/>
    </row>
    <row r="40" spans="1:10" ht="14">
      <c r="A40" s="165"/>
      <c r="B40" s="166" t="s">
        <v>1579</v>
      </c>
      <c r="C40" s="447" t="s">
        <v>1580</v>
      </c>
      <c r="D40" s="446"/>
      <c r="E40" s="503"/>
      <c r="F40" s="446"/>
      <c r="G40" s="503"/>
      <c r="H40" s="166" t="s">
        <v>1281</v>
      </c>
      <c r="I40" s="197" t="s">
        <v>1581</v>
      </c>
      <c r="J40" s="166"/>
    </row>
    <row r="41" spans="1:10" ht="19.5" customHeight="1">
      <c r="A41" s="167" t="s">
        <v>1250</v>
      </c>
      <c r="B41" s="168"/>
      <c r="C41" s="147"/>
      <c r="D41" s="446" t="s">
        <v>1588</v>
      </c>
      <c r="E41" s="447" t="s">
        <v>1589</v>
      </c>
      <c r="F41" s="446" t="s">
        <v>1590</v>
      </c>
      <c r="G41" s="447" t="s">
        <v>1591</v>
      </c>
      <c r="H41" s="168"/>
      <c r="I41" s="200" t="s">
        <v>1582</v>
      </c>
      <c r="J41" s="168"/>
    </row>
    <row r="42" spans="1:10" ht="19.5" customHeight="1" thickBot="1">
      <c r="A42" s="391" t="s">
        <v>1333</v>
      </c>
      <c r="B42" s="633" t="s">
        <v>1300</v>
      </c>
      <c r="C42" s="150" t="s">
        <v>1300</v>
      </c>
      <c r="D42" s="633" t="s">
        <v>1300</v>
      </c>
      <c r="E42" s="150" t="s">
        <v>1300</v>
      </c>
      <c r="F42" s="633" t="s">
        <v>1300</v>
      </c>
      <c r="G42" s="150" t="s">
        <v>1300</v>
      </c>
      <c r="H42" s="633" t="s">
        <v>1300</v>
      </c>
      <c r="I42" s="150" t="s">
        <v>1300</v>
      </c>
      <c r="J42" s="633" t="s">
        <v>1300</v>
      </c>
    </row>
    <row r="43" spans="1:10" ht="19.5" customHeight="1" thickBot="1">
      <c r="A43" s="152" t="s">
        <v>1334</v>
      </c>
      <c r="B43" s="544" t="s">
        <v>1300</v>
      </c>
      <c r="C43" s="154" t="s">
        <v>1300</v>
      </c>
      <c r="D43" s="544" t="s">
        <v>1300</v>
      </c>
      <c r="E43" s="154" t="s">
        <v>1300</v>
      </c>
      <c r="F43" s="544" t="s">
        <v>1300</v>
      </c>
      <c r="G43" s="154" t="s">
        <v>1300</v>
      </c>
      <c r="H43" s="544" t="s">
        <v>1300</v>
      </c>
      <c r="I43" s="154" t="s">
        <v>1300</v>
      </c>
      <c r="J43" s="544" t="s">
        <v>1300</v>
      </c>
    </row>
    <row r="44" spans="1:10" ht="19.5" customHeight="1" thickBot="1">
      <c r="A44" s="169">
        <v>1998</v>
      </c>
      <c r="B44" s="633">
        <v>9.6647814660966613E-2</v>
      </c>
      <c r="C44" s="150">
        <v>8.1847439512598763E-2</v>
      </c>
      <c r="D44" s="633">
        <v>7.1085334555999635E-2</v>
      </c>
      <c r="E44" s="150">
        <v>0.10210908006012831</v>
      </c>
      <c r="F44" s="633">
        <v>0.2521893949845937</v>
      </c>
      <c r="G44" s="150">
        <v>9.7728996208341634E-2</v>
      </c>
      <c r="H44" s="633">
        <v>7.5969018844296743E-2</v>
      </c>
      <c r="I44" s="150">
        <v>0.15456521408703305</v>
      </c>
      <c r="J44" s="633">
        <v>8.7979757948968285E-2</v>
      </c>
    </row>
    <row r="45" spans="1:10" ht="19.5" customHeight="1" thickBot="1">
      <c r="A45" s="171">
        <v>1999</v>
      </c>
      <c r="B45" s="544">
        <v>-1.2815628330213547E-2</v>
      </c>
      <c r="C45" s="154">
        <v>5.5618190748347951E-2</v>
      </c>
      <c r="D45" s="544">
        <v>8.579195783785587E-2</v>
      </c>
      <c r="E45" s="154">
        <v>2.1489814723230083E-2</v>
      </c>
      <c r="F45" s="544">
        <v>-0.14396344118742688</v>
      </c>
      <c r="G45" s="154">
        <v>1.4718073270408194E-2</v>
      </c>
      <c r="H45" s="544">
        <v>5.1823921431076725E-2</v>
      </c>
      <c r="I45" s="154">
        <v>1.7298578199052006E-2</v>
      </c>
      <c r="J45" s="544">
        <v>1.7204180559836191E-2</v>
      </c>
    </row>
    <row r="46" spans="1:10" ht="19.5" customHeight="1" thickBot="1">
      <c r="A46" s="171">
        <v>2000</v>
      </c>
      <c r="B46" s="544">
        <v>-2.4554495318426239E-3</v>
      </c>
      <c r="C46" s="154">
        <v>-2.141350266743336E-3</v>
      </c>
      <c r="D46" s="544">
        <v>9.6257724938428879E-3</v>
      </c>
      <c r="E46" s="154">
        <v>-1.8754554859621297E-3</v>
      </c>
      <c r="F46" s="544">
        <v>-1.7302246901776175E-2</v>
      </c>
      <c r="G46" s="154">
        <v>5.1669031546057731E-3</v>
      </c>
      <c r="H46" s="544">
        <v>-3.6303005039978187E-3</v>
      </c>
      <c r="I46" s="154">
        <v>-5.5969666381966432E-3</v>
      </c>
      <c r="J46" s="544">
        <v>-3.784811172630298E-3</v>
      </c>
    </row>
    <row r="47" spans="1:10" ht="19.5" customHeight="1" thickBot="1">
      <c r="A47" s="171">
        <v>2001</v>
      </c>
      <c r="B47" s="544">
        <v>4.5495578843490536E-2</v>
      </c>
      <c r="C47" s="154">
        <v>-1.9451273790852541E-2</v>
      </c>
      <c r="D47" s="544">
        <v>-1.9524415662131034E-3</v>
      </c>
      <c r="E47" s="154">
        <v>-2.4472685868338728E-2</v>
      </c>
      <c r="F47" s="544">
        <v>-8.1766301805593633E-3</v>
      </c>
      <c r="G47" s="154">
        <v>-1.3296450239906554E-2</v>
      </c>
      <c r="H47" s="544" t="s">
        <v>1300</v>
      </c>
      <c r="I47" s="154">
        <v>2.4661153152918391E-3</v>
      </c>
      <c r="J47" s="544">
        <v>1.364832879863731E-2</v>
      </c>
    </row>
    <row r="48" spans="1:10" ht="19.5" customHeight="1" thickBot="1">
      <c r="A48" s="171">
        <v>2002</v>
      </c>
      <c r="B48" s="544">
        <v>0.13432835820895517</v>
      </c>
      <c r="C48" s="154">
        <v>9.0399174308456232E-2</v>
      </c>
      <c r="D48" s="544">
        <v>0.11605455173675328</v>
      </c>
      <c r="E48" s="154">
        <v>9.9571857760470728E-2</v>
      </c>
      <c r="F48" s="544">
        <v>9.8092111882483124E-2</v>
      </c>
      <c r="G48" s="154">
        <v>9.4690674720733004E-2</v>
      </c>
      <c r="H48" s="544" t="s">
        <v>1300</v>
      </c>
      <c r="I48" s="154">
        <v>0.13203126014202082</v>
      </c>
      <c r="J48" s="544">
        <v>0.11367951291899425</v>
      </c>
    </row>
    <row r="49" spans="1:10" ht="19.5" customHeight="1" thickBot="1">
      <c r="A49" s="171">
        <v>2003</v>
      </c>
      <c r="B49" s="544">
        <v>0.15108648372638389</v>
      </c>
      <c r="C49" s="154">
        <v>0.10261861576125209</v>
      </c>
      <c r="D49" s="544">
        <v>0.14240771430132404</v>
      </c>
      <c r="E49" s="154">
        <v>0.13260060357384273</v>
      </c>
      <c r="F49" s="544">
        <v>0.12406154973857952</v>
      </c>
      <c r="G49" s="154">
        <v>0.13337689682712539</v>
      </c>
      <c r="H49" s="544" t="s">
        <v>1300</v>
      </c>
      <c r="I49" s="154">
        <v>0.1075440216051331</v>
      </c>
      <c r="J49" s="544">
        <v>0.12391920953496016</v>
      </c>
    </row>
    <row r="50" spans="1:10" ht="19.5" customHeight="1" thickBot="1">
      <c r="A50" s="517">
        <v>2004</v>
      </c>
      <c r="B50" s="670">
        <v>9.0029737456051029E-2</v>
      </c>
      <c r="C50" s="671">
        <v>0.10720337269037672</v>
      </c>
      <c r="D50" s="670">
        <v>0.10246569664797578</v>
      </c>
      <c r="E50" s="671">
        <v>0.12429236064705651</v>
      </c>
      <c r="F50" s="670">
        <v>0.13923489584129367</v>
      </c>
      <c r="G50" s="671">
        <v>0.20550346514472073</v>
      </c>
      <c r="H50" s="670" t="s">
        <v>1300</v>
      </c>
      <c r="I50" s="671">
        <v>0.10922607799791884</v>
      </c>
      <c r="J50" s="670">
        <v>9.8073913934158208E-2</v>
      </c>
    </row>
    <row r="51" spans="1:10">
      <c r="H51" s="5"/>
      <c r="I51" s="5"/>
      <c r="J51" s="5"/>
    </row>
    <row r="52" spans="1:10">
      <c r="H52" s="5"/>
      <c r="I52" s="5"/>
      <c r="J52" s="5"/>
    </row>
    <row r="53" spans="1:10" ht="14">
      <c r="A53" s="316" t="s">
        <v>1592</v>
      </c>
      <c r="B53" s="164" t="s">
        <v>1571</v>
      </c>
      <c r="C53" s="141" t="s">
        <v>1572</v>
      </c>
      <c r="D53" s="164"/>
      <c r="E53" s="141"/>
      <c r="F53" s="164"/>
      <c r="G53" s="141"/>
      <c r="H53" s="164" t="s">
        <v>1573</v>
      </c>
      <c r="I53" s="141" t="s">
        <v>1574</v>
      </c>
      <c r="J53" s="164" t="s">
        <v>652</v>
      </c>
    </row>
    <row r="54" spans="1:10" ht="14">
      <c r="A54" s="516" t="s">
        <v>1593</v>
      </c>
      <c r="B54" s="166" t="s">
        <v>1575</v>
      </c>
      <c r="C54" s="144" t="s">
        <v>1576</v>
      </c>
      <c r="D54" s="166"/>
      <c r="E54" s="197"/>
      <c r="F54" s="166"/>
      <c r="G54" s="197"/>
      <c r="H54" s="166" t="s">
        <v>1577</v>
      </c>
      <c r="I54" s="197" t="s">
        <v>1578</v>
      </c>
      <c r="J54" s="166"/>
    </row>
    <row r="55" spans="1:10" ht="14">
      <c r="A55" s="165"/>
      <c r="B55" s="166" t="s">
        <v>1579</v>
      </c>
      <c r="C55" s="447" t="s">
        <v>1580</v>
      </c>
      <c r="D55" s="446"/>
      <c r="E55" s="503"/>
      <c r="F55" s="446"/>
      <c r="G55" s="503"/>
      <c r="H55" s="166" t="s">
        <v>1281</v>
      </c>
      <c r="I55" s="197" t="s">
        <v>1581</v>
      </c>
      <c r="J55" s="166"/>
    </row>
    <row r="56" spans="1:10" ht="15.75" customHeight="1">
      <c r="A56" s="167" t="s">
        <v>1250</v>
      </c>
      <c r="B56" s="168"/>
      <c r="C56" s="147"/>
      <c r="D56" s="446" t="s">
        <v>1588</v>
      </c>
      <c r="E56" s="447" t="s">
        <v>1589</v>
      </c>
      <c r="F56" s="446" t="s">
        <v>1590</v>
      </c>
      <c r="G56" s="447" t="s">
        <v>1591</v>
      </c>
      <c r="H56" s="168"/>
      <c r="I56" s="200" t="s">
        <v>1582</v>
      </c>
      <c r="J56" s="168"/>
    </row>
    <row r="57" spans="1:10" ht="18.75" customHeight="1" thickBot="1">
      <c r="A57" s="391" t="s">
        <v>1333</v>
      </c>
      <c r="B57" s="633" t="s">
        <v>1300</v>
      </c>
      <c r="C57" s="150" t="s">
        <v>1300</v>
      </c>
      <c r="D57" s="633" t="s">
        <v>1300</v>
      </c>
      <c r="E57" s="150" t="s">
        <v>1300</v>
      </c>
      <c r="F57" s="633" t="s">
        <v>1300</v>
      </c>
      <c r="G57" s="150" t="s">
        <v>1300</v>
      </c>
      <c r="H57" s="633" t="s">
        <v>1300</v>
      </c>
      <c r="I57" s="150" t="s">
        <v>1300</v>
      </c>
      <c r="J57" s="633" t="s">
        <v>1300</v>
      </c>
    </row>
    <row r="58" spans="1:10" ht="18.75" customHeight="1" thickBot="1">
      <c r="A58" s="152" t="s">
        <v>1334</v>
      </c>
      <c r="B58" s="633" t="s">
        <v>1300</v>
      </c>
      <c r="C58" s="150" t="s">
        <v>1300</v>
      </c>
      <c r="D58" s="633" t="s">
        <v>1300</v>
      </c>
      <c r="E58" s="150" t="s">
        <v>1300</v>
      </c>
      <c r="F58" s="633" t="s">
        <v>1300</v>
      </c>
      <c r="G58" s="150" t="s">
        <v>1300</v>
      </c>
      <c r="H58" s="633" t="s">
        <v>1300</v>
      </c>
      <c r="I58" s="150" t="s">
        <v>1300</v>
      </c>
      <c r="J58" s="633" t="s">
        <v>1300</v>
      </c>
    </row>
    <row r="59" spans="1:10" ht="18.75" customHeight="1" thickBot="1">
      <c r="A59" s="169">
        <v>1998</v>
      </c>
      <c r="B59" s="633">
        <v>6.3267709910819425E-2</v>
      </c>
      <c r="C59" s="150">
        <v>9.1267642503435553E-2</v>
      </c>
      <c r="D59" s="633">
        <v>0.10827491263369682</v>
      </c>
      <c r="E59" s="150">
        <v>9.3028381759954426E-2</v>
      </c>
      <c r="F59" s="633">
        <v>6.9913260060529447E-2</v>
      </c>
      <c r="G59" s="150">
        <v>7.2779205600510322E-2</v>
      </c>
      <c r="H59" s="633">
        <v>5.5994169804445271E-3</v>
      </c>
      <c r="I59" s="150">
        <v>0.10045976643224441</v>
      </c>
      <c r="J59" s="633">
        <v>7.3485295248839844E-2</v>
      </c>
    </row>
    <row r="60" spans="1:10" ht="18.75" customHeight="1" thickBot="1">
      <c r="A60" s="171">
        <v>1999</v>
      </c>
      <c r="B60" s="544">
        <v>2.8419902809567743E-2</v>
      </c>
      <c r="C60" s="154">
        <v>2.3184500487758219E-2</v>
      </c>
      <c r="D60" s="544">
        <v>3.2636945986026511E-2</v>
      </c>
      <c r="E60" s="154">
        <v>2.3154848046309739E-2</v>
      </c>
      <c r="F60" s="544">
        <v>-1.7685141323225961E-3</v>
      </c>
      <c r="G60" s="154">
        <v>3.9504402347918965E-2</v>
      </c>
      <c r="H60" s="544">
        <v>2.7358046164438043E-2</v>
      </c>
      <c r="I60" s="154">
        <v>3.7897535932299053E-2</v>
      </c>
      <c r="J60" s="544">
        <v>2.5151073637948773E-2</v>
      </c>
    </row>
    <row r="61" spans="1:10" ht="18.75" customHeight="1" thickBot="1">
      <c r="A61" s="171">
        <v>2000</v>
      </c>
      <c r="B61" s="544">
        <v>4.4812754745873429E-2</v>
      </c>
      <c r="C61" s="154">
        <v>2.5218522758798434E-2</v>
      </c>
      <c r="D61" s="544">
        <v>3.6524474877394297E-2</v>
      </c>
      <c r="E61" s="154">
        <v>3.5395459920699368E-2</v>
      </c>
      <c r="F61" s="544">
        <v>3.4104210826030545E-2</v>
      </c>
      <c r="G61" s="154">
        <v>3.9922785290704699E-2</v>
      </c>
      <c r="H61" s="544">
        <v>4.6792701279156912E-3</v>
      </c>
      <c r="I61" s="154">
        <v>3.4882090026742363E-2</v>
      </c>
      <c r="J61" s="544">
        <v>3.3830382106244228E-2</v>
      </c>
    </row>
    <row r="62" spans="1:10" ht="18.75" customHeight="1" thickBot="1">
      <c r="A62" s="171">
        <v>2001</v>
      </c>
      <c r="B62" s="544">
        <v>5.4723365734853591E-2</v>
      </c>
      <c r="C62" s="154">
        <v>3.2533339431428887E-2</v>
      </c>
      <c r="D62" s="544">
        <v>5.1292122995396872E-2</v>
      </c>
      <c r="E62" s="154">
        <v>4.7092239876679987E-2</v>
      </c>
      <c r="F62" s="544">
        <v>4.9875660485382944E-2</v>
      </c>
      <c r="G62" s="154">
        <v>3.3659507293921642E-2</v>
      </c>
      <c r="H62" s="544">
        <v>5.7059938680459554E-2</v>
      </c>
      <c r="I62" s="154">
        <v>4.1165016963854217E-2</v>
      </c>
      <c r="J62" s="544">
        <v>4.2414135040115264E-2</v>
      </c>
    </row>
    <row r="63" spans="1:10" ht="18.75" customHeight="1" thickBot="1">
      <c r="A63" s="171">
        <v>2002</v>
      </c>
      <c r="B63" s="544">
        <v>8.5666312462535865E-2</v>
      </c>
      <c r="C63" s="154">
        <v>6.9657048572788982E-2</v>
      </c>
      <c r="D63" s="544">
        <v>9.2993712785361948E-2</v>
      </c>
      <c r="E63" s="154">
        <v>8.5239789262060883E-2</v>
      </c>
      <c r="F63" s="544">
        <v>8.1604022962188827E-2</v>
      </c>
      <c r="G63" s="154">
        <v>8.146331514304328E-2</v>
      </c>
      <c r="H63" s="544">
        <v>0.12348610649839475</v>
      </c>
      <c r="I63" s="154">
        <v>8.4299134358796213E-2</v>
      </c>
      <c r="J63" s="544">
        <v>7.6858217667661322E-2</v>
      </c>
    </row>
    <row r="64" spans="1:10" ht="18.75" customHeight="1" thickBot="1">
      <c r="A64" s="171">
        <v>2003</v>
      </c>
      <c r="B64" s="544">
        <v>9.3258754772264529E-2</v>
      </c>
      <c r="C64" s="154">
        <v>6.3564586036496173E-2</v>
      </c>
      <c r="D64" s="544">
        <v>8.6197305654396539E-2</v>
      </c>
      <c r="E64" s="154">
        <v>8.6388285799685161E-2</v>
      </c>
      <c r="F64" s="544">
        <v>8.4811256850791272E-2</v>
      </c>
      <c r="G64" s="154">
        <v>9.041899916742957E-2</v>
      </c>
      <c r="H64" s="544">
        <v>7.5454872418940777E-2</v>
      </c>
      <c r="I64" s="154">
        <v>6.2634807697694805E-2</v>
      </c>
      <c r="J64" s="544">
        <v>7.5033293849170679E-2</v>
      </c>
    </row>
    <row r="65" spans="1:10" ht="18.75" customHeight="1" thickBot="1">
      <c r="A65" s="517">
        <v>2004</v>
      </c>
      <c r="B65" s="670">
        <v>5.4961735682086399E-2</v>
      </c>
      <c r="C65" s="671">
        <v>7.6861429442836471E-2</v>
      </c>
      <c r="D65" s="670">
        <v>7.2224352115174417E-2</v>
      </c>
      <c r="E65" s="671">
        <v>8.2061484133126861E-2</v>
      </c>
      <c r="F65" s="670">
        <v>0.10715958277158899</v>
      </c>
      <c r="G65" s="671">
        <v>0.14248953833693312</v>
      </c>
      <c r="H65" s="670">
        <v>6.4484799618845123E-2</v>
      </c>
      <c r="I65" s="671">
        <v>8.8380500480144342E-2</v>
      </c>
      <c r="J65" s="670">
        <v>6.7804206948499424E-2</v>
      </c>
    </row>
    <row r="66" spans="1:10" ht="16.5" customHeight="1">
      <c r="A66" s="493" t="s">
        <v>1594</v>
      </c>
    </row>
    <row r="68" spans="1:10">
      <c r="A68" s="2" t="s">
        <v>1330</v>
      </c>
    </row>
    <row r="70" spans="1:10" ht="13.5" customHeight="1">
      <c r="A70" s="2" t="s">
        <v>1332</v>
      </c>
      <c r="B70" s="491"/>
      <c r="C70" s="491"/>
      <c r="D70" s="491"/>
      <c r="E70" s="491"/>
      <c r="F70" s="491"/>
    </row>
    <row r="73" spans="1:10">
      <c r="A73" s="2" t="s">
        <v>104</v>
      </c>
    </row>
  </sheetData>
  <mergeCells count="1">
    <mergeCell ref="A2:E2"/>
  </mergeCells>
  <phoneticPr fontId="0" type="noConversion"/>
  <pageMargins left="0.53" right="0.56999999999999995" top="0.7" bottom="0.49" header="0.38" footer="0.4921259845"/>
  <pageSetup paperSize="9" scale="60" orientation="portrait" horizontalDpi="1200" verticalDpi="1200"/>
  <headerFooter alignWithMargins="0">
    <oddHeader>&amp;L&amp;"Arial,Bold"Versicherte und Finanzen in der OKP</oddHead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D9E3F-6901-0441-B1B8-8FF810306A37}">
  <sheetPr>
    <pageSetUpPr fitToPage="1"/>
  </sheetPr>
  <dimension ref="A1:G36"/>
  <sheetViews>
    <sheetView zoomScale="75" workbookViewId="0">
      <selection activeCell="A2" sqref="A2"/>
    </sheetView>
  </sheetViews>
  <sheetFormatPr baseColWidth="10" defaultColWidth="11.3984375" defaultRowHeight="13"/>
  <cols>
    <col min="1" max="1" width="19.3984375" style="2" customWidth="1"/>
    <col min="2" max="2" width="17.3984375" style="2" customWidth="1"/>
    <col min="3" max="3" width="16.3984375" style="2" customWidth="1"/>
    <col min="4" max="4" width="17.796875" style="2" customWidth="1"/>
    <col min="5" max="5" width="18.796875" style="487" customWidth="1"/>
    <col min="6" max="6" width="19.796875" style="487" customWidth="1"/>
    <col min="7" max="7" width="18.19921875" style="2" customWidth="1"/>
    <col min="8" max="16384" width="11.3984375" style="2"/>
  </cols>
  <sheetData>
    <row r="1" spans="1:6" ht="34.5" customHeight="1">
      <c r="A1" s="1723" t="s">
        <v>135</v>
      </c>
      <c r="B1" s="1724"/>
      <c r="C1" s="1724"/>
      <c r="D1" s="1724"/>
      <c r="E1" s="370">
        <v>2004</v>
      </c>
      <c r="F1" s="234"/>
    </row>
    <row r="2" spans="1:6" ht="19.5" customHeight="1">
      <c r="A2" s="343"/>
      <c r="B2" s="234"/>
      <c r="C2" s="234"/>
      <c r="D2" s="234"/>
      <c r="E2" s="234"/>
      <c r="F2" s="234"/>
    </row>
    <row r="3" spans="1:6" ht="39.75" customHeight="1">
      <c r="A3" s="1727" t="s">
        <v>142</v>
      </c>
      <c r="B3" s="1726"/>
      <c r="C3" s="1726"/>
      <c r="D3" s="1726"/>
      <c r="E3" s="1726"/>
      <c r="F3" s="571"/>
    </row>
    <row r="4" spans="1:6" ht="12.75" customHeight="1">
      <c r="A4" s="553"/>
      <c r="B4" s="233"/>
      <c r="C4" s="233"/>
      <c r="D4" s="233"/>
      <c r="E4" s="233"/>
      <c r="F4" s="554"/>
    </row>
    <row r="5" spans="1:6" ht="24" customHeight="1">
      <c r="A5" s="316" t="s">
        <v>487</v>
      </c>
      <c r="B5" s="321" t="s">
        <v>1517</v>
      </c>
      <c r="C5" s="359" t="s">
        <v>1518</v>
      </c>
      <c r="D5" s="321" t="s">
        <v>652</v>
      </c>
      <c r="E5" s="555" t="s">
        <v>129</v>
      </c>
      <c r="F5" s="230"/>
    </row>
    <row r="6" spans="1:6" ht="15" customHeight="1">
      <c r="A6" s="165"/>
      <c r="B6" s="166"/>
      <c r="C6" s="144"/>
      <c r="D6" s="143"/>
      <c r="E6" s="556" t="s">
        <v>498</v>
      </c>
      <c r="F6" s="230"/>
    </row>
    <row r="7" spans="1:6" ht="15" customHeight="1">
      <c r="A7" s="142"/>
      <c r="B7" s="166"/>
      <c r="C7" s="144"/>
      <c r="D7" s="166"/>
      <c r="E7" s="556"/>
      <c r="F7" s="230"/>
    </row>
    <row r="8" spans="1:6" ht="24" customHeight="1">
      <c r="A8" s="307"/>
      <c r="B8" s="446"/>
      <c r="C8" s="447"/>
      <c r="D8" s="446"/>
      <c r="E8" s="557"/>
      <c r="F8" s="230"/>
    </row>
    <row r="9" spans="1:6" ht="45" customHeight="1" thickBot="1">
      <c r="A9" s="551" t="s">
        <v>504</v>
      </c>
      <c r="B9" s="558">
        <v>784221</v>
      </c>
      <c r="C9" s="559">
        <v>745503</v>
      </c>
      <c r="D9" s="558">
        <v>1529717</v>
      </c>
      <c r="E9" s="560">
        <v>0.20727229466727928</v>
      </c>
      <c r="F9" s="230"/>
    </row>
    <row r="10" spans="1:6" ht="34.5" customHeight="1" thickBot="1">
      <c r="A10" s="551" t="s">
        <v>1587</v>
      </c>
      <c r="B10" s="558">
        <v>313779</v>
      </c>
      <c r="C10" s="559">
        <v>305028</v>
      </c>
      <c r="D10" s="558">
        <v>618806</v>
      </c>
      <c r="E10" s="560">
        <v>8.3846449751084962E-2</v>
      </c>
      <c r="F10" s="230"/>
    </row>
    <row r="11" spans="1:6" ht="32.25" customHeight="1" thickBot="1">
      <c r="A11" s="551" t="s">
        <v>506</v>
      </c>
      <c r="B11" s="558">
        <v>2517383</v>
      </c>
      <c r="C11" s="559">
        <v>2714324</v>
      </c>
      <c r="D11" s="558">
        <v>5231707</v>
      </c>
      <c r="E11" s="560">
        <v>0.70888139107878634</v>
      </c>
      <c r="F11" s="230"/>
    </row>
    <row r="12" spans="1:6" s="205" customFormat="1" ht="36" customHeight="1" thickBot="1">
      <c r="A12" s="562" t="s">
        <v>652</v>
      </c>
      <c r="B12" s="457">
        <v>3615379</v>
      </c>
      <c r="C12" s="458">
        <v>3764849</v>
      </c>
      <c r="D12" s="457">
        <v>7380229</v>
      </c>
      <c r="E12" s="495">
        <v>1</v>
      </c>
      <c r="F12" s="230"/>
    </row>
    <row r="13" spans="1:6" ht="17.25" customHeight="1">
      <c r="B13" s="155"/>
      <c r="C13" s="155"/>
      <c r="D13" s="155"/>
      <c r="E13" s="564"/>
      <c r="F13" s="565"/>
    </row>
    <row r="14" spans="1:6" ht="19.5" customHeight="1" thickBot="1">
      <c r="A14" s="566" t="s">
        <v>136</v>
      </c>
      <c r="B14" s="567">
        <v>28493</v>
      </c>
      <c r="C14" s="568">
        <v>30666</v>
      </c>
      <c r="D14" s="567">
        <v>59159</v>
      </c>
      <c r="E14" s="569">
        <v>8.0158759301371275E-3</v>
      </c>
      <c r="F14" s="565"/>
    </row>
    <row r="15" spans="1:6" ht="46.5" customHeight="1">
      <c r="B15" s="4"/>
      <c r="C15" s="4"/>
      <c r="D15" s="4"/>
      <c r="E15" s="565"/>
      <c r="F15" s="565"/>
    </row>
    <row r="16" spans="1:6" ht="38.25" customHeight="1">
      <c r="A16" s="1725" t="s">
        <v>143</v>
      </c>
      <c r="B16" s="1726"/>
      <c r="C16" s="1726"/>
      <c r="D16" s="1726"/>
      <c r="E16" s="1726"/>
      <c r="F16" s="571"/>
    </row>
    <row r="17" spans="1:7" ht="15" customHeight="1">
      <c r="A17" s="572"/>
      <c r="B17" s="234"/>
      <c r="C17" s="234"/>
      <c r="D17" s="234"/>
      <c r="E17" s="234"/>
      <c r="F17" s="234"/>
    </row>
    <row r="18" spans="1:7" ht="38.25" customHeight="1">
      <c r="A18" s="573"/>
      <c r="B18" s="574" t="s">
        <v>2063</v>
      </c>
      <c r="C18" s="575" t="s">
        <v>2064</v>
      </c>
      <c r="D18" s="574" t="s">
        <v>504</v>
      </c>
      <c r="E18" s="575" t="s">
        <v>652</v>
      </c>
    </row>
    <row r="19" spans="1:7" ht="39" customHeight="1" thickBot="1">
      <c r="A19" s="576" t="s">
        <v>652</v>
      </c>
      <c r="B19" s="577">
        <v>5543</v>
      </c>
      <c r="C19" s="578">
        <v>4093</v>
      </c>
      <c r="D19" s="577">
        <v>1437</v>
      </c>
      <c r="E19" s="579">
        <v>11089</v>
      </c>
      <c r="F19" s="580"/>
      <c r="G19" s="580"/>
    </row>
    <row r="20" spans="1:7" ht="39.75" customHeight="1">
      <c r="D20"/>
      <c r="E20"/>
      <c r="F20"/>
      <c r="G20"/>
    </row>
    <row r="21" spans="1:7" ht="42" customHeight="1">
      <c r="A21" s="1725" t="s">
        <v>144</v>
      </c>
      <c r="B21" s="1726"/>
      <c r="C21" s="1726"/>
      <c r="D21" s="1726"/>
      <c r="E21" s="1726"/>
      <c r="F21" s="571"/>
    </row>
    <row r="22" spans="1:7" ht="15" customHeight="1">
      <c r="A22" s="572"/>
      <c r="B22" s="234"/>
      <c r="C22" s="234"/>
      <c r="D22" s="234"/>
      <c r="E22" s="234"/>
      <c r="F22" s="234"/>
    </row>
    <row r="23" spans="1:7" ht="38.25" customHeight="1">
      <c r="A23" s="573"/>
      <c r="B23" s="574" t="s">
        <v>2063</v>
      </c>
      <c r="C23" s="575" t="s">
        <v>2064</v>
      </c>
      <c r="D23" s="574" t="s">
        <v>504</v>
      </c>
      <c r="E23" s="575" t="s">
        <v>652</v>
      </c>
    </row>
    <row r="24" spans="1:7" ht="39" customHeight="1" thickBot="1">
      <c r="A24" s="576" t="s">
        <v>652</v>
      </c>
      <c r="B24" s="577">
        <v>3921</v>
      </c>
      <c r="C24" s="578">
        <v>2638</v>
      </c>
      <c r="D24" s="577">
        <v>1166</v>
      </c>
      <c r="E24" s="579">
        <v>7735</v>
      </c>
      <c r="F24" s="580"/>
      <c r="G24" s="580"/>
    </row>
    <row r="25" spans="1:7">
      <c r="D25"/>
      <c r="E25"/>
      <c r="F25"/>
      <c r="G25"/>
    </row>
    <row r="26" spans="1:7">
      <c r="A26" s="4" t="s">
        <v>146</v>
      </c>
      <c r="D26"/>
      <c r="E26"/>
      <c r="F26"/>
      <c r="G26"/>
    </row>
    <row r="27" spans="1:7">
      <c r="D27"/>
      <c r="E27"/>
      <c r="F27"/>
      <c r="G27"/>
    </row>
    <row r="28" spans="1:7">
      <c r="A28" s="2" t="s">
        <v>137</v>
      </c>
      <c r="D28"/>
      <c r="E28"/>
      <c r="F28"/>
      <c r="G28"/>
    </row>
    <row r="29" spans="1:7">
      <c r="A29" s="2" t="s">
        <v>138</v>
      </c>
      <c r="D29"/>
      <c r="E29"/>
      <c r="F29"/>
      <c r="G29"/>
    </row>
    <row r="30" spans="1:7">
      <c r="A30" s="2" t="s">
        <v>139</v>
      </c>
      <c r="D30"/>
      <c r="E30"/>
      <c r="F30"/>
      <c r="G30"/>
    </row>
    <row r="31" spans="1:7">
      <c r="A31" s="2" t="s">
        <v>140</v>
      </c>
      <c r="D31"/>
      <c r="E31"/>
      <c r="F31"/>
      <c r="G31"/>
    </row>
    <row r="32" spans="1:7">
      <c r="D32"/>
      <c r="E32"/>
      <c r="F32"/>
      <c r="G32"/>
    </row>
    <row r="33" spans="1:7">
      <c r="A33" s="2" t="s">
        <v>141</v>
      </c>
      <c r="D33"/>
      <c r="E33"/>
      <c r="F33"/>
      <c r="G33"/>
    </row>
    <row r="36" spans="1:7">
      <c r="A36" s="231" t="s">
        <v>104</v>
      </c>
    </row>
  </sheetData>
  <mergeCells count="4">
    <mergeCell ref="A1:D1"/>
    <mergeCell ref="A16:E16"/>
    <mergeCell ref="A21:E21"/>
    <mergeCell ref="A3:E3"/>
  </mergeCells>
  <phoneticPr fontId="0" type="noConversion"/>
  <pageMargins left="0.57999999999999996" right="0.63" top="0.96" bottom="0.49" header="0.49" footer="0.4921259845"/>
  <pageSetup paperSize="9" scale="83" orientation="portrait" horizontalDpi="1200" verticalDpi="1200"/>
  <headerFooter alignWithMargins="0">
    <oddHeader>&amp;L&amp;"Arial,Bold"Versicherte und Finanzen in der OKP</oddHead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794E9-B901-C842-85E2-0EA1E0CEC548}">
  <sheetPr>
    <pageSetUpPr fitToPage="1"/>
  </sheetPr>
  <dimension ref="A1:G19"/>
  <sheetViews>
    <sheetView zoomScale="75" workbookViewId="0">
      <selection activeCell="A4" sqref="A4"/>
    </sheetView>
  </sheetViews>
  <sheetFormatPr baseColWidth="10" defaultColWidth="11.3984375" defaultRowHeight="13"/>
  <cols>
    <col min="1" max="1" width="19.3984375" style="2" customWidth="1"/>
    <col min="2" max="2" width="17.3984375" style="2" customWidth="1"/>
    <col min="3" max="3" width="16.3984375" style="2" customWidth="1"/>
    <col min="4" max="4" width="17.796875" style="2" customWidth="1"/>
    <col min="5" max="5" width="18.796875" style="487" customWidth="1"/>
    <col min="6" max="6" width="25.19921875" style="487" customWidth="1"/>
    <col min="7" max="7" width="18.19921875" style="2" customWidth="1"/>
    <col min="8" max="16384" width="11.3984375" style="2"/>
  </cols>
  <sheetData>
    <row r="1" spans="1:7" ht="19.5" customHeight="1">
      <c r="A1" s="21" t="s">
        <v>147</v>
      </c>
      <c r="B1" s="234"/>
      <c r="C1" s="234"/>
      <c r="D1" s="234"/>
      <c r="E1" s="234"/>
      <c r="F1" s="234"/>
    </row>
    <row r="2" spans="1:7" ht="19.5" customHeight="1">
      <c r="A2" s="343"/>
      <c r="B2" s="234"/>
      <c r="C2" s="234"/>
      <c r="D2" s="234"/>
      <c r="E2" s="234"/>
      <c r="F2" s="234"/>
    </row>
    <row r="3" spans="1:7" ht="42" customHeight="1">
      <c r="A3" s="1728" t="s">
        <v>524</v>
      </c>
      <c r="B3" s="1726"/>
      <c r="C3" s="1726"/>
      <c r="D3" s="1726"/>
      <c r="E3" s="1726"/>
      <c r="F3" s="571"/>
    </row>
    <row r="4" spans="1:7" ht="12.75" customHeight="1">
      <c r="A4" s="553"/>
      <c r="B4" s="233"/>
      <c r="C4" s="233"/>
      <c r="D4" s="233"/>
      <c r="E4" s="233"/>
      <c r="F4" s="554"/>
    </row>
    <row r="5" spans="1:7" ht="24" customHeight="1">
      <c r="A5" s="316" t="s">
        <v>487</v>
      </c>
      <c r="B5" s="321" t="s">
        <v>1517</v>
      </c>
      <c r="C5" s="359" t="s">
        <v>1518</v>
      </c>
      <c r="D5" s="321" t="s">
        <v>652</v>
      </c>
      <c r="E5" s="555" t="s">
        <v>129</v>
      </c>
      <c r="F5" s="230"/>
    </row>
    <row r="6" spans="1:7" ht="15" customHeight="1">
      <c r="A6" s="165"/>
      <c r="B6" s="166"/>
      <c r="C6" s="144"/>
      <c r="D6" s="143"/>
      <c r="E6" s="556" t="s">
        <v>498</v>
      </c>
      <c r="F6" s="230"/>
    </row>
    <row r="7" spans="1:7" ht="15" customHeight="1">
      <c r="A7" s="142"/>
      <c r="B7" s="166"/>
      <c r="C7" s="144"/>
      <c r="D7" s="166"/>
      <c r="E7" s="556"/>
      <c r="F7" s="230"/>
    </row>
    <row r="8" spans="1:7" ht="24" customHeight="1">
      <c r="A8" s="307"/>
      <c r="B8" s="446"/>
      <c r="C8" s="447"/>
      <c r="D8" s="446"/>
      <c r="E8" s="557"/>
      <c r="F8" s="230"/>
    </row>
    <row r="9" spans="1:7" ht="45" customHeight="1" thickBot="1">
      <c r="A9" s="551" t="s">
        <v>504</v>
      </c>
      <c r="B9" s="558">
        <v>763286</v>
      </c>
      <c r="C9" s="559">
        <v>725928</v>
      </c>
      <c r="D9" s="558">
        <v>1489214</v>
      </c>
      <c r="E9" s="560">
        <v>0.20052138841039821</v>
      </c>
      <c r="F9" s="230"/>
    </row>
    <row r="10" spans="1:7" ht="34.5" customHeight="1" thickBot="1">
      <c r="A10" s="551" t="s">
        <v>1587</v>
      </c>
      <c r="B10" s="558">
        <v>316250</v>
      </c>
      <c r="C10" s="559">
        <v>305312</v>
      </c>
      <c r="D10" s="558">
        <v>621562</v>
      </c>
      <c r="E10" s="560">
        <v>8.3692790440557177E-2</v>
      </c>
      <c r="F10" s="230"/>
    </row>
    <row r="11" spans="1:7" ht="32.25" customHeight="1" thickBot="1">
      <c r="A11" s="551" t="s">
        <v>506</v>
      </c>
      <c r="B11" s="558">
        <v>2563142</v>
      </c>
      <c r="C11" s="559">
        <v>2752791</v>
      </c>
      <c r="D11" s="558">
        <v>5315933</v>
      </c>
      <c r="E11" s="560">
        <v>0.71578582114904465</v>
      </c>
      <c r="F11" s="230"/>
    </row>
    <row r="12" spans="1:7" s="205" customFormat="1" ht="36" customHeight="1" thickBot="1">
      <c r="A12" s="562" t="s">
        <v>652</v>
      </c>
      <c r="B12" s="457">
        <v>3642680</v>
      </c>
      <c r="C12" s="458">
        <v>3784029</v>
      </c>
      <c r="D12" s="457">
        <v>7426709</v>
      </c>
      <c r="E12" s="495">
        <v>1</v>
      </c>
      <c r="F12" s="230"/>
    </row>
    <row r="13" spans="1:7" ht="19.5" customHeight="1">
      <c r="B13" s="155"/>
      <c r="C13" s="155"/>
      <c r="D13" s="155"/>
      <c r="E13" s="564"/>
      <c r="F13" s="565"/>
    </row>
    <row r="14" spans="1:7">
      <c r="A14" s="4" t="s">
        <v>146</v>
      </c>
      <c r="D14"/>
      <c r="E14"/>
      <c r="F14"/>
      <c r="G14"/>
    </row>
    <row r="15" spans="1:7">
      <c r="D15"/>
      <c r="E15"/>
      <c r="F15"/>
      <c r="G15"/>
    </row>
    <row r="16" spans="1:7">
      <c r="A16" s="2" t="s">
        <v>134</v>
      </c>
      <c r="D16"/>
      <c r="E16"/>
      <c r="F16"/>
      <c r="G16"/>
    </row>
    <row r="19" spans="1:1">
      <c r="A19" s="231" t="s">
        <v>104</v>
      </c>
    </row>
  </sheetData>
  <mergeCells count="1">
    <mergeCell ref="A3:E3"/>
  </mergeCells>
  <phoneticPr fontId="0" type="noConversion"/>
  <pageMargins left="0.67" right="0.67" top="0.87" bottom="0.49" header="0.56000000000000005" footer="0.4921259845"/>
  <pageSetup paperSize="9" scale="78" orientation="portrait" horizontalDpi="1200" verticalDpi="1200"/>
  <headerFooter alignWithMargins="0">
    <oddHeader>&amp;L&amp;"Arial,Bold"Versicherte und Finanzen in der OKP</oddHead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94A5C-A816-024A-961D-5B8CE791CDB4}">
  <sheetPr>
    <pageSetUpPr fitToPage="1"/>
  </sheetPr>
  <dimension ref="A1:G19"/>
  <sheetViews>
    <sheetView zoomScale="75" workbookViewId="0">
      <selection activeCell="B17" sqref="B17"/>
    </sheetView>
  </sheetViews>
  <sheetFormatPr baseColWidth="10" defaultColWidth="11.3984375" defaultRowHeight="13"/>
  <cols>
    <col min="1" max="1" width="21.3984375" style="2" customWidth="1"/>
    <col min="2" max="2" width="17.3984375" style="2" customWidth="1"/>
    <col min="3" max="3" width="16.3984375" style="2" customWidth="1"/>
    <col min="4" max="4" width="17.796875" style="2" customWidth="1"/>
    <col min="5" max="5" width="18.796875" style="487" customWidth="1"/>
    <col min="6" max="6" width="20.3984375" style="487" customWidth="1"/>
    <col min="7" max="7" width="12" style="2" customWidth="1"/>
    <col min="8" max="16384" width="11.3984375" style="2"/>
  </cols>
  <sheetData>
    <row r="1" spans="1:7" ht="19.5" customHeight="1">
      <c r="A1" s="21" t="s">
        <v>128</v>
      </c>
      <c r="B1" s="234"/>
      <c r="C1" s="234"/>
      <c r="D1" s="234"/>
      <c r="E1" s="234"/>
      <c r="F1" s="370">
        <v>2004</v>
      </c>
    </row>
    <row r="2" spans="1:7" ht="24" customHeight="1">
      <c r="A2" s="553"/>
      <c r="B2" s="233"/>
      <c r="C2" s="233"/>
      <c r="D2" s="233"/>
      <c r="E2" s="233"/>
      <c r="F2" s="554"/>
    </row>
    <row r="3" spans="1:7" ht="24" customHeight="1">
      <c r="A3" s="316" t="s">
        <v>487</v>
      </c>
      <c r="B3" s="321" t="s">
        <v>1517</v>
      </c>
      <c r="C3" s="359" t="s">
        <v>1518</v>
      </c>
      <c r="D3" s="321" t="s">
        <v>652</v>
      </c>
      <c r="E3" s="555" t="s">
        <v>129</v>
      </c>
      <c r="F3" s="475" t="s">
        <v>130</v>
      </c>
    </row>
    <row r="4" spans="1:7" ht="15" customHeight="1">
      <c r="A4" s="165"/>
      <c r="B4" s="166"/>
      <c r="C4" s="144"/>
      <c r="D4" s="143"/>
      <c r="E4" s="556" t="s">
        <v>498</v>
      </c>
      <c r="F4" s="476" t="s">
        <v>131</v>
      </c>
    </row>
    <row r="5" spans="1:7" ht="15" customHeight="1">
      <c r="A5" s="142"/>
      <c r="B5" s="166"/>
      <c r="C5" s="144"/>
      <c r="D5" s="166"/>
      <c r="E5" s="556"/>
      <c r="F5" s="476" t="s">
        <v>1285</v>
      </c>
    </row>
    <row r="6" spans="1:7" ht="24" customHeight="1">
      <c r="A6" s="307"/>
      <c r="B6" s="446"/>
      <c r="C6" s="447"/>
      <c r="D6" s="446"/>
      <c r="E6" s="557"/>
      <c r="F6" s="477"/>
    </row>
    <row r="7" spans="1:7" ht="45" customHeight="1" thickBot="1">
      <c r="A7" s="551" t="s">
        <v>504</v>
      </c>
      <c r="B7" s="558">
        <v>111186</v>
      </c>
      <c r="C7" s="559">
        <v>109777</v>
      </c>
      <c r="D7" s="558">
        <v>220963</v>
      </c>
      <c r="E7" s="560">
        <v>0.27284266936673851</v>
      </c>
      <c r="F7" s="561">
        <v>0.14444697940860957</v>
      </c>
    </row>
    <row r="8" spans="1:7" ht="34.5" customHeight="1" thickBot="1">
      <c r="A8" s="551" t="s">
        <v>1587</v>
      </c>
      <c r="B8" s="558">
        <v>51683</v>
      </c>
      <c r="C8" s="559">
        <v>47571</v>
      </c>
      <c r="D8" s="558">
        <v>99253</v>
      </c>
      <c r="E8" s="560">
        <v>0.12255650702903606</v>
      </c>
      <c r="F8" s="561">
        <v>0.16039437238811519</v>
      </c>
    </row>
    <row r="9" spans="1:7" ht="32.25" customHeight="1" thickBot="1">
      <c r="A9" s="551" t="s">
        <v>506</v>
      </c>
      <c r="B9" s="558">
        <v>246567</v>
      </c>
      <c r="C9" s="559">
        <v>243072</v>
      </c>
      <c r="D9" s="558">
        <v>489639</v>
      </c>
      <c r="E9" s="560">
        <v>0.6046008236042254</v>
      </c>
      <c r="F9" s="561">
        <v>9.3590677000833566E-2</v>
      </c>
    </row>
    <row r="10" spans="1:7" s="205" customFormat="1" ht="36" customHeight="1" thickBot="1">
      <c r="A10" s="562" t="s">
        <v>652</v>
      </c>
      <c r="B10" s="457">
        <v>409436</v>
      </c>
      <c r="C10" s="458">
        <v>400419</v>
      </c>
      <c r="D10" s="457">
        <v>809855</v>
      </c>
      <c r="E10" s="495">
        <v>1</v>
      </c>
      <c r="F10" s="563">
        <v>0.10973304486893293</v>
      </c>
    </row>
    <row r="11" spans="1:7" ht="16.5" customHeight="1">
      <c r="B11" s="155"/>
      <c r="C11" s="155"/>
      <c r="D11" s="155"/>
      <c r="E11" s="564"/>
      <c r="F11" s="565"/>
    </row>
    <row r="12" spans="1:7" s="545" customFormat="1" ht="24" customHeight="1" thickBot="1">
      <c r="A12" s="566" t="s">
        <v>132</v>
      </c>
      <c r="B12" s="567">
        <v>34158</v>
      </c>
      <c r="C12" s="568">
        <v>32719</v>
      </c>
      <c r="D12" s="567">
        <v>66877</v>
      </c>
      <c r="E12" s="569">
        <v>8.2578980187811402E-2</v>
      </c>
      <c r="F12" s="570">
        <v>9.0616429381798324E-3</v>
      </c>
    </row>
    <row r="13" spans="1:7" ht="9.75" customHeight="1">
      <c r="D13"/>
      <c r="E13"/>
      <c r="F13"/>
      <c r="G13"/>
    </row>
    <row r="14" spans="1:7">
      <c r="A14" s="4" t="s">
        <v>146</v>
      </c>
      <c r="D14"/>
      <c r="E14"/>
      <c r="F14"/>
      <c r="G14"/>
    </row>
    <row r="15" spans="1:7">
      <c r="D15"/>
      <c r="E15"/>
      <c r="F15"/>
      <c r="G15"/>
    </row>
    <row r="16" spans="1:7">
      <c r="A16" s="2" t="s">
        <v>133</v>
      </c>
      <c r="D16"/>
      <c r="E16"/>
      <c r="F16"/>
      <c r="G16"/>
    </row>
    <row r="19" spans="1:1">
      <c r="A19" s="231" t="s">
        <v>104</v>
      </c>
    </row>
  </sheetData>
  <phoneticPr fontId="0" type="noConversion"/>
  <pageMargins left="0.53" right="0.68" top="0.96" bottom="0.49" header="0.56000000000000005" footer="0.4921259845"/>
  <pageSetup paperSize="9" scale="73" orientation="portrait" horizontalDpi="1200" verticalDpi="1200"/>
  <headerFooter alignWithMargins="0">
    <oddHeader>&amp;L&amp;"Arial,Bold"Versicherte und Finanzen in der OKP</oddHead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108E1-CDF1-CE48-888E-7845874C2711}">
  <sheetPr>
    <pageSetUpPr fitToPage="1"/>
  </sheetPr>
  <dimension ref="A1:E48"/>
  <sheetViews>
    <sheetView topLeftCell="A32" zoomScale="75" workbookViewId="0">
      <selection activeCell="A36" sqref="A36:E36"/>
    </sheetView>
  </sheetViews>
  <sheetFormatPr baseColWidth="10" defaultColWidth="11.3984375" defaultRowHeight="13"/>
  <cols>
    <col min="1" max="1" width="8.796875" style="2" customWidth="1"/>
    <col min="2" max="2" width="48.796875" style="23" customWidth="1"/>
    <col min="3" max="3" width="16.796875" style="2" customWidth="1"/>
    <col min="4" max="4" width="16.796875" style="9" customWidth="1"/>
    <col min="5" max="5" width="16.796875" style="315" customWidth="1"/>
    <col min="6" max="16384" width="11.3984375" style="2"/>
  </cols>
  <sheetData>
    <row r="1" spans="1:5" s="1" customFormat="1" ht="54.75" customHeight="1">
      <c r="A1" s="1723" t="s">
        <v>126</v>
      </c>
      <c r="B1" s="1726"/>
      <c r="C1" s="1726"/>
      <c r="D1" s="1726"/>
      <c r="E1" s="21">
        <v>2004</v>
      </c>
    </row>
    <row r="2" spans="1:5" s="1" customFormat="1" ht="10.5" customHeight="1">
      <c r="A2" s="233"/>
      <c r="B2" s="233"/>
      <c r="C2" s="233"/>
      <c r="D2" s="233"/>
      <c r="E2" s="233"/>
    </row>
    <row r="3" spans="1:5" ht="39" customHeight="1">
      <c r="A3" s="316" t="s">
        <v>1127</v>
      </c>
      <c r="B3" s="210"/>
      <c r="C3" s="164" t="s">
        <v>1128</v>
      </c>
      <c r="D3" s="194" t="s">
        <v>1129</v>
      </c>
      <c r="E3" s="305" t="s">
        <v>652</v>
      </c>
    </row>
    <row r="4" spans="1:5" ht="25.5" customHeight="1">
      <c r="A4" s="306"/>
      <c r="B4" s="307"/>
      <c r="C4" s="168" t="s">
        <v>884</v>
      </c>
      <c r="D4" s="200" t="s">
        <v>884</v>
      </c>
      <c r="E4" s="308" t="s">
        <v>884</v>
      </c>
    </row>
    <row r="5" spans="1:5" ht="30" customHeight="1" thickBot="1">
      <c r="A5" s="148">
        <v>61.1</v>
      </c>
      <c r="B5" s="148" t="s">
        <v>113</v>
      </c>
      <c r="C5" s="149">
        <v>33990390.810000002</v>
      </c>
      <c r="D5" s="225">
        <v>1112415.8500000001</v>
      </c>
      <c r="E5" s="319">
        <v>35102806.659999996</v>
      </c>
    </row>
    <row r="6" spans="1:5" ht="22.5" customHeight="1" thickBot="1">
      <c r="A6" s="391">
        <v>61.2</v>
      </c>
      <c r="B6" s="391" t="s">
        <v>114</v>
      </c>
      <c r="C6" s="149">
        <v>3855862.75</v>
      </c>
      <c r="D6" s="225">
        <v>221864.7</v>
      </c>
      <c r="E6" s="319">
        <v>4077727.45</v>
      </c>
    </row>
    <row r="7" spans="1:5" ht="20" customHeight="1" thickBot="1">
      <c r="A7" s="152">
        <v>64</v>
      </c>
      <c r="B7" s="152" t="s">
        <v>1130</v>
      </c>
      <c r="C7" s="149">
        <v>-112655.33</v>
      </c>
      <c r="D7" s="225">
        <v>-3972.91</v>
      </c>
      <c r="E7" s="319">
        <v>-116628.24</v>
      </c>
    </row>
    <row r="8" spans="1:5" ht="20" customHeight="1" thickBot="1">
      <c r="A8" s="152">
        <v>65</v>
      </c>
      <c r="B8" s="152" t="s">
        <v>1131</v>
      </c>
      <c r="C8" s="149">
        <v>8018.98</v>
      </c>
      <c r="D8" s="225">
        <v>502.07</v>
      </c>
      <c r="E8" s="319">
        <v>8521.0499999999993</v>
      </c>
    </row>
    <row r="9" spans="1:5" ht="27" customHeight="1" thickBot="1">
      <c r="A9" s="186" t="s">
        <v>1132</v>
      </c>
      <c r="B9" s="186" t="s">
        <v>1133</v>
      </c>
      <c r="C9" s="149">
        <v>37741617.210000001</v>
      </c>
      <c r="D9" s="225">
        <v>1330809.72</v>
      </c>
      <c r="E9" s="319">
        <v>39072426.93</v>
      </c>
    </row>
    <row r="10" spans="1:5" ht="20" customHeight="1" thickBot="1">
      <c r="A10" s="152">
        <v>66</v>
      </c>
      <c r="B10" s="152" t="s">
        <v>1134</v>
      </c>
      <c r="C10" s="149">
        <v>-14580.32</v>
      </c>
      <c r="D10" s="225">
        <v>-339.38</v>
      </c>
      <c r="E10" s="319">
        <v>-14919.7</v>
      </c>
    </row>
    <row r="11" spans="1:5" ht="27" customHeight="1" thickBot="1">
      <c r="A11" s="186" t="s">
        <v>1135</v>
      </c>
      <c r="B11" s="186" t="s">
        <v>1136</v>
      </c>
      <c r="C11" s="149">
        <v>37727036.890000001</v>
      </c>
      <c r="D11" s="225">
        <v>1330470.3400000001</v>
      </c>
      <c r="E11" s="319">
        <v>39057507.229999997</v>
      </c>
    </row>
    <row r="12" spans="1:5" ht="21" customHeight="1" thickBot="1">
      <c r="A12" s="152">
        <v>67</v>
      </c>
      <c r="B12" s="152" t="s">
        <v>1137</v>
      </c>
      <c r="C12" s="149">
        <v>683316.45</v>
      </c>
      <c r="D12" s="225">
        <v>27121.03</v>
      </c>
      <c r="E12" s="319">
        <v>710437.48</v>
      </c>
    </row>
    <row r="13" spans="1:5" ht="21" customHeight="1" thickBot="1">
      <c r="A13" s="152">
        <v>68</v>
      </c>
      <c r="B13" s="152" t="s">
        <v>1138</v>
      </c>
      <c r="C13" s="149">
        <v>-1031567.98</v>
      </c>
      <c r="D13" s="225">
        <v>-34427.83</v>
      </c>
      <c r="E13" s="319">
        <v>-1065995.81</v>
      </c>
    </row>
    <row r="14" spans="1:5" ht="21" customHeight="1" thickBot="1">
      <c r="A14" s="152">
        <v>69</v>
      </c>
      <c r="B14" s="152" t="s">
        <v>1139</v>
      </c>
      <c r="C14" s="149">
        <v>14881.84</v>
      </c>
      <c r="D14" s="225">
        <v>541.73</v>
      </c>
      <c r="E14" s="319">
        <v>15423.57</v>
      </c>
    </row>
    <row r="15" spans="1:5" ht="27" customHeight="1" thickBot="1">
      <c r="A15" s="186">
        <v>6</v>
      </c>
      <c r="B15" s="186" t="s">
        <v>1140</v>
      </c>
      <c r="C15" s="149">
        <v>37393667.210000001</v>
      </c>
      <c r="D15" s="225">
        <v>1323705.24</v>
      </c>
      <c r="E15" s="319">
        <v>38717372.450000003</v>
      </c>
    </row>
    <row r="16" spans="1:5" ht="20" customHeight="1" thickBot="1">
      <c r="A16" s="152">
        <v>31.1</v>
      </c>
      <c r="B16" s="152" t="s">
        <v>115</v>
      </c>
      <c r="C16" s="149">
        <v>21844928.460000001</v>
      </c>
      <c r="D16" s="225">
        <v>458644.67</v>
      </c>
      <c r="E16" s="319">
        <v>22303573.129999999</v>
      </c>
    </row>
    <row r="17" spans="1:5" ht="20" customHeight="1" thickBot="1">
      <c r="A17" s="152">
        <v>31.2</v>
      </c>
      <c r="B17" s="152" t="s">
        <v>116</v>
      </c>
      <c r="C17" s="149">
        <v>864396.86</v>
      </c>
      <c r="D17" s="225">
        <v>17160.53</v>
      </c>
      <c r="E17" s="319">
        <v>881557.39</v>
      </c>
    </row>
    <row r="18" spans="1:5" ht="20" customHeight="1" thickBot="1">
      <c r="A18" s="152">
        <v>32</v>
      </c>
      <c r="B18" s="152" t="s">
        <v>1141</v>
      </c>
      <c r="C18" s="149">
        <v>-2344399.16</v>
      </c>
      <c r="D18" s="225">
        <v>-38821.58</v>
      </c>
      <c r="E18" s="319">
        <v>-2383220.7400000002</v>
      </c>
    </row>
    <row r="19" spans="1:5" ht="27" customHeight="1" thickBot="1">
      <c r="A19" s="186" t="s">
        <v>1142</v>
      </c>
      <c r="B19" s="186" t="s">
        <v>1143</v>
      </c>
      <c r="C19" s="149">
        <v>20364926.16</v>
      </c>
      <c r="D19" s="225">
        <v>436983.62</v>
      </c>
      <c r="E19" s="319">
        <v>20801909.780000001</v>
      </c>
    </row>
    <row r="20" spans="1:5" ht="20" customHeight="1" thickBot="1">
      <c r="A20" s="152">
        <v>34</v>
      </c>
      <c r="B20" s="152" t="s">
        <v>1144</v>
      </c>
      <c r="C20" s="149">
        <v>22531.78</v>
      </c>
      <c r="D20" s="225">
        <v>671.26</v>
      </c>
      <c r="E20" s="319">
        <v>23203.040000000001</v>
      </c>
    </row>
    <row r="21" spans="1:5" ht="20" customHeight="1" thickBot="1">
      <c r="A21" s="152">
        <v>35</v>
      </c>
      <c r="B21" s="152" t="s">
        <v>1145</v>
      </c>
      <c r="C21" s="149">
        <v>5131362.17</v>
      </c>
      <c r="D21" s="225">
        <v>185412.17</v>
      </c>
      <c r="E21" s="319">
        <v>5316774.34</v>
      </c>
    </row>
    <row r="22" spans="1:5" ht="20" customHeight="1" thickBot="1">
      <c r="A22" s="152">
        <v>35.1</v>
      </c>
      <c r="B22" s="152" t="s">
        <v>117</v>
      </c>
      <c r="C22" s="149">
        <v>727345.19</v>
      </c>
      <c r="D22" s="225">
        <v>55078.39</v>
      </c>
      <c r="E22" s="319">
        <v>782423.58</v>
      </c>
    </row>
    <row r="23" spans="1:5" ht="27" customHeight="1" thickBot="1">
      <c r="A23" s="186" t="s">
        <v>1146</v>
      </c>
      <c r="B23" s="186" t="s">
        <v>1147</v>
      </c>
      <c r="C23" s="149">
        <v>26246165.289999999</v>
      </c>
      <c r="D23" s="225">
        <v>678145.45</v>
      </c>
      <c r="E23" s="319">
        <v>26924310.739999998</v>
      </c>
    </row>
    <row r="24" spans="1:5" ht="20" customHeight="1" thickBot="1">
      <c r="A24" s="152">
        <v>36</v>
      </c>
      <c r="B24" s="152" t="s">
        <v>1148</v>
      </c>
      <c r="C24" s="149">
        <v>-7640.58</v>
      </c>
      <c r="D24" s="225">
        <v>-107.71</v>
      </c>
      <c r="E24" s="319">
        <v>-7748.29</v>
      </c>
    </row>
    <row r="25" spans="1:5" ht="20" customHeight="1" thickBot="1">
      <c r="A25" s="152">
        <v>37</v>
      </c>
      <c r="B25" s="152" t="s">
        <v>1149</v>
      </c>
      <c r="C25" s="149">
        <v>3732628.02</v>
      </c>
      <c r="D25" s="225">
        <v>107522.42</v>
      </c>
      <c r="E25" s="319">
        <v>3840150.44</v>
      </c>
    </row>
    <row r="26" spans="1:5" ht="27" customHeight="1" thickBot="1">
      <c r="A26" s="186">
        <v>3</v>
      </c>
      <c r="B26" s="186" t="s">
        <v>1150</v>
      </c>
      <c r="C26" s="149">
        <v>29971152.73</v>
      </c>
      <c r="D26" s="225">
        <v>785560.16</v>
      </c>
      <c r="E26" s="319">
        <v>30756712.890000001</v>
      </c>
    </row>
    <row r="27" spans="1:5" ht="20" customHeight="1" thickBot="1">
      <c r="A27" s="152" t="s">
        <v>1151</v>
      </c>
      <c r="B27" s="152" t="s">
        <v>1152</v>
      </c>
      <c r="C27" s="149">
        <v>2095273.55</v>
      </c>
      <c r="D27" s="225">
        <v>98475.18</v>
      </c>
      <c r="E27" s="319">
        <v>2193748.73</v>
      </c>
    </row>
    <row r="28" spans="1:5" ht="20" customHeight="1" thickBot="1">
      <c r="A28" s="152">
        <v>48</v>
      </c>
      <c r="B28" s="152" t="s">
        <v>1153</v>
      </c>
      <c r="C28" s="149">
        <v>313977.76</v>
      </c>
      <c r="D28" s="225">
        <v>10188.790000000001</v>
      </c>
      <c r="E28" s="319">
        <v>324166.55</v>
      </c>
    </row>
    <row r="29" spans="1:5" ht="20" customHeight="1" thickBot="1">
      <c r="A29" s="152">
        <v>49</v>
      </c>
      <c r="B29" s="152" t="s">
        <v>1154</v>
      </c>
      <c r="C29" s="149">
        <v>4697.95</v>
      </c>
      <c r="D29" s="225">
        <v>151.43</v>
      </c>
      <c r="E29" s="319">
        <v>4849.38</v>
      </c>
    </row>
    <row r="30" spans="1:5" ht="27" customHeight="1" thickBot="1">
      <c r="A30" s="186">
        <v>4</v>
      </c>
      <c r="B30" s="186" t="s">
        <v>1155</v>
      </c>
      <c r="C30" s="149">
        <v>2413949.2799999998</v>
      </c>
      <c r="D30" s="225">
        <v>108815.39</v>
      </c>
      <c r="E30" s="319">
        <v>2522764.67</v>
      </c>
    </row>
    <row r="31" spans="1:5" ht="27" customHeight="1" thickBot="1">
      <c r="A31" s="186" t="s">
        <v>1156</v>
      </c>
      <c r="B31" s="186" t="s">
        <v>1157</v>
      </c>
      <c r="C31" s="149">
        <v>32385102.010000002</v>
      </c>
      <c r="D31" s="225">
        <v>894375.55</v>
      </c>
      <c r="E31" s="319">
        <v>33279477.559999999</v>
      </c>
    </row>
    <row r="32" spans="1:5" ht="27" customHeight="1" thickBot="1">
      <c r="A32" s="186"/>
      <c r="B32" s="186" t="s">
        <v>1158</v>
      </c>
      <c r="C32" s="153">
        <v>5008565.1900000004</v>
      </c>
      <c r="D32" s="228">
        <v>429329.7</v>
      </c>
      <c r="E32" s="173">
        <v>5437894.8899999997</v>
      </c>
    </row>
    <row r="33" spans="1:5" ht="27" customHeight="1" thickBot="1">
      <c r="A33" s="186">
        <v>7</v>
      </c>
      <c r="B33" s="186" t="s">
        <v>1159</v>
      </c>
      <c r="C33" s="153">
        <v>149314.45000000001</v>
      </c>
      <c r="D33" s="228">
        <v>6478.84</v>
      </c>
      <c r="E33" s="173">
        <v>155793.29</v>
      </c>
    </row>
    <row r="34" spans="1:5" ht="27.75" customHeight="1" thickBot="1">
      <c r="A34" s="349"/>
      <c r="B34" s="349" t="s">
        <v>1160</v>
      </c>
      <c r="C34" s="350">
        <v>5157879.66</v>
      </c>
      <c r="D34" s="351">
        <v>435808.54</v>
      </c>
      <c r="E34" s="352">
        <v>5593688.2000000002</v>
      </c>
    </row>
    <row r="35" spans="1:5" ht="22.5" customHeight="1">
      <c r="A35" s="353"/>
      <c r="B35" s="353"/>
      <c r="C35" s="354"/>
      <c r="D35" s="354"/>
      <c r="E35" s="355"/>
    </row>
    <row r="36" spans="1:5" ht="24" customHeight="1">
      <c r="A36" s="356" t="s">
        <v>127</v>
      </c>
      <c r="B36" s="357"/>
      <c r="C36" s="357"/>
      <c r="D36" s="357"/>
      <c r="E36" s="357"/>
    </row>
    <row r="37" spans="1:5" ht="21" customHeight="1" thickBot="1">
      <c r="A37" s="358"/>
      <c r="B37" s="358" t="s">
        <v>118</v>
      </c>
      <c r="C37" s="310" t="s">
        <v>1300</v>
      </c>
      <c r="D37" s="311" t="s">
        <v>1300</v>
      </c>
      <c r="E37" s="226">
        <v>13594011.550000001</v>
      </c>
    </row>
    <row r="38" spans="1:5" ht="21" customHeight="1" thickBot="1">
      <c r="A38" s="186"/>
      <c r="B38" s="186" t="s">
        <v>119</v>
      </c>
      <c r="C38" s="317" t="s">
        <v>1300</v>
      </c>
      <c r="D38" s="318" t="s">
        <v>1300</v>
      </c>
      <c r="E38" s="218">
        <v>-1518188.4</v>
      </c>
    </row>
    <row r="39" spans="1:5" ht="21" customHeight="1" thickBot="1">
      <c r="A39" s="186"/>
      <c r="B39" s="186" t="s">
        <v>120</v>
      </c>
      <c r="C39" s="317" t="s">
        <v>1300</v>
      </c>
      <c r="D39" s="318" t="s">
        <v>1300</v>
      </c>
      <c r="E39" s="218">
        <v>12075817.15</v>
      </c>
    </row>
    <row r="40" spans="1:5" ht="15.75" customHeight="1">
      <c r="A40" s="155" t="s">
        <v>148</v>
      </c>
      <c r="B40" s="213"/>
      <c r="C40" s="155"/>
      <c r="D40" s="207"/>
      <c r="E40" s="313"/>
    </row>
    <row r="42" spans="1:5">
      <c r="A42" s="2" t="s">
        <v>121</v>
      </c>
    </row>
    <row r="43" spans="1:5">
      <c r="A43" s="552" t="s">
        <v>122</v>
      </c>
    </row>
    <row r="45" spans="1:5">
      <c r="A45" s="2" t="s">
        <v>123</v>
      </c>
    </row>
    <row r="48" spans="1:5">
      <c r="A48" s="2" t="s">
        <v>104</v>
      </c>
    </row>
  </sheetData>
  <mergeCells count="1">
    <mergeCell ref="A1:D1"/>
  </mergeCells>
  <phoneticPr fontId="0" type="noConversion"/>
  <pageMargins left="0.47244094488188981" right="0.59055118110236227" top="0.5" bottom="0.3" header="0.26" footer="0.19"/>
  <pageSetup paperSize="9" scale="76" orientation="portrait" horizontalDpi="4294967292" verticalDpi="4294967292"/>
  <headerFooter alignWithMargins="0">
    <oddHeader>&amp;L&amp;"Arial,Bold"Andere Versicherungen der vom BAG anerkannten Krankenversicherer</oddHead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81E54-674B-9C44-A616-D90D8627BC4B}">
  <sheetPr>
    <pageSetUpPr fitToPage="1"/>
  </sheetPr>
  <dimension ref="A1:J41"/>
  <sheetViews>
    <sheetView topLeftCell="A2" zoomScale="75" workbookViewId="0">
      <selection activeCell="A2" sqref="A2:I2"/>
    </sheetView>
  </sheetViews>
  <sheetFormatPr baseColWidth="10" defaultColWidth="11.3984375" defaultRowHeight="13"/>
  <cols>
    <col min="1" max="1" width="12.3984375" style="2" customWidth="1"/>
    <col min="2" max="11" width="10.3984375" style="2" customWidth="1"/>
    <col min="12" max="16384" width="11.3984375" style="2"/>
  </cols>
  <sheetData>
    <row r="1" spans="1:10" s="1" customFormat="1" ht="14" customHeight="1"/>
    <row r="2" spans="1:10" s="1" customFormat="1" ht="39.75" customHeight="1">
      <c r="A2" s="1715" t="s">
        <v>2005</v>
      </c>
      <c r="B2" s="1716"/>
      <c r="C2" s="1716"/>
      <c r="D2" s="1716"/>
      <c r="E2" s="1716"/>
      <c r="F2" s="1716"/>
      <c r="G2" s="1716"/>
      <c r="H2" s="1716"/>
      <c r="I2" s="1716"/>
      <c r="J2" s="178">
        <v>2004</v>
      </c>
    </row>
    <row r="3" spans="1:10" ht="24" customHeight="1">
      <c r="A3" s="139" t="s">
        <v>503</v>
      </c>
      <c r="B3" s="164">
        <v>1996</v>
      </c>
      <c r="C3" s="141">
        <v>1997</v>
      </c>
      <c r="D3" s="164">
        <v>1998</v>
      </c>
      <c r="E3" s="141">
        <v>1999</v>
      </c>
      <c r="F3" s="164">
        <v>2000</v>
      </c>
      <c r="G3" s="141">
        <v>2001</v>
      </c>
      <c r="H3" s="164">
        <v>2002</v>
      </c>
      <c r="I3" s="141">
        <v>2003</v>
      </c>
      <c r="J3" s="164">
        <v>2004</v>
      </c>
    </row>
    <row r="4" spans="1:10" ht="15" customHeight="1">
      <c r="A4" s="165"/>
      <c r="B4" s="166"/>
      <c r="C4" s="144"/>
      <c r="D4" s="166"/>
      <c r="E4" s="144"/>
      <c r="F4" s="143"/>
      <c r="G4" s="197"/>
      <c r="H4" s="166"/>
      <c r="I4" s="144"/>
      <c r="J4" s="166"/>
    </row>
    <row r="5" spans="1:10" ht="16" customHeight="1">
      <c r="A5" s="167"/>
      <c r="B5" s="168"/>
      <c r="C5" s="147"/>
      <c r="D5" s="168"/>
      <c r="E5" s="147"/>
      <c r="F5" s="146"/>
      <c r="G5" s="200"/>
      <c r="H5" s="168"/>
      <c r="I5" s="147"/>
      <c r="J5" s="168"/>
    </row>
    <row r="6" spans="1:10" ht="30" customHeight="1" thickBot="1">
      <c r="A6" s="689" t="s">
        <v>510</v>
      </c>
      <c r="B6" s="330">
        <v>1549.9656909542132</v>
      </c>
      <c r="C6" s="381">
        <v>1574.74</v>
      </c>
      <c r="D6" s="330">
        <v>1712.02</v>
      </c>
      <c r="E6" s="381">
        <v>1767.1</v>
      </c>
      <c r="F6" s="330">
        <v>1853.81</v>
      </c>
      <c r="G6" s="381">
        <v>1945.7</v>
      </c>
      <c r="H6" s="330">
        <v>1997.6</v>
      </c>
      <c r="I6" s="225">
        <v>2040.72</v>
      </c>
      <c r="J6" s="149">
        <v>2204.77</v>
      </c>
    </row>
    <row r="7" spans="1:10" ht="20" customHeight="1" thickBot="1">
      <c r="A7" s="681" t="s">
        <v>511</v>
      </c>
      <c r="B7" s="153">
        <v>1408.151066328636</v>
      </c>
      <c r="C7" s="228">
        <v>1405.21</v>
      </c>
      <c r="D7" s="153">
        <v>1555.67</v>
      </c>
      <c r="E7" s="228">
        <v>1637.63</v>
      </c>
      <c r="F7" s="153">
        <v>1832.02</v>
      </c>
      <c r="G7" s="228">
        <v>1887.26</v>
      </c>
      <c r="H7" s="153">
        <v>1965.91</v>
      </c>
      <c r="I7" s="225">
        <v>2126.35</v>
      </c>
      <c r="J7" s="149">
        <v>2366.1</v>
      </c>
    </row>
    <row r="8" spans="1:10" ht="20" customHeight="1" thickBot="1">
      <c r="A8" s="681" t="s">
        <v>512</v>
      </c>
      <c r="B8" s="153">
        <v>1131.4590410167589</v>
      </c>
      <c r="C8" s="228">
        <v>1184.71</v>
      </c>
      <c r="D8" s="153">
        <v>1246.68</v>
      </c>
      <c r="E8" s="228">
        <v>1319.84</v>
      </c>
      <c r="F8" s="153">
        <v>1425.18</v>
      </c>
      <c r="G8" s="228">
        <v>1529.85</v>
      </c>
      <c r="H8" s="153">
        <v>1579.99</v>
      </c>
      <c r="I8" s="225">
        <v>1686.93</v>
      </c>
      <c r="J8" s="149">
        <v>1800.15</v>
      </c>
    </row>
    <row r="9" spans="1:10" ht="20" customHeight="1" thickBot="1">
      <c r="A9" s="681" t="s">
        <v>513</v>
      </c>
      <c r="B9" s="153">
        <v>1141.6866160362115</v>
      </c>
      <c r="C9" s="228">
        <v>1223.1600000000001</v>
      </c>
      <c r="D9" s="153">
        <v>1225.93</v>
      </c>
      <c r="E9" s="228">
        <v>1305.03</v>
      </c>
      <c r="F9" s="153">
        <v>1419.01</v>
      </c>
      <c r="G9" s="228">
        <v>1569.55</v>
      </c>
      <c r="H9" s="153">
        <v>1489.15</v>
      </c>
      <c r="I9" s="225">
        <v>1621.62</v>
      </c>
      <c r="J9" s="149">
        <v>1668.24</v>
      </c>
    </row>
    <row r="10" spans="1:10" ht="20" customHeight="1" thickBot="1">
      <c r="A10" s="681" t="s">
        <v>514</v>
      </c>
      <c r="B10" s="153">
        <v>1184.2057139739125</v>
      </c>
      <c r="C10" s="228">
        <v>1225.3599999999999</v>
      </c>
      <c r="D10" s="153">
        <v>1219.58</v>
      </c>
      <c r="E10" s="228">
        <v>1329.14</v>
      </c>
      <c r="F10" s="153">
        <v>1433.5</v>
      </c>
      <c r="G10" s="228">
        <v>1590.79</v>
      </c>
      <c r="H10" s="153">
        <v>1578.63</v>
      </c>
      <c r="I10" s="225">
        <v>1700.18</v>
      </c>
      <c r="J10" s="149">
        <v>1790.74</v>
      </c>
    </row>
    <row r="11" spans="1:10" ht="20" customHeight="1" thickBot="1">
      <c r="A11" s="681" t="s">
        <v>515</v>
      </c>
      <c r="B11" s="153">
        <v>1136.7895750681751</v>
      </c>
      <c r="C11" s="228">
        <v>1181.44</v>
      </c>
      <c r="D11" s="153">
        <v>1263.81</v>
      </c>
      <c r="E11" s="228">
        <v>1289.94</v>
      </c>
      <c r="F11" s="153">
        <v>1396.65</v>
      </c>
      <c r="G11" s="228">
        <v>1431.96</v>
      </c>
      <c r="H11" s="153">
        <v>1455.13</v>
      </c>
      <c r="I11" s="225">
        <v>1567.61</v>
      </c>
      <c r="J11" s="149">
        <v>1619.38</v>
      </c>
    </row>
    <row r="12" spans="1:10" ht="20" customHeight="1" thickBot="1">
      <c r="A12" s="681" t="s">
        <v>516</v>
      </c>
      <c r="B12" s="153">
        <v>1092.8342113620542</v>
      </c>
      <c r="C12" s="228">
        <v>1090.96</v>
      </c>
      <c r="D12" s="153">
        <v>1128.8900000000001</v>
      </c>
      <c r="E12" s="228">
        <v>1207.8499999999999</v>
      </c>
      <c r="F12" s="153">
        <v>1351.49</v>
      </c>
      <c r="G12" s="228">
        <v>1381.42</v>
      </c>
      <c r="H12" s="153">
        <v>1410.12</v>
      </c>
      <c r="I12" s="225">
        <v>1526.73</v>
      </c>
      <c r="J12" s="149">
        <v>1555.61</v>
      </c>
    </row>
    <row r="13" spans="1:10" ht="20" customHeight="1" thickBot="1">
      <c r="A13" s="681" t="s">
        <v>517</v>
      </c>
      <c r="B13" s="153">
        <v>1227.2463426697566</v>
      </c>
      <c r="C13" s="228">
        <v>1304</v>
      </c>
      <c r="D13" s="153">
        <v>1339.52</v>
      </c>
      <c r="E13" s="228">
        <v>1481.14</v>
      </c>
      <c r="F13" s="153">
        <v>1589.34</v>
      </c>
      <c r="G13" s="228">
        <v>1656.5</v>
      </c>
      <c r="H13" s="153">
        <v>1719.94</v>
      </c>
      <c r="I13" s="225">
        <v>1747.83</v>
      </c>
      <c r="J13" s="149">
        <v>1865.56</v>
      </c>
    </row>
    <row r="14" spans="1:10" ht="20" customHeight="1" thickBot="1">
      <c r="A14" s="681" t="s">
        <v>518</v>
      </c>
      <c r="B14" s="153">
        <v>1146.3266629686498</v>
      </c>
      <c r="C14" s="228">
        <v>1159.56</v>
      </c>
      <c r="D14" s="153">
        <v>1229.81</v>
      </c>
      <c r="E14" s="228">
        <v>1290.81</v>
      </c>
      <c r="F14" s="153">
        <v>1395.64</v>
      </c>
      <c r="G14" s="228">
        <v>1563.95</v>
      </c>
      <c r="H14" s="153">
        <v>1651.83</v>
      </c>
      <c r="I14" s="225">
        <v>1695.75</v>
      </c>
      <c r="J14" s="149">
        <v>1773.25</v>
      </c>
    </row>
    <row r="15" spans="1:10" ht="20" customHeight="1" thickBot="1">
      <c r="A15" s="681" t="s">
        <v>519</v>
      </c>
      <c r="B15" s="153">
        <v>1415.2903794584126</v>
      </c>
      <c r="C15" s="228">
        <v>1675.91</v>
      </c>
      <c r="D15" s="153">
        <v>1574.84</v>
      </c>
      <c r="E15" s="228">
        <v>1642.48</v>
      </c>
      <c r="F15" s="153">
        <v>1704.33</v>
      </c>
      <c r="G15" s="228">
        <v>1823.19</v>
      </c>
      <c r="H15" s="153">
        <v>1920.23</v>
      </c>
      <c r="I15" s="225">
        <v>1947.27</v>
      </c>
      <c r="J15" s="149">
        <v>2008.7</v>
      </c>
    </row>
    <row r="16" spans="1:10" ht="20" customHeight="1" thickBot="1">
      <c r="A16" s="681" t="s">
        <v>520</v>
      </c>
      <c r="B16" s="153">
        <v>1431.3195165662285</v>
      </c>
      <c r="C16" s="228">
        <v>1324.05</v>
      </c>
      <c r="D16" s="153">
        <v>1482.28</v>
      </c>
      <c r="E16" s="228">
        <v>1547.69</v>
      </c>
      <c r="F16" s="153">
        <v>1646.33</v>
      </c>
      <c r="G16" s="228">
        <v>1724.47</v>
      </c>
      <c r="H16" s="153">
        <v>1839.3</v>
      </c>
      <c r="I16" s="225">
        <v>2005.14</v>
      </c>
      <c r="J16" s="149">
        <v>2081.4</v>
      </c>
    </row>
    <row r="17" spans="1:10" ht="20" customHeight="1" thickBot="1">
      <c r="A17" s="681" t="s">
        <v>521</v>
      </c>
      <c r="B17" s="153">
        <v>2130.3652186055947</v>
      </c>
      <c r="C17" s="228">
        <v>2231.2399999999998</v>
      </c>
      <c r="D17" s="153">
        <v>2342.92</v>
      </c>
      <c r="E17" s="228">
        <v>2423.2199999999998</v>
      </c>
      <c r="F17" s="153">
        <v>2585.5100000000002</v>
      </c>
      <c r="G17" s="228">
        <v>2736.33</v>
      </c>
      <c r="H17" s="153">
        <v>2755.5</v>
      </c>
      <c r="I17" s="225">
        <v>2805.3</v>
      </c>
      <c r="J17" s="149">
        <v>2883.22</v>
      </c>
    </row>
    <row r="18" spans="1:10" ht="20" customHeight="1" thickBot="1">
      <c r="A18" s="681" t="s">
        <v>522</v>
      </c>
      <c r="B18" s="153">
        <v>1577.9818446320662</v>
      </c>
      <c r="C18" s="228">
        <v>1605.13</v>
      </c>
      <c r="D18" s="153">
        <v>1649.3</v>
      </c>
      <c r="E18" s="228">
        <v>1769.72</v>
      </c>
      <c r="F18" s="153">
        <v>1894.49</v>
      </c>
      <c r="G18" s="228">
        <v>2012</v>
      </c>
      <c r="H18" s="153">
        <v>2085.25</v>
      </c>
      <c r="I18" s="225">
        <v>2167.37</v>
      </c>
      <c r="J18" s="149">
        <v>2197.11</v>
      </c>
    </row>
    <row r="19" spans="1:10" ht="20" customHeight="1" thickBot="1">
      <c r="A19" s="681" t="s">
        <v>523</v>
      </c>
      <c r="B19" s="153">
        <v>1356.1690949674651</v>
      </c>
      <c r="C19" s="228">
        <v>1457.88</v>
      </c>
      <c r="D19" s="153">
        <v>1533.8</v>
      </c>
      <c r="E19" s="228">
        <v>1735.7</v>
      </c>
      <c r="F19" s="153">
        <v>1831.18</v>
      </c>
      <c r="G19" s="228">
        <v>1926.28</v>
      </c>
      <c r="H19" s="153">
        <v>1971.15</v>
      </c>
      <c r="I19" s="225">
        <v>2049.35</v>
      </c>
      <c r="J19" s="149">
        <v>2120.3000000000002</v>
      </c>
    </row>
    <row r="20" spans="1:10" ht="20" customHeight="1" thickBot="1">
      <c r="A20" s="681" t="s">
        <v>2047</v>
      </c>
      <c r="B20" s="153">
        <v>1093.0240406812793</v>
      </c>
      <c r="C20" s="228">
        <v>1156.06</v>
      </c>
      <c r="D20" s="153">
        <v>1200.6099999999999</v>
      </c>
      <c r="E20" s="228">
        <v>1317.39</v>
      </c>
      <c r="F20" s="153">
        <v>1421.13</v>
      </c>
      <c r="G20" s="228">
        <v>1480.04</v>
      </c>
      <c r="H20" s="153">
        <v>1518.84</v>
      </c>
      <c r="I20" s="225">
        <v>1649</v>
      </c>
      <c r="J20" s="149">
        <v>1698.48</v>
      </c>
    </row>
    <row r="21" spans="1:10" ht="20" customHeight="1" thickBot="1">
      <c r="A21" s="681" t="s">
        <v>2048</v>
      </c>
      <c r="B21" s="153">
        <v>937.42437897050047</v>
      </c>
      <c r="C21" s="228">
        <v>977.88</v>
      </c>
      <c r="D21" s="153">
        <v>980.34</v>
      </c>
      <c r="E21" s="228">
        <v>1110.8599999999999</v>
      </c>
      <c r="F21" s="153">
        <v>1222.43</v>
      </c>
      <c r="G21" s="228">
        <v>1303.8599999999999</v>
      </c>
      <c r="H21" s="153">
        <v>1422.39</v>
      </c>
      <c r="I21" s="225">
        <v>1474.35</v>
      </c>
      <c r="J21" s="149">
        <v>1464.82</v>
      </c>
    </row>
    <row r="22" spans="1:10" ht="20" customHeight="1" thickBot="1">
      <c r="A22" s="681" t="s">
        <v>2049</v>
      </c>
      <c r="B22" s="153">
        <v>1137.9708474039455</v>
      </c>
      <c r="C22" s="228">
        <v>1220.83</v>
      </c>
      <c r="D22" s="153">
        <v>1268.57</v>
      </c>
      <c r="E22" s="228">
        <v>1372.38</v>
      </c>
      <c r="F22" s="153">
        <v>1447.46</v>
      </c>
      <c r="G22" s="228">
        <v>1518.72</v>
      </c>
      <c r="H22" s="153">
        <v>1603.49</v>
      </c>
      <c r="I22" s="225">
        <v>1748.34</v>
      </c>
      <c r="J22" s="149">
        <v>1828.82</v>
      </c>
    </row>
    <row r="23" spans="1:10" ht="20" customHeight="1" thickBot="1">
      <c r="A23" s="681" t="s">
        <v>2050</v>
      </c>
      <c r="B23" s="153">
        <v>1090.0492624648118</v>
      </c>
      <c r="C23" s="228">
        <v>1241.78</v>
      </c>
      <c r="D23" s="153">
        <v>1273.6199999999999</v>
      </c>
      <c r="E23" s="228">
        <v>1397.39</v>
      </c>
      <c r="F23" s="153">
        <v>1553.84</v>
      </c>
      <c r="G23" s="228">
        <v>1573.39</v>
      </c>
      <c r="H23" s="153">
        <v>1596.96</v>
      </c>
      <c r="I23" s="225">
        <v>1798.77</v>
      </c>
      <c r="J23" s="149">
        <v>1865.58</v>
      </c>
    </row>
    <row r="24" spans="1:10" ht="20" customHeight="1" thickBot="1">
      <c r="A24" s="681" t="s">
        <v>2051</v>
      </c>
      <c r="B24" s="153">
        <v>1235.8587040964603</v>
      </c>
      <c r="C24" s="228">
        <v>1261.31</v>
      </c>
      <c r="D24" s="153">
        <v>1367.78</v>
      </c>
      <c r="E24" s="228">
        <v>1484.07</v>
      </c>
      <c r="F24" s="153">
        <v>1600.06</v>
      </c>
      <c r="G24" s="228">
        <v>1688.86</v>
      </c>
      <c r="H24" s="153">
        <v>1759.97</v>
      </c>
      <c r="I24" s="225">
        <v>1853.89</v>
      </c>
      <c r="J24" s="149">
        <v>1912.21</v>
      </c>
    </row>
    <row r="25" spans="1:10" ht="20" customHeight="1" thickBot="1">
      <c r="A25" s="681" t="s">
        <v>2052</v>
      </c>
      <c r="B25" s="153">
        <v>1183.2025693703608</v>
      </c>
      <c r="C25" s="228">
        <v>1446.55</v>
      </c>
      <c r="D25" s="153">
        <v>1489.6</v>
      </c>
      <c r="E25" s="228">
        <v>1562.52</v>
      </c>
      <c r="F25" s="153">
        <v>1631.21</v>
      </c>
      <c r="G25" s="228">
        <v>1694.01</v>
      </c>
      <c r="H25" s="153">
        <v>1826.69</v>
      </c>
      <c r="I25" s="225">
        <v>1914.58</v>
      </c>
      <c r="J25" s="149">
        <v>1906.85</v>
      </c>
    </row>
    <row r="26" spans="1:10" ht="20" customHeight="1" thickBot="1">
      <c r="A26" s="681" t="s">
        <v>2053</v>
      </c>
      <c r="B26" s="153">
        <v>1908.365144989446</v>
      </c>
      <c r="C26" s="228">
        <v>1954.92</v>
      </c>
      <c r="D26" s="153">
        <v>1985.34</v>
      </c>
      <c r="E26" s="228">
        <v>2047.88</v>
      </c>
      <c r="F26" s="153">
        <v>2244.37</v>
      </c>
      <c r="G26" s="228">
        <v>2358.9899999999998</v>
      </c>
      <c r="H26" s="153">
        <v>2511</v>
      </c>
      <c r="I26" s="225">
        <v>2651.52</v>
      </c>
      <c r="J26" s="149">
        <v>2632.57</v>
      </c>
    </row>
    <row r="27" spans="1:10" ht="20" customHeight="1" thickBot="1">
      <c r="A27" s="681" t="s">
        <v>2054</v>
      </c>
      <c r="B27" s="153">
        <v>1892.6037074686208</v>
      </c>
      <c r="C27" s="228">
        <v>2044.73</v>
      </c>
      <c r="D27" s="153">
        <v>2059.25</v>
      </c>
      <c r="E27" s="228">
        <v>2097.46</v>
      </c>
      <c r="F27" s="153">
        <v>2268.5100000000002</v>
      </c>
      <c r="G27" s="228">
        <v>2422.64</v>
      </c>
      <c r="H27" s="153">
        <v>2479.8000000000002</v>
      </c>
      <c r="I27" s="225">
        <v>2575.5300000000002</v>
      </c>
      <c r="J27" s="149">
        <v>2616.02</v>
      </c>
    </row>
    <row r="28" spans="1:10" ht="20" customHeight="1" thickBot="1">
      <c r="A28" s="681" t="s">
        <v>2055</v>
      </c>
      <c r="B28" s="153">
        <v>1297.6860350834741</v>
      </c>
      <c r="C28" s="228">
        <v>1415.95</v>
      </c>
      <c r="D28" s="153">
        <v>1391.67</v>
      </c>
      <c r="E28" s="228">
        <v>1477.29</v>
      </c>
      <c r="F28" s="153">
        <v>1625.44</v>
      </c>
      <c r="G28" s="228">
        <v>1716.24</v>
      </c>
      <c r="H28" s="153">
        <v>1795.24</v>
      </c>
      <c r="I28" s="225">
        <v>1906.24</v>
      </c>
      <c r="J28" s="149">
        <v>1912.21</v>
      </c>
    </row>
    <row r="29" spans="1:10" ht="20" customHeight="1" thickBot="1">
      <c r="A29" s="681" t="s">
        <v>2056</v>
      </c>
      <c r="B29" s="153">
        <v>1799.8782022959908</v>
      </c>
      <c r="C29" s="228">
        <v>1793.44</v>
      </c>
      <c r="D29" s="153">
        <v>2003.05</v>
      </c>
      <c r="E29" s="228">
        <v>1859.86</v>
      </c>
      <c r="F29" s="153">
        <v>2231.21</v>
      </c>
      <c r="G29" s="228">
        <v>2345.88</v>
      </c>
      <c r="H29" s="153">
        <v>2370.9899999999998</v>
      </c>
      <c r="I29" s="225">
        <v>2463.52</v>
      </c>
      <c r="J29" s="149">
        <v>2659.11</v>
      </c>
    </row>
    <row r="30" spans="1:10" ht="20" customHeight="1" thickBot="1">
      <c r="A30" s="681" t="s">
        <v>2057</v>
      </c>
      <c r="B30" s="153">
        <v>2223.6590110457428</v>
      </c>
      <c r="C30" s="228">
        <v>2354.1799999999998</v>
      </c>
      <c r="D30" s="153">
        <v>2570.25</v>
      </c>
      <c r="E30" s="228">
        <v>2550.08</v>
      </c>
      <c r="F30" s="153">
        <v>2671.53</v>
      </c>
      <c r="G30" s="228">
        <v>2915.74</v>
      </c>
      <c r="H30" s="153">
        <v>3015.51</v>
      </c>
      <c r="I30" s="225">
        <v>2871.83</v>
      </c>
      <c r="J30" s="149">
        <v>2997.66</v>
      </c>
    </row>
    <row r="31" spans="1:10" ht="20" customHeight="1" thickBot="1">
      <c r="A31" s="681" t="s">
        <v>2058</v>
      </c>
      <c r="B31" s="153">
        <v>1667.2287091725777</v>
      </c>
      <c r="C31" s="228">
        <v>1743.78</v>
      </c>
      <c r="D31" s="153">
        <v>1825.7</v>
      </c>
      <c r="E31" s="228">
        <v>2010.66</v>
      </c>
      <c r="F31" s="153">
        <v>2029.99</v>
      </c>
      <c r="G31" s="228">
        <v>2178.44</v>
      </c>
      <c r="H31" s="153">
        <v>2254.27</v>
      </c>
      <c r="I31" s="225">
        <v>2091.5700000000002</v>
      </c>
      <c r="J31" s="149">
        <v>2253.96</v>
      </c>
    </row>
    <row r="32" spans="1:10" ht="30" customHeight="1" thickBot="1">
      <c r="A32" s="187" t="s">
        <v>2059</v>
      </c>
      <c r="B32" s="392">
        <v>1499.0281923645668</v>
      </c>
      <c r="C32" s="393">
        <v>1557.27</v>
      </c>
      <c r="D32" s="392">
        <v>1647.56</v>
      </c>
      <c r="E32" s="393">
        <v>1717.23</v>
      </c>
      <c r="F32" s="392">
        <v>1846.79</v>
      </c>
      <c r="G32" s="393">
        <v>1946.82</v>
      </c>
      <c r="H32" s="392">
        <v>2014.31</v>
      </c>
      <c r="I32" s="227">
        <v>2108.92</v>
      </c>
      <c r="J32" s="483">
        <v>2211.54</v>
      </c>
    </row>
    <row r="33" spans="1:9" ht="20" customHeight="1">
      <c r="A33" s="155" t="s">
        <v>1756</v>
      </c>
      <c r="B33" s="489"/>
      <c r="C33" s="489"/>
      <c r="D33" s="489"/>
      <c r="E33" s="489"/>
      <c r="F33" s="489"/>
      <c r="G33" s="489"/>
      <c r="H33" s="489"/>
      <c r="I33" s="490"/>
    </row>
    <row r="34" spans="1:9" ht="15.75" customHeight="1">
      <c r="A34" s="4"/>
      <c r="B34" s="491"/>
      <c r="C34" s="491"/>
      <c r="D34" s="491"/>
      <c r="E34" s="491"/>
      <c r="F34" s="491"/>
      <c r="G34" s="491"/>
      <c r="H34" s="491"/>
      <c r="I34" s="492"/>
    </row>
    <row r="35" spans="1:9" ht="14.25" customHeight="1">
      <c r="A35" s="4" t="s">
        <v>2003</v>
      </c>
      <c r="B35" s="491"/>
      <c r="C35" s="491"/>
      <c r="D35" s="491"/>
      <c r="E35" s="491"/>
      <c r="F35" s="491"/>
      <c r="G35" s="491"/>
      <c r="H35" s="491"/>
      <c r="I35" s="492"/>
    </row>
    <row r="36" spans="1:9" ht="13.5" customHeight="1">
      <c r="A36" s="4"/>
      <c r="B36" s="491"/>
      <c r="C36" s="491"/>
      <c r="D36" s="491"/>
      <c r="E36" s="491"/>
      <c r="F36" s="491"/>
      <c r="G36" s="491"/>
      <c r="H36" s="491"/>
      <c r="I36" s="492"/>
    </row>
    <row r="37" spans="1:9" ht="12.75" customHeight="1">
      <c r="A37" s="4" t="s">
        <v>2004</v>
      </c>
      <c r="B37" s="491"/>
      <c r="C37" s="491"/>
      <c r="D37" s="491"/>
      <c r="E37" s="491"/>
      <c r="F37" s="491"/>
      <c r="G37" s="491"/>
      <c r="H37" s="491"/>
      <c r="I37" s="492"/>
    </row>
    <row r="38" spans="1:9" ht="12.75" customHeight="1">
      <c r="A38" s="4" t="s">
        <v>2006</v>
      </c>
      <c r="B38" s="491"/>
      <c r="C38" s="491"/>
      <c r="D38" s="491"/>
      <c r="E38" s="491"/>
      <c r="F38" s="491"/>
      <c r="G38" s="491"/>
      <c r="H38" s="491"/>
      <c r="I38" s="492"/>
    </row>
    <row r="40" spans="1:9">
      <c r="A40" s="4"/>
    </row>
    <row r="41" spans="1:9">
      <c r="A41" s="4" t="s">
        <v>104</v>
      </c>
    </row>
  </sheetData>
  <mergeCells count="1">
    <mergeCell ref="A2:I2"/>
  </mergeCells>
  <phoneticPr fontId="0" type="noConversion"/>
  <pageMargins left="0.51" right="0.49" top="0.99" bottom="0.49" header="0.56000000000000005" footer="0.4921259845"/>
  <pageSetup paperSize="9" scale="80" orientation="portrait" horizontalDpi="4294967292" verticalDpi="4294967292"/>
  <headerFooter alignWithMargins="0">
    <oddHeader>&amp;L&amp;"Arial,Gras"Versicherte und Finanzen in der OKP</oddHead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F2141-57DD-0C42-B0AA-52CCD5AED483}">
  <dimension ref="A1:B18"/>
  <sheetViews>
    <sheetView workbookViewId="0">
      <selection activeCell="B13" sqref="B13"/>
    </sheetView>
  </sheetViews>
  <sheetFormatPr baseColWidth="10" defaultColWidth="11.3984375" defaultRowHeight="13"/>
  <cols>
    <col min="1" max="1" width="5.59765625" style="124" customWidth="1"/>
    <col min="2" max="16384" width="11.3984375" style="124"/>
  </cols>
  <sheetData>
    <row r="1" spans="1:2" ht="16">
      <c r="A1" s="123" t="s">
        <v>428</v>
      </c>
    </row>
    <row r="2" spans="1:2" ht="16">
      <c r="A2" s="123"/>
    </row>
    <row r="3" spans="1:2" s="126" customFormat="1">
      <c r="A3" s="125">
        <v>2.0099999999999998</v>
      </c>
      <c r="B3" s="125" t="s">
        <v>429</v>
      </c>
    </row>
    <row r="4" spans="1:2" s="126" customFormat="1">
      <c r="A4" s="125">
        <v>2.02</v>
      </c>
      <c r="B4" s="125" t="s">
        <v>430</v>
      </c>
    </row>
    <row r="5" spans="1:2" s="126" customFormat="1">
      <c r="A5" s="125">
        <v>2.0299999999999998</v>
      </c>
      <c r="B5" s="125" t="s">
        <v>431</v>
      </c>
    </row>
    <row r="6" spans="1:2" s="126" customFormat="1">
      <c r="A6" s="125">
        <v>2.04</v>
      </c>
      <c r="B6" s="125" t="s">
        <v>432</v>
      </c>
    </row>
    <row r="7" spans="1:2" s="126" customFormat="1">
      <c r="A7" s="125">
        <v>2.0499999999999998</v>
      </c>
      <c r="B7" s="125" t="s">
        <v>433</v>
      </c>
    </row>
    <row r="8" spans="1:2" s="126" customFormat="1">
      <c r="A8" s="125">
        <v>2.06</v>
      </c>
      <c r="B8" s="125" t="s">
        <v>436</v>
      </c>
    </row>
    <row r="9" spans="1:2" s="126" customFormat="1">
      <c r="A9" s="125">
        <v>2.0699999999999998</v>
      </c>
      <c r="B9" s="125" t="s">
        <v>437</v>
      </c>
    </row>
    <row r="10" spans="1:2" s="126" customFormat="1">
      <c r="A10" s="125">
        <v>2.08</v>
      </c>
      <c r="B10" s="125" t="s">
        <v>438</v>
      </c>
    </row>
    <row r="11" spans="1:2" s="126" customFormat="1">
      <c r="A11" s="125">
        <v>2.09</v>
      </c>
      <c r="B11" s="125" t="s">
        <v>439</v>
      </c>
    </row>
    <row r="12" spans="1:2">
      <c r="A12" s="127">
        <v>2.1</v>
      </c>
      <c r="B12" s="128" t="s">
        <v>440</v>
      </c>
    </row>
    <row r="13" spans="1:2">
      <c r="A13" s="127">
        <v>2.11</v>
      </c>
      <c r="B13" s="128" t="s">
        <v>441</v>
      </c>
    </row>
    <row r="14" spans="1:2">
      <c r="A14" s="125">
        <v>2.12</v>
      </c>
      <c r="B14" s="125" t="s">
        <v>442</v>
      </c>
    </row>
    <row r="15" spans="1:2">
      <c r="A15" s="125">
        <v>2.13</v>
      </c>
      <c r="B15" s="128" t="s">
        <v>443</v>
      </c>
    </row>
    <row r="18" spans="1:1">
      <c r="A18" s="129" t="s">
        <v>104</v>
      </c>
    </row>
  </sheetData>
  <phoneticPr fontId="39" type="noConversion"/>
  <pageMargins left="0.46" right="0.35" top="0.88" bottom="0.984251969" header="0.4921259845" footer="0.4921259845"/>
  <pageSetup paperSize="9" orientation="portrait"/>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C92A1-2037-DD4B-B574-8AE32ACC7FC5}">
  <sheetPr>
    <pageSetUpPr fitToPage="1"/>
  </sheetPr>
  <dimension ref="A1:H51"/>
  <sheetViews>
    <sheetView zoomScale="75" workbookViewId="0">
      <selection activeCell="I10" sqref="I10"/>
    </sheetView>
  </sheetViews>
  <sheetFormatPr baseColWidth="10" defaultColWidth="11.3984375" defaultRowHeight="13"/>
  <cols>
    <col min="1" max="2" width="14.796875" style="2" customWidth="1"/>
    <col min="3" max="3" width="15.796875" style="2" customWidth="1"/>
    <col min="4" max="4" width="16" style="2" customWidth="1"/>
    <col min="5" max="6" width="15.3984375" style="2" customWidth="1"/>
    <col min="7" max="7" width="16.796875" style="2" customWidth="1"/>
    <col min="8" max="8" width="12.19921875" style="2" customWidth="1"/>
    <col min="9" max="16384" width="11.3984375" style="2"/>
  </cols>
  <sheetData>
    <row r="1" spans="1:8" s="1" customFormat="1" ht="14" customHeight="1"/>
    <row r="2" spans="1:8" s="1" customFormat="1" ht="39" customHeight="1">
      <c r="A2" s="1715" t="s">
        <v>2111</v>
      </c>
      <c r="B2" s="1716"/>
      <c r="C2" s="1716"/>
      <c r="D2" s="1716"/>
      <c r="E2" s="1716"/>
      <c r="F2" s="178">
        <v>2004</v>
      </c>
    </row>
    <row r="3" spans="1:8" ht="27" customHeight="1">
      <c r="A3" s="139" t="s">
        <v>503</v>
      </c>
      <c r="B3" s="164" t="s">
        <v>504</v>
      </c>
      <c r="C3" s="141" t="s">
        <v>505</v>
      </c>
      <c r="D3" s="164" t="s">
        <v>506</v>
      </c>
      <c r="E3" s="141" t="s">
        <v>652</v>
      </c>
      <c r="F3" s="164" t="s">
        <v>451</v>
      </c>
    </row>
    <row r="4" spans="1:8" ht="15" customHeight="1">
      <c r="A4" s="142"/>
      <c r="B4" s="166"/>
      <c r="C4" s="144" t="s">
        <v>506</v>
      </c>
      <c r="D4" s="179"/>
      <c r="E4" s="144"/>
      <c r="F4" s="166" t="s">
        <v>486</v>
      </c>
    </row>
    <row r="5" spans="1:8" ht="15" customHeight="1">
      <c r="A5" s="142"/>
      <c r="B5" s="166" t="s">
        <v>507</v>
      </c>
      <c r="C5" s="144" t="s">
        <v>508</v>
      </c>
      <c r="D5" s="166" t="s">
        <v>509</v>
      </c>
      <c r="E5" s="144"/>
      <c r="F5" s="166" t="s">
        <v>454</v>
      </c>
    </row>
    <row r="6" spans="1:8" ht="24" customHeight="1">
      <c r="A6" s="145"/>
      <c r="B6" s="180"/>
      <c r="C6" s="145"/>
      <c r="D6" s="180"/>
      <c r="E6" s="147"/>
      <c r="F6" s="168"/>
      <c r="H6" s="181"/>
    </row>
    <row r="7" spans="1:8" ht="30" customHeight="1" thickBot="1">
      <c r="A7" s="148" t="s">
        <v>510</v>
      </c>
      <c r="B7" s="182">
        <v>241974</v>
      </c>
      <c r="C7" s="183">
        <v>101022</v>
      </c>
      <c r="D7" s="182">
        <v>923168</v>
      </c>
      <c r="E7" s="183">
        <v>1266164</v>
      </c>
      <c r="F7" s="184">
        <v>6.1835319977169107E-3</v>
      </c>
      <c r="H7" s="185"/>
    </row>
    <row r="8" spans="1:8" ht="20" customHeight="1" thickBot="1">
      <c r="A8" s="152" t="s">
        <v>511</v>
      </c>
      <c r="B8" s="182">
        <v>189295</v>
      </c>
      <c r="C8" s="183">
        <v>79201</v>
      </c>
      <c r="D8" s="182">
        <v>689866</v>
      </c>
      <c r="E8" s="183">
        <v>958362</v>
      </c>
      <c r="F8" s="184">
        <v>1.1173911734987389E-3</v>
      </c>
      <c r="H8" s="185"/>
    </row>
    <row r="9" spans="1:8" ht="20" customHeight="1" thickBot="1">
      <c r="A9" s="152" t="s">
        <v>512</v>
      </c>
      <c r="B9" s="182">
        <v>79553</v>
      </c>
      <c r="C9" s="183">
        <v>32641</v>
      </c>
      <c r="D9" s="182">
        <v>245656</v>
      </c>
      <c r="E9" s="183">
        <v>357850</v>
      </c>
      <c r="F9" s="184">
        <v>1.6411688319722415E-3</v>
      </c>
      <c r="H9" s="185"/>
    </row>
    <row r="10" spans="1:8" ht="20" customHeight="1" thickBot="1">
      <c r="A10" s="152" t="s">
        <v>513</v>
      </c>
      <c r="B10" s="182">
        <v>7800</v>
      </c>
      <c r="C10" s="183">
        <v>3242</v>
      </c>
      <c r="D10" s="182">
        <v>24329</v>
      </c>
      <c r="E10" s="183">
        <v>35371</v>
      </c>
      <c r="F10" s="184">
        <v>-1.1273358613670093E-3</v>
      </c>
      <c r="H10" s="185"/>
    </row>
    <row r="11" spans="1:8" ht="20" customHeight="1" thickBot="1">
      <c r="A11" s="152" t="s">
        <v>514</v>
      </c>
      <c r="B11" s="182">
        <v>30581</v>
      </c>
      <c r="C11" s="183">
        <v>11950</v>
      </c>
      <c r="D11" s="182">
        <v>93749</v>
      </c>
      <c r="E11" s="183">
        <v>136280</v>
      </c>
      <c r="F11" s="184">
        <v>1.1406900543998575E-2</v>
      </c>
      <c r="H11" s="185"/>
    </row>
    <row r="12" spans="1:8" ht="20" customHeight="1" thickBot="1">
      <c r="A12" s="152" t="s">
        <v>515</v>
      </c>
      <c r="B12" s="182">
        <v>7840</v>
      </c>
      <c r="C12" s="183">
        <v>3200</v>
      </c>
      <c r="D12" s="182">
        <v>22880</v>
      </c>
      <c r="E12" s="183">
        <v>33920</v>
      </c>
      <c r="F12" s="184">
        <v>3.2484308715395914E-3</v>
      </c>
      <c r="H12" s="185"/>
    </row>
    <row r="13" spans="1:8" ht="20" customHeight="1" thickBot="1">
      <c r="A13" s="152" t="s">
        <v>516</v>
      </c>
      <c r="B13" s="182">
        <v>8220</v>
      </c>
      <c r="C13" s="183">
        <v>3313</v>
      </c>
      <c r="D13" s="182">
        <v>27528</v>
      </c>
      <c r="E13" s="183">
        <v>39061</v>
      </c>
      <c r="F13" s="184">
        <v>7.8481650847088951E-3</v>
      </c>
      <c r="H13" s="185"/>
    </row>
    <row r="14" spans="1:8" ht="20" customHeight="1" thickBot="1">
      <c r="A14" s="152" t="s">
        <v>517</v>
      </c>
      <c r="B14" s="182">
        <v>8398</v>
      </c>
      <c r="C14" s="183">
        <v>3702</v>
      </c>
      <c r="D14" s="182">
        <v>26662</v>
      </c>
      <c r="E14" s="183">
        <v>38762</v>
      </c>
      <c r="F14" s="184">
        <v>-2.3036433599732315E-3</v>
      </c>
      <c r="H14" s="185"/>
    </row>
    <row r="15" spans="1:8" ht="20" customHeight="1" thickBot="1">
      <c r="A15" s="152" t="s">
        <v>518</v>
      </c>
      <c r="B15" s="182">
        <v>21272</v>
      </c>
      <c r="C15" s="183">
        <v>8259</v>
      </c>
      <c r="D15" s="182">
        <v>74255</v>
      </c>
      <c r="E15" s="183">
        <v>103786</v>
      </c>
      <c r="F15" s="184">
        <v>1.5420029680093691E-2</v>
      </c>
      <c r="H15" s="185"/>
    </row>
    <row r="16" spans="1:8" ht="20" customHeight="1" thickBot="1">
      <c r="A16" s="152" t="s">
        <v>519</v>
      </c>
      <c r="B16" s="182">
        <v>59275</v>
      </c>
      <c r="C16" s="183">
        <v>21582</v>
      </c>
      <c r="D16" s="182">
        <v>169558</v>
      </c>
      <c r="E16" s="183">
        <v>250415</v>
      </c>
      <c r="F16" s="184">
        <v>1.261139220671563E-2</v>
      </c>
      <c r="H16" s="185"/>
    </row>
    <row r="17" spans="1:8" ht="20" customHeight="1" thickBot="1">
      <c r="A17" s="152" t="s">
        <v>520</v>
      </c>
      <c r="B17" s="182">
        <v>51605</v>
      </c>
      <c r="C17" s="183">
        <v>21169</v>
      </c>
      <c r="D17" s="182">
        <v>176629</v>
      </c>
      <c r="E17" s="183">
        <v>249403</v>
      </c>
      <c r="F17" s="184">
        <v>2.1967293337485641E-3</v>
      </c>
      <c r="H17" s="185"/>
    </row>
    <row r="18" spans="1:8" ht="20" customHeight="1" thickBot="1">
      <c r="A18" s="152" t="s">
        <v>521</v>
      </c>
      <c r="B18" s="182">
        <v>29374</v>
      </c>
      <c r="C18" s="183">
        <v>13826</v>
      </c>
      <c r="D18" s="182">
        <v>140121</v>
      </c>
      <c r="E18" s="183">
        <v>183321</v>
      </c>
      <c r="F18" s="184">
        <v>-2.9573368467854769E-3</v>
      </c>
      <c r="H18" s="185"/>
    </row>
    <row r="19" spans="1:8" ht="20" customHeight="1" thickBot="1">
      <c r="A19" s="152" t="s">
        <v>522</v>
      </c>
      <c r="B19" s="182">
        <v>51664</v>
      </c>
      <c r="C19" s="183">
        <v>20949</v>
      </c>
      <c r="D19" s="182">
        <v>193236</v>
      </c>
      <c r="E19" s="183">
        <v>265849</v>
      </c>
      <c r="F19" s="184">
        <v>2.4749175759647365E-3</v>
      </c>
      <c r="H19" s="185"/>
    </row>
    <row r="20" spans="1:8" ht="20" customHeight="1" thickBot="1">
      <c r="A20" s="152" t="s">
        <v>523</v>
      </c>
      <c r="B20" s="182">
        <v>15042</v>
      </c>
      <c r="C20" s="183">
        <v>6462</v>
      </c>
      <c r="D20" s="182">
        <v>53868</v>
      </c>
      <c r="E20" s="183">
        <v>75372</v>
      </c>
      <c r="F20" s="184">
        <v>-1.4698258548207033E-4</v>
      </c>
      <c r="H20" s="185"/>
    </row>
    <row r="21" spans="1:8" ht="20" customHeight="1" thickBot="1">
      <c r="A21" s="152" t="s">
        <v>2047</v>
      </c>
      <c r="B21" s="182">
        <v>12078</v>
      </c>
      <c r="C21" s="183">
        <v>4606</v>
      </c>
      <c r="D21" s="182">
        <v>36903</v>
      </c>
      <c r="E21" s="183">
        <v>53587</v>
      </c>
      <c r="F21" s="184">
        <v>-2.7418225927447453E-3</v>
      </c>
      <c r="H21" s="185"/>
    </row>
    <row r="22" spans="1:8" ht="20" customHeight="1" thickBot="1">
      <c r="A22" s="152" t="s">
        <v>2048</v>
      </c>
      <c r="B22" s="182">
        <v>3831</v>
      </c>
      <c r="C22" s="183">
        <v>1465</v>
      </c>
      <c r="D22" s="182">
        <v>9700</v>
      </c>
      <c r="E22" s="183">
        <v>14996</v>
      </c>
      <c r="F22" s="184">
        <v>-4.3859122897527809E-4</v>
      </c>
      <c r="H22" s="185"/>
    </row>
    <row r="23" spans="1:8" ht="20" customHeight="1" thickBot="1">
      <c r="A23" s="152" t="s">
        <v>2049</v>
      </c>
      <c r="B23" s="182">
        <v>104685</v>
      </c>
      <c r="C23" s="183">
        <v>43270</v>
      </c>
      <c r="D23" s="182">
        <v>313938</v>
      </c>
      <c r="E23" s="183">
        <v>461893</v>
      </c>
      <c r="F23" s="184">
        <v>2.6522823210317595E-3</v>
      </c>
      <c r="H23" s="185"/>
    </row>
    <row r="24" spans="1:8" ht="20" customHeight="1" thickBot="1">
      <c r="A24" s="152" t="s">
        <v>2050</v>
      </c>
      <c r="B24" s="182">
        <v>38491</v>
      </c>
      <c r="C24" s="183">
        <v>18342</v>
      </c>
      <c r="D24" s="182">
        <v>137267</v>
      </c>
      <c r="E24" s="183">
        <v>194100</v>
      </c>
      <c r="F24" s="184">
        <v>3.9373896852027855E-3</v>
      </c>
      <c r="H24" s="185"/>
    </row>
    <row r="25" spans="1:8" ht="20" customHeight="1" thickBot="1">
      <c r="A25" s="152" t="s">
        <v>2051</v>
      </c>
      <c r="B25" s="182">
        <v>122076</v>
      </c>
      <c r="C25" s="183">
        <v>49961</v>
      </c>
      <c r="D25" s="182">
        <v>397857</v>
      </c>
      <c r="E25" s="183">
        <v>569894</v>
      </c>
      <c r="F25" s="184">
        <v>6.4739793537323511E-3</v>
      </c>
      <c r="H25" s="185"/>
    </row>
    <row r="26" spans="1:8" ht="20" customHeight="1" thickBot="1">
      <c r="A26" s="152" t="s">
        <v>2052</v>
      </c>
      <c r="B26" s="182">
        <v>54271</v>
      </c>
      <c r="C26" s="183">
        <v>21083</v>
      </c>
      <c r="D26" s="182">
        <v>158784</v>
      </c>
      <c r="E26" s="183">
        <v>234138</v>
      </c>
      <c r="F26" s="184">
        <v>5.7690242488025942E-3</v>
      </c>
      <c r="H26" s="185"/>
    </row>
    <row r="27" spans="1:8" ht="20" customHeight="1" thickBot="1">
      <c r="A27" s="152" t="s">
        <v>2053</v>
      </c>
      <c r="B27" s="182">
        <v>57641</v>
      </c>
      <c r="C27" s="183">
        <v>22886</v>
      </c>
      <c r="D27" s="182">
        <v>235739</v>
      </c>
      <c r="E27" s="183">
        <v>316266</v>
      </c>
      <c r="F27" s="184">
        <v>2.7918214375740164E-3</v>
      </c>
      <c r="H27" s="185"/>
    </row>
    <row r="28" spans="1:8" ht="20" customHeight="1" thickBot="1">
      <c r="A28" s="152" t="s">
        <v>2054</v>
      </c>
      <c r="B28" s="182">
        <v>141130</v>
      </c>
      <c r="C28" s="183">
        <v>50467</v>
      </c>
      <c r="D28" s="182">
        <v>450229</v>
      </c>
      <c r="E28" s="183">
        <v>641826</v>
      </c>
      <c r="F28" s="184">
        <v>6.547468756420048E-3</v>
      </c>
      <c r="H28" s="185"/>
    </row>
    <row r="29" spans="1:8" ht="20" customHeight="1" thickBot="1">
      <c r="A29" s="152" t="s">
        <v>2055</v>
      </c>
      <c r="B29" s="182">
        <v>62219</v>
      </c>
      <c r="C29" s="183">
        <v>26089</v>
      </c>
      <c r="D29" s="182">
        <v>204855</v>
      </c>
      <c r="E29" s="183">
        <v>293163</v>
      </c>
      <c r="F29" s="184">
        <v>9.0717082745580997E-3</v>
      </c>
      <c r="H29" s="185"/>
    </row>
    <row r="30" spans="1:8" ht="20" customHeight="1" thickBot="1">
      <c r="A30" s="152" t="s">
        <v>2056</v>
      </c>
      <c r="B30" s="182">
        <v>36221</v>
      </c>
      <c r="C30" s="183">
        <v>13436</v>
      </c>
      <c r="D30" s="182">
        <v>119286</v>
      </c>
      <c r="E30" s="183">
        <v>168943</v>
      </c>
      <c r="F30" s="184">
        <v>-3.1074604205725715E-5</v>
      </c>
      <c r="H30" s="185"/>
    </row>
    <row r="31" spans="1:8" ht="20" customHeight="1" thickBot="1">
      <c r="A31" s="152" t="s">
        <v>2057</v>
      </c>
      <c r="B31" s="182">
        <v>85284</v>
      </c>
      <c r="C31" s="183">
        <v>30680</v>
      </c>
      <c r="D31" s="182">
        <v>283379</v>
      </c>
      <c r="E31" s="183">
        <v>399343</v>
      </c>
      <c r="F31" s="184">
        <v>7.6253355487770277E-3</v>
      </c>
      <c r="H31" s="185"/>
    </row>
    <row r="32" spans="1:8" ht="20" customHeight="1" thickBot="1">
      <c r="A32" s="186" t="s">
        <v>2058</v>
      </c>
      <c r="B32" s="182">
        <v>15872</v>
      </c>
      <c r="C32" s="183">
        <v>5881</v>
      </c>
      <c r="D32" s="182">
        <v>47914</v>
      </c>
      <c r="E32" s="183">
        <v>69667</v>
      </c>
      <c r="F32" s="184">
        <v>-2.6817235237959012E-3</v>
      </c>
      <c r="H32" s="185"/>
    </row>
    <row r="33" spans="1:8" ht="30" customHeight="1" thickBot="1">
      <c r="A33" s="187" t="s">
        <v>2059</v>
      </c>
      <c r="B33" s="188">
        <v>1535692</v>
      </c>
      <c r="C33" s="189">
        <v>618684</v>
      </c>
      <c r="D33" s="188">
        <v>5257356</v>
      </c>
      <c r="E33" s="189">
        <v>7411732</v>
      </c>
      <c r="F33" s="190">
        <v>4.6030605878048369E-3</v>
      </c>
      <c r="H33" s="185"/>
    </row>
    <row r="34" spans="1:8" ht="20" customHeight="1">
      <c r="A34" s="155" t="s">
        <v>2132</v>
      </c>
      <c r="B34" s="155"/>
      <c r="C34" s="155"/>
      <c r="D34" s="155"/>
      <c r="E34" s="155"/>
      <c r="F34" s="155"/>
      <c r="H34" s="181"/>
    </row>
    <row r="35" spans="1:8" ht="11.25" customHeight="1">
      <c r="A35" s="4"/>
      <c r="B35" s="4"/>
      <c r="C35" s="4"/>
      <c r="D35" s="4"/>
      <c r="E35" s="4"/>
      <c r="F35" s="4"/>
      <c r="H35" s="181"/>
    </row>
    <row r="36" spans="1:8" ht="14.25" customHeight="1">
      <c r="A36" s="4" t="s">
        <v>471</v>
      </c>
      <c r="B36" s="4"/>
      <c r="C36" s="4"/>
      <c r="D36" s="4"/>
      <c r="E36" s="4"/>
      <c r="F36" s="4"/>
      <c r="H36" s="181"/>
    </row>
    <row r="37" spans="1:8" ht="13.5" customHeight="1">
      <c r="A37" s="4"/>
      <c r="B37" s="4"/>
      <c r="C37" s="4"/>
      <c r="D37" s="4"/>
      <c r="E37" s="4"/>
      <c r="F37" s="4"/>
      <c r="H37" s="181"/>
    </row>
    <row r="38" spans="1:8" ht="12" customHeight="1">
      <c r="A38" s="4" t="s">
        <v>2074</v>
      </c>
    </row>
    <row r="39" spans="1:8" ht="12" customHeight="1">
      <c r="A39" s="2" t="s">
        <v>2080</v>
      </c>
    </row>
    <row r="40" spans="1:8" ht="12" customHeight="1">
      <c r="A40" s="2" t="s">
        <v>2081</v>
      </c>
    </row>
    <row r="41" spans="1:8" ht="12" customHeight="1">
      <c r="A41" s="2" t="s">
        <v>2082</v>
      </c>
    </row>
    <row r="42" spans="1:8" ht="12" customHeight="1">
      <c r="A42" s="2" t="s">
        <v>2083</v>
      </c>
    </row>
    <row r="43" spans="1:8" ht="12" customHeight="1">
      <c r="A43" s="2" t="s">
        <v>2084</v>
      </c>
    </row>
    <row r="44" spans="1:8" ht="12" customHeight="1">
      <c r="A44" s="2" t="s">
        <v>2085</v>
      </c>
    </row>
    <row r="45" spans="1:8" ht="12" customHeight="1">
      <c r="A45" s="2" t="s">
        <v>2086</v>
      </c>
    </row>
    <row r="46" spans="1:8" ht="12" customHeight="1">
      <c r="A46" s="2" t="s">
        <v>2087</v>
      </c>
    </row>
    <row r="47" spans="1:8" ht="12" customHeight="1">
      <c r="A47" s="5" t="s">
        <v>2088</v>
      </c>
    </row>
    <row r="48" spans="1:8" ht="12" customHeight="1">
      <c r="A48" s="5" t="s">
        <v>2089</v>
      </c>
    </row>
    <row r="49" spans="1:1" ht="12" customHeight="1"/>
    <row r="50" spans="1:1" ht="12" customHeight="1"/>
    <row r="51" spans="1:1" ht="12" customHeight="1">
      <c r="A51" s="4" t="s">
        <v>104</v>
      </c>
    </row>
  </sheetData>
  <mergeCells count="1">
    <mergeCell ref="A2:E2"/>
  </mergeCells>
  <phoneticPr fontId="0" type="noConversion"/>
  <pageMargins left="0.65" right="0.5" top="0.87" bottom="0.49" header="0.51" footer="0.4921259845"/>
  <pageSetup paperSize="9" scale="83" orientation="portrait"/>
  <headerFooter alignWithMargins="0">
    <oddHeader>&amp;L&amp;"Arial,Bold"Leistungen und Kostenbeteiligung in der OKP</oddHead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AEBE2-E00D-F94D-9072-32CBB7EB3B4E}">
  <dimension ref="A1:K41"/>
  <sheetViews>
    <sheetView topLeftCell="A20" zoomScale="75" workbookViewId="0">
      <selection activeCell="A29" sqref="A29"/>
    </sheetView>
  </sheetViews>
  <sheetFormatPr baseColWidth="10" defaultColWidth="11.3984375" defaultRowHeight="13"/>
  <cols>
    <col min="1" max="1" width="13.796875" style="2" customWidth="1"/>
    <col min="2" max="2" width="14.796875" style="161" customWidth="1"/>
    <col min="3" max="3" width="14.796875" style="162" customWidth="1"/>
    <col min="4" max="4" width="14.796875" style="161" customWidth="1"/>
    <col min="5" max="5" width="14.796875" style="162" customWidth="1"/>
    <col min="6" max="6" width="14.796875" style="161" customWidth="1"/>
    <col min="7" max="7" width="14.796875" style="162" customWidth="1"/>
    <col min="8" max="8" width="7.3984375" style="2" customWidth="1"/>
    <col min="9" max="9" width="8" style="2" customWidth="1"/>
    <col min="10" max="10" width="7.796875" style="2" customWidth="1"/>
    <col min="11" max="11" width="9" style="2" customWidth="1"/>
    <col min="12" max="16384" width="11.3984375" style="2"/>
  </cols>
  <sheetData>
    <row r="1" spans="1:11" s="1" customFormat="1" ht="18.75" customHeight="1">
      <c r="A1" s="134"/>
      <c r="B1" s="135"/>
      <c r="C1" s="193"/>
      <c r="D1" s="216"/>
      <c r="E1" s="193"/>
      <c r="F1" s="216"/>
      <c r="G1" s="193"/>
    </row>
    <row r="2" spans="1:11" s="1" customFormat="1" ht="42" customHeight="1">
      <c r="A2" s="1729" t="s">
        <v>2079</v>
      </c>
      <c r="B2" s="1716"/>
      <c r="C2" s="1716"/>
      <c r="D2" s="1716"/>
      <c r="E2" s="1716"/>
      <c r="F2" s="1716"/>
      <c r="G2" s="217">
        <v>2004</v>
      </c>
    </row>
    <row r="3" spans="1:11" ht="27" customHeight="1">
      <c r="A3" s="139" t="s">
        <v>449</v>
      </c>
      <c r="B3" s="140" t="s">
        <v>450</v>
      </c>
      <c r="C3" s="141" t="s">
        <v>2077</v>
      </c>
      <c r="D3" s="140" t="s">
        <v>452</v>
      </c>
      <c r="E3" s="141" t="s">
        <v>2077</v>
      </c>
      <c r="F3" s="140" t="s">
        <v>652</v>
      </c>
      <c r="G3" s="141" t="s">
        <v>451</v>
      </c>
    </row>
    <row r="4" spans="1:11" ht="15" customHeight="1">
      <c r="A4" s="142"/>
      <c r="B4" s="143"/>
      <c r="C4" s="144" t="s">
        <v>2078</v>
      </c>
      <c r="D4" s="143"/>
      <c r="E4" s="144" t="s">
        <v>2078</v>
      </c>
      <c r="F4" s="143"/>
      <c r="G4" s="144" t="s">
        <v>486</v>
      </c>
    </row>
    <row r="5" spans="1:11" ht="15" customHeight="1">
      <c r="A5" s="142"/>
      <c r="B5" s="143"/>
      <c r="C5" s="144" t="s">
        <v>450</v>
      </c>
      <c r="D5" s="143"/>
      <c r="E5" s="144" t="s">
        <v>452</v>
      </c>
      <c r="F5" s="143"/>
      <c r="G5" s="144" t="s">
        <v>454</v>
      </c>
    </row>
    <row r="6" spans="1:11" ht="19.5" customHeight="1">
      <c r="A6" s="145"/>
      <c r="B6" s="146"/>
      <c r="C6" s="147"/>
      <c r="D6" s="146"/>
      <c r="E6" s="147"/>
      <c r="F6" s="146"/>
      <c r="G6" s="147"/>
    </row>
    <row r="7" spans="1:11" ht="30" customHeight="1" thickBot="1">
      <c r="A7" s="148" t="s">
        <v>455</v>
      </c>
      <c r="B7" s="149">
        <v>787268</v>
      </c>
      <c r="C7" s="150">
        <v>0.21679528136478907</v>
      </c>
      <c r="D7" s="149">
        <v>748427</v>
      </c>
      <c r="E7" s="150">
        <v>0.19797843901060908</v>
      </c>
      <c r="F7" s="149">
        <v>1535695</v>
      </c>
      <c r="G7" s="150">
        <v>-4.2982917030501304E-3</v>
      </c>
      <c r="I7" s="3"/>
      <c r="J7" s="3"/>
      <c r="K7" s="3"/>
    </row>
    <row r="8" spans="1:11" ht="20" customHeight="1" thickBot="1">
      <c r="A8" s="152" t="s">
        <v>456</v>
      </c>
      <c r="B8" s="153">
        <v>312601</v>
      </c>
      <c r="C8" s="154">
        <v>8.6083038749084712E-2</v>
      </c>
      <c r="D8" s="153">
        <v>306083</v>
      </c>
      <c r="E8" s="154">
        <v>8.096692736590777E-2</v>
      </c>
      <c r="F8" s="153">
        <v>618684</v>
      </c>
      <c r="G8" s="154">
        <v>7.3878758230361595E-3</v>
      </c>
      <c r="I8" s="3"/>
      <c r="J8" s="3"/>
      <c r="K8" s="3"/>
    </row>
    <row r="9" spans="1:11" ht="20" customHeight="1" thickBot="1">
      <c r="A9" s="152" t="s">
        <v>457</v>
      </c>
      <c r="B9" s="153">
        <v>236432</v>
      </c>
      <c r="C9" s="154">
        <v>6.510786919275241E-2</v>
      </c>
      <c r="D9" s="153">
        <v>236544</v>
      </c>
      <c r="E9" s="154">
        <v>6.2572050283228042E-2</v>
      </c>
      <c r="F9" s="153">
        <v>472976</v>
      </c>
      <c r="G9" s="154">
        <v>-9.7430732828565937E-3</v>
      </c>
      <c r="I9" s="3"/>
      <c r="J9" s="3"/>
      <c r="K9" s="3"/>
    </row>
    <row r="10" spans="1:11" ht="20" customHeight="1" thickBot="1">
      <c r="A10" s="152" t="s">
        <v>458</v>
      </c>
      <c r="B10" s="153">
        <v>274512</v>
      </c>
      <c r="C10" s="154">
        <v>7.5594214775668481E-2</v>
      </c>
      <c r="D10" s="153">
        <v>276376</v>
      </c>
      <c r="E10" s="154">
        <v>7.3108651959370913E-2</v>
      </c>
      <c r="F10" s="153">
        <v>550888</v>
      </c>
      <c r="G10" s="154">
        <v>-2.8980341931865373E-2</v>
      </c>
      <c r="I10" s="3"/>
      <c r="J10" s="3"/>
      <c r="K10" s="3"/>
    </row>
    <row r="11" spans="1:11" ht="20" customHeight="1" thickBot="1">
      <c r="A11" s="152" t="s">
        <v>459</v>
      </c>
      <c r="B11" s="153">
        <v>318207</v>
      </c>
      <c r="C11" s="154">
        <v>8.7626800653964637E-2</v>
      </c>
      <c r="D11" s="153">
        <v>314903</v>
      </c>
      <c r="E11" s="154">
        <v>8.3300047138542346E-2</v>
      </c>
      <c r="F11" s="153">
        <v>633110</v>
      </c>
      <c r="G11" s="154">
        <v>-7.967582064706968E-3</v>
      </c>
      <c r="I11" s="3"/>
      <c r="J11" s="3"/>
      <c r="K11" s="3"/>
    </row>
    <row r="12" spans="1:11" ht="20" customHeight="1" thickBot="1">
      <c r="A12" s="152" t="s">
        <v>460</v>
      </c>
      <c r="B12" s="153">
        <v>306436</v>
      </c>
      <c r="C12" s="154">
        <v>8.4385341256472388E-2</v>
      </c>
      <c r="D12" s="153">
        <v>300984</v>
      </c>
      <c r="E12" s="154">
        <v>7.9618109030231629E-2</v>
      </c>
      <c r="F12" s="153">
        <v>607420</v>
      </c>
      <c r="G12" s="154">
        <v>2.8070686282796541E-2</v>
      </c>
      <c r="I12" s="3"/>
      <c r="J12" s="3"/>
      <c r="K12" s="3"/>
    </row>
    <row r="13" spans="1:11" ht="20" customHeight="1" thickBot="1">
      <c r="A13" s="152" t="s">
        <v>461</v>
      </c>
      <c r="B13" s="153">
        <v>271144</v>
      </c>
      <c r="C13" s="154">
        <v>7.4666745975162666E-2</v>
      </c>
      <c r="D13" s="153">
        <v>264090</v>
      </c>
      <c r="E13" s="154">
        <v>6.9858684892864301E-2</v>
      </c>
      <c r="F13" s="153">
        <v>535234</v>
      </c>
      <c r="G13" s="154">
        <v>2.3386255663735141E-2</v>
      </c>
      <c r="I13" s="3"/>
      <c r="J13" s="3"/>
      <c r="K13" s="3"/>
    </row>
    <row r="14" spans="1:11" ht="20" customHeight="1" thickBot="1">
      <c r="A14" s="152" t="s">
        <v>462</v>
      </c>
      <c r="B14" s="153">
        <v>243379</v>
      </c>
      <c r="C14" s="154">
        <v>6.7020911282156773E-2</v>
      </c>
      <c r="D14" s="153">
        <v>242326</v>
      </c>
      <c r="E14" s="154">
        <v>6.4101539911955149E-2</v>
      </c>
      <c r="F14" s="153">
        <v>485705</v>
      </c>
      <c r="G14" s="154">
        <v>-4.3810268585797972E-3</v>
      </c>
      <c r="I14" s="3"/>
      <c r="J14" s="3"/>
      <c r="K14" s="3"/>
    </row>
    <row r="15" spans="1:11" ht="20" customHeight="1" thickBot="1">
      <c r="A15" s="152" t="s">
        <v>463</v>
      </c>
      <c r="B15" s="153">
        <v>234558</v>
      </c>
      <c r="C15" s="154">
        <v>6.4591813215273824E-2</v>
      </c>
      <c r="D15" s="153">
        <v>234926</v>
      </c>
      <c r="E15" s="154">
        <v>6.2144047132193722E-2</v>
      </c>
      <c r="F15" s="153">
        <v>469484</v>
      </c>
      <c r="G15" s="154">
        <v>1.4226485637523415E-2</v>
      </c>
      <c r="I15" s="3"/>
      <c r="J15" s="3"/>
      <c r="K15" s="3"/>
    </row>
    <row r="16" spans="1:11" ht="20" customHeight="1" thickBot="1">
      <c r="A16" s="152" t="s">
        <v>464</v>
      </c>
      <c r="B16" s="153">
        <v>187524</v>
      </c>
      <c r="C16" s="154">
        <v>5.163974446141683E-2</v>
      </c>
      <c r="D16" s="153">
        <v>197168</v>
      </c>
      <c r="E16" s="154">
        <v>5.2156072486486689E-2</v>
      </c>
      <c r="F16" s="153">
        <v>384692</v>
      </c>
      <c r="G16" s="154">
        <v>4.1058698881216167E-2</v>
      </c>
      <c r="I16" s="3"/>
      <c r="J16" s="3"/>
      <c r="K16" s="3"/>
    </row>
    <row r="17" spans="1:11" ht="20" customHeight="1" thickBot="1">
      <c r="A17" s="152" t="s">
        <v>465</v>
      </c>
      <c r="B17" s="153">
        <v>147480</v>
      </c>
      <c r="C17" s="154">
        <v>4.061255899602053E-2</v>
      </c>
      <c r="D17" s="153">
        <v>168383</v>
      </c>
      <c r="E17" s="154">
        <v>4.4541690099266049E-2</v>
      </c>
      <c r="F17" s="153">
        <v>315863</v>
      </c>
      <c r="G17" s="154">
        <v>8.4491373844532754E-3</v>
      </c>
      <c r="I17" s="3"/>
      <c r="J17" s="3"/>
      <c r="K17" s="3"/>
    </row>
    <row r="18" spans="1:11" ht="20" customHeight="1" thickBot="1">
      <c r="A18" s="152" t="s">
        <v>466</v>
      </c>
      <c r="B18" s="153">
        <v>121963</v>
      </c>
      <c r="C18" s="154">
        <v>3.3585771174611145E-2</v>
      </c>
      <c r="D18" s="153">
        <v>155960</v>
      </c>
      <c r="E18" s="154">
        <v>4.1255482963728718E-2</v>
      </c>
      <c r="F18" s="153">
        <v>277923</v>
      </c>
      <c r="G18" s="154">
        <v>8.2242377944041316E-3</v>
      </c>
      <c r="I18" s="3"/>
      <c r="J18" s="3"/>
      <c r="K18" s="3"/>
    </row>
    <row r="19" spans="1:11" ht="20" customHeight="1" thickBot="1">
      <c r="A19" s="152" t="s">
        <v>467</v>
      </c>
      <c r="B19" s="153">
        <v>91581</v>
      </c>
      <c r="C19" s="154">
        <v>2.521927559950201E-2</v>
      </c>
      <c r="D19" s="153">
        <v>136800</v>
      </c>
      <c r="E19" s="154">
        <v>3.6187163820454532E-2</v>
      </c>
      <c r="F19" s="153">
        <v>228381</v>
      </c>
      <c r="G19" s="154">
        <v>8.1430213108000318E-3</v>
      </c>
      <c r="I19" s="3"/>
      <c r="J19" s="3"/>
      <c r="K19" s="3"/>
    </row>
    <row r="20" spans="1:11" ht="20" customHeight="1" thickBot="1">
      <c r="A20" s="152" t="s">
        <v>468</v>
      </c>
      <c r="B20" s="153">
        <v>60421</v>
      </c>
      <c r="C20" s="154">
        <v>1.6638536934489804E-2</v>
      </c>
      <c r="D20" s="153">
        <v>105211</v>
      </c>
      <c r="E20" s="154">
        <v>2.78310503853351E-2</v>
      </c>
      <c r="F20" s="153">
        <v>165632</v>
      </c>
      <c r="G20" s="154">
        <v>4.3424204364790414E-2</v>
      </c>
      <c r="I20" s="3"/>
      <c r="J20" s="3"/>
      <c r="K20" s="3"/>
    </row>
    <row r="21" spans="1:11" ht="20" customHeight="1" thickBot="1">
      <c r="A21" s="152" t="s">
        <v>469</v>
      </c>
      <c r="B21" s="153">
        <v>26944</v>
      </c>
      <c r="C21" s="154">
        <v>7.419750404046496E-3</v>
      </c>
      <c r="D21" s="153">
        <v>58147</v>
      </c>
      <c r="E21" s="154">
        <v>1.5381396306052409E-2</v>
      </c>
      <c r="F21" s="153">
        <v>85091</v>
      </c>
      <c r="G21" s="154">
        <v>-1.2458956424291623E-2</v>
      </c>
      <c r="I21" s="3"/>
      <c r="J21" s="3"/>
      <c r="K21" s="3"/>
    </row>
    <row r="22" spans="1:11" ht="20" customHeight="1" thickBot="1">
      <c r="A22" s="152" t="s">
        <v>470</v>
      </c>
      <c r="B22" s="153">
        <v>10939</v>
      </c>
      <c r="C22" s="154">
        <v>3.0123459645882058E-3</v>
      </c>
      <c r="D22" s="153">
        <v>34018</v>
      </c>
      <c r="E22" s="154">
        <v>8.9986472137735547E-3</v>
      </c>
      <c r="F22" s="153">
        <v>44957</v>
      </c>
      <c r="G22" s="154">
        <v>2.79210304589942E-2</v>
      </c>
      <c r="I22" s="3"/>
      <c r="J22" s="3"/>
      <c r="K22" s="3"/>
    </row>
    <row r="23" spans="1:11" s="219" customFormat="1" ht="21" customHeight="1" thickBot="1">
      <c r="A23" s="187" t="s">
        <v>652</v>
      </c>
      <c r="B23" s="218">
        <v>3631389</v>
      </c>
      <c r="C23" s="204">
        <v>1</v>
      </c>
      <c r="D23" s="218">
        <v>3780346</v>
      </c>
      <c r="E23" s="204">
        <v>1</v>
      </c>
      <c r="F23" s="218">
        <v>7411735</v>
      </c>
      <c r="G23" s="204">
        <v>4.6034672146474916E-3</v>
      </c>
      <c r="I23" s="220"/>
      <c r="J23" s="220"/>
      <c r="K23" s="220"/>
    </row>
    <row r="24" spans="1:11" ht="20" customHeight="1">
      <c r="A24" s="155" t="s">
        <v>2132</v>
      </c>
      <c r="B24" s="156"/>
      <c r="C24" s="157"/>
      <c r="D24" s="156"/>
      <c r="E24" s="157"/>
      <c r="F24" s="156"/>
      <c r="G24" s="157"/>
    </row>
    <row r="25" spans="1:11" ht="12.75" customHeight="1">
      <c r="A25" s="4"/>
      <c r="B25" s="158"/>
      <c r="C25" s="159"/>
      <c r="D25" s="158"/>
      <c r="E25" s="159"/>
      <c r="F25" s="158"/>
      <c r="G25" s="159"/>
    </row>
    <row r="26" spans="1:11" ht="16.5" customHeight="1">
      <c r="A26" s="4" t="s">
        <v>471</v>
      </c>
      <c r="B26" s="158"/>
      <c r="C26" s="159"/>
      <c r="D26" s="158"/>
      <c r="E26" s="159"/>
      <c r="F26" s="158"/>
      <c r="G26" s="159"/>
    </row>
    <row r="27" spans="1:11" ht="11.25" customHeight="1">
      <c r="A27" s="4"/>
      <c r="B27" s="158"/>
      <c r="C27" s="159"/>
      <c r="D27" s="158"/>
      <c r="E27" s="159"/>
      <c r="F27" s="158"/>
      <c r="G27" s="159"/>
    </row>
    <row r="28" spans="1:11" ht="17.25" customHeight="1">
      <c r="A28" s="4" t="s">
        <v>2074</v>
      </c>
      <c r="B28" s="158"/>
      <c r="C28" s="159"/>
      <c r="D28" s="158"/>
      <c r="E28" s="159"/>
      <c r="F28" s="158"/>
      <c r="G28" s="159"/>
    </row>
    <row r="29" spans="1:11" ht="12" customHeight="1">
      <c r="A29" s="215" t="s">
        <v>2075</v>
      </c>
      <c r="B29" s="2"/>
      <c r="C29" s="2"/>
      <c r="D29" s="2"/>
      <c r="E29" s="2"/>
      <c r="F29" s="2"/>
      <c r="G29" s="23"/>
    </row>
    <row r="30" spans="1:11" ht="12" customHeight="1">
      <c r="A30" s="4"/>
      <c r="B30" s="158"/>
      <c r="C30" s="159"/>
      <c r="D30" s="158"/>
      <c r="E30" s="159"/>
      <c r="F30" s="158"/>
      <c r="G30" s="159"/>
    </row>
    <row r="31" spans="1:11" ht="14.25" customHeight="1">
      <c r="A31" s="4"/>
      <c r="B31" s="158"/>
      <c r="C31" s="159"/>
      <c r="D31" s="158"/>
      <c r="E31" s="159"/>
      <c r="F31" s="158"/>
      <c r="G31" s="159"/>
    </row>
    <row r="32" spans="1:11" ht="15.75" customHeight="1">
      <c r="A32" s="4" t="s">
        <v>104</v>
      </c>
      <c r="B32" s="158"/>
      <c r="C32" s="159"/>
      <c r="D32" s="158"/>
      <c r="E32" s="159"/>
      <c r="F32" s="158"/>
      <c r="G32" s="159"/>
    </row>
    <row r="33" spans="1:9" ht="18" customHeight="1">
      <c r="A33"/>
    </row>
    <row r="34" spans="1:9" ht="30" customHeight="1"/>
    <row r="35" spans="1:9" ht="30" customHeight="1">
      <c r="I35" s="221"/>
    </row>
    <row r="36" spans="1:9" ht="30" customHeight="1"/>
    <row r="37" spans="1:9" ht="30" customHeight="1"/>
    <row r="38" spans="1:9" ht="30" customHeight="1"/>
    <row r="39" spans="1:9" ht="30" customHeight="1"/>
    <row r="40" spans="1:9" ht="30" customHeight="1"/>
    <row r="41" spans="1:9" ht="30" customHeight="1"/>
  </sheetData>
  <mergeCells count="1">
    <mergeCell ref="A2:F2"/>
  </mergeCells>
  <phoneticPr fontId="0" type="noConversion"/>
  <pageMargins left="0.65" right="0.54" top="0.85" bottom="0.49" header="0.44" footer="0.4921259845"/>
  <pageSetup paperSize="9" scale="80" orientation="portrait"/>
  <headerFooter alignWithMargins="0">
    <oddHeader>&amp;L&amp;"Arial,Bold"Leistungen und Kostenbeteiligung in der OKP</oddHeader>
  </headerFooter>
  <rowBreaks count="1" manualBreakCount="1">
    <brk id="32" max="16383" man="1"/>
  </row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43048-825C-E844-9FCF-9410A4192E99}">
  <dimension ref="A1:H42"/>
  <sheetViews>
    <sheetView zoomScale="75" workbookViewId="0">
      <selection activeCell="I20" sqref="I20"/>
    </sheetView>
  </sheetViews>
  <sheetFormatPr baseColWidth="10" defaultColWidth="11.3984375" defaultRowHeight="13"/>
  <cols>
    <col min="1" max="5" width="14.796875" style="2" customWidth="1"/>
    <col min="6" max="6" width="15.59765625" style="2" customWidth="1"/>
    <col min="7" max="7" width="6.3984375" style="2" customWidth="1"/>
    <col min="8" max="8" width="12.19921875" style="2" customWidth="1"/>
    <col min="9" max="16384" width="11.3984375" style="2"/>
  </cols>
  <sheetData>
    <row r="1" spans="1:8" s="1" customFormat="1" ht="14" customHeight="1"/>
    <row r="2" spans="1:8" s="1" customFormat="1" ht="28" customHeight="1">
      <c r="A2" s="178" t="s">
        <v>2076</v>
      </c>
      <c r="F2" s="178">
        <v>2004</v>
      </c>
    </row>
    <row r="3" spans="1:8" ht="27" customHeight="1">
      <c r="A3" s="139" t="s">
        <v>503</v>
      </c>
      <c r="B3" s="164" t="s">
        <v>504</v>
      </c>
      <c r="C3" s="141" t="s">
        <v>2063</v>
      </c>
      <c r="D3" s="164" t="s">
        <v>2064</v>
      </c>
      <c r="E3" s="141" t="s">
        <v>652</v>
      </c>
      <c r="F3" s="164" t="s">
        <v>652</v>
      </c>
    </row>
    <row r="4" spans="1:8" ht="15" customHeight="1">
      <c r="A4" s="142"/>
      <c r="B4" s="166"/>
      <c r="C4" s="142"/>
      <c r="D4" s="179"/>
      <c r="E4" s="144" t="s">
        <v>2065</v>
      </c>
      <c r="F4" s="166" t="s">
        <v>2066</v>
      </c>
    </row>
    <row r="5" spans="1:8" ht="15" customHeight="1">
      <c r="A5" s="142"/>
      <c r="B5" s="166"/>
      <c r="C5" s="142"/>
      <c r="D5" s="179"/>
      <c r="E5" s="144" t="s">
        <v>2067</v>
      </c>
      <c r="F5" s="166" t="s">
        <v>506</v>
      </c>
    </row>
    <row r="6" spans="1:8" ht="24" customHeight="1">
      <c r="A6" s="145"/>
      <c r="B6" s="180"/>
      <c r="C6" s="145"/>
      <c r="D6" s="180"/>
      <c r="E6" s="147"/>
      <c r="F6" s="168"/>
      <c r="H6" s="181"/>
    </row>
    <row r="7" spans="1:8" ht="30" customHeight="1" thickBot="1">
      <c r="A7" s="148" t="s">
        <v>510</v>
      </c>
      <c r="B7" s="182">
        <v>241974</v>
      </c>
      <c r="C7" s="183">
        <v>495795</v>
      </c>
      <c r="D7" s="182">
        <v>528396</v>
      </c>
      <c r="E7" s="183">
        <v>1024190</v>
      </c>
      <c r="F7" s="182">
        <v>1266164</v>
      </c>
      <c r="H7" s="185"/>
    </row>
    <row r="8" spans="1:8" ht="20" customHeight="1" thickBot="1">
      <c r="A8" s="152" t="s">
        <v>511</v>
      </c>
      <c r="B8" s="182">
        <v>189295</v>
      </c>
      <c r="C8" s="183">
        <v>368631</v>
      </c>
      <c r="D8" s="182">
        <v>400435</v>
      </c>
      <c r="E8" s="183">
        <v>769066</v>
      </c>
      <c r="F8" s="182">
        <v>958362</v>
      </c>
      <c r="H8" s="185"/>
    </row>
    <row r="9" spans="1:8" ht="20" customHeight="1" thickBot="1">
      <c r="A9" s="152" t="s">
        <v>512</v>
      </c>
      <c r="B9" s="182">
        <v>79553</v>
      </c>
      <c r="C9" s="183">
        <v>135577</v>
      </c>
      <c r="D9" s="182">
        <v>142719</v>
      </c>
      <c r="E9" s="183">
        <v>278297</v>
      </c>
      <c r="F9" s="182">
        <v>357850</v>
      </c>
      <c r="H9" s="185"/>
    </row>
    <row r="10" spans="1:8" ht="20" customHeight="1" thickBot="1">
      <c r="A10" s="152" t="s">
        <v>513</v>
      </c>
      <c r="B10" s="182">
        <v>7800</v>
      </c>
      <c r="C10" s="183">
        <v>13697</v>
      </c>
      <c r="D10" s="182">
        <v>13873</v>
      </c>
      <c r="E10" s="183">
        <v>27571</v>
      </c>
      <c r="F10" s="182">
        <v>35371</v>
      </c>
      <c r="H10" s="185"/>
    </row>
    <row r="11" spans="1:8" ht="20" customHeight="1" thickBot="1">
      <c r="A11" s="152" t="s">
        <v>514</v>
      </c>
      <c r="B11" s="182">
        <v>30581</v>
      </c>
      <c r="C11" s="183">
        <v>53298</v>
      </c>
      <c r="D11" s="182">
        <v>52402</v>
      </c>
      <c r="E11" s="183">
        <v>105700</v>
      </c>
      <c r="F11" s="182">
        <v>136280</v>
      </c>
      <c r="H11" s="185"/>
    </row>
    <row r="12" spans="1:8" ht="20" customHeight="1" thickBot="1">
      <c r="A12" s="152" t="s">
        <v>515</v>
      </c>
      <c r="B12" s="182">
        <v>7840</v>
      </c>
      <c r="C12" s="183">
        <v>12995</v>
      </c>
      <c r="D12" s="182">
        <v>13088</v>
      </c>
      <c r="E12" s="183">
        <v>26079</v>
      </c>
      <c r="F12" s="182">
        <v>33920</v>
      </c>
      <c r="H12" s="185"/>
    </row>
    <row r="13" spans="1:8" ht="20" customHeight="1" thickBot="1">
      <c r="A13" s="152" t="s">
        <v>516</v>
      </c>
      <c r="B13" s="182">
        <v>8220</v>
      </c>
      <c r="C13" s="183">
        <v>15442</v>
      </c>
      <c r="D13" s="182">
        <v>15400</v>
      </c>
      <c r="E13" s="183">
        <v>30841</v>
      </c>
      <c r="F13" s="182">
        <v>39061</v>
      </c>
      <c r="H13" s="185"/>
    </row>
    <row r="14" spans="1:8" ht="20" customHeight="1" thickBot="1">
      <c r="A14" s="152" t="s">
        <v>517</v>
      </c>
      <c r="B14" s="182">
        <v>8398</v>
      </c>
      <c r="C14" s="183">
        <v>14913</v>
      </c>
      <c r="D14" s="182">
        <v>15449</v>
      </c>
      <c r="E14" s="183">
        <v>30364</v>
      </c>
      <c r="F14" s="182">
        <v>38762</v>
      </c>
      <c r="H14" s="185"/>
    </row>
    <row r="15" spans="1:8" ht="20" customHeight="1" thickBot="1">
      <c r="A15" s="152" t="s">
        <v>518</v>
      </c>
      <c r="B15" s="182">
        <v>21272</v>
      </c>
      <c r="C15" s="183">
        <v>41077</v>
      </c>
      <c r="D15" s="182">
        <v>41437</v>
      </c>
      <c r="E15" s="183">
        <v>82514</v>
      </c>
      <c r="F15" s="182">
        <v>103786</v>
      </c>
      <c r="H15" s="185"/>
    </row>
    <row r="16" spans="1:8" ht="20" customHeight="1" thickBot="1">
      <c r="A16" s="152" t="s">
        <v>519</v>
      </c>
      <c r="B16" s="182">
        <v>59275</v>
      </c>
      <c r="C16" s="183">
        <v>93936</v>
      </c>
      <c r="D16" s="182">
        <v>97206</v>
      </c>
      <c r="E16" s="183">
        <v>191140</v>
      </c>
      <c r="F16" s="182">
        <v>250415</v>
      </c>
      <c r="H16" s="185"/>
    </row>
    <row r="17" spans="1:8" ht="20" customHeight="1" thickBot="1">
      <c r="A17" s="152" t="s">
        <v>520</v>
      </c>
      <c r="B17" s="182">
        <v>51605</v>
      </c>
      <c r="C17" s="183">
        <v>96286</v>
      </c>
      <c r="D17" s="182">
        <v>101512</v>
      </c>
      <c r="E17" s="183">
        <v>197798</v>
      </c>
      <c r="F17" s="182">
        <v>249403</v>
      </c>
      <c r="H17" s="185"/>
    </row>
    <row r="18" spans="1:8" ht="20" customHeight="1" thickBot="1">
      <c r="A18" s="152" t="s">
        <v>521</v>
      </c>
      <c r="B18" s="182">
        <v>29374</v>
      </c>
      <c r="C18" s="183">
        <v>72178</v>
      </c>
      <c r="D18" s="182">
        <v>81768</v>
      </c>
      <c r="E18" s="183">
        <v>153947</v>
      </c>
      <c r="F18" s="182">
        <v>183321</v>
      </c>
      <c r="H18" s="185"/>
    </row>
    <row r="19" spans="1:8" ht="20" customHeight="1" thickBot="1">
      <c r="A19" s="152" t="s">
        <v>522</v>
      </c>
      <c r="B19" s="182">
        <v>51664</v>
      </c>
      <c r="C19" s="183">
        <v>103938</v>
      </c>
      <c r="D19" s="182">
        <v>110246</v>
      </c>
      <c r="E19" s="183">
        <v>214185</v>
      </c>
      <c r="F19" s="182">
        <v>265849</v>
      </c>
      <c r="H19" s="185"/>
    </row>
    <row r="20" spans="1:8" ht="20" customHeight="1" thickBot="1">
      <c r="A20" s="152" t="s">
        <v>523</v>
      </c>
      <c r="B20" s="182">
        <v>15042</v>
      </c>
      <c r="C20" s="183">
        <v>29065</v>
      </c>
      <c r="D20" s="182">
        <v>31260</v>
      </c>
      <c r="E20" s="183">
        <v>60329</v>
      </c>
      <c r="F20" s="182">
        <v>75372</v>
      </c>
      <c r="H20" s="185"/>
    </row>
    <row r="21" spans="1:8" ht="20" customHeight="1" thickBot="1">
      <c r="A21" s="152" t="s">
        <v>2047</v>
      </c>
      <c r="B21" s="182">
        <v>12078</v>
      </c>
      <c r="C21" s="183">
        <v>20302</v>
      </c>
      <c r="D21" s="182">
        <v>21207</v>
      </c>
      <c r="E21" s="183">
        <v>41508</v>
      </c>
      <c r="F21" s="182">
        <v>53587</v>
      </c>
      <c r="H21" s="185"/>
    </row>
    <row r="22" spans="1:8" ht="20" customHeight="1" thickBot="1">
      <c r="A22" s="152" t="s">
        <v>2048</v>
      </c>
      <c r="B22" s="182">
        <v>3831</v>
      </c>
      <c r="C22" s="183">
        <v>5664</v>
      </c>
      <c r="D22" s="182">
        <v>5505</v>
      </c>
      <c r="E22" s="183">
        <v>11166</v>
      </c>
      <c r="F22" s="182">
        <v>14996</v>
      </c>
      <c r="H22" s="185"/>
    </row>
    <row r="23" spans="1:8" ht="20" customHeight="1" thickBot="1">
      <c r="A23" s="152" t="s">
        <v>2049</v>
      </c>
      <c r="B23" s="182">
        <v>104685</v>
      </c>
      <c r="C23" s="183">
        <v>174357</v>
      </c>
      <c r="D23" s="182">
        <v>182852</v>
      </c>
      <c r="E23" s="183">
        <v>357208</v>
      </c>
      <c r="F23" s="182">
        <v>461893</v>
      </c>
      <c r="H23" s="185"/>
    </row>
    <row r="24" spans="1:8" ht="20" customHeight="1" thickBot="1">
      <c r="A24" s="152" t="s">
        <v>2050</v>
      </c>
      <c r="B24" s="182">
        <v>38491</v>
      </c>
      <c r="C24" s="183">
        <v>77008</v>
      </c>
      <c r="D24" s="182">
        <v>78603</v>
      </c>
      <c r="E24" s="183">
        <v>155610</v>
      </c>
      <c r="F24" s="182">
        <v>194100</v>
      </c>
      <c r="H24" s="185"/>
    </row>
    <row r="25" spans="1:8" ht="20" customHeight="1" thickBot="1">
      <c r="A25" s="152" t="s">
        <v>2051</v>
      </c>
      <c r="B25" s="182">
        <v>122076</v>
      </c>
      <c r="C25" s="183">
        <v>220623</v>
      </c>
      <c r="D25" s="182">
        <v>227192</v>
      </c>
      <c r="E25" s="183">
        <v>447818</v>
      </c>
      <c r="F25" s="182">
        <v>569894</v>
      </c>
      <c r="H25" s="185"/>
    </row>
    <row r="26" spans="1:8" ht="20" customHeight="1" thickBot="1">
      <c r="A26" s="152" t="s">
        <v>2052</v>
      </c>
      <c r="B26" s="182">
        <v>54271</v>
      </c>
      <c r="C26" s="183">
        <v>88509</v>
      </c>
      <c r="D26" s="182">
        <v>91359</v>
      </c>
      <c r="E26" s="183">
        <v>179867</v>
      </c>
      <c r="F26" s="182">
        <v>234138</v>
      </c>
      <c r="H26" s="185"/>
    </row>
    <row r="27" spans="1:8" ht="20" customHeight="1" thickBot="1">
      <c r="A27" s="152" t="s">
        <v>2053</v>
      </c>
      <c r="B27" s="182">
        <v>57641</v>
      </c>
      <c r="C27" s="183">
        <v>122105</v>
      </c>
      <c r="D27" s="182">
        <v>136519</v>
      </c>
      <c r="E27" s="183">
        <v>258624</v>
      </c>
      <c r="F27" s="182">
        <v>316266</v>
      </c>
      <c r="H27" s="185"/>
    </row>
    <row r="28" spans="1:8" ht="20" customHeight="1" thickBot="1">
      <c r="A28" s="152" t="s">
        <v>2054</v>
      </c>
      <c r="B28" s="182">
        <v>141130</v>
      </c>
      <c r="C28" s="183">
        <v>238272</v>
      </c>
      <c r="D28" s="182">
        <v>262424</v>
      </c>
      <c r="E28" s="183">
        <v>500697</v>
      </c>
      <c r="F28" s="182">
        <v>641826</v>
      </c>
      <c r="H28" s="185"/>
    </row>
    <row r="29" spans="1:8" ht="20" customHeight="1" thickBot="1">
      <c r="A29" s="152" t="s">
        <v>2055</v>
      </c>
      <c r="B29" s="182">
        <v>62219</v>
      </c>
      <c r="C29" s="183">
        <v>112874</v>
      </c>
      <c r="D29" s="182">
        <v>118071</v>
      </c>
      <c r="E29" s="183">
        <v>230944</v>
      </c>
      <c r="F29" s="182">
        <v>293163</v>
      </c>
      <c r="H29" s="185"/>
    </row>
    <row r="30" spans="1:8" ht="20" customHeight="1" thickBot="1">
      <c r="A30" s="152" t="s">
        <v>2056</v>
      </c>
      <c r="B30" s="182">
        <v>36221</v>
      </c>
      <c r="C30" s="183">
        <v>63307</v>
      </c>
      <c r="D30" s="182">
        <v>69416</v>
      </c>
      <c r="E30" s="183">
        <v>132722</v>
      </c>
      <c r="F30" s="182">
        <v>168943</v>
      </c>
      <c r="H30" s="185"/>
    </row>
    <row r="31" spans="1:8" ht="20" customHeight="1" thickBot="1">
      <c r="A31" s="152" t="s">
        <v>2057</v>
      </c>
      <c r="B31" s="182">
        <v>85284</v>
      </c>
      <c r="C31" s="183">
        <v>148227</v>
      </c>
      <c r="D31" s="182">
        <v>165831</v>
      </c>
      <c r="E31" s="183">
        <v>314059</v>
      </c>
      <c r="F31" s="182">
        <v>399343</v>
      </c>
      <c r="H31" s="185"/>
    </row>
    <row r="32" spans="1:8" ht="20" customHeight="1" thickBot="1">
      <c r="A32" s="186" t="s">
        <v>2058</v>
      </c>
      <c r="B32" s="182">
        <v>15872</v>
      </c>
      <c r="C32" s="183">
        <v>26045</v>
      </c>
      <c r="D32" s="182">
        <v>27749</v>
      </c>
      <c r="E32" s="183">
        <v>53795</v>
      </c>
      <c r="F32" s="182">
        <v>69667</v>
      </c>
      <c r="H32" s="185"/>
    </row>
    <row r="33" spans="1:8" ht="30" customHeight="1" thickBot="1">
      <c r="A33" s="187" t="s">
        <v>2059</v>
      </c>
      <c r="B33" s="188">
        <v>1535692</v>
      </c>
      <c r="C33" s="189">
        <v>2844121</v>
      </c>
      <c r="D33" s="188">
        <v>3031919</v>
      </c>
      <c r="E33" s="189">
        <v>5876039</v>
      </c>
      <c r="F33" s="188">
        <v>7411732</v>
      </c>
      <c r="H33" s="185"/>
    </row>
    <row r="34" spans="1:8" ht="20" customHeight="1">
      <c r="A34" s="155" t="s">
        <v>2132</v>
      </c>
      <c r="B34" s="155"/>
      <c r="C34" s="155"/>
      <c r="D34" s="155"/>
      <c r="E34" s="155"/>
      <c r="F34" s="155"/>
      <c r="H34" s="181"/>
    </row>
    <row r="35" spans="1:8" ht="11.25" customHeight="1">
      <c r="A35" s="4"/>
      <c r="B35" s="4"/>
      <c r="C35" s="4"/>
      <c r="D35" s="4"/>
      <c r="E35" s="4"/>
      <c r="F35" s="4"/>
      <c r="H35" s="181"/>
    </row>
    <row r="36" spans="1:8" ht="14.25" customHeight="1">
      <c r="A36" s="4" t="s">
        <v>471</v>
      </c>
      <c r="B36" s="4"/>
      <c r="C36" s="4"/>
      <c r="D36" s="4"/>
      <c r="E36" s="4"/>
      <c r="F36" s="4"/>
      <c r="H36" s="181"/>
    </row>
    <row r="37" spans="1:8" ht="13.5" customHeight="1">
      <c r="A37" s="4"/>
      <c r="B37" s="4"/>
      <c r="C37" s="4"/>
      <c r="D37" s="4"/>
      <c r="E37" s="4"/>
      <c r="F37" s="4"/>
      <c r="H37" s="181"/>
    </row>
    <row r="38" spans="1:8" ht="12" customHeight="1">
      <c r="A38" s="4" t="s">
        <v>2074</v>
      </c>
    </row>
    <row r="39" spans="1:8" ht="12" customHeight="1">
      <c r="A39" s="215" t="s">
        <v>2075</v>
      </c>
    </row>
    <row r="40" spans="1:8" ht="12" customHeight="1"/>
    <row r="41" spans="1:8" ht="12" customHeight="1"/>
    <row r="42" spans="1:8" ht="12" customHeight="1">
      <c r="A42" s="4" t="s">
        <v>104</v>
      </c>
    </row>
  </sheetData>
  <phoneticPr fontId="0" type="noConversion"/>
  <pageMargins left="0.65" right="0.61" top="0.87" bottom="0.49" header="0.51" footer="0.4921259845"/>
  <pageSetup paperSize="9" scale="80" orientation="portrait"/>
  <headerFooter alignWithMargins="0">
    <oddHeader>&amp;L&amp;"Arial,Bold"Leistungen und Kostenbeteiligung in der OKP</oddHead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8F8CC-5F86-5C44-8D74-F075048131FA}">
  <dimension ref="A1:I42"/>
  <sheetViews>
    <sheetView zoomScale="75" workbookViewId="0">
      <selection activeCell="A20" sqref="A20"/>
    </sheetView>
  </sheetViews>
  <sheetFormatPr baseColWidth="10" defaultColWidth="11.3984375" defaultRowHeight="13"/>
  <cols>
    <col min="1" max="3" width="14.796875" style="2" customWidth="1"/>
    <col min="4" max="4" width="16" style="2" customWidth="1"/>
    <col min="5" max="5" width="17" style="2" customWidth="1"/>
    <col min="6" max="6" width="16.3984375" style="2" customWidth="1"/>
    <col min="7" max="7" width="14.796875" style="23" customWidth="1"/>
    <col min="8" max="8" width="11.3984375" style="2"/>
    <col min="9" max="9" width="14.59765625" style="2" customWidth="1"/>
    <col min="10" max="16384" width="11.3984375" style="2"/>
  </cols>
  <sheetData>
    <row r="1" spans="1:9" s="1" customFormat="1" ht="14" customHeight="1">
      <c r="G1" s="209"/>
    </row>
    <row r="2" spans="1:9" s="1" customFormat="1" ht="28" customHeight="1">
      <c r="A2" s="178" t="s">
        <v>2072</v>
      </c>
      <c r="G2" s="178">
        <v>2004</v>
      </c>
    </row>
    <row r="3" spans="1:9" ht="27" customHeight="1">
      <c r="A3" s="139" t="s">
        <v>503</v>
      </c>
      <c r="B3" s="164" t="s">
        <v>504</v>
      </c>
      <c r="C3" s="141" t="s">
        <v>2063</v>
      </c>
      <c r="D3" s="164" t="s">
        <v>2064</v>
      </c>
      <c r="E3" s="141" t="s">
        <v>652</v>
      </c>
      <c r="F3" s="164" t="s">
        <v>652</v>
      </c>
      <c r="G3" s="210" t="s">
        <v>451</v>
      </c>
    </row>
    <row r="4" spans="1:9" ht="15" customHeight="1">
      <c r="A4" s="142"/>
      <c r="B4" s="166"/>
      <c r="C4" s="142"/>
      <c r="D4" s="179"/>
      <c r="E4" s="144" t="s">
        <v>2065</v>
      </c>
      <c r="F4" s="166" t="s">
        <v>2066</v>
      </c>
      <c r="G4" s="142" t="s">
        <v>486</v>
      </c>
    </row>
    <row r="5" spans="1:9" ht="15" customHeight="1">
      <c r="A5" s="142"/>
      <c r="B5" s="166"/>
      <c r="C5" s="142"/>
      <c r="D5" s="179"/>
      <c r="E5" s="144" t="s">
        <v>2067</v>
      </c>
      <c r="F5" s="166" t="s">
        <v>506</v>
      </c>
      <c r="G5" s="142" t="s">
        <v>454</v>
      </c>
    </row>
    <row r="6" spans="1:9" ht="24" customHeight="1">
      <c r="A6" s="145"/>
      <c r="B6" s="180"/>
      <c r="C6" s="145"/>
      <c r="D6" s="180"/>
      <c r="E6" s="147"/>
      <c r="F6" s="168"/>
      <c r="G6" s="145"/>
    </row>
    <row r="7" spans="1:9" ht="30" customHeight="1" thickBot="1">
      <c r="A7" s="148" t="s">
        <v>510</v>
      </c>
      <c r="B7" s="182">
        <v>200308763</v>
      </c>
      <c r="C7" s="183">
        <v>1237756976</v>
      </c>
      <c r="D7" s="182">
        <v>1836596226</v>
      </c>
      <c r="E7" s="183">
        <v>3074353202</v>
      </c>
      <c r="F7" s="182">
        <v>3274661965</v>
      </c>
      <c r="G7" s="211">
        <v>9.8123064460586662E-2</v>
      </c>
      <c r="I7" s="185"/>
    </row>
    <row r="8" spans="1:9" ht="20" customHeight="1" thickBot="1">
      <c r="A8" s="152" t="s">
        <v>511</v>
      </c>
      <c r="B8" s="182">
        <v>131615957</v>
      </c>
      <c r="C8" s="183">
        <v>1010154765</v>
      </c>
      <c r="D8" s="182">
        <v>1474869718</v>
      </c>
      <c r="E8" s="183">
        <v>2485024483</v>
      </c>
      <c r="F8" s="182">
        <v>2616640440</v>
      </c>
      <c r="G8" s="211">
        <v>0.13145229285788879</v>
      </c>
      <c r="I8" s="185"/>
    </row>
    <row r="9" spans="1:9" ht="20" customHeight="1" thickBot="1">
      <c r="A9" s="152" t="s">
        <v>512</v>
      </c>
      <c r="B9" s="182">
        <v>48359385</v>
      </c>
      <c r="C9" s="183">
        <v>290546281</v>
      </c>
      <c r="D9" s="182">
        <v>417032946</v>
      </c>
      <c r="E9" s="183">
        <v>707579227</v>
      </c>
      <c r="F9" s="182">
        <v>755938612</v>
      </c>
      <c r="G9" s="211">
        <v>9.0702381563425888E-2</v>
      </c>
      <c r="I9" s="185"/>
    </row>
    <row r="10" spans="1:9" ht="20" customHeight="1" thickBot="1">
      <c r="A10" s="152" t="s">
        <v>513</v>
      </c>
      <c r="B10" s="182">
        <v>4974905</v>
      </c>
      <c r="C10" s="183">
        <v>27518180</v>
      </c>
      <c r="D10" s="182">
        <v>37345335</v>
      </c>
      <c r="E10" s="183">
        <v>64863515</v>
      </c>
      <c r="F10" s="182">
        <v>69838420</v>
      </c>
      <c r="G10" s="211">
        <v>6.5051651522404844E-2</v>
      </c>
      <c r="I10" s="185"/>
    </row>
    <row r="11" spans="1:9" ht="20" customHeight="1" thickBot="1">
      <c r="A11" s="152" t="s">
        <v>514</v>
      </c>
      <c r="B11" s="182">
        <v>22941371</v>
      </c>
      <c r="C11" s="183">
        <v>113427425</v>
      </c>
      <c r="D11" s="182">
        <v>151785276</v>
      </c>
      <c r="E11" s="183">
        <v>265212701</v>
      </c>
      <c r="F11" s="182">
        <v>288154072</v>
      </c>
      <c r="G11" s="211">
        <v>9.0429231079604058E-2</v>
      </c>
      <c r="I11" s="185"/>
    </row>
    <row r="12" spans="1:9" ht="20" customHeight="1" thickBot="1">
      <c r="A12" s="152" t="s">
        <v>515</v>
      </c>
      <c r="B12" s="182">
        <v>4430113</v>
      </c>
      <c r="C12" s="183">
        <v>24098392</v>
      </c>
      <c r="D12" s="182">
        <v>36640931</v>
      </c>
      <c r="E12" s="183">
        <v>60739323</v>
      </c>
      <c r="F12" s="182">
        <v>65169436</v>
      </c>
      <c r="G12" s="211">
        <v>6.6789088471825728E-2</v>
      </c>
      <c r="I12" s="185"/>
    </row>
    <row r="13" spans="1:9" ht="20" customHeight="1" thickBot="1">
      <c r="A13" s="152" t="s">
        <v>516</v>
      </c>
      <c r="B13" s="182">
        <v>4970564</v>
      </c>
      <c r="C13" s="183">
        <v>27546008</v>
      </c>
      <c r="D13" s="182">
        <v>39706780</v>
      </c>
      <c r="E13" s="183">
        <v>67252788</v>
      </c>
      <c r="F13" s="182">
        <v>72223352</v>
      </c>
      <c r="G13" s="211">
        <v>5.6670352161407256E-2</v>
      </c>
      <c r="I13" s="185"/>
    </row>
    <row r="14" spans="1:9" ht="20" customHeight="1" thickBot="1">
      <c r="A14" s="152" t="s">
        <v>517</v>
      </c>
      <c r="B14" s="182">
        <v>6460589</v>
      </c>
      <c r="C14" s="183">
        <v>33457658</v>
      </c>
      <c r="D14" s="182">
        <v>45442711</v>
      </c>
      <c r="E14" s="183">
        <v>78900369</v>
      </c>
      <c r="F14" s="182">
        <v>85360958</v>
      </c>
      <c r="G14" s="211">
        <v>8.921827645902379E-2</v>
      </c>
      <c r="I14" s="185"/>
    </row>
    <row r="15" spans="1:9" ht="20" customHeight="1" thickBot="1">
      <c r="A15" s="152" t="s">
        <v>518</v>
      </c>
      <c r="B15" s="182">
        <v>12758098</v>
      </c>
      <c r="C15" s="183">
        <v>81221991</v>
      </c>
      <c r="D15" s="182">
        <v>123251973</v>
      </c>
      <c r="E15" s="183">
        <v>204473964</v>
      </c>
      <c r="F15" s="182">
        <v>217232062</v>
      </c>
      <c r="G15" s="211">
        <v>7.1850526669675438E-2</v>
      </c>
      <c r="I15" s="185"/>
    </row>
    <row r="16" spans="1:9" ht="20" customHeight="1" thickBot="1">
      <c r="A16" s="152" t="s">
        <v>519</v>
      </c>
      <c r="B16" s="182">
        <v>44525515</v>
      </c>
      <c r="C16" s="183">
        <v>227576489</v>
      </c>
      <c r="D16" s="182">
        <v>323207073</v>
      </c>
      <c r="E16" s="183">
        <v>550783562</v>
      </c>
      <c r="F16" s="182">
        <v>595309077</v>
      </c>
      <c r="G16" s="211">
        <v>6.1340861696335042E-2</v>
      </c>
      <c r="I16" s="185"/>
    </row>
    <row r="17" spans="1:9" ht="20" customHeight="1" thickBot="1">
      <c r="A17" s="152" t="s">
        <v>520</v>
      </c>
      <c r="B17" s="182">
        <v>37772185</v>
      </c>
      <c r="C17" s="183">
        <v>236126256</v>
      </c>
      <c r="D17" s="182">
        <v>333522177</v>
      </c>
      <c r="E17" s="183">
        <v>569648433</v>
      </c>
      <c r="F17" s="182">
        <v>607420618</v>
      </c>
      <c r="G17" s="211">
        <v>5.5947147581731298E-2</v>
      </c>
      <c r="I17" s="185"/>
    </row>
    <row r="18" spans="1:9" ht="20" customHeight="1" thickBot="1">
      <c r="A18" s="152" t="s">
        <v>521</v>
      </c>
      <c r="B18" s="182">
        <v>29704419</v>
      </c>
      <c r="C18" s="183">
        <v>231319926</v>
      </c>
      <c r="D18" s="182">
        <v>370038978</v>
      </c>
      <c r="E18" s="183">
        <v>601358904</v>
      </c>
      <c r="F18" s="182">
        <v>631063323</v>
      </c>
      <c r="G18" s="211">
        <v>3.2862028178418157E-2</v>
      </c>
      <c r="I18" s="185"/>
    </row>
    <row r="19" spans="1:9" ht="20" customHeight="1" thickBot="1">
      <c r="A19" s="152" t="s">
        <v>522</v>
      </c>
      <c r="B19" s="182">
        <v>45622202</v>
      </c>
      <c r="C19" s="183">
        <v>270941546</v>
      </c>
      <c r="D19" s="182">
        <v>385913961</v>
      </c>
      <c r="E19" s="183">
        <v>656855507</v>
      </c>
      <c r="F19" s="182">
        <v>702477709</v>
      </c>
      <c r="G19" s="211">
        <v>4.2537928666576137E-2</v>
      </c>
      <c r="I19" s="185"/>
    </row>
    <row r="20" spans="1:9" ht="20" customHeight="1" thickBot="1">
      <c r="A20" s="152" t="s">
        <v>523</v>
      </c>
      <c r="B20" s="182">
        <v>9352984</v>
      </c>
      <c r="C20" s="183">
        <v>70740176</v>
      </c>
      <c r="D20" s="182">
        <v>108020225</v>
      </c>
      <c r="E20" s="183">
        <v>178760401</v>
      </c>
      <c r="F20" s="182">
        <v>188113385</v>
      </c>
      <c r="G20" s="211">
        <v>8.1756190688533792E-2</v>
      </c>
      <c r="I20" s="185"/>
    </row>
    <row r="21" spans="1:9" ht="20" customHeight="1" thickBot="1">
      <c r="A21" s="152" t="s">
        <v>2047</v>
      </c>
      <c r="B21" s="182">
        <v>7567903</v>
      </c>
      <c r="C21" s="183">
        <v>40179154</v>
      </c>
      <c r="D21" s="182">
        <v>58538857</v>
      </c>
      <c r="E21" s="183">
        <v>98718011</v>
      </c>
      <c r="F21" s="182">
        <v>106285914</v>
      </c>
      <c r="G21" s="211">
        <v>7.4359318504320315E-2</v>
      </c>
      <c r="I21" s="185"/>
    </row>
    <row r="22" spans="1:9" ht="20" customHeight="1" thickBot="1">
      <c r="A22" s="152" t="s">
        <v>2048</v>
      </c>
      <c r="B22" s="182">
        <v>1945122</v>
      </c>
      <c r="C22" s="183">
        <v>10269210</v>
      </c>
      <c r="D22" s="182">
        <v>13742094</v>
      </c>
      <c r="E22" s="183">
        <v>24011304</v>
      </c>
      <c r="F22" s="182">
        <v>25956426</v>
      </c>
      <c r="G22" s="211">
        <v>4.7739713046902291E-2</v>
      </c>
      <c r="I22" s="185"/>
    </row>
    <row r="23" spans="1:9" ht="20" customHeight="1" thickBot="1">
      <c r="A23" s="152" t="s">
        <v>2049</v>
      </c>
      <c r="B23" s="182">
        <v>73059562</v>
      </c>
      <c r="C23" s="183">
        <v>380257316</v>
      </c>
      <c r="D23" s="182">
        <v>544247661</v>
      </c>
      <c r="E23" s="183">
        <v>924504977</v>
      </c>
      <c r="F23" s="182">
        <v>997564539</v>
      </c>
      <c r="G23" s="211">
        <v>7.9568480922830628E-2</v>
      </c>
      <c r="I23" s="185"/>
    </row>
    <row r="24" spans="1:9" ht="20" customHeight="1" thickBot="1">
      <c r="A24" s="152" t="s">
        <v>2050</v>
      </c>
      <c r="B24" s="182">
        <v>27829576</v>
      </c>
      <c r="C24" s="183">
        <v>166797135</v>
      </c>
      <c r="D24" s="182">
        <v>231565716</v>
      </c>
      <c r="E24" s="183">
        <v>398362851</v>
      </c>
      <c r="F24" s="182">
        <v>426192427</v>
      </c>
      <c r="G24" s="211">
        <v>9.2860367134578542E-2</v>
      </c>
      <c r="I24" s="185"/>
    </row>
    <row r="25" spans="1:9" ht="20" customHeight="1" thickBot="1">
      <c r="A25" s="152" t="s">
        <v>2051</v>
      </c>
      <c r="B25" s="182">
        <v>83759660</v>
      </c>
      <c r="C25" s="183">
        <v>495231216</v>
      </c>
      <c r="D25" s="182">
        <v>694559684</v>
      </c>
      <c r="E25" s="183">
        <v>1189790900</v>
      </c>
      <c r="F25" s="182">
        <v>1273550560</v>
      </c>
      <c r="G25" s="211">
        <v>6.2021957477566808E-2</v>
      </c>
      <c r="I25" s="185"/>
    </row>
    <row r="26" spans="1:9" ht="20" customHeight="1" thickBot="1">
      <c r="A26" s="152" t="s">
        <v>2052</v>
      </c>
      <c r="B26" s="182">
        <v>37650106</v>
      </c>
      <c r="C26" s="183">
        <v>202644803</v>
      </c>
      <c r="D26" s="182">
        <v>280538830</v>
      </c>
      <c r="E26" s="183">
        <v>483183633</v>
      </c>
      <c r="F26" s="182">
        <v>520833739</v>
      </c>
      <c r="G26" s="211">
        <v>4.2942009454421816E-2</v>
      </c>
      <c r="I26" s="185"/>
    </row>
    <row r="27" spans="1:9" ht="20" customHeight="1" thickBot="1">
      <c r="A27" s="152" t="s">
        <v>2053</v>
      </c>
      <c r="B27" s="182">
        <v>51774166</v>
      </c>
      <c r="C27" s="183">
        <v>373233989</v>
      </c>
      <c r="D27" s="182">
        <v>538531707</v>
      </c>
      <c r="E27" s="183">
        <v>911765696</v>
      </c>
      <c r="F27" s="182">
        <v>963539862</v>
      </c>
      <c r="G27" s="211">
        <v>1.0406605433931513E-2</v>
      </c>
      <c r="I27" s="185"/>
    </row>
    <row r="28" spans="1:9" ht="20" customHeight="1" thickBot="1">
      <c r="A28" s="152" t="s">
        <v>2054</v>
      </c>
      <c r="B28" s="182">
        <v>138266255</v>
      </c>
      <c r="C28" s="183">
        <v>723454567</v>
      </c>
      <c r="D28" s="182">
        <v>1110136246</v>
      </c>
      <c r="E28" s="183">
        <v>1833590813</v>
      </c>
      <c r="F28" s="182">
        <v>1971857068</v>
      </c>
      <c r="G28" s="211">
        <v>5.2928992300126647E-2</v>
      </c>
      <c r="I28" s="185"/>
    </row>
    <row r="29" spans="1:9" ht="20" customHeight="1" thickBot="1">
      <c r="A29" s="152" t="s">
        <v>2055</v>
      </c>
      <c r="B29" s="182">
        <v>42440359</v>
      </c>
      <c r="C29" s="183">
        <v>254682697</v>
      </c>
      <c r="D29" s="182">
        <v>353677025</v>
      </c>
      <c r="E29" s="183">
        <v>608359722</v>
      </c>
      <c r="F29" s="182">
        <v>650800081</v>
      </c>
      <c r="G29" s="211">
        <v>2.7693161103645423E-2</v>
      </c>
      <c r="I29" s="185"/>
    </row>
    <row r="30" spans="1:9" ht="20" customHeight="1" thickBot="1">
      <c r="A30" s="152" t="s">
        <v>2056</v>
      </c>
      <c r="B30" s="182">
        <v>30750910</v>
      </c>
      <c r="C30" s="183">
        <v>194101389</v>
      </c>
      <c r="D30" s="182">
        <v>297203323</v>
      </c>
      <c r="E30" s="183">
        <v>491304712</v>
      </c>
      <c r="F30" s="182">
        <v>522055622</v>
      </c>
      <c r="G30" s="211">
        <v>6.3994221048089966E-2</v>
      </c>
      <c r="I30" s="185"/>
    </row>
    <row r="31" spans="1:9" ht="20" customHeight="1" thickBot="1">
      <c r="A31" s="152" t="s">
        <v>2057</v>
      </c>
      <c r="B31" s="182">
        <v>94632105</v>
      </c>
      <c r="C31" s="183">
        <v>503425279</v>
      </c>
      <c r="D31" s="182">
        <v>805143353</v>
      </c>
      <c r="E31" s="183">
        <v>1308568632</v>
      </c>
      <c r="F31" s="182">
        <v>1403200737</v>
      </c>
      <c r="G31" s="211">
        <v>6.347833115078369E-2</v>
      </c>
      <c r="I31" s="185"/>
    </row>
    <row r="32" spans="1:9" ht="20" customHeight="1" thickBot="1">
      <c r="A32" s="186" t="s">
        <v>2058</v>
      </c>
      <c r="B32" s="182">
        <v>11213536</v>
      </c>
      <c r="C32" s="183">
        <v>75119526</v>
      </c>
      <c r="D32" s="182">
        <v>103452013</v>
      </c>
      <c r="E32" s="183">
        <v>178571539</v>
      </c>
      <c r="F32" s="182">
        <v>189785075</v>
      </c>
      <c r="G32" s="211">
        <v>8.5502619916176595E-2</v>
      </c>
      <c r="I32" s="185"/>
    </row>
    <row r="33" spans="1:9" ht="30" customHeight="1" thickBot="1">
      <c r="A33" s="187" t="s">
        <v>2059</v>
      </c>
      <c r="B33" s="188">
        <v>1204686310</v>
      </c>
      <c r="C33" s="189">
        <v>7301828350</v>
      </c>
      <c r="D33" s="188">
        <v>10714710819</v>
      </c>
      <c r="E33" s="189">
        <v>18016539169</v>
      </c>
      <c r="F33" s="188">
        <v>19221225479</v>
      </c>
      <c r="G33" s="212">
        <v>7.3586509160771474E-2</v>
      </c>
      <c r="I33" s="185"/>
    </row>
    <row r="34" spans="1:9" ht="20" customHeight="1">
      <c r="A34" s="155" t="s">
        <v>2132</v>
      </c>
      <c r="B34" s="155"/>
      <c r="C34" s="155"/>
      <c r="D34" s="155"/>
      <c r="E34" s="155"/>
      <c r="F34" s="155"/>
      <c r="G34" s="213"/>
    </row>
    <row r="35" spans="1:9" ht="13.5" customHeight="1">
      <c r="A35" s="4"/>
      <c r="B35" s="4"/>
      <c r="C35" s="4"/>
      <c r="D35" s="4"/>
      <c r="E35" s="4"/>
      <c r="F35" s="4"/>
      <c r="G35" s="214"/>
    </row>
    <row r="36" spans="1:9" ht="13.5" customHeight="1">
      <c r="A36" s="4" t="s">
        <v>471</v>
      </c>
      <c r="B36" s="4"/>
      <c r="C36" s="4"/>
      <c r="D36" s="4"/>
      <c r="E36" s="4"/>
      <c r="F36" s="4"/>
      <c r="G36" s="214"/>
    </row>
    <row r="37" spans="1:9" ht="12.75" customHeight="1">
      <c r="A37" s="4"/>
      <c r="B37" s="4"/>
      <c r="C37" s="4"/>
      <c r="D37" s="4"/>
      <c r="E37" s="4"/>
      <c r="F37" s="4"/>
      <c r="G37" s="214"/>
    </row>
    <row r="38" spans="1:9" ht="12" customHeight="1">
      <c r="A38" s="4" t="s">
        <v>2073</v>
      </c>
    </row>
    <row r="39" spans="1:9" ht="12" customHeight="1">
      <c r="A39" s="2" t="s">
        <v>2071</v>
      </c>
    </row>
    <row r="40" spans="1:9" ht="12" customHeight="1"/>
    <row r="41" spans="1:9" ht="12" customHeight="1"/>
    <row r="42" spans="1:9">
      <c r="A42" s="4" t="s">
        <v>104</v>
      </c>
    </row>
  </sheetData>
  <phoneticPr fontId="0" type="noConversion"/>
  <pageMargins left="0.56000000000000005" right="0.64" top="0.81" bottom="0.49" header="0.44" footer="0.4921259845"/>
  <pageSetup paperSize="9" scale="80" orientation="portrait" horizontalDpi="1200" verticalDpi="1200"/>
  <headerFooter alignWithMargins="0">
    <oddHeader>&amp;L&amp;"Arial,Bold"Leistungen und Kostenbeteiligung in der OKP</oddHead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53CAC-1C6D-3D47-815A-5E3493B56237}">
  <dimension ref="A1:I41"/>
  <sheetViews>
    <sheetView zoomScale="75" workbookViewId="0">
      <selection activeCell="H2" sqref="H2"/>
    </sheetView>
  </sheetViews>
  <sheetFormatPr baseColWidth="10" defaultColWidth="11.3984375" defaultRowHeight="13"/>
  <cols>
    <col min="1" max="1" width="14.796875" style="2" customWidth="1"/>
    <col min="2" max="6" width="14.796875" style="9" customWidth="1"/>
    <col min="7" max="7" width="14.796875" style="162" customWidth="1"/>
    <col min="8" max="8" width="11.3984375" style="2"/>
    <col min="9" max="9" width="0" style="2" hidden="1" customWidth="1"/>
    <col min="10" max="16384" width="11.3984375" style="2"/>
  </cols>
  <sheetData>
    <row r="1" spans="1:9" s="1" customFormat="1" ht="14" customHeight="1">
      <c r="B1" s="192"/>
      <c r="C1" s="192"/>
      <c r="D1" s="192"/>
      <c r="E1" s="192"/>
      <c r="F1" s="192"/>
      <c r="G1" s="193"/>
    </row>
    <row r="2" spans="1:9" s="1" customFormat="1" ht="39.75" customHeight="1">
      <c r="A2" s="1715" t="s">
        <v>2069</v>
      </c>
      <c r="B2" s="1716"/>
      <c r="C2" s="1716"/>
      <c r="D2" s="1716"/>
      <c r="E2" s="1716"/>
      <c r="F2" s="1716"/>
      <c r="G2" s="138">
        <v>2004</v>
      </c>
      <c r="H2" s="138"/>
    </row>
    <row r="3" spans="1:9" ht="27" customHeight="1">
      <c r="A3" s="139" t="s">
        <v>503</v>
      </c>
      <c r="B3" s="140" t="s">
        <v>504</v>
      </c>
      <c r="C3" s="194" t="s">
        <v>2063</v>
      </c>
      <c r="D3" s="140" t="s">
        <v>2064</v>
      </c>
      <c r="E3" s="194" t="s">
        <v>652</v>
      </c>
      <c r="F3" s="140" t="s">
        <v>652</v>
      </c>
      <c r="G3" s="141" t="s">
        <v>451</v>
      </c>
    </row>
    <row r="4" spans="1:9" ht="15" customHeight="1">
      <c r="A4" s="142"/>
      <c r="B4" s="143"/>
      <c r="C4" s="195"/>
      <c r="D4" s="196"/>
      <c r="E4" s="197" t="s">
        <v>2065</v>
      </c>
      <c r="F4" s="143" t="s">
        <v>2066</v>
      </c>
      <c r="G4" s="144" t="s">
        <v>486</v>
      </c>
    </row>
    <row r="5" spans="1:9" ht="15" customHeight="1">
      <c r="A5" s="142"/>
      <c r="B5" s="143"/>
      <c r="C5" s="195"/>
      <c r="D5" s="196"/>
      <c r="E5" s="197" t="s">
        <v>2067</v>
      </c>
      <c r="F5" s="143" t="s">
        <v>506</v>
      </c>
      <c r="G5" s="144" t="s">
        <v>454</v>
      </c>
    </row>
    <row r="6" spans="1:9" ht="24" customHeight="1">
      <c r="A6" s="145"/>
      <c r="B6" s="198"/>
      <c r="C6" s="199"/>
      <c r="D6" s="198"/>
      <c r="E6" s="200"/>
      <c r="F6" s="146"/>
      <c r="G6" s="147"/>
    </row>
    <row r="7" spans="1:9" ht="30" customHeight="1" thickBot="1">
      <c r="A7" s="148" t="s">
        <v>510</v>
      </c>
      <c r="B7" s="175">
        <v>68.984258294968328</v>
      </c>
      <c r="C7" s="201">
        <v>208.04246647639988</v>
      </c>
      <c r="D7" s="175">
        <v>289.64959140493119</v>
      </c>
      <c r="E7" s="201">
        <v>250.14509042918471</v>
      </c>
      <c r="F7" s="175">
        <v>215.52381609596651</v>
      </c>
      <c r="G7" s="150">
        <v>9.1374515224205047E-2</v>
      </c>
      <c r="I7" s="185">
        <v>172.8785586534616</v>
      </c>
    </row>
    <row r="8" spans="1:9" ht="20" customHeight="1" thickBot="1">
      <c r="A8" s="152" t="s">
        <v>511</v>
      </c>
      <c r="B8" s="175">
        <v>57.941289609692099</v>
      </c>
      <c r="C8" s="201">
        <v>228.35725630779834</v>
      </c>
      <c r="D8" s="175">
        <v>306.93073740640386</v>
      </c>
      <c r="E8" s="201">
        <v>269.26866300594924</v>
      </c>
      <c r="F8" s="175">
        <v>227.52714527495871</v>
      </c>
      <c r="G8" s="154">
        <v>0.13018942916535772</v>
      </c>
      <c r="I8" s="185">
        <v>161.49387493756916</v>
      </c>
    </row>
    <row r="9" spans="1:9" ht="20" customHeight="1" thickBot="1">
      <c r="A9" s="152" t="s">
        <v>512</v>
      </c>
      <c r="B9" s="175">
        <v>50.657407640189554</v>
      </c>
      <c r="C9" s="201">
        <v>178.58626524656347</v>
      </c>
      <c r="D9" s="175">
        <v>243.50468753284426</v>
      </c>
      <c r="E9" s="201">
        <v>211.87772625408584</v>
      </c>
      <c r="F9" s="175">
        <v>176.03712263052489</v>
      </c>
      <c r="G9" s="154">
        <v>8.8915287732541246E-2</v>
      </c>
      <c r="I9" s="185">
        <v>129.41591119853354</v>
      </c>
    </row>
    <row r="10" spans="1:9" ht="20" customHeight="1" thickBot="1">
      <c r="A10" s="152" t="s">
        <v>513</v>
      </c>
      <c r="B10" s="175">
        <v>53.15069444444444</v>
      </c>
      <c r="C10" s="201">
        <v>167.42218490667057</v>
      </c>
      <c r="D10" s="175">
        <v>224.32864196640958</v>
      </c>
      <c r="E10" s="201">
        <v>196.04994075901007</v>
      </c>
      <c r="F10" s="175">
        <v>164.53785115867046</v>
      </c>
      <c r="G10" s="154">
        <v>6.6253677530399319E-2</v>
      </c>
      <c r="I10" s="185">
        <v>126.90557061409594</v>
      </c>
    </row>
    <row r="11" spans="1:9" ht="20" customHeight="1" thickBot="1">
      <c r="A11" s="152" t="s">
        <v>514</v>
      </c>
      <c r="B11" s="175">
        <v>62.515317244912417</v>
      </c>
      <c r="C11" s="201">
        <v>177.34784450948754</v>
      </c>
      <c r="D11" s="175">
        <v>241.37958474867369</v>
      </c>
      <c r="E11" s="201">
        <v>209.09232182276887</v>
      </c>
      <c r="F11" s="175">
        <v>176.20222580960765</v>
      </c>
      <c r="G11" s="154">
        <v>7.8131096884055368E-2</v>
      </c>
      <c r="I11" s="185">
        <v>131.64111605385247</v>
      </c>
    </row>
    <row r="12" spans="1:9" ht="20" customHeight="1" thickBot="1">
      <c r="A12" s="152" t="s">
        <v>515</v>
      </c>
      <c r="B12" s="175">
        <v>47.088786139455785</v>
      </c>
      <c r="C12" s="201">
        <v>154.53630883673208</v>
      </c>
      <c r="D12" s="175">
        <v>233.29851135900572</v>
      </c>
      <c r="E12" s="201">
        <v>194.0875896315043</v>
      </c>
      <c r="F12" s="175">
        <v>160.10572916666666</v>
      </c>
      <c r="G12" s="154">
        <v>6.3334918495797934E-2</v>
      </c>
      <c r="I12" s="185">
        <v>125.19129183854066</v>
      </c>
    </row>
    <row r="13" spans="1:9" ht="20" customHeight="1" thickBot="1">
      <c r="A13" s="152" t="s">
        <v>516</v>
      </c>
      <c r="B13" s="175">
        <v>50.390957015409576</v>
      </c>
      <c r="C13" s="201">
        <v>148.65306739196132</v>
      </c>
      <c r="D13" s="175">
        <v>214.86352813852815</v>
      </c>
      <c r="E13" s="201">
        <v>181.7191076813333</v>
      </c>
      <c r="F13" s="175">
        <v>154.08240103086624</v>
      </c>
      <c r="G13" s="154">
        <v>4.8442006214889366E-2</v>
      </c>
      <c r="I13" s="185">
        <v>117.8833340734285</v>
      </c>
    </row>
    <row r="14" spans="1:9" ht="20" customHeight="1" thickBot="1">
      <c r="A14" s="152" t="s">
        <v>517</v>
      </c>
      <c r="B14" s="175">
        <v>64.108408748114627</v>
      </c>
      <c r="C14" s="201">
        <v>186.96024721160509</v>
      </c>
      <c r="D14" s="175">
        <v>245.12218158672621</v>
      </c>
      <c r="E14" s="201">
        <v>216.5403355947833</v>
      </c>
      <c r="F14" s="175">
        <v>183.51512219871697</v>
      </c>
      <c r="G14" s="154">
        <v>9.1733240489339146E-2</v>
      </c>
      <c r="I14" s="185">
        <v>140.25371771237261</v>
      </c>
    </row>
    <row r="15" spans="1:9" ht="20" customHeight="1" thickBot="1">
      <c r="A15" s="152" t="s">
        <v>518</v>
      </c>
      <c r="B15" s="175">
        <v>49.980012849442147</v>
      </c>
      <c r="C15" s="201">
        <v>164.7758904009543</v>
      </c>
      <c r="D15" s="175">
        <v>247.87020657866159</v>
      </c>
      <c r="E15" s="201">
        <v>206.50431441937124</v>
      </c>
      <c r="F15" s="175">
        <v>174.4230612349771</v>
      </c>
      <c r="G15" s="154">
        <v>5.5573551180943405E-2</v>
      </c>
      <c r="I15" s="185">
        <v>131.3336445580656</v>
      </c>
    </row>
    <row r="16" spans="1:9" ht="20" customHeight="1" thickBot="1">
      <c r="A16" s="152" t="s">
        <v>519</v>
      </c>
      <c r="B16" s="175">
        <v>62.597378040208071</v>
      </c>
      <c r="C16" s="201">
        <v>201.88966335235338</v>
      </c>
      <c r="D16" s="175">
        <v>277.08086692179495</v>
      </c>
      <c r="E16" s="201">
        <v>240.13095200725471</v>
      </c>
      <c r="F16" s="175">
        <v>198.10750054908851</v>
      </c>
      <c r="G16" s="154">
        <v>4.8122576799601906E-2</v>
      </c>
      <c r="I16" s="185">
        <v>163.19734143075968</v>
      </c>
    </row>
    <row r="17" spans="1:9" ht="20" customHeight="1" thickBot="1">
      <c r="A17" s="152" t="s">
        <v>520</v>
      </c>
      <c r="B17" s="175">
        <v>60.995680328133581</v>
      </c>
      <c r="C17" s="201">
        <v>204.36188023180941</v>
      </c>
      <c r="D17" s="175">
        <v>273.79536163212231</v>
      </c>
      <c r="E17" s="201">
        <v>239.9958682595375</v>
      </c>
      <c r="F17" s="175">
        <v>202.95820352334707</v>
      </c>
      <c r="G17" s="154">
        <v>5.3632601938060097E-2</v>
      </c>
      <c r="I17" s="185">
        <v>156.59253023292777</v>
      </c>
    </row>
    <row r="18" spans="1:9" ht="20" customHeight="1" thickBot="1">
      <c r="A18" s="152" t="s">
        <v>521</v>
      </c>
      <c r="B18" s="175">
        <v>84.270724109756927</v>
      </c>
      <c r="C18" s="201">
        <v>267.07113663443153</v>
      </c>
      <c r="D18" s="175">
        <v>377.12285368359261</v>
      </c>
      <c r="E18" s="201">
        <v>325.52269287482056</v>
      </c>
      <c r="F18" s="175">
        <v>286.86626327589312</v>
      </c>
      <c r="G18" s="154">
        <v>3.5925609152894764E-2</v>
      </c>
      <c r="I18" s="185">
        <v>239.48436004651805</v>
      </c>
    </row>
    <row r="19" spans="1:9" ht="20" customHeight="1" thickBot="1">
      <c r="A19" s="152" t="s">
        <v>522</v>
      </c>
      <c r="B19" s="175">
        <v>73.587994864251058</v>
      </c>
      <c r="C19" s="201">
        <v>217.23010031621416</v>
      </c>
      <c r="D19" s="175">
        <v>291.70669910926472</v>
      </c>
      <c r="E19" s="201">
        <v>255.563923321739</v>
      </c>
      <c r="F19" s="175">
        <v>220.19947068950168</v>
      </c>
      <c r="G19" s="154">
        <v>3.9964103229122021E-2</v>
      </c>
      <c r="I19" s="185">
        <v>177.06647582891381</v>
      </c>
    </row>
    <row r="20" spans="1:9" ht="20" customHeight="1" thickBot="1">
      <c r="A20" s="152" t="s">
        <v>523</v>
      </c>
      <c r="B20" s="175">
        <v>51.815937596950761</v>
      </c>
      <c r="C20" s="201">
        <v>202.82176730317107</v>
      </c>
      <c r="D20" s="175">
        <v>287.96178556195349</v>
      </c>
      <c r="E20" s="201">
        <v>246.9243661146933</v>
      </c>
      <c r="F20" s="175">
        <v>207.98327517734262</v>
      </c>
      <c r="G20" s="154">
        <v>8.1915213383869326E-2</v>
      </c>
      <c r="I20" s="185">
        <v>165.60622548393192</v>
      </c>
    </row>
    <row r="21" spans="1:9" ht="20" customHeight="1" thickBot="1">
      <c r="A21" s="152" t="s">
        <v>2047</v>
      </c>
      <c r="B21" s="175">
        <v>52.215481315891147</v>
      </c>
      <c r="C21" s="201">
        <v>164.92280727678718</v>
      </c>
      <c r="D21" s="175">
        <v>230.02961679319722</v>
      </c>
      <c r="E21" s="201">
        <v>198.19073230863125</v>
      </c>
      <c r="F21" s="175">
        <v>165.28560098531361</v>
      </c>
      <c r="G21" s="154">
        <v>7.7313119956076357E-2</v>
      </c>
      <c r="I21" s="185">
        <v>125.02923450612184</v>
      </c>
    </row>
    <row r="22" spans="1:9" ht="20" customHeight="1" thickBot="1">
      <c r="A22" s="152" t="s">
        <v>2048</v>
      </c>
      <c r="B22" s="175">
        <v>42.311015400678677</v>
      </c>
      <c r="C22" s="201">
        <v>151.08889477401129</v>
      </c>
      <c r="D22" s="175">
        <v>208.0244323342416</v>
      </c>
      <c r="E22" s="201">
        <v>179.19953430055526</v>
      </c>
      <c r="F22" s="175">
        <v>144.24083088823687</v>
      </c>
      <c r="G22" s="154">
        <v>4.8199444129314171E-2</v>
      </c>
      <c r="I22" s="185">
        <v>109.87124540182084</v>
      </c>
    </row>
    <row r="23" spans="1:9" ht="20" customHeight="1" thickBot="1">
      <c r="A23" s="152" t="s">
        <v>2049</v>
      </c>
      <c r="B23" s="175">
        <v>58.158254127461753</v>
      </c>
      <c r="C23" s="201">
        <v>181.74268693924918</v>
      </c>
      <c r="D23" s="175">
        <v>248.03650903462912</v>
      </c>
      <c r="E23" s="201">
        <v>215.67848821041707</v>
      </c>
      <c r="F23" s="175">
        <v>179.97756677412301</v>
      </c>
      <c r="G23" s="154">
        <v>7.6712734771566232E-2</v>
      </c>
      <c r="I23" s="185">
        <v>134.24530167185685</v>
      </c>
    </row>
    <row r="24" spans="1:9" ht="20" customHeight="1" thickBot="1">
      <c r="A24" s="152" t="s">
        <v>2050</v>
      </c>
      <c r="B24" s="175">
        <v>60.251262199821603</v>
      </c>
      <c r="C24" s="201">
        <v>180.4976268699356</v>
      </c>
      <c r="D24" s="175">
        <v>245.50135491011793</v>
      </c>
      <c r="E24" s="201">
        <v>213.33400327742433</v>
      </c>
      <c r="F24" s="175">
        <v>182.97802979563798</v>
      </c>
      <c r="G24" s="154">
        <v>8.8574226204742271E-2</v>
      </c>
      <c r="I24" s="185">
        <v>132.91701511018809</v>
      </c>
    </row>
    <row r="25" spans="1:9" ht="20" customHeight="1" thickBot="1">
      <c r="A25" s="152" t="s">
        <v>2051</v>
      </c>
      <c r="B25" s="175">
        <v>57.17726389025416</v>
      </c>
      <c r="C25" s="201">
        <v>187.05786794667827</v>
      </c>
      <c r="D25" s="175">
        <v>254.76237572919231</v>
      </c>
      <c r="E25" s="201">
        <v>221.40521744696878</v>
      </c>
      <c r="F25" s="175">
        <v>186.22623388442994</v>
      </c>
      <c r="G25" s="154">
        <v>5.5190674834437771E-2</v>
      </c>
      <c r="I25" s="185">
        <v>145.05617363699608</v>
      </c>
    </row>
    <row r="26" spans="1:9" ht="20" customHeight="1" thickBot="1">
      <c r="A26" s="152" t="s">
        <v>2052</v>
      </c>
      <c r="B26" s="175">
        <v>57.811885414555348</v>
      </c>
      <c r="C26" s="201">
        <v>190.79491257009644</v>
      </c>
      <c r="D26" s="175">
        <v>255.89417390003538</v>
      </c>
      <c r="E26" s="201">
        <v>223.8615351898903</v>
      </c>
      <c r="F26" s="175">
        <v>185.37277837571574</v>
      </c>
      <c r="G26" s="154">
        <v>3.6959763434137642E-2</v>
      </c>
      <c r="I26" s="185">
        <v>145.7338374894791</v>
      </c>
    </row>
    <row r="27" spans="1:9" ht="20" customHeight="1" thickBot="1">
      <c r="A27" s="152" t="s">
        <v>2053</v>
      </c>
      <c r="B27" s="175">
        <v>74.851474355638061</v>
      </c>
      <c r="C27" s="201">
        <v>254.72202134774716</v>
      </c>
      <c r="D27" s="175">
        <v>328.72817886155042</v>
      </c>
      <c r="E27" s="201">
        <v>293.78740823228571</v>
      </c>
      <c r="F27" s="175">
        <v>253.88435209602042</v>
      </c>
      <c r="G27" s="154">
        <v>7.5935840655751699E-3</v>
      </c>
      <c r="I27" s="185">
        <v>199.67764846714121</v>
      </c>
    </row>
    <row r="28" spans="1:9" ht="20" customHeight="1" thickBot="1">
      <c r="A28" s="152" t="s">
        <v>2054</v>
      </c>
      <c r="B28" s="175">
        <v>81.64237169040365</v>
      </c>
      <c r="C28" s="201">
        <v>253.02125546993912</v>
      </c>
      <c r="D28" s="175">
        <v>352.52626982796284</v>
      </c>
      <c r="E28" s="201">
        <v>305.17305759105142</v>
      </c>
      <c r="F28" s="175">
        <v>256.02176031094615</v>
      </c>
      <c r="G28" s="154">
        <v>4.6079817379115193E-2</v>
      </c>
      <c r="I28" s="185">
        <v>203.24357993536964</v>
      </c>
    </row>
    <row r="29" spans="1:9" ht="20" customHeight="1" thickBot="1">
      <c r="A29" s="152" t="s">
        <v>2055</v>
      </c>
      <c r="B29" s="175">
        <v>56.842710158204625</v>
      </c>
      <c r="C29" s="201">
        <v>188.02875846814445</v>
      </c>
      <c r="D29" s="175">
        <v>249.62171419456652</v>
      </c>
      <c r="E29" s="201">
        <v>219.51920595469031</v>
      </c>
      <c r="F29" s="175">
        <v>184.99380918919962</v>
      </c>
      <c r="G29" s="154">
        <v>1.8454043133295926E-2</v>
      </c>
      <c r="I29" s="185">
        <v>144.85185631308477</v>
      </c>
    </row>
    <row r="30" spans="1:9" ht="20" customHeight="1" thickBot="1">
      <c r="A30" s="152" t="s">
        <v>2056</v>
      </c>
      <c r="B30" s="175">
        <v>70.748345803079246</v>
      </c>
      <c r="C30" s="201">
        <v>255.50279984835799</v>
      </c>
      <c r="D30" s="175">
        <v>356.79012883677154</v>
      </c>
      <c r="E30" s="201">
        <v>308.47982499761406</v>
      </c>
      <c r="F30" s="175">
        <v>257.51072945707523</v>
      </c>
      <c r="G30" s="154">
        <v>6.4027285274843859E-2</v>
      </c>
      <c r="I30" s="185">
        <v>184.5803903521614</v>
      </c>
    </row>
    <row r="31" spans="1:9" ht="20" customHeight="1" thickBot="1">
      <c r="A31" s="152" t="s">
        <v>2057</v>
      </c>
      <c r="B31" s="175">
        <v>92.467622883542049</v>
      </c>
      <c r="C31" s="201">
        <v>283.02607880705494</v>
      </c>
      <c r="D31" s="175">
        <v>404.6003426178861</v>
      </c>
      <c r="E31" s="201">
        <v>347.2194269229667</v>
      </c>
      <c r="F31" s="175">
        <v>292.81443458380392</v>
      </c>
      <c r="G31" s="154">
        <v>5.5430320806282601E-2</v>
      </c>
      <c r="I31" s="185">
        <v>244.01642882305748</v>
      </c>
    </row>
    <row r="32" spans="1:9" ht="20" customHeight="1" thickBot="1">
      <c r="A32" s="186" t="s">
        <v>2058</v>
      </c>
      <c r="B32" s="175">
        <v>58.874831989247305</v>
      </c>
      <c r="C32" s="201">
        <v>240.35171818007294</v>
      </c>
      <c r="D32" s="175">
        <v>310.67790130575275</v>
      </c>
      <c r="E32" s="201">
        <v>276.62350745112616</v>
      </c>
      <c r="F32" s="175">
        <v>227.01455375811599</v>
      </c>
      <c r="G32" s="154">
        <v>8.8421465363646673E-2</v>
      </c>
      <c r="I32" s="185">
        <v>200.58331332206401</v>
      </c>
    </row>
    <row r="33" spans="1:9" s="205" customFormat="1" ht="30" customHeight="1" thickBot="1">
      <c r="A33" s="187" t="s">
        <v>2059</v>
      </c>
      <c r="B33" s="202">
        <v>65.371523608466632</v>
      </c>
      <c r="C33" s="203">
        <v>213.94508033706487</v>
      </c>
      <c r="D33" s="202">
        <v>294.49750084022691</v>
      </c>
      <c r="E33" s="203">
        <v>255.50856011733981</v>
      </c>
      <c r="F33" s="202">
        <v>216.11261577141033</v>
      </c>
      <c r="G33" s="204">
        <v>6.8667368515285612E-2</v>
      </c>
      <c r="I33" s="206">
        <v>167.9825427102873</v>
      </c>
    </row>
    <row r="34" spans="1:9" ht="20" customHeight="1">
      <c r="A34" s="155" t="s">
        <v>2132</v>
      </c>
      <c r="B34" s="207"/>
      <c r="C34" s="207"/>
      <c r="D34" s="207"/>
      <c r="E34" s="207"/>
      <c r="F34" s="207"/>
      <c r="G34" s="157"/>
    </row>
    <row r="35" spans="1:9" ht="14.25" customHeight="1">
      <c r="A35" s="4"/>
      <c r="B35" s="208"/>
      <c r="C35" s="208"/>
      <c r="D35" s="208"/>
      <c r="E35" s="208"/>
      <c r="F35" s="208"/>
      <c r="G35" s="159"/>
    </row>
    <row r="36" spans="1:9" ht="20" customHeight="1">
      <c r="A36" s="4" t="s">
        <v>2068</v>
      </c>
      <c r="B36" s="208"/>
      <c r="C36" s="208"/>
      <c r="D36" s="208"/>
      <c r="E36" s="208"/>
      <c r="F36" s="208"/>
      <c r="G36" s="159"/>
    </row>
    <row r="37" spans="1:9" ht="9.75" customHeight="1">
      <c r="A37" s="4"/>
      <c r="B37" s="208"/>
      <c r="C37" s="208"/>
      <c r="D37" s="208"/>
      <c r="E37" s="208"/>
      <c r="F37" s="208"/>
      <c r="G37" s="159"/>
    </row>
    <row r="38" spans="1:9" ht="12" customHeight="1">
      <c r="A38" s="4" t="s">
        <v>2070</v>
      </c>
    </row>
    <row r="39" spans="1:9" ht="12" customHeight="1"/>
    <row r="40" spans="1:9" ht="12" customHeight="1"/>
    <row r="41" spans="1:9">
      <c r="A41" s="4" t="s">
        <v>104</v>
      </c>
    </row>
  </sheetData>
  <mergeCells count="1">
    <mergeCell ref="A2:F2"/>
  </mergeCells>
  <phoneticPr fontId="0" type="noConversion"/>
  <pageMargins left="0.78740157480314965" right="0.78740157480314965" top="1.48" bottom="0.49" header="0.92" footer="0.4921259845"/>
  <pageSetup paperSize="9" scale="80" orientation="portrait" horizontalDpi="4294967292" verticalDpi="4294967292"/>
  <headerFooter alignWithMargins="0">
    <oddHeader>&amp;L&amp;"Arial,Bold"Leistungen und Kostenbetieligung in der OKP</oddHead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F1044-A082-4C4C-90E7-70394D24A332}">
  <dimension ref="A1:K47"/>
  <sheetViews>
    <sheetView topLeftCell="A15" zoomScale="75" workbookViewId="0">
      <selection activeCell="A24" sqref="A24"/>
    </sheetView>
  </sheetViews>
  <sheetFormatPr baseColWidth="10" defaultColWidth="11.3984375" defaultRowHeight="13"/>
  <cols>
    <col min="1" max="1" width="13.796875" style="2" customWidth="1"/>
    <col min="2" max="2" width="14.796875" style="161" customWidth="1"/>
    <col min="3" max="3" width="14.796875" style="162" customWidth="1"/>
    <col min="4" max="4" width="14.796875" style="161" customWidth="1"/>
    <col min="5" max="5" width="14.796875" style="162" customWidth="1"/>
    <col min="6" max="6" width="14.796875" style="161" customWidth="1"/>
    <col min="7" max="7" width="14.796875" style="162" customWidth="1"/>
    <col min="8" max="8" width="7.3984375" style="2" customWidth="1"/>
    <col min="9" max="9" width="8" style="2" customWidth="1"/>
    <col min="10" max="10" width="7.796875" style="2" customWidth="1"/>
    <col min="11" max="11" width="9" style="2" customWidth="1"/>
    <col min="12" max="16384" width="11.3984375" style="2"/>
  </cols>
  <sheetData>
    <row r="1" spans="1:11" s="1" customFormat="1" ht="19.5" customHeight="1">
      <c r="A1" s="134"/>
      <c r="B1" s="135"/>
      <c r="C1" s="193"/>
      <c r="D1" s="216"/>
      <c r="E1" s="193"/>
      <c r="F1" s="216"/>
      <c r="G1" s="193"/>
    </row>
    <row r="2" spans="1:11" s="1" customFormat="1" ht="43.5" customHeight="1">
      <c r="A2" s="1730" t="s">
        <v>2105</v>
      </c>
      <c r="B2" s="1716"/>
      <c r="C2" s="1716"/>
      <c r="D2" s="1716"/>
      <c r="E2" s="1716"/>
      <c r="F2" s="1716"/>
      <c r="G2" s="138">
        <v>2004</v>
      </c>
    </row>
    <row r="3" spans="1:11" ht="27" customHeight="1">
      <c r="A3" s="139" t="s">
        <v>449</v>
      </c>
      <c r="B3" s="140" t="s">
        <v>450</v>
      </c>
      <c r="C3" s="141" t="s">
        <v>451</v>
      </c>
      <c r="D3" s="140" t="s">
        <v>452</v>
      </c>
      <c r="E3" s="141" t="s">
        <v>451</v>
      </c>
      <c r="F3" s="140" t="s">
        <v>652</v>
      </c>
      <c r="G3" s="141" t="s">
        <v>451</v>
      </c>
    </row>
    <row r="4" spans="1:11" ht="15" customHeight="1">
      <c r="A4" s="142"/>
      <c r="B4" s="143"/>
      <c r="C4" s="144" t="s">
        <v>486</v>
      </c>
      <c r="D4" s="143"/>
      <c r="E4" s="144" t="s">
        <v>486</v>
      </c>
      <c r="F4" s="143"/>
      <c r="G4" s="144" t="s">
        <v>486</v>
      </c>
    </row>
    <row r="5" spans="1:11" ht="15" customHeight="1">
      <c r="A5" s="142"/>
      <c r="B5" s="143"/>
      <c r="C5" s="144" t="s">
        <v>454</v>
      </c>
      <c r="D5" s="143"/>
      <c r="E5" s="144" t="s">
        <v>454</v>
      </c>
      <c r="F5" s="143"/>
      <c r="G5" s="144" t="s">
        <v>454</v>
      </c>
    </row>
    <row r="6" spans="1:11" ht="19.5" customHeight="1">
      <c r="A6" s="145"/>
      <c r="B6" s="146"/>
      <c r="C6" s="147"/>
      <c r="D6" s="146"/>
      <c r="E6" s="147"/>
      <c r="F6" s="146"/>
      <c r="G6" s="147"/>
    </row>
    <row r="7" spans="1:11" ht="30" customHeight="1" thickBot="1">
      <c r="A7" s="148" t="s">
        <v>455</v>
      </c>
      <c r="B7" s="149">
        <v>66.49251409092372</v>
      </c>
      <c r="C7" s="150">
        <v>5.3055825489748173E-2</v>
      </c>
      <c r="D7" s="149">
        <v>64.192095221043601</v>
      </c>
      <c r="E7" s="150">
        <v>6.5923602742399195E-2</v>
      </c>
      <c r="F7" s="149">
        <v>65.371395904351672</v>
      </c>
      <c r="G7" s="150">
        <v>5.9184999360919074E-2</v>
      </c>
      <c r="I7" s="3"/>
      <c r="J7" s="3"/>
      <c r="K7" s="3"/>
    </row>
    <row r="8" spans="1:11" ht="20" customHeight="1" thickBot="1">
      <c r="A8" s="152" t="s">
        <v>456</v>
      </c>
      <c r="B8" s="153">
        <v>72.967893043634959</v>
      </c>
      <c r="C8" s="154">
        <v>3.0031668696303762E-2</v>
      </c>
      <c r="D8" s="153">
        <v>123.02253473730981</v>
      </c>
      <c r="E8" s="154">
        <v>4.9822754026087927E-2</v>
      </c>
      <c r="F8" s="153">
        <v>97.731544428712112</v>
      </c>
      <c r="G8" s="154">
        <v>4.2045102831473537E-2</v>
      </c>
      <c r="I8" s="3"/>
      <c r="J8" s="3"/>
      <c r="K8" s="3"/>
    </row>
    <row r="9" spans="1:11" ht="20" customHeight="1" thickBot="1">
      <c r="A9" s="152" t="s">
        <v>457</v>
      </c>
      <c r="B9" s="153">
        <v>79.352631341499176</v>
      </c>
      <c r="C9" s="154">
        <v>4.4971454479235166E-2</v>
      </c>
      <c r="D9" s="153">
        <v>169.03546732672709</v>
      </c>
      <c r="E9" s="154">
        <v>6.3837835745090304E-2</v>
      </c>
      <c r="F9" s="153">
        <v>124.20466771393613</v>
      </c>
      <c r="G9" s="154">
        <v>5.788327111937324E-2</v>
      </c>
      <c r="I9" s="3"/>
      <c r="J9" s="3"/>
      <c r="K9" s="3"/>
    </row>
    <row r="10" spans="1:11" ht="20" customHeight="1" thickBot="1">
      <c r="A10" s="152" t="s">
        <v>458</v>
      </c>
      <c r="B10" s="153">
        <v>92.482102786034844</v>
      </c>
      <c r="C10" s="154">
        <v>5.2605523710709999E-2</v>
      </c>
      <c r="D10" s="153">
        <v>189.15458801294855</v>
      </c>
      <c r="E10" s="154">
        <v>7.3198838051075132E-2</v>
      </c>
      <c r="F10" s="153">
        <v>140.98189725800285</v>
      </c>
      <c r="G10" s="154">
        <v>6.6419284517968372E-2</v>
      </c>
      <c r="I10" s="3"/>
      <c r="J10" s="3"/>
      <c r="K10" s="3"/>
    </row>
    <row r="11" spans="1:11" ht="20" customHeight="1" thickBot="1">
      <c r="A11" s="152" t="s">
        <v>459</v>
      </c>
      <c r="B11" s="153">
        <v>108.22506549719732</v>
      </c>
      <c r="C11" s="154">
        <v>4.6236357502315487E-2</v>
      </c>
      <c r="D11" s="153">
        <v>177.50917028418277</v>
      </c>
      <c r="E11" s="154">
        <v>7.4605838159621546E-2</v>
      </c>
      <c r="F11" s="153">
        <v>142.68633202234474</v>
      </c>
      <c r="G11" s="154">
        <v>6.4210174773697684E-2</v>
      </c>
      <c r="I11" s="3"/>
      <c r="J11" s="3"/>
      <c r="K11" s="3"/>
    </row>
    <row r="12" spans="1:11" ht="20" customHeight="1" thickBot="1">
      <c r="A12" s="152" t="s">
        <v>460</v>
      </c>
      <c r="B12" s="153">
        <v>129.00956670669677</v>
      </c>
      <c r="C12" s="154">
        <v>5.3668085609326489E-2</v>
      </c>
      <c r="D12" s="153">
        <v>177.82109458753067</v>
      </c>
      <c r="E12" s="154">
        <v>6.3848492782574581E-2</v>
      </c>
      <c r="F12" s="153">
        <v>153.19627262300659</v>
      </c>
      <c r="G12" s="154">
        <v>5.9736254951813589E-2</v>
      </c>
      <c r="I12" s="3"/>
      <c r="J12" s="3"/>
      <c r="K12" s="3"/>
    </row>
    <row r="13" spans="1:11" ht="20" customHeight="1" thickBot="1">
      <c r="A13" s="152" t="s">
        <v>461</v>
      </c>
      <c r="B13" s="153">
        <v>157.39119127351765</v>
      </c>
      <c r="C13" s="154">
        <v>5.0881492617895943E-2</v>
      </c>
      <c r="D13" s="153">
        <v>205.67432819619572</v>
      </c>
      <c r="E13" s="154">
        <v>6.1187457394113749E-2</v>
      </c>
      <c r="F13" s="153">
        <v>181.21459118815321</v>
      </c>
      <c r="G13" s="154">
        <v>5.630367539138887E-2</v>
      </c>
      <c r="I13" s="3"/>
      <c r="J13" s="3"/>
      <c r="K13" s="3"/>
    </row>
    <row r="14" spans="1:11" ht="20" customHeight="1" thickBot="1">
      <c r="A14" s="152" t="s">
        <v>462</v>
      </c>
      <c r="B14" s="153">
        <v>200.32904338500859</v>
      </c>
      <c r="C14" s="154">
        <v>6.3505430999949125E-2</v>
      </c>
      <c r="D14" s="153">
        <v>244.13856540362983</v>
      </c>
      <c r="E14" s="154">
        <v>5.5151686207089004E-2</v>
      </c>
      <c r="F14" s="153">
        <v>222.18631525308572</v>
      </c>
      <c r="G14" s="154">
        <v>5.8989609048111839E-2</v>
      </c>
      <c r="I14" s="3"/>
      <c r="J14" s="3"/>
      <c r="K14" s="3"/>
    </row>
    <row r="15" spans="1:11" ht="20" customHeight="1" thickBot="1">
      <c r="A15" s="152" t="s">
        <v>463</v>
      </c>
      <c r="B15" s="153">
        <v>259.73044797733041</v>
      </c>
      <c r="C15" s="154">
        <v>7.6101813458418002E-2</v>
      </c>
      <c r="D15" s="153">
        <v>285.92940010897047</v>
      </c>
      <c r="E15" s="154">
        <v>5.3960053500620393E-2</v>
      </c>
      <c r="F15" s="153">
        <v>272.8401919270234</v>
      </c>
      <c r="G15" s="154">
        <v>6.4417471973314475E-2</v>
      </c>
      <c r="I15" s="3"/>
      <c r="J15" s="3"/>
      <c r="K15" s="3"/>
    </row>
    <row r="16" spans="1:11" ht="20" customHeight="1" thickBot="1">
      <c r="A16" s="152" t="s">
        <v>464</v>
      </c>
      <c r="B16" s="153">
        <v>322.40127663659052</v>
      </c>
      <c r="C16" s="154">
        <v>7.0607719608470204E-2</v>
      </c>
      <c r="D16" s="153">
        <v>331.17722957072141</v>
      </c>
      <c r="E16" s="154">
        <v>6.4906608663500065E-2</v>
      </c>
      <c r="F16" s="153">
        <v>326.89925706799204</v>
      </c>
      <c r="G16" s="154">
        <v>6.7576117349024856E-2</v>
      </c>
      <c r="I16" s="3"/>
      <c r="J16" s="3"/>
      <c r="K16" s="3"/>
    </row>
    <row r="17" spans="1:11" ht="20" customHeight="1" thickBot="1">
      <c r="A17" s="152" t="s">
        <v>465</v>
      </c>
      <c r="B17" s="153">
        <v>409.92173515052883</v>
      </c>
      <c r="C17" s="154">
        <v>6.4905221125756266E-2</v>
      </c>
      <c r="D17" s="153">
        <v>393.50015144046603</v>
      </c>
      <c r="E17" s="154">
        <v>7.0145403508103263E-2</v>
      </c>
      <c r="F17" s="153">
        <v>401.16757423313265</v>
      </c>
      <c r="G17" s="154">
        <v>6.7736074984605169E-2</v>
      </c>
      <c r="I17" s="3"/>
      <c r="J17" s="3"/>
      <c r="K17" s="3"/>
    </row>
    <row r="18" spans="1:11" ht="20" customHeight="1" thickBot="1">
      <c r="A18" s="152" t="s">
        <v>466</v>
      </c>
      <c r="B18" s="153">
        <v>505.04856322545908</v>
      </c>
      <c r="C18" s="154">
        <v>7.1083590873069299E-2</v>
      </c>
      <c r="D18" s="153">
        <v>479.38611449516969</v>
      </c>
      <c r="E18" s="154">
        <v>7.7976660688396968E-2</v>
      </c>
      <c r="F18" s="153">
        <v>490.64775615308321</v>
      </c>
      <c r="G18" s="154">
        <v>7.5030822161069835E-2</v>
      </c>
      <c r="I18" s="3"/>
      <c r="J18" s="3"/>
      <c r="K18" s="3"/>
    </row>
    <row r="19" spans="1:11" ht="20" customHeight="1" thickBot="1">
      <c r="A19" s="152" t="s">
        <v>467</v>
      </c>
      <c r="B19" s="153">
        <v>598.17602541284043</v>
      </c>
      <c r="C19" s="154">
        <v>6.3529014236719167E-2</v>
      </c>
      <c r="D19" s="153">
        <v>591.32222770467831</v>
      </c>
      <c r="E19" s="154">
        <v>6.6070319512248718E-2</v>
      </c>
      <c r="F19" s="153">
        <v>594.07060715792181</v>
      </c>
      <c r="G19" s="154">
        <v>6.5070718358399171E-2</v>
      </c>
      <c r="I19" s="3"/>
      <c r="J19" s="3"/>
      <c r="K19" s="3"/>
    </row>
    <row r="20" spans="1:11" ht="20" customHeight="1" thickBot="1">
      <c r="A20" s="152" t="s">
        <v>468</v>
      </c>
      <c r="B20" s="153">
        <v>704.79467265796109</v>
      </c>
      <c r="C20" s="154">
        <v>6.5497306875895514E-2</v>
      </c>
      <c r="D20" s="153">
        <v>756.99492052478672</v>
      </c>
      <c r="E20" s="154">
        <v>6.1202920168801571E-2</v>
      </c>
      <c r="F20" s="153">
        <v>737.95275973241883</v>
      </c>
      <c r="G20" s="154">
        <v>6.2652703698156981E-2</v>
      </c>
      <c r="I20" s="3"/>
      <c r="J20" s="3"/>
      <c r="K20" s="3"/>
    </row>
    <row r="21" spans="1:11" ht="20" customHeight="1" thickBot="1">
      <c r="A21" s="152" t="s">
        <v>469</v>
      </c>
      <c r="B21" s="153">
        <v>862.59449846595408</v>
      </c>
      <c r="C21" s="154">
        <v>8.1123663756815304E-2</v>
      </c>
      <c r="D21" s="153">
        <v>1015.1103467648087</v>
      </c>
      <c r="E21" s="154">
        <v>6.2182160647223719E-2</v>
      </c>
      <c r="F21" s="153">
        <v>966.81632017487163</v>
      </c>
      <c r="G21" s="154">
        <v>6.6757314968389311E-2</v>
      </c>
      <c r="I21" s="3"/>
      <c r="J21" s="3"/>
      <c r="K21" s="3"/>
    </row>
    <row r="22" spans="1:11" ht="20" customHeight="1" thickBot="1">
      <c r="A22" s="152" t="s">
        <v>470</v>
      </c>
      <c r="B22" s="153">
        <v>1104.6871057683518</v>
      </c>
      <c r="C22" s="154">
        <v>5.0966705675236958E-2</v>
      </c>
      <c r="D22" s="153">
        <v>1382.2660503262978</v>
      </c>
      <c r="E22" s="154">
        <v>4.3323108976698679E-2</v>
      </c>
      <c r="F22" s="153">
        <v>1314.7251540360789</v>
      </c>
      <c r="G22" s="154">
        <v>4.4055199094097559E-2</v>
      </c>
      <c r="I22" s="3"/>
      <c r="J22" s="3"/>
      <c r="K22" s="3"/>
    </row>
    <row r="23" spans="1:11" s="219" customFormat="1" ht="21" customHeight="1" thickBot="1">
      <c r="A23" s="187" t="s">
        <v>652</v>
      </c>
      <c r="B23" s="218">
        <v>181.97805974977254</v>
      </c>
      <c r="C23" s="204">
        <v>6.9925001364957426E-2</v>
      </c>
      <c r="D23" s="218">
        <v>248.90199614003586</v>
      </c>
      <c r="E23" s="204">
        <v>6.7894235277956433E-2</v>
      </c>
      <c r="F23" s="218">
        <v>216.11252829690577</v>
      </c>
      <c r="G23" s="204">
        <v>6.8666935957712436E-2</v>
      </c>
      <c r="I23" s="220"/>
      <c r="J23" s="220"/>
      <c r="K23" s="220"/>
    </row>
    <row r="24" spans="1:11" ht="20" customHeight="1">
      <c r="A24" s="155" t="s">
        <v>2132</v>
      </c>
      <c r="B24" s="156"/>
      <c r="C24" s="157"/>
      <c r="D24" s="156"/>
      <c r="E24" s="157"/>
      <c r="F24" s="156"/>
      <c r="G24" s="157"/>
    </row>
    <row r="25" spans="1:11" ht="12.75" customHeight="1">
      <c r="A25" s="4"/>
      <c r="B25" s="158"/>
      <c r="C25" s="159"/>
      <c r="D25" s="158"/>
      <c r="E25" s="159"/>
      <c r="F25" s="158"/>
      <c r="G25" s="159"/>
    </row>
    <row r="26" spans="1:11" ht="13.5" customHeight="1">
      <c r="A26" s="4" t="s">
        <v>471</v>
      </c>
      <c r="B26" s="158"/>
      <c r="C26" s="159"/>
      <c r="D26" s="158"/>
      <c r="E26" s="159"/>
      <c r="F26" s="158"/>
      <c r="G26" s="159"/>
    </row>
    <row r="27" spans="1:11" ht="24" customHeight="1">
      <c r="A27" s="4"/>
      <c r="B27" s="158"/>
      <c r="C27" s="159"/>
      <c r="D27" s="158"/>
      <c r="E27" s="159"/>
      <c r="F27" s="158"/>
      <c r="G27" s="159"/>
    </row>
    <row r="28" spans="1:11" ht="20.25" customHeight="1">
      <c r="A28" s="515" t="s">
        <v>2102</v>
      </c>
      <c r="B28" s="645"/>
      <c r="C28" s="646"/>
      <c r="D28" s="645"/>
      <c r="E28" s="646"/>
      <c r="F28" s="645"/>
      <c r="G28" s="646"/>
    </row>
    <row r="29" spans="1:11" ht="20.25" customHeight="1" thickBot="1">
      <c r="A29" s="148" t="s">
        <v>2090</v>
      </c>
      <c r="B29" s="149">
        <v>82.85</v>
      </c>
      <c r="C29" s="150">
        <v>7.7968968545685094E-2</v>
      </c>
      <c r="D29" s="149">
        <v>71.665000000000006</v>
      </c>
      <c r="E29" s="150">
        <v>6.3397262306636615E-2</v>
      </c>
      <c r="F29" s="149">
        <v>77.404166666666669</v>
      </c>
      <c r="G29" s="150">
        <v>7.1362661191722992E-2</v>
      </c>
    </row>
    <row r="30" spans="1:11" ht="20.25" customHeight="1" thickBot="1">
      <c r="A30" s="152" t="s">
        <v>2091</v>
      </c>
      <c r="B30" s="153">
        <v>59.612499999999997</v>
      </c>
      <c r="C30" s="154">
        <v>6.0076169588476835E-2</v>
      </c>
      <c r="D30" s="153">
        <v>47.816666666666663</v>
      </c>
      <c r="E30" s="154">
        <v>4.5630147969968643E-2</v>
      </c>
      <c r="F30" s="153">
        <v>53.865833333333335</v>
      </c>
      <c r="G30" s="154">
        <v>5.3816557435847255E-2</v>
      </c>
    </row>
    <row r="31" spans="1:11" ht="20.25" customHeight="1" thickBot="1">
      <c r="A31" s="152" t="s">
        <v>2092</v>
      </c>
      <c r="B31" s="153">
        <v>57.343333333333334</v>
      </c>
      <c r="C31" s="154">
        <v>2.3927147193619491E-2</v>
      </c>
      <c r="D31" s="153">
        <v>56.092500000000001</v>
      </c>
      <c r="E31" s="154">
        <v>5.7235302432971598E-2</v>
      </c>
      <c r="F31" s="153">
        <v>56.732500000000002</v>
      </c>
      <c r="G31" s="154">
        <v>3.9755024741890202E-2</v>
      </c>
      <c r="I31" s="221"/>
    </row>
    <row r="32" spans="1:11" ht="20.25" customHeight="1" thickBot="1">
      <c r="A32" s="152" t="s">
        <v>2093</v>
      </c>
      <c r="B32" s="153">
        <v>66.004166666666663</v>
      </c>
      <c r="C32" s="154">
        <v>2.9732962375516793E-2</v>
      </c>
      <c r="D32" s="153">
        <v>90.535833333333343</v>
      </c>
      <c r="E32" s="154">
        <v>6.0138563622170224E-2</v>
      </c>
      <c r="F32" s="153">
        <v>77.955833333333331</v>
      </c>
      <c r="G32" s="154">
        <v>4.657433097646111E-2</v>
      </c>
    </row>
    <row r="33" spans="1:7" ht="20.25" customHeight="1" thickBot="1">
      <c r="A33" s="152" t="s">
        <v>2094</v>
      </c>
      <c r="B33" s="153">
        <v>66.645833333333329</v>
      </c>
      <c r="C33" s="154">
        <v>2.6346859680192906E-2</v>
      </c>
      <c r="D33" s="153">
        <v>103.35</v>
      </c>
      <c r="E33" s="154">
        <v>5.0278194151571261E-2</v>
      </c>
      <c r="F33" s="153">
        <v>84.622500000000002</v>
      </c>
      <c r="G33" s="154">
        <v>4.0685817354499568E-2</v>
      </c>
    </row>
    <row r="34" spans="1:7" ht="20.25" customHeight="1" thickBot="1">
      <c r="A34" s="152" t="s">
        <v>2095</v>
      </c>
      <c r="B34" s="153">
        <v>74.694166666666675</v>
      </c>
      <c r="C34" s="154">
        <v>3.2721532842510448E-2</v>
      </c>
      <c r="D34" s="153">
        <v>129.89666666666668</v>
      </c>
      <c r="E34" s="154">
        <v>4.7208916418652484E-2</v>
      </c>
      <c r="F34" s="153">
        <v>102.01083333333334</v>
      </c>
      <c r="G34" s="154">
        <v>4.0847214073752976E-2</v>
      </c>
    </row>
    <row r="35" spans="1:7" ht="20.25" customHeight="1" thickBot="1">
      <c r="A35" s="152" t="s">
        <v>2096</v>
      </c>
      <c r="B35" s="153">
        <v>1088.6916666666666</v>
      </c>
      <c r="C35" s="154">
        <v>6.4792401221255472E-2</v>
      </c>
      <c r="D35" s="153">
        <v>1334.0758333333333</v>
      </c>
      <c r="E35" s="154">
        <v>5.4102654596885347E-2</v>
      </c>
      <c r="F35" s="153">
        <v>1271.8191666666667</v>
      </c>
      <c r="G35" s="154">
        <v>5.561219549309028E-2</v>
      </c>
    </row>
    <row r="36" spans="1:7" ht="20.25" customHeight="1" thickBot="1">
      <c r="A36" s="152" t="s">
        <v>2097</v>
      </c>
      <c r="B36" s="153">
        <v>1384.7750000000001</v>
      </c>
      <c r="C36" s="154">
        <v>6.863459427409474E-2</v>
      </c>
      <c r="D36" s="153">
        <v>1715.7191666666668</v>
      </c>
      <c r="E36" s="154">
        <v>2.0545609379135944E-2</v>
      </c>
      <c r="F36" s="153">
        <v>1651.9266666666665</v>
      </c>
      <c r="G36" s="154">
        <v>2.8340269992804704E-2</v>
      </c>
    </row>
    <row r="37" spans="1:7" ht="20.25" customHeight="1" thickBot="1">
      <c r="A37" s="647" t="s">
        <v>2098</v>
      </c>
      <c r="B37" s="350">
        <v>1614.4483333333335</v>
      </c>
      <c r="C37" s="648">
        <v>0.10518536435375068</v>
      </c>
      <c r="D37" s="350">
        <v>2004.7258333333332</v>
      </c>
      <c r="E37" s="648">
        <v>8.8432040835809342E-2</v>
      </c>
      <c r="F37" s="350">
        <v>1943.8508333333332</v>
      </c>
      <c r="G37" s="648">
        <v>8.6636163238990704E-2</v>
      </c>
    </row>
    <row r="38" spans="1:7">
      <c r="A38" s="493" t="s">
        <v>2103</v>
      </c>
    </row>
    <row r="39" spans="1:7">
      <c r="A39" s="231"/>
    </row>
    <row r="40" spans="1:7">
      <c r="A40" s="4" t="s">
        <v>2104</v>
      </c>
    </row>
    <row r="42" spans="1:7" ht="15.75" customHeight="1">
      <c r="A42" s="160" t="s">
        <v>2070</v>
      </c>
      <c r="B42" s="158"/>
      <c r="C42" s="159"/>
      <c r="D42" s="158"/>
      <c r="E42" s="159"/>
      <c r="F42" s="158"/>
      <c r="G42" s="159"/>
    </row>
    <row r="43" spans="1:7" ht="12" customHeight="1">
      <c r="A43" s="80" t="s">
        <v>2099</v>
      </c>
      <c r="B43" s="219"/>
      <c r="C43" s="2"/>
      <c r="D43" s="2"/>
      <c r="E43" s="2"/>
      <c r="F43" s="219"/>
      <c r="G43" s="518"/>
    </row>
    <row r="44" spans="1:7" ht="12" customHeight="1">
      <c r="A44" s="2" t="s">
        <v>2100</v>
      </c>
      <c r="B44" s="219"/>
      <c r="C44" s="2"/>
      <c r="D44" s="2"/>
      <c r="E44" s="2"/>
      <c r="F44" s="219"/>
      <c r="G44" s="518"/>
    </row>
    <row r="45" spans="1:7" ht="12" customHeight="1">
      <c r="B45" s="219"/>
      <c r="C45" s="2"/>
      <c r="D45" s="2"/>
      <c r="E45" s="2"/>
      <c r="F45" s="219"/>
      <c r="G45" s="518"/>
    </row>
    <row r="46" spans="1:7" ht="15.75" customHeight="1">
      <c r="A46" s="160"/>
      <c r="B46" s="158"/>
      <c r="C46" s="159"/>
      <c r="D46" s="158"/>
      <c r="E46" s="159"/>
      <c r="F46" s="158"/>
      <c r="G46" s="159"/>
    </row>
    <row r="47" spans="1:7" ht="18" customHeight="1">
      <c r="A47" s="4" t="s">
        <v>104</v>
      </c>
    </row>
  </sheetData>
  <mergeCells count="1">
    <mergeCell ref="A2:F2"/>
  </mergeCells>
  <phoneticPr fontId="0" type="noConversion"/>
  <pageMargins left="0.6" right="0.56999999999999995" top="0.78" bottom="0.49" header="0.38" footer="0.4921259845"/>
  <pageSetup paperSize="9" scale="80" orientation="portrait" horizontalDpi="1200" verticalDpi="1200"/>
  <headerFooter alignWithMargins="0">
    <oddHeader>&amp;L&amp;"Arial,Bold"Leistungen und Kostenbeteiligung in der OKP</oddHead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76467-8998-8549-8715-2E42A166E474}">
  <dimension ref="A1:I42"/>
  <sheetViews>
    <sheetView zoomScale="75" workbookViewId="0">
      <selection activeCell="D7" sqref="D7"/>
    </sheetView>
  </sheetViews>
  <sheetFormatPr baseColWidth="10" defaultColWidth="11.3984375" defaultRowHeight="13"/>
  <cols>
    <col min="1" max="4" width="14.796875" style="2" customWidth="1"/>
    <col min="5" max="5" width="15.59765625" style="2" customWidth="1"/>
    <col min="6" max="6" width="16.19921875" style="2" customWidth="1"/>
    <col min="7" max="7" width="14.796875" style="162" customWidth="1"/>
    <col min="8" max="8" width="11.3984375" style="2"/>
    <col min="9" max="9" width="15.19921875" style="2" hidden="1" customWidth="1"/>
    <col min="10" max="16384" width="11.3984375" style="2"/>
  </cols>
  <sheetData>
    <row r="1" spans="1:9" s="1" customFormat="1" ht="14" customHeight="1">
      <c r="G1" s="193"/>
    </row>
    <row r="2" spans="1:9" s="1" customFormat="1" ht="28" customHeight="1">
      <c r="A2" s="178" t="s">
        <v>2113</v>
      </c>
      <c r="G2" s="178">
        <v>2004</v>
      </c>
    </row>
    <row r="3" spans="1:9" ht="27" customHeight="1">
      <c r="A3" s="139" t="s">
        <v>503</v>
      </c>
      <c r="B3" s="164" t="s">
        <v>504</v>
      </c>
      <c r="C3" s="141" t="s">
        <v>2063</v>
      </c>
      <c r="D3" s="164" t="s">
        <v>2064</v>
      </c>
      <c r="E3" s="141" t="s">
        <v>652</v>
      </c>
      <c r="F3" s="164" t="s">
        <v>652</v>
      </c>
      <c r="G3" s="141" t="s">
        <v>451</v>
      </c>
    </row>
    <row r="4" spans="1:9" ht="15" customHeight="1">
      <c r="A4" s="142"/>
      <c r="B4" s="166"/>
      <c r="C4" s="142"/>
      <c r="D4" s="179"/>
      <c r="E4" s="144" t="s">
        <v>2065</v>
      </c>
      <c r="F4" s="166" t="s">
        <v>2066</v>
      </c>
      <c r="G4" s="144" t="s">
        <v>486</v>
      </c>
    </row>
    <row r="5" spans="1:9" ht="15" customHeight="1">
      <c r="A5" s="142"/>
      <c r="B5" s="166"/>
      <c r="C5" s="142"/>
      <c r="D5" s="179"/>
      <c r="E5" s="144" t="s">
        <v>2067</v>
      </c>
      <c r="F5" s="166" t="s">
        <v>506</v>
      </c>
      <c r="G5" s="144" t="s">
        <v>454</v>
      </c>
    </row>
    <row r="6" spans="1:9" ht="24" customHeight="1">
      <c r="A6" s="145"/>
      <c r="B6" s="180"/>
      <c r="C6" s="145"/>
      <c r="D6" s="180"/>
      <c r="E6" s="147"/>
      <c r="F6" s="168"/>
      <c r="G6" s="147"/>
    </row>
    <row r="7" spans="1:9" ht="30" customHeight="1" thickBot="1">
      <c r="A7" s="148" t="s">
        <v>510</v>
      </c>
      <c r="B7" s="175">
        <v>180713837</v>
      </c>
      <c r="C7" s="201">
        <v>1037113012</v>
      </c>
      <c r="D7" s="175">
        <v>1561021251</v>
      </c>
      <c r="E7" s="201">
        <v>2598134263</v>
      </c>
      <c r="F7" s="175">
        <v>2778848100</v>
      </c>
      <c r="G7" s="150">
        <v>9.2279143467776395E-2</v>
      </c>
      <c r="I7" s="9">
        <v>2156035045</v>
      </c>
    </row>
    <row r="8" spans="1:9" ht="20" customHeight="1" thickBot="1">
      <c r="A8" s="152" t="s">
        <v>511</v>
      </c>
      <c r="B8" s="176">
        <v>118135026</v>
      </c>
      <c r="C8" s="222">
        <v>859186372</v>
      </c>
      <c r="D8" s="176">
        <v>1266825686</v>
      </c>
      <c r="E8" s="222">
        <v>2126012058</v>
      </c>
      <c r="F8" s="176">
        <v>2244147084</v>
      </c>
      <c r="G8" s="154">
        <v>0.13650938648735514</v>
      </c>
      <c r="I8" s="9">
        <v>1563935884</v>
      </c>
    </row>
    <row r="9" spans="1:9" ht="20" customHeight="1" thickBot="1">
      <c r="A9" s="152" t="s">
        <v>512</v>
      </c>
      <c r="B9" s="176">
        <v>43705029</v>
      </c>
      <c r="C9" s="222">
        <v>243449502</v>
      </c>
      <c r="D9" s="176">
        <v>354989740</v>
      </c>
      <c r="E9" s="222">
        <v>598439242</v>
      </c>
      <c r="F9" s="176">
        <v>642144271</v>
      </c>
      <c r="G9" s="154">
        <v>7.9213199282233707E-2</v>
      </c>
      <c r="I9" s="9">
        <v>464604355</v>
      </c>
    </row>
    <row r="10" spans="1:9" ht="20" customHeight="1" thickBot="1">
      <c r="A10" s="152" t="s">
        <v>513</v>
      </c>
      <c r="B10" s="176">
        <v>4484203</v>
      </c>
      <c r="C10" s="222">
        <v>22711505</v>
      </c>
      <c r="D10" s="176">
        <v>31337892</v>
      </c>
      <c r="E10" s="222">
        <v>54049397</v>
      </c>
      <c r="F10" s="176">
        <v>58533600</v>
      </c>
      <c r="G10" s="154">
        <v>5.5706987095123034E-2</v>
      </c>
      <c r="I10" s="9">
        <v>45901795</v>
      </c>
    </row>
    <row r="11" spans="1:9" ht="20" customHeight="1" thickBot="1">
      <c r="A11" s="152" t="s">
        <v>514</v>
      </c>
      <c r="B11" s="176">
        <v>20810334</v>
      </c>
      <c r="C11" s="222">
        <v>93564599</v>
      </c>
      <c r="D11" s="176">
        <v>127609567</v>
      </c>
      <c r="E11" s="222">
        <v>221174166</v>
      </c>
      <c r="F11" s="176">
        <v>241984500</v>
      </c>
      <c r="G11" s="154">
        <v>8.5896232037968812E-2</v>
      </c>
      <c r="I11" s="9">
        <v>171549320</v>
      </c>
    </row>
    <row r="12" spans="1:9" ht="20" customHeight="1" thickBot="1">
      <c r="A12" s="152" t="s">
        <v>515</v>
      </c>
      <c r="B12" s="176">
        <v>4000541</v>
      </c>
      <c r="C12" s="222">
        <v>19717111</v>
      </c>
      <c r="D12" s="176">
        <v>30925780</v>
      </c>
      <c r="E12" s="222">
        <v>50642891</v>
      </c>
      <c r="F12" s="176">
        <v>54643432</v>
      </c>
      <c r="G12" s="154">
        <v>5.5586629184619429E-2</v>
      </c>
      <c r="I12" s="9">
        <v>41764939</v>
      </c>
    </row>
    <row r="13" spans="1:9" ht="20" customHeight="1" thickBot="1">
      <c r="A13" s="152" t="s">
        <v>516</v>
      </c>
      <c r="B13" s="176">
        <v>4463922</v>
      </c>
      <c r="C13" s="222">
        <v>22510352</v>
      </c>
      <c r="D13" s="176">
        <v>33211189</v>
      </c>
      <c r="E13" s="222">
        <v>55721541</v>
      </c>
      <c r="F13" s="176">
        <v>60185463</v>
      </c>
      <c r="G13" s="154">
        <v>4.2945238058888759E-2</v>
      </c>
      <c r="I13" s="9">
        <v>44323506</v>
      </c>
    </row>
    <row r="14" spans="1:9" ht="20" customHeight="1" thickBot="1">
      <c r="A14" s="152" t="s">
        <v>517</v>
      </c>
      <c r="B14" s="176">
        <v>5855440</v>
      </c>
      <c r="C14" s="222">
        <v>27736441</v>
      </c>
      <c r="D14" s="176">
        <v>38056588</v>
      </c>
      <c r="E14" s="222">
        <v>65793029</v>
      </c>
      <c r="F14" s="176">
        <v>71648469</v>
      </c>
      <c r="G14" s="154">
        <v>8.0344323120114344E-2</v>
      </c>
      <c r="I14" s="9">
        <v>55927154</v>
      </c>
    </row>
    <row r="15" spans="1:9" ht="20" customHeight="1" thickBot="1">
      <c r="A15" s="152" t="s">
        <v>518</v>
      </c>
      <c r="B15" s="176">
        <v>11475118</v>
      </c>
      <c r="C15" s="222">
        <v>66897329</v>
      </c>
      <c r="D15" s="176">
        <v>104404552</v>
      </c>
      <c r="E15" s="222">
        <v>171301881</v>
      </c>
      <c r="F15" s="176">
        <v>182776999</v>
      </c>
      <c r="G15" s="154">
        <v>6.159889012944831E-2</v>
      </c>
      <c r="I15" s="9">
        <v>128772453</v>
      </c>
    </row>
    <row r="16" spans="1:9" ht="20" customHeight="1" thickBot="1">
      <c r="A16" s="152" t="s">
        <v>519</v>
      </c>
      <c r="B16" s="176">
        <v>39829299</v>
      </c>
      <c r="C16" s="222">
        <v>189561899</v>
      </c>
      <c r="D16" s="176">
        <v>272854033</v>
      </c>
      <c r="E16" s="222">
        <v>462415932</v>
      </c>
      <c r="F16" s="176">
        <v>502245231</v>
      </c>
      <c r="G16" s="154">
        <v>5.7124442751738336E-2</v>
      </c>
      <c r="I16" s="9">
        <v>391250033</v>
      </c>
    </row>
    <row r="17" spans="1:9" ht="20" customHeight="1" thickBot="1">
      <c r="A17" s="152" t="s">
        <v>520</v>
      </c>
      <c r="B17" s="176">
        <v>34204082</v>
      </c>
      <c r="C17" s="222">
        <v>198431720</v>
      </c>
      <c r="D17" s="176">
        <v>283364641</v>
      </c>
      <c r="E17" s="222">
        <v>481796361</v>
      </c>
      <c r="F17" s="176">
        <v>516000443</v>
      </c>
      <c r="G17" s="154">
        <v>5.0692161600485904E-2</v>
      </c>
      <c r="I17" s="9">
        <v>393696828</v>
      </c>
    </row>
    <row r="18" spans="1:9" ht="20" customHeight="1" thickBot="1">
      <c r="A18" s="152" t="s">
        <v>521</v>
      </c>
      <c r="B18" s="176">
        <v>26762511</v>
      </c>
      <c r="C18" s="222">
        <v>198042809</v>
      </c>
      <c r="D18" s="176">
        <v>320787696</v>
      </c>
      <c r="E18" s="222">
        <v>518830505</v>
      </c>
      <c r="F18" s="176">
        <v>545593016</v>
      </c>
      <c r="G18" s="154">
        <v>2.5773800990021637E-2</v>
      </c>
      <c r="I18" s="9">
        <v>473520714</v>
      </c>
    </row>
    <row r="19" spans="1:9" ht="20" customHeight="1" thickBot="1">
      <c r="A19" s="152" t="s">
        <v>522</v>
      </c>
      <c r="B19" s="176">
        <v>40980705</v>
      </c>
      <c r="C19" s="222">
        <v>225338773</v>
      </c>
      <c r="D19" s="176">
        <v>325204160</v>
      </c>
      <c r="E19" s="222">
        <v>550542933</v>
      </c>
      <c r="F19" s="176">
        <v>591523638</v>
      </c>
      <c r="G19" s="154">
        <v>3.4175568391648974E-2</v>
      </c>
      <c r="I19" s="9">
        <v>469771093</v>
      </c>
    </row>
    <row r="20" spans="1:9" ht="20" customHeight="1" thickBot="1">
      <c r="A20" s="152" t="s">
        <v>523</v>
      </c>
      <c r="B20" s="176">
        <v>8428399</v>
      </c>
      <c r="C20" s="222">
        <v>59437787</v>
      </c>
      <c r="D20" s="176">
        <v>92157070</v>
      </c>
      <c r="E20" s="222">
        <v>151594857</v>
      </c>
      <c r="F20" s="176">
        <v>160023256</v>
      </c>
      <c r="G20" s="154">
        <v>7.838360366255881E-2</v>
      </c>
      <c r="I20" s="9">
        <v>127694959</v>
      </c>
    </row>
    <row r="21" spans="1:9" ht="20" customHeight="1" thickBot="1">
      <c r="A21" s="152" t="s">
        <v>2047</v>
      </c>
      <c r="B21" s="176">
        <v>6856470</v>
      </c>
      <c r="C21" s="222">
        <v>33175020</v>
      </c>
      <c r="D21" s="176">
        <v>49086938</v>
      </c>
      <c r="E21" s="222">
        <v>82261958</v>
      </c>
      <c r="F21" s="176">
        <v>89118428</v>
      </c>
      <c r="G21" s="154">
        <v>6.397851986229354E-2</v>
      </c>
      <c r="I21" s="9">
        <v>69489100</v>
      </c>
    </row>
    <row r="22" spans="1:9" ht="20" customHeight="1" thickBot="1">
      <c r="A22" s="152" t="s">
        <v>2048</v>
      </c>
      <c r="B22" s="176">
        <v>1759187</v>
      </c>
      <c r="C22" s="222">
        <v>8508320</v>
      </c>
      <c r="D22" s="176">
        <v>11552997</v>
      </c>
      <c r="E22" s="222">
        <v>20061317</v>
      </c>
      <c r="F22" s="176">
        <v>21820504</v>
      </c>
      <c r="G22" s="154">
        <v>3.6385505224839167E-2</v>
      </c>
      <c r="I22" s="9">
        <v>16712649</v>
      </c>
    </row>
    <row r="23" spans="1:9" ht="20" customHeight="1" thickBot="1">
      <c r="A23" s="152" t="s">
        <v>2049</v>
      </c>
      <c r="B23" s="176">
        <v>66068035</v>
      </c>
      <c r="C23" s="222">
        <v>314068454</v>
      </c>
      <c r="D23" s="176">
        <v>458168473</v>
      </c>
      <c r="E23" s="222">
        <v>772236927</v>
      </c>
      <c r="F23" s="176">
        <v>838304962</v>
      </c>
      <c r="G23" s="154">
        <v>6.9851997387371287E-2</v>
      </c>
      <c r="I23" s="9">
        <v>615853738</v>
      </c>
    </row>
    <row r="24" spans="1:9" ht="20" customHeight="1" thickBot="1">
      <c r="A24" s="152" t="s">
        <v>2050</v>
      </c>
      <c r="B24" s="176">
        <v>25203873</v>
      </c>
      <c r="C24" s="222">
        <v>138705351</v>
      </c>
      <c r="D24" s="176">
        <v>195221295</v>
      </c>
      <c r="E24" s="222">
        <v>333926646</v>
      </c>
      <c r="F24" s="176">
        <v>359130519</v>
      </c>
      <c r="G24" s="154">
        <v>8.0199608255032709E-2</v>
      </c>
      <c r="I24" s="9">
        <v>264690646</v>
      </c>
    </row>
    <row r="25" spans="1:9" ht="20" customHeight="1" thickBot="1">
      <c r="A25" s="152" t="s">
        <v>2051</v>
      </c>
      <c r="B25" s="176">
        <v>75778718</v>
      </c>
      <c r="C25" s="222">
        <v>413347372</v>
      </c>
      <c r="D25" s="176">
        <v>587404442</v>
      </c>
      <c r="E25" s="222">
        <v>1000751814</v>
      </c>
      <c r="F25" s="176">
        <v>1076530532</v>
      </c>
      <c r="G25" s="154">
        <v>5.1969716385330725E-2</v>
      </c>
      <c r="I25" s="9">
        <v>819222625</v>
      </c>
    </row>
    <row r="26" spans="1:9" ht="20" customHeight="1" thickBot="1">
      <c r="A26" s="152" t="s">
        <v>2052</v>
      </c>
      <c r="B26" s="176">
        <v>34033904</v>
      </c>
      <c r="C26" s="222">
        <v>170364554</v>
      </c>
      <c r="D26" s="176">
        <v>237754118</v>
      </c>
      <c r="E26" s="222">
        <v>408118672</v>
      </c>
      <c r="F26" s="176">
        <v>442152576</v>
      </c>
      <c r="G26" s="154">
        <v>3.22587248373431E-2</v>
      </c>
      <c r="I26" s="9">
        <v>344655658</v>
      </c>
    </row>
    <row r="27" spans="1:9" ht="20" customHeight="1" thickBot="1">
      <c r="A27" s="152" t="s">
        <v>2053</v>
      </c>
      <c r="B27" s="176">
        <v>45879219</v>
      </c>
      <c r="C27" s="222">
        <v>316334331</v>
      </c>
      <c r="D27" s="176">
        <v>460372674</v>
      </c>
      <c r="E27" s="222">
        <v>776707005</v>
      </c>
      <c r="F27" s="176">
        <v>822586224</v>
      </c>
      <c r="G27" s="154">
        <v>3.1266283131496085E-3</v>
      </c>
      <c r="I27" s="9">
        <v>627641817</v>
      </c>
    </row>
    <row r="28" spans="1:9" ht="20" customHeight="1" thickBot="1">
      <c r="A28" s="152" t="s">
        <v>2054</v>
      </c>
      <c r="B28" s="176">
        <v>120708486</v>
      </c>
      <c r="C28" s="222">
        <v>614526054</v>
      </c>
      <c r="D28" s="176">
        <v>952779465</v>
      </c>
      <c r="E28" s="222">
        <v>1567305519</v>
      </c>
      <c r="F28" s="176">
        <v>1688014005</v>
      </c>
      <c r="G28" s="154">
        <v>5.2680789692051137E-2</v>
      </c>
      <c r="I28" s="9">
        <v>1280335377</v>
      </c>
    </row>
    <row r="29" spans="1:9" ht="20" customHeight="1" thickBot="1">
      <c r="A29" s="152" t="s">
        <v>2055</v>
      </c>
      <c r="B29" s="176">
        <v>37943757</v>
      </c>
      <c r="C29" s="222">
        <v>213020978</v>
      </c>
      <c r="D29" s="176">
        <v>298170852</v>
      </c>
      <c r="E29" s="222">
        <v>511191830</v>
      </c>
      <c r="F29" s="176">
        <v>549135587</v>
      </c>
      <c r="G29" s="154">
        <v>1.6534889015060297E-2</v>
      </c>
      <c r="I29" s="9">
        <v>410743307</v>
      </c>
    </row>
    <row r="30" spans="1:9" ht="20" customHeight="1" thickBot="1">
      <c r="A30" s="152" t="s">
        <v>2056</v>
      </c>
      <c r="B30" s="176">
        <v>27462951</v>
      </c>
      <c r="C30" s="222">
        <v>167131012</v>
      </c>
      <c r="D30" s="176">
        <v>258425295</v>
      </c>
      <c r="E30" s="222">
        <v>425556307</v>
      </c>
      <c r="F30" s="176">
        <v>453019258</v>
      </c>
      <c r="G30" s="154">
        <v>6.5278405013140375E-2</v>
      </c>
      <c r="I30" s="9">
        <v>318756043</v>
      </c>
    </row>
    <row r="31" spans="1:9" ht="20" customHeight="1" thickBot="1">
      <c r="A31" s="152" t="s">
        <v>2057</v>
      </c>
      <c r="B31" s="176">
        <v>84209938</v>
      </c>
      <c r="C31" s="222">
        <v>429263983</v>
      </c>
      <c r="D31" s="176">
        <v>696165537</v>
      </c>
      <c r="E31" s="222">
        <v>1125429520</v>
      </c>
      <c r="F31" s="176">
        <v>1209639458</v>
      </c>
      <c r="G31" s="154">
        <v>6.2727829013471278E-2</v>
      </c>
      <c r="I31" s="9">
        <v>966736347</v>
      </c>
    </row>
    <row r="32" spans="1:9" ht="20" customHeight="1" thickBot="1">
      <c r="A32" s="186" t="s">
        <v>2058</v>
      </c>
      <c r="B32" s="176">
        <v>9907893</v>
      </c>
      <c r="C32" s="222">
        <v>64150095</v>
      </c>
      <c r="D32" s="176">
        <v>88803507</v>
      </c>
      <c r="E32" s="222">
        <v>152953602</v>
      </c>
      <c r="F32" s="176">
        <v>162861495</v>
      </c>
      <c r="G32" s="154">
        <v>8.9032483027839324E-2</v>
      </c>
      <c r="I32" s="9">
        <v>146808815</v>
      </c>
    </row>
    <row r="33" spans="1:9" ht="30" customHeight="1" thickBot="1">
      <c r="A33" s="187" t="s">
        <v>2059</v>
      </c>
      <c r="B33" s="223">
        <v>1079660877</v>
      </c>
      <c r="C33" s="224">
        <v>6146294735</v>
      </c>
      <c r="D33" s="223">
        <v>9136655438</v>
      </c>
      <c r="E33" s="224">
        <v>15282950173</v>
      </c>
      <c r="F33" s="223">
        <v>16362611050</v>
      </c>
      <c r="G33" s="204">
        <v>6.8910284464799534E-2</v>
      </c>
      <c r="I33" s="9">
        <v>12410394200</v>
      </c>
    </row>
    <row r="34" spans="1:9" ht="20" customHeight="1">
      <c r="A34" s="155" t="s">
        <v>2132</v>
      </c>
      <c r="B34" s="155"/>
      <c r="C34" s="155"/>
      <c r="D34" s="155"/>
      <c r="E34" s="155"/>
      <c r="F34" s="155"/>
      <c r="G34" s="157"/>
    </row>
    <row r="35" spans="1:9" ht="12.75" customHeight="1">
      <c r="A35" s="4"/>
      <c r="B35" s="4"/>
      <c r="C35" s="4"/>
      <c r="D35" s="4"/>
      <c r="E35" s="4"/>
      <c r="F35" s="4"/>
      <c r="G35" s="159"/>
    </row>
    <row r="36" spans="1:9" ht="14.25" customHeight="1">
      <c r="A36" s="4" t="s">
        <v>471</v>
      </c>
      <c r="B36" s="4"/>
      <c r="C36" s="4"/>
      <c r="D36" s="4"/>
      <c r="E36" s="4"/>
      <c r="F36" s="4"/>
      <c r="G36" s="159"/>
    </row>
    <row r="37" spans="1:9" ht="10.5" customHeight="1">
      <c r="A37" s="4"/>
      <c r="B37" s="4"/>
      <c r="C37" s="4"/>
      <c r="D37" s="4"/>
      <c r="E37" s="4"/>
      <c r="F37" s="4"/>
      <c r="G37" s="159"/>
    </row>
    <row r="38" spans="1:9" ht="15" customHeight="1">
      <c r="A38" s="4" t="s">
        <v>2114</v>
      </c>
      <c r="B38" s="4"/>
      <c r="C38" s="4"/>
      <c r="D38" s="4"/>
      <c r="E38" s="4"/>
      <c r="F38" s="4"/>
      <c r="G38" s="159"/>
    </row>
    <row r="39" spans="1:9" ht="13.5" customHeight="1">
      <c r="A39" s="2" t="s">
        <v>2112</v>
      </c>
    </row>
    <row r="40" spans="1:9" ht="12" customHeight="1"/>
    <row r="41" spans="1:9" ht="12" customHeight="1"/>
    <row r="42" spans="1:9" ht="12" customHeight="1">
      <c r="A42" s="4" t="s">
        <v>104</v>
      </c>
    </row>
  </sheetData>
  <phoneticPr fontId="0" type="noConversion"/>
  <pageMargins left="0.6" right="0.59" top="0.76" bottom="0.49" header="0.35" footer="0.4921259845"/>
  <pageSetup paperSize="9" scale="80" orientation="portrait" horizontalDpi="4294967292" verticalDpi="4294967292"/>
  <headerFooter alignWithMargins="0">
    <oddHeader>&amp;L&amp;"Arial,Bold"Leistungen und Kostenbeteiligung in der OKP</oddHead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A2F5A-4508-1247-A5B0-F85422C7C4DF}">
  <dimension ref="A1:H41"/>
  <sheetViews>
    <sheetView zoomScale="75" workbookViewId="0">
      <selection activeCell="K9" sqref="K9"/>
    </sheetView>
  </sheetViews>
  <sheetFormatPr baseColWidth="10" defaultColWidth="11.3984375" defaultRowHeight="13"/>
  <cols>
    <col min="1" max="1" width="14.796875" style="2" customWidth="1"/>
    <col min="2" max="5" width="14.796875" style="161" customWidth="1"/>
    <col min="6" max="6" width="15.3984375" style="161" customWidth="1"/>
    <col min="7" max="7" width="11.3984375" style="2"/>
    <col min="8" max="8" width="0" style="2" hidden="1" customWidth="1"/>
    <col min="9" max="16384" width="11.3984375" style="2"/>
  </cols>
  <sheetData>
    <row r="1" spans="1:8" s="1" customFormat="1" ht="14" customHeight="1">
      <c r="B1" s="216"/>
      <c r="C1" s="216"/>
      <c r="D1" s="216"/>
      <c r="E1" s="216"/>
      <c r="F1" s="216"/>
    </row>
    <row r="2" spans="1:8" s="1" customFormat="1" ht="42" customHeight="1">
      <c r="A2" s="1715" t="s">
        <v>2117</v>
      </c>
      <c r="B2" s="1716"/>
      <c r="C2" s="1716"/>
      <c r="D2" s="1716"/>
      <c r="E2" s="1716"/>
      <c r="F2" s="138">
        <v>2004</v>
      </c>
    </row>
    <row r="3" spans="1:8" ht="27" customHeight="1">
      <c r="A3" s="139" t="s">
        <v>503</v>
      </c>
      <c r="B3" s="140" t="s">
        <v>504</v>
      </c>
      <c r="C3" s="194" t="s">
        <v>2063</v>
      </c>
      <c r="D3" s="140" t="s">
        <v>2064</v>
      </c>
      <c r="E3" s="194" t="s">
        <v>652</v>
      </c>
      <c r="F3" s="140" t="s">
        <v>652</v>
      </c>
    </row>
    <row r="4" spans="1:8" ht="15" customHeight="1">
      <c r="A4" s="142"/>
      <c r="B4" s="143"/>
      <c r="C4" s="197"/>
      <c r="D4" s="143"/>
      <c r="E4" s="197" t="s">
        <v>2065</v>
      </c>
      <c r="F4" s="143" t="s">
        <v>2066</v>
      </c>
    </row>
    <row r="5" spans="1:8" ht="15" customHeight="1">
      <c r="A5" s="142"/>
      <c r="B5" s="143"/>
      <c r="C5" s="197"/>
      <c r="D5" s="143"/>
      <c r="E5" s="197" t="s">
        <v>2067</v>
      </c>
      <c r="F5" s="143" t="s">
        <v>506</v>
      </c>
    </row>
    <row r="6" spans="1:8" ht="24" customHeight="1">
      <c r="A6" s="145"/>
      <c r="B6" s="146"/>
      <c r="C6" s="200"/>
      <c r="D6" s="146"/>
      <c r="E6" s="200"/>
      <c r="F6" s="146"/>
    </row>
    <row r="7" spans="1:8" ht="30" customHeight="1" thickBot="1">
      <c r="A7" s="148" t="s">
        <v>510</v>
      </c>
      <c r="B7" s="149">
        <v>62.235969222588658</v>
      </c>
      <c r="C7" s="225">
        <v>174.3181845991455</v>
      </c>
      <c r="D7" s="149">
        <v>246.18866200728243</v>
      </c>
      <c r="E7" s="225">
        <v>211.39748345847286</v>
      </c>
      <c r="F7" s="149">
        <v>182.89153300836225</v>
      </c>
      <c r="H7" s="185">
        <v>147.6535284720232</v>
      </c>
    </row>
    <row r="8" spans="1:8" ht="20" customHeight="1" thickBot="1">
      <c r="A8" s="152" t="s">
        <v>511</v>
      </c>
      <c r="B8" s="149">
        <v>52.006579677223385</v>
      </c>
      <c r="C8" s="225">
        <v>194.229091783744</v>
      </c>
      <c r="D8" s="149">
        <v>263.6353145121347</v>
      </c>
      <c r="E8" s="225">
        <v>230.36731762943623</v>
      </c>
      <c r="F8" s="149">
        <v>195.13738754249437</v>
      </c>
      <c r="H8" s="185">
        <v>136.00843900520724</v>
      </c>
    </row>
    <row r="9" spans="1:8" ht="20" customHeight="1" thickBot="1">
      <c r="A9" s="152" t="s">
        <v>512</v>
      </c>
      <c r="B9" s="149">
        <v>45.781878118989852</v>
      </c>
      <c r="C9" s="225">
        <v>149.63790687210957</v>
      </c>
      <c r="D9" s="149">
        <v>207.27778595234926</v>
      </c>
      <c r="E9" s="225">
        <v>179.19681790796642</v>
      </c>
      <c r="F9" s="149">
        <v>149.53757882725537</v>
      </c>
      <c r="H9" s="185">
        <v>109.8632844875566</v>
      </c>
    </row>
    <row r="10" spans="1:8" ht="20" customHeight="1" thickBot="1">
      <c r="A10" s="152" t="s">
        <v>513</v>
      </c>
      <c r="B10" s="149">
        <v>47.908151709401714</v>
      </c>
      <c r="C10" s="225">
        <v>138.17809861040129</v>
      </c>
      <c r="D10" s="149">
        <v>188.24270165068836</v>
      </c>
      <c r="E10" s="225">
        <v>163.3642746605733</v>
      </c>
      <c r="F10" s="149">
        <v>137.90393260015267</v>
      </c>
      <c r="H10" s="185">
        <v>106.3151780359856</v>
      </c>
    </row>
    <row r="11" spans="1:8" ht="20" customHeight="1" thickBot="1">
      <c r="A11" s="152" t="s">
        <v>514</v>
      </c>
      <c r="B11" s="149">
        <v>56.708233870704028</v>
      </c>
      <c r="C11" s="225">
        <v>146.29160412523296</v>
      </c>
      <c r="D11" s="149">
        <v>202.93367778583513</v>
      </c>
      <c r="E11" s="225">
        <v>174.37256859035006</v>
      </c>
      <c r="F11" s="149">
        <v>147.97017170531259</v>
      </c>
      <c r="H11" s="185">
        <v>110.98351281141051</v>
      </c>
    </row>
    <row r="12" spans="1:8" ht="20" customHeight="1" thickBot="1">
      <c r="A12" s="152" t="s">
        <v>515</v>
      </c>
      <c r="B12" s="149">
        <v>42.522757227891155</v>
      </c>
      <c r="C12" s="225">
        <v>126.44036809029114</v>
      </c>
      <c r="D12" s="149">
        <v>196.90925529747349</v>
      </c>
      <c r="E12" s="225">
        <v>161.82525850940092</v>
      </c>
      <c r="F12" s="149">
        <v>134.24585298742139</v>
      </c>
      <c r="H12" s="185">
        <v>105.19977836100999</v>
      </c>
    </row>
    <row r="13" spans="1:8" ht="20" customHeight="1" thickBot="1">
      <c r="A13" s="152" t="s">
        <v>516</v>
      </c>
      <c r="B13" s="149">
        <v>45.254683698296837</v>
      </c>
      <c r="C13" s="225">
        <v>121.4779605405172</v>
      </c>
      <c r="D13" s="149">
        <v>179.71422619047618</v>
      </c>
      <c r="E13" s="225">
        <v>150.56132259005869</v>
      </c>
      <c r="F13" s="149">
        <v>128.40058498246333</v>
      </c>
      <c r="H13" s="185">
        <v>98.806061539893719</v>
      </c>
    </row>
    <row r="14" spans="1:8" ht="20" customHeight="1" thickBot="1">
      <c r="A14" s="152" t="s">
        <v>517</v>
      </c>
      <c r="B14" s="149">
        <v>58.103516710327852</v>
      </c>
      <c r="C14" s="225">
        <v>154.99028252754866</v>
      </c>
      <c r="D14" s="149">
        <v>205.28075172071547</v>
      </c>
      <c r="E14" s="225">
        <v>180.56752788389758</v>
      </c>
      <c r="F14" s="149">
        <v>154.0350278623394</v>
      </c>
      <c r="H14" s="185">
        <v>118.50730828724598</v>
      </c>
    </row>
    <row r="15" spans="1:8" ht="20" customHeight="1" thickBot="1">
      <c r="A15" s="152" t="s">
        <v>518</v>
      </c>
      <c r="B15" s="149">
        <v>44.953922213864864</v>
      </c>
      <c r="C15" s="225">
        <v>135.71530093888714</v>
      </c>
      <c r="D15" s="149">
        <v>209.96643901183322</v>
      </c>
      <c r="E15" s="225">
        <v>173.00284497176236</v>
      </c>
      <c r="F15" s="149">
        <v>146.75791131109528</v>
      </c>
      <c r="H15" s="185">
        <v>109.7243161119399</v>
      </c>
    </row>
    <row r="16" spans="1:8" ht="20" customHeight="1" thickBot="1">
      <c r="A16" s="152" t="s">
        <v>519</v>
      </c>
      <c r="B16" s="149">
        <v>55.995078026149308</v>
      </c>
      <c r="C16" s="225">
        <v>168.16582478141146</v>
      </c>
      <c r="D16" s="149">
        <v>233.91391563620903</v>
      </c>
      <c r="E16" s="225">
        <v>201.60437898922257</v>
      </c>
      <c r="F16" s="149">
        <v>167.13762853662919</v>
      </c>
      <c r="H16" s="185">
        <v>137.47395057718248</v>
      </c>
    </row>
    <row r="17" spans="1:8" ht="20" customHeight="1" thickBot="1">
      <c r="A17" s="152" t="s">
        <v>520</v>
      </c>
      <c r="B17" s="149">
        <v>55.233798404547365</v>
      </c>
      <c r="C17" s="225">
        <v>171.7381204605723</v>
      </c>
      <c r="D17" s="149">
        <v>232.61998663540601</v>
      </c>
      <c r="E17" s="225">
        <v>202.98333021567456</v>
      </c>
      <c r="F17" s="149">
        <v>172.41186720555353</v>
      </c>
      <c r="H17" s="185">
        <v>132.71022733455214</v>
      </c>
    </row>
    <row r="18" spans="1:8" ht="20" customHeight="1" thickBot="1">
      <c r="A18" s="152" t="s">
        <v>521</v>
      </c>
      <c r="B18" s="149">
        <v>75.924601688568117</v>
      </c>
      <c r="C18" s="225">
        <v>228.65093818984545</v>
      </c>
      <c r="D18" s="149">
        <v>326.92872517366203</v>
      </c>
      <c r="E18" s="225">
        <v>280.84909362746055</v>
      </c>
      <c r="F18" s="149">
        <v>248.01350999976361</v>
      </c>
      <c r="H18" s="185">
        <v>208.35408965566106</v>
      </c>
    </row>
    <row r="19" spans="1:8" ht="20" customHeight="1" thickBot="1">
      <c r="A19" s="152" t="s">
        <v>522</v>
      </c>
      <c r="B19" s="149">
        <v>66.10132297150821</v>
      </c>
      <c r="C19" s="225">
        <v>180.66761995933473</v>
      </c>
      <c r="D19" s="149">
        <v>245.8170515634732</v>
      </c>
      <c r="E19" s="225">
        <v>214.20070383080045</v>
      </c>
      <c r="F19" s="149">
        <v>185.41967996870403</v>
      </c>
      <c r="H19" s="185">
        <v>149.99608447175385</v>
      </c>
    </row>
    <row r="20" spans="1:8" ht="20" customHeight="1" thickBot="1">
      <c r="A20" s="152" t="s">
        <v>523</v>
      </c>
      <c r="B20" s="149">
        <v>46.693696538580866</v>
      </c>
      <c r="C20" s="225">
        <v>170.41627100177763</v>
      </c>
      <c r="D20" s="149">
        <v>245.67357112390701</v>
      </c>
      <c r="E20" s="225">
        <v>209.40020139568037</v>
      </c>
      <c r="F20" s="149">
        <v>176.92606449786834</v>
      </c>
      <c r="H20" s="185">
        <v>141.06151978810024</v>
      </c>
    </row>
    <row r="21" spans="1:8" ht="20" customHeight="1" thickBot="1">
      <c r="A21" s="152" t="s">
        <v>2047</v>
      </c>
      <c r="B21" s="149">
        <v>47.306880278191755</v>
      </c>
      <c r="C21" s="225">
        <v>136.1730371391981</v>
      </c>
      <c r="D21" s="149">
        <v>192.88811084390375</v>
      </c>
      <c r="E21" s="225">
        <v>165.15281793068002</v>
      </c>
      <c r="F21" s="149">
        <v>138.58838275452379</v>
      </c>
      <c r="H21" s="185">
        <v>105.54236904359847</v>
      </c>
    </row>
    <row r="22" spans="1:8" ht="20" customHeight="1" thickBot="1">
      <c r="A22" s="152" t="s">
        <v>2048</v>
      </c>
      <c r="B22" s="149">
        <v>38.266488297224399</v>
      </c>
      <c r="C22" s="225">
        <v>125.18126177024482</v>
      </c>
      <c r="D22" s="149">
        <v>174.88642143505902</v>
      </c>
      <c r="E22" s="225">
        <v>149.72025941847275</v>
      </c>
      <c r="F22" s="149">
        <v>121.25735751756024</v>
      </c>
      <c r="H22" s="185">
        <v>93.290141615544769</v>
      </c>
    </row>
    <row r="23" spans="1:8" ht="20" customHeight="1" thickBot="1">
      <c r="A23" s="152" t="s">
        <v>2049</v>
      </c>
      <c r="B23" s="149">
        <v>52.592726592475834</v>
      </c>
      <c r="C23" s="225">
        <v>150.10794614880197</v>
      </c>
      <c r="D23" s="149">
        <v>208.80660907910953</v>
      </c>
      <c r="E23" s="225">
        <v>180.15575589012565</v>
      </c>
      <c r="F23" s="149">
        <v>151.24443720371025</v>
      </c>
      <c r="H23" s="185">
        <v>113.07027159885389</v>
      </c>
    </row>
    <row r="24" spans="1:8" ht="20" customHeight="1" thickBot="1">
      <c r="A24" s="152" t="s">
        <v>2050</v>
      </c>
      <c r="B24" s="149">
        <v>54.566593489387124</v>
      </c>
      <c r="C24" s="225">
        <v>150.09842159256181</v>
      </c>
      <c r="D24" s="149">
        <v>206.96972443799856</v>
      </c>
      <c r="E24" s="225">
        <v>178.82668530300109</v>
      </c>
      <c r="F24" s="149">
        <v>154.18620942812984</v>
      </c>
      <c r="H24" s="185">
        <v>112.93207174435962</v>
      </c>
    </row>
    <row r="25" spans="1:8" ht="20" customHeight="1" thickBot="1">
      <c r="A25" s="152" t="s">
        <v>2051</v>
      </c>
      <c r="B25" s="149">
        <v>51.729194654695981</v>
      </c>
      <c r="C25" s="225">
        <v>156.12884573835609</v>
      </c>
      <c r="D25" s="149">
        <v>215.45815947157766</v>
      </c>
      <c r="E25" s="225">
        <v>186.22740599975884</v>
      </c>
      <c r="F25" s="149">
        <v>157.41677867580054</v>
      </c>
      <c r="H25" s="185">
        <v>123.10137008461707</v>
      </c>
    </row>
    <row r="26" spans="1:8" ht="20" customHeight="1" thickBot="1">
      <c r="A26" s="152" t="s">
        <v>2052</v>
      </c>
      <c r="B26" s="149">
        <v>52.259193061979083</v>
      </c>
      <c r="C26" s="225">
        <v>160.40228865614418</v>
      </c>
      <c r="D26" s="149">
        <v>216.86799512545744</v>
      </c>
      <c r="E26" s="225">
        <v>189.08354135741038</v>
      </c>
      <c r="F26" s="149">
        <v>157.36893626835456</v>
      </c>
      <c r="H26" s="185">
        <v>124.89094208425395</v>
      </c>
    </row>
    <row r="27" spans="1:8" ht="20" customHeight="1" thickBot="1">
      <c r="A27" s="152" t="s">
        <v>2053</v>
      </c>
      <c r="B27" s="149">
        <v>66.328971565378808</v>
      </c>
      <c r="C27" s="225">
        <v>215.88955611973302</v>
      </c>
      <c r="D27" s="149">
        <v>281.01868238120704</v>
      </c>
      <c r="E27" s="225">
        <v>250.26905372277903</v>
      </c>
      <c r="F27" s="149">
        <v>216.74429752170639</v>
      </c>
      <c r="H27" s="185">
        <v>168.72622344599318</v>
      </c>
    </row>
    <row r="28" spans="1:8" ht="20" customHeight="1" thickBot="1">
      <c r="A28" s="152" t="s">
        <v>2054</v>
      </c>
      <c r="B28" s="149">
        <v>71.274998228583584</v>
      </c>
      <c r="C28" s="225">
        <v>214.92455890746712</v>
      </c>
      <c r="D28" s="149">
        <v>302.55726896168034</v>
      </c>
      <c r="E28" s="225">
        <v>260.85395608521719</v>
      </c>
      <c r="F28" s="149">
        <v>219.16817603213335</v>
      </c>
      <c r="H28" s="185">
        <v>172.20627180427857</v>
      </c>
    </row>
    <row r="29" spans="1:8" ht="20" customHeight="1" thickBot="1">
      <c r="A29" s="152" t="s">
        <v>2055</v>
      </c>
      <c r="B29" s="149">
        <v>50.820163454893198</v>
      </c>
      <c r="C29" s="225">
        <v>157.27048006331543</v>
      </c>
      <c r="D29" s="149">
        <v>210.44601129828663</v>
      </c>
      <c r="E29" s="225">
        <v>184.45735401944481</v>
      </c>
      <c r="F29" s="149">
        <v>156.09506969387905</v>
      </c>
      <c r="H29" s="185">
        <v>121.13256050394979</v>
      </c>
    </row>
    <row r="30" spans="1:8" ht="20" customHeight="1" thickBot="1">
      <c r="A30" s="152" t="s">
        <v>2056</v>
      </c>
      <c r="B30" s="149">
        <v>63.183767703818226</v>
      </c>
      <c r="C30" s="225">
        <v>220.00070029117367</v>
      </c>
      <c r="D30" s="149">
        <v>310.23742725020168</v>
      </c>
      <c r="E30" s="225">
        <v>267.1977937593868</v>
      </c>
      <c r="F30" s="149">
        <v>223.45764449153464</v>
      </c>
      <c r="H30" s="185">
        <v>157.34667902077535</v>
      </c>
    </row>
    <row r="31" spans="1:8" ht="20" customHeight="1" thickBot="1">
      <c r="A31" s="152" t="s">
        <v>2057</v>
      </c>
      <c r="B31" s="149">
        <v>82.28383792192362</v>
      </c>
      <c r="C31" s="225">
        <v>241.33254119245032</v>
      </c>
      <c r="D31" s="149">
        <v>349.8368504682478</v>
      </c>
      <c r="E31" s="225">
        <v>298.62475946663949</v>
      </c>
      <c r="F31" s="149">
        <v>252.4228249065757</v>
      </c>
      <c r="H31" s="185">
        <v>209.96444334691634</v>
      </c>
    </row>
    <row r="32" spans="1:8" ht="20" customHeight="1" thickBot="1">
      <c r="A32" s="186" t="s">
        <v>2058</v>
      </c>
      <c r="B32" s="149">
        <v>52.019767515120968</v>
      </c>
      <c r="C32" s="225">
        <v>205.25403148397004</v>
      </c>
      <c r="D32" s="149">
        <v>266.68680853364089</v>
      </c>
      <c r="E32" s="225">
        <v>236.93899990705458</v>
      </c>
      <c r="F32" s="149">
        <v>194.80946861498271</v>
      </c>
      <c r="H32" s="185">
        <v>173.66487176423698</v>
      </c>
    </row>
    <row r="33" spans="1:8" ht="30" customHeight="1" thickBot="1">
      <c r="A33" s="187" t="s">
        <v>2059</v>
      </c>
      <c r="B33" s="226">
        <v>58.587099333720566</v>
      </c>
      <c r="C33" s="227">
        <v>180.08770650639221</v>
      </c>
      <c r="D33" s="226">
        <v>251.12410759214436</v>
      </c>
      <c r="E33" s="227">
        <v>216.74110418316374</v>
      </c>
      <c r="F33" s="226">
        <v>183.97196779826004</v>
      </c>
      <c r="H33" s="185">
        <v>142.67390401114693</v>
      </c>
    </row>
    <row r="34" spans="1:8" ht="20" customHeight="1">
      <c r="A34" s="155" t="s">
        <v>2132</v>
      </c>
      <c r="B34" s="156"/>
      <c r="C34" s="156"/>
      <c r="D34" s="156"/>
      <c r="E34" s="156"/>
      <c r="F34" s="156"/>
    </row>
    <row r="35" spans="1:8" ht="14.25" customHeight="1">
      <c r="A35" s="4"/>
      <c r="B35" s="158"/>
      <c r="C35" s="158"/>
      <c r="D35" s="158"/>
      <c r="E35" s="158"/>
      <c r="F35" s="158"/>
    </row>
    <row r="36" spans="1:8" ht="16.5" customHeight="1">
      <c r="A36" s="4" t="s">
        <v>2116</v>
      </c>
      <c r="B36" s="158"/>
      <c r="C36" s="158"/>
      <c r="D36" s="158"/>
      <c r="E36" s="158"/>
      <c r="F36" s="158"/>
    </row>
    <row r="37" spans="1:8" ht="12.75" customHeight="1">
      <c r="A37" s="4"/>
      <c r="B37" s="158"/>
      <c r="C37" s="158"/>
      <c r="D37" s="158"/>
      <c r="E37" s="158"/>
      <c r="F37" s="158"/>
    </row>
    <row r="38" spans="1:8" ht="15.75" customHeight="1">
      <c r="A38" s="4" t="s">
        <v>2118</v>
      </c>
    </row>
    <row r="39" spans="1:8" ht="12" customHeight="1"/>
    <row r="40" spans="1:8" ht="12" customHeight="1"/>
    <row r="41" spans="1:8">
      <c r="A41" s="4" t="s">
        <v>104</v>
      </c>
    </row>
  </sheetData>
  <mergeCells count="1">
    <mergeCell ref="A2:E2"/>
  </mergeCells>
  <phoneticPr fontId="0" type="noConversion"/>
  <pageMargins left="0.6" right="0.61" top="0.74" bottom="0.49" header="0.42" footer="0.4921259845"/>
  <pageSetup paperSize="9" scale="80" orientation="portrait" horizontalDpi="4294967292" verticalDpi="4294967292"/>
  <headerFooter alignWithMargins="0">
    <oddHeader>&amp;L&amp;"Arial,Bold"Leistungen und Kostenbeteiligung in  der OKP</oddHead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E0921-CA99-194D-B6EB-F7DD94845EDB}">
  <sheetPr>
    <pageSetUpPr fitToPage="1"/>
  </sheetPr>
  <dimension ref="A1:J47"/>
  <sheetViews>
    <sheetView topLeftCell="A18" zoomScale="75" workbookViewId="0">
      <selection activeCell="A24" sqref="A24"/>
    </sheetView>
  </sheetViews>
  <sheetFormatPr baseColWidth="10" defaultColWidth="11.3984375" defaultRowHeight="13"/>
  <cols>
    <col min="1" max="1" width="14.796875" style="2" customWidth="1"/>
    <col min="2" max="2" width="14.796875" style="161" customWidth="1"/>
    <col min="3" max="3" width="14.796875" style="162" customWidth="1"/>
    <col min="4" max="4" width="14.796875" style="161" customWidth="1"/>
    <col min="5" max="5" width="14.796875" style="162" customWidth="1"/>
    <col min="6" max="6" width="14.796875" style="161" customWidth="1"/>
    <col min="7" max="7" width="14.796875" style="162" customWidth="1"/>
    <col min="8" max="8" width="7.59765625" style="2" customWidth="1"/>
    <col min="9" max="9" width="6.3984375" style="2" customWidth="1"/>
    <col min="10" max="10" width="8.796875" style="2" customWidth="1"/>
    <col min="11" max="16384" width="11.3984375" style="2"/>
  </cols>
  <sheetData>
    <row r="1" spans="1:10" s="1" customFormat="1" ht="18.75" customHeight="1">
      <c r="A1" s="134"/>
      <c r="B1" s="135"/>
      <c r="C1" s="136"/>
      <c r="D1" s="137"/>
      <c r="E1" s="136"/>
      <c r="F1" s="137"/>
      <c r="G1" s="136"/>
    </row>
    <row r="2" spans="1:10" s="1" customFormat="1" ht="40.5" customHeight="1">
      <c r="A2" s="1730" t="s">
        <v>2101</v>
      </c>
      <c r="B2" s="1716"/>
      <c r="C2" s="1716"/>
      <c r="D2" s="1716"/>
      <c r="E2" s="1716"/>
      <c r="F2" s="1716"/>
      <c r="G2" s="138">
        <v>2004</v>
      </c>
    </row>
    <row r="3" spans="1:10" ht="27" customHeight="1">
      <c r="A3" s="139" t="s">
        <v>449</v>
      </c>
      <c r="B3" s="140" t="s">
        <v>450</v>
      </c>
      <c r="C3" s="141" t="s">
        <v>451</v>
      </c>
      <c r="D3" s="140" t="s">
        <v>452</v>
      </c>
      <c r="E3" s="141" t="s">
        <v>451</v>
      </c>
      <c r="F3" s="140" t="s">
        <v>652</v>
      </c>
      <c r="G3" s="141" t="s">
        <v>451</v>
      </c>
    </row>
    <row r="4" spans="1:10" ht="15" customHeight="1">
      <c r="A4" s="142"/>
      <c r="B4" s="143"/>
      <c r="C4" s="144" t="s">
        <v>486</v>
      </c>
      <c r="D4" s="143"/>
      <c r="E4" s="144" t="s">
        <v>486</v>
      </c>
      <c r="F4" s="143"/>
      <c r="G4" s="144" t="s">
        <v>486</v>
      </c>
    </row>
    <row r="5" spans="1:10" ht="15" customHeight="1">
      <c r="A5" s="142"/>
      <c r="B5" s="143"/>
      <c r="C5" s="144" t="s">
        <v>454</v>
      </c>
      <c r="D5" s="143"/>
      <c r="E5" s="144" t="s">
        <v>454</v>
      </c>
      <c r="F5" s="143"/>
      <c r="G5" s="144" t="s">
        <v>454</v>
      </c>
    </row>
    <row r="6" spans="1:10" ht="23" customHeight="1">
      <c r="A6" s="145"/>
      <c r="B6" s="146"/>
      <c r="C6" s="147"/>
      <c r="D6" s="146"/>
      <c r="E6" s="147"/>
      <c r="F6" s="146"/>
      <c r="G6" s="147"/>
    </row>
    <row r="7" spans="1:10" ht="30" customHeight="1" thickBot="1">
      <c r="A7" s="148" t="s">
        <v>455</v>
      </c>
      <c r="B7" s="149">
        <v>59.573695785086322</v>
      </c>
      <c r="C7" s="150">
        <v>5.3841178413990332E-2</v>
      </c>
      <c r="D7" s="149">
        <v>57.54906679832056</v>
      </c>
      <c r="E7" s="150">
        <v>6.7574452594911447E-2</v>
      </c>
      <c r="F7" s="149">
        <v>58.586984883065973</v>
      </c>
      <c r="G7" s="150">
        <v>6.0381392770396683E-2</v>
      </c>
      <c r="H7" s="151"/>
      <c r="I7" s="151"/>
      <c r="J7" s="151"/>
    </row>
    <row r="8" spans="1:10" ht="20" customHeight="1" thickBot="1">
      <c r="A8" s="152" t="s">
        <v>456</v>
      </c>
      <c r="B8" s="153">
        <v>53.360385123528069</v>
      </c>
      <c r="C8" s="154">
        <v>1.6716071735204525E-2</v>
      </c>
      <c r="D8" s="153">
        <v>93.690477473974923</v>
      </c>
      <c r="E8" s="154">
        <v>3.6799007209806667E-2</v>
      </c>
      <c r="F8" s="153">
        <v>73.31298719001407</v>
      </c>
      <c r="G8" s="154">
        <v>2.908487383837716E-2</v>
      </c>
      <c r="H8" s="151"/>
      <c r="I8" s="151"/>
      <c r="J8" s="151"/>
    </row>
    <row r="9" spans="1:10" ht="20" customHeight="1" thickBot="1">
      <c r="A9" s="152" t="s">
        <v>457</v>
      </c>
      <c r="B9" s="153">
        <v>58.475177852405771</v>
      </c>
      <c r="C9" s="154">
        <v>3.7644905752221611E-2</v>
      </c>
      <c r="D9" s="153">
        <v>134.92464897298882</v>
      </c>
      <c r="E9" s="154">
        <v>5.9104874736938429E-2</v>
      </c>
      <c r="F9" s="153">
        <v>96.708964972147996</v>
      </c>
      <c r="G9" s="154">
        <v>5.2682712885674991E-2</v>
      </c>
      <c r="H9" s="151"/>
      <c r="I9" s="151"/>
      <c r="J9" s="151"/>
    </row>
    <row r="10" spans="1:10" ht="20" customHeight="1" thickBot="1">
      <c r="A10" s="152" t="s">
        <v>458</v>
      </c>
      <c r="B10" s="153">
        <v>69.602137611470539</v>
      </c>
      <c r="C10" s="154">
        <v>4.3895668368607949E-2</v>
      </c>
      <c r="D10" s="153">
        <v>153.30914255699966</v>
      </c>
      <c r="E10" s="154">
        <v>6.8529560617795207E-2</v>
      </c>
      <c r="F10" s="153">
        <v>111.59725676241511</v>
      </c>
      <c r="G10" s="154">
        <v>6.0793573820007406E-2</v>
      </c>
      <c r="H10" s="151"/>
      <c r="I10" s="151"/>
      <c r="J10" s="151"/>
    </row>
    <row r="11" spans="1:10" ht="20" customHeight="1" thickBot="1">
      <c r="A11" s="152" t="s">
        <v>459</v>
      </c>
      <c r="B11" s="153">
        <v>83.285632465659148</v>
      </c>
      <c r="C11" s="154">
        <v>3.6364044038966155E-2</v>
      </c>
      <c r="D11" s="153">
        <v>141.64924807533325</v>
      </c>
      <c r="E11" s="154">
        <v>6.9719299556669626E-2</v>
      </c>
      <c r="F11" s="153">
        <v>112.31514968436237</v>
      </c>
      <c r="G11" s="154">
        <v>5.767333969825459E-2</v>
      </c>
      <c r="H11" s="151"/>
      <c r="I11" s="151"/>
      <c r="J11" s="151"/>
    </row>
    <row r="12" spans="1:10" ht="20" customHeight="1" thickBot="1">
      <c r="A12" s="152" t="s">
        <v>460</v>
      </c>
      <c r="B12" s="153">
        <v>101.73007631827419</v>
      </c>
      <c r="C12" s="154">
        <v>4.5534442411851492E-2</v>
      </c>
      <c r="D12" s="153">
        <v>141.17945278375817</v>
      </c>
      <c r="E12" s="154">
        <v>5.688028591496086E-2</v>
      </c>
      <c r="F12" s="153">
        <v>121.27772230636681</v>
      </c>
      <c r="G12" s="154">
        <v>5.2288367210669769E-2</v>
      </c>
      <c r="H12" s="151"/>
      <c r="I12" s="151"/>
      <c r="J12" s="151"/>
    </row>
    <row r="13" spans="1:10" ht="20" customHeight="1" thickBot="1">
      <c r="A13" s="152" t="s">
        <v>461</v>
      </c>
      <c r="B13" s="153">
        <v>126.57278973534358</v>
      </c>
      <c r="C13" s="154">
        <v>4.2567654038920488E-2</v>
      </c>
      <c r="D13" s="153">
        <v>166.16201863001251</v>
      </c>
      <c r="E13" s="154">
        <v>5.5123652058966147E-2</v>
      </c>
      <c r="F13" s="153">
        <v>146.1065253702119</v>
      </c>
      <c r="G13" s="154">
        <v>4.9251041000847144E-2</v>
      </c>
      <c r="H13" s="151"/>
      <c r="I13" s="151"/>
      <c r="J13" s="151"/>
    </row>
    <row r="14" spans="1:10" ht="20" customHeight="1" thickBot="1">
      <c r="A14" s="152" t="s">
        <v>462</v>
      </c>
      <c r="B14" s="153">
        <v>164.78699887829271</v>
      </c>
      <c r="C14" s="154">
        <v>5.7545658229569807E-2</v>
      </c>
      <c r="D14" s="153">
        <v>200.47898217002441</v>
      </c>
      <c r="E14" s="154">
        <v>4.9300195910538601E-2</v>
      </c>
      <c r="F14" s="153">
        <v>182.59430072437661</v>
      </c>
      <c r="G14" s="154">
        <v>5.3091907108492008E-2</v>
      </c>
      <c r="H14" s="151"/>
      <c r="I14" s="151"/>
      <c r="J14" s="151"/>
    </row>
    <row r="15" spans="1:10" ht="20" customHeight="1" thickBot="1">
      <c r="A15" s="152" t="s">
        <v>463</v>
      </c>
      <c r="B15" s="153">
        <v>218.32833563553575</v>
      </c>
      <c r="C15" s="154">
        <v>7.2712374436294663E-2</v>
      </c>
      <c r="D15" s="153">
        <v>239.22974433083891</v>
      </c>
      <c r="E15" s="154">
        <v>4.9969303909776039E-2</v>
      </c>
      <c r="F15" s="153">
        <v>228.78723165574687</v>
      </c>
      <c r="G15" s="154">
        <v>6.0730899856833741E-2</v>
      </c>
      <c r="H15" s="151"/>
      <c r="I15" s="151"/>
      <c r="J15" s="151"/>
    </row>
    <row r="16" spans="1:10" ht="20" customHeight="1" thickBot="1">
      <c r="A16" s="152" t="s">
        <v>464</v>
      </c>
      <c r="B16" s="153">
        <v>275.55651943217936</v>
      </c>
      <c r="C16" s="154">
        <v>6.6208366685302472E-2</v>
      </c>
      <c r="D16" s="153">
        <v>281.68132168167921</v>
      </c>
      <c r="E16" s="154">
        <v>6.0610701396603711E-2</v>
      </c>
      <c r="F16" s="153">
        <v>278.69569313459425</v>
      </c>
      <c r="G16" s="154">
        <v>6.3247541837056914E-2</v>
      </c>
      <c r="H16" s="151"/>
      <c r="I16" s="151"/>
      <c r="J16" s="151"/>
    </row>
    <row r="17" spans="1:10" ht="20" customHeight="1" thickBot="1">
      <c r="A17" s="152" t="s">
        <v>465</v>
      </c>
      <c r="B17" s="153">
        <v>357.95049893770903</v>
      </c>
      <c r="C17" s="154">
        <v>6.0587099813653282E-2</v>
      </c>
      <c r="D17" s="153">
        <v>340.87103755525601</v>
      </c>
      <c r="E17" s="154">
        <v>6.5241399609993228E-2</v>
      </c>
      <c r="F17" s="153">
        <v>348.84563085894837</v>
      </c>
      <c r="G17" s="154">
        <v>6.3119026469041828E-2</v>
      </c>
      <c r="H17" s="151"/>
      <c r="I17" s="151"/>
      <c r="J17" s="151"/>
    </row>
    <row r="18" spans="1:10" ht="20" customHeight="1" thickBot="1">
      <c r="A18" s="152" t="s">
        <v>466</v>
      </c>
      <c r="B18" s="153">
        <v>447.92637247908516</v>
      </c>
      <c r="C18" s="154">
        <v>6.6757458443938836E-2</v>
      </c>
      <c r="D18" s="153">
        <v>422.77697753697527</v>
      </c>
      <c r="E18" s="154">
        <v>7.3910858765590351E-2</v>
      </c>
      <c r="F18" s="153">
        <v>433.81347201682956</v>
      </c>
      <c r="G18" s="154">
        <v>7.0853865260990648E-2</v>
      </c>
      <c r="H18" s="151"/>
      <c r="I18" s="151"/>
      <c r="J18" s="151"/>
    </row>
    <row r="19" spans="1:10" ht="20" customHeight="1" thickBot="1">
      <c r="A19" s="152" t="s">
        <v>467</v>
      </c>
      <c r="B19" s="153">
        <v>536.60143479542705</v>
      </c>
      <c r="C19" s="154">
        <v>5.8648701897476986E-2</v>
      </c>
      <c r="D19" s="153">
        <v>529.79731846978564</v>
      </c>
      <c r="E19" s="154">
        <v>6.0786760841388683E-2</v>
      </c>
      <c r="F19" s="153">
        <v>532.52577564099761</v>
      </c>
      <c r="G19" s="154">
        <v>5.9951368913458272E-2</v>
      </c>
      <c r="H19" s="151"/>
      <c r="I19" s="151"/>
      <c r="J19" s="151"/>
    </row>
    <row r="20" spans="1:10" ht="20" customHeight="1" thickBot="1">
      <c r="A20" s="152" t="s">
        <v>468</v>
      </c>
      <c r="B20" s="153">
        <v>638.21217374753815</v>
      </c>
      <c r="C20" s="154">
        <v>6.0550016587115445E-2</v>
      </c>
      <c r="D20" s="153">
        <v>689.35577632883758</v>
      </c>
      <c r="E20" s="154">
        <v>5.6023452971401537E-2</v>
      </c>
      <c r="F20" s="153">
        <v>670.6990698254765</v>
      </c>
      <c r="G20" s="154">
        <v>5.75448449165002E-2</v>
      </c>
      <c r="H20" s="151"/>
      <c r="I20" s="151"/>
      <c r="J20" s="151"/>
    </row>
    <row r="21" spans="1:10" ht="20" customHeight="1" thickBot="1">
      <c r="A21" s="152" t="s">
        <v>469</v>
      </c>
      <c r="B21" s="153">
        <v>789.87333605502772</v>
      </c>
      <c r="C21" s="154">
        <v>7.7543638883329977E-2</v>
      </c>
      <c r="D21" s="153">
        <v>939.76482879598268</v>
      </c>
      <c r="E21" s="154">
        <v>5.7155714219374508E-2</v>
      </c>
      <c r="F21" s="153">
        <v>892.30180238411435</v>
      </c>
      <c r="G21" s="154">
        <v>6.2040423603068655E-2</v>
      </c>
      <c r="H21" s="151"/>
      <c r="I21" s="151"/>
      <c r="J21" s="151"/>
    </row>
    <row r="22" spans="1:10" ht="20" customHeight="1" thickBot="1">
      <c r="A22" s="152" t="s">
        <v>470</v>
      </c>
      <c r="B22" s="153">
        <v>1022.6120608221349</v>
      </c>
      <c r="C22" s="154">
        <v>4.609793746267099E-2</v>
      </c>
      <c r="D22" s="153">
        <v>1297.5829193368215</v>
      </c>
      <c r="E22" s="154">
        <v>3.8159664875975143E-2</v>
      </c>
      <c r="F22" s="153">
        <v>1230.6766261835382</v>
      </c>
      <c r="G22" s="154">
        <v>3.8890352674067465E-2</v>
      </c>
      <c r="H22" s="151"/>
      <c r="I22" s="151"/>
      <c r="J22" s="151"/>
    </row>
    <row r="23" spans="1:10" ht="30" customHeight="1" thickBot="1">
      <c r="A23" s="187" t="s">
        <v>652</v>
      </c>
      <c r="B23" s="218">
        <v>153.96083764366747</v>
      </c>
      <c r="C23" s="204">
        <v>6.5570516661564812E-2</v>
      </c>
      <c r="D23" s="218">
        <v>212.80042318436813</v>
      </c>
      <c r="E23" s="204">
        <v>6.304355370079788E-2</v>
      </c>
      <c r="F23" s="218">
        <v>183.97189333311749</v>
      </c>
      <c r="G23" s="204">
        <v>6.4012139464786677E-2</v>
      </c>
      <c r="H23" s="151"/>
      <c r="I23" s="151"/>
      <c r="J23" s="151"/>
    </row>
    <row r="24" spans="1:10" ht="20" customHeight="1">
      <c r="A24" s="155" t="s">
        <v>2132</v>
      </c>
      <c r="B24" s="156"/>
      <c r="C24" s="157"/>
      <c r="D24" s="156"/>
      <c r="E24" s="157"/>
      <c r="F24" s="156"/>
      <c r="G24" s="157"/>
    </row>
    <row r="25" spans="1:10" ht="11.25" customHeight="1">
      <c r="A25" s="4"/>
      <c r="B25" s="158"/>
      <c r="C25" s="159"/>
      <c r="D25" s="158"/>
      <c r="E25" s="159"/>
      <c r="F25" s="158"/>
      <c r="G25" s="159"/>
    </row>
    <row r="26" spans="1:10" ht="20" customHeight="1">
      <c r="A26" s="4" t="s">
        <v>471</v>
      </c>
      <c r="B26" s="158"/>
      <c r="C26" s="159"/>
      <c r="D26" s="158"/>
      <c r="E26" s="159"/>
      <c r="F26" s="158"/>
      <c r="G26" s="159"/>
    </row>
    <row r="27" spans="1:10" ht="23.25" customHeight="1">
      <c r="A27" s="4"/>
      <c r="B27" s="158"/>
      <c r="C27" s="159"/>
      <c r="D27" s="158"/>
      <c r="E27" s="159"/>
      <c r="F27" s="158"/>
      <c r="G27" s="159"/>
    </row>
    <row r="28" spans="1:10" ht="21" customHeight="1">
      <c r="A28" s="515" t="s">
        <v>2102</v>
      </c>
      <c r="B28" s="645"/>
      <c r="C28" s="646"/>
      <c r="D28" s="645"/>
      <c r="E28" s="646"/>
      <c r="F28" s="645"/>
      <c r="G28" s="646"/>
    </row>
    <row r="29" spans="1:10" ht="24" customHeight="1" thickBot="1">
      <c r="A29" s="148" t="s">
        <v>2090</v>
      </c>
      <c r="B29" s="149">
        <v>74.601666666666674</v>
      </c>
      <c r="C29" s="150">
        <v>8.034852288086522E-2</v>
      </c>
      <c r="D29" s="149">
        <v>64.328333333333333</v>
      </c>
      <c r="E29" s="150">
        <v>6.3512619861126329E-2</v>
      </c>
      <c r="F29" s="149">
        <v>69.599999999999994</v>
      </c>
      <c r="G29" s="150">
        <v>7.2722135169153879E-2</v>
      </c>
    </row>
    <row r="30" spans="1:10" ht="24" customHeight="1" thickBot="1">
      <c r="A30" s="152" t="s">
        <v>2091</v>
      </c>
      <c r="B30" s="153">
        <v>53.29</v>
      </c>
      <c r="C30" s="154">
        <v>6.3248204309656858E-2</v>
      </c>
      <c r="D30" s="153">
        <v>42.477499999999999</v>
      </c>
      <c r="E30" s="154">
        <v>4.7684623764207859E-2</v>
      </c>
      <c r="F30" s="153">
        <v>48.022500000000001</v>
      </c>
      <c r="G30" s="154">
        <v>5.6523173951305225E-2</v>
      </c>
    </row>
    <row r="31" spans="1:10" ht="24" customHeight="1" thickBot="1">
      <c r="A31" s="152" t="s">
        <v>2092</v>
      </c>
      <c r="B31" s="153">
        <v>51.1325</v>
      </c>
      <c r="C31" s="154">
        <v>2.3502919099249332E-2</v>
      </c>
      <c r="D31" s="153">
        <v>50.154166666666669</v>
      </c>
      <c r="E31" s="154">
        <v>6.0192361894024882E-2</v>
      </c>
      <c r="F31" s="153">
        <v>50.655000000000001</v>
      </c>
      <c r="G31" s="154">
        <v>4.0945286411507825E-2</v>
      </c>
    </row>
    <row r="32" spans="1:10" ht="24" customHeight="1" thickBot="1">
      <c r="A32" s="152" t="s">
        <v>2093</v>
      </c>
      <c r="B32" s="153">
        <v>59.335833333333333</v>
      </c>
      <c r="C32" s="154">
        <v>2.7638263479967638E-2</v>
      </c>
      <c r="D32" s="153">
        <v>82.047499999999999</v>
      </c>
      <c r="E32" s="154">
        <v>6.0696163666332605E-2</v>
      </c>
      <c r="F32" s="153">
        <v>70.400833333333324</v>
      </c>
      <c r="G32" s="154">
        <v>4.5997077978356983E-2</v>
      </c>
    </row>
    <row r="33" spans="1:8" ht="24" customHeight="1" thickBot="1">
      <c r="A33" s="152" t="s">
        <v>2094</v>
      </c>
      <c r="B33" s="153">
        <v>47.619166666666665</v>
      </c>
      <c r="C33" s="154">
        <v>1.1434235446129745E-2</v>
      </c>
      <c r="D33" s="153">
        <v>76.803333333333327</v>
      </c>
      <c r="E33" s="154">
        <v>3.9017846070595018E-2</v>
      </c>
      <c r="F33" s="153">
        <v>61.912500000000001</v>
      </c>
      <c r="G33" s="154">
        <v>2.817642093026472E-2</v>
      </c>
      <c r="H33" s="20"/>
    </row>
    <row r="34" spans="1:8" ht="24" customHeight="1" thickBot="1">
      <c r="A34" s="152" t="s">
        <v>2095</v>
      </c>
      <c r="B34" s="153">
        <v>55.180833333333332</v>
      </c>
      <c r="C34" s="154">
        <v>1.8347071850393668E-2</v>
      </c>
      <c r="D34" s="153">
        <v>99.885833333333338</v>
      </c>
      <c r="E34" s="154">
        <v>3.3194841912905657E-2</v>
      </c>
      <c r="F34" s="153">
        <v>77.303333333333327</v>
      </c>
      <c r="G34" s="154">
        <v>2.678650491454863E-2</v>
      </c>
    </row>
    <row r="35" spans="1:8" ht="24" customHeight="1" thickBot="1">
      <c r="A35" s="152" t="s">
        <v>2096</v>
      </c>
      <c r="B35" s="153">
        <v>1005.8791666666666</v>
      </c>
      <c r="C35" s="154">
        <v>6.0351173712219389E-2</v>
      </c>
      <c r="D35" s="153">
        <v>1248.9641666666666</v>
      </c>
      <c r="E35" s="154">
        <v>4.929327496291179E-2</v>
      </c>
      <c r="F35" s="153">
        <v>1187.29</v>
      </c>
      <c r="G35" s="154">
        <v>5.0812255596841521E-2</v>
      </c>
    </row>
    <row r="36" spans="1:8" ht="24" customHeight="1" thickBot="1">
      <c r="A36" s="152" t="s">
        <v>2097</v>
      </c>
      <c r="B36" s="153">
        <v>1287.9333333333334</v>
      </c>
      <c r="C36" s="154">
        <v>6.3358269696642419E-2</v>
      </c>
      <c r="D36" s="153">
        <v>1619.8716666666667</v>
      </c>
      <c r="E36" s="154">
        <v>1.4994812359898475E-2</v>
      </c>
      <c r="F36" s="153">
        <v>1555.8875</v>
      </c>
      <c r="G36" s="154">
        <v>2.2749495353417106E-2</v>
      </c>
    </row>
    <row r="37" spans="1:8" ht="24" customHeight="1" thickBot="1">
      <c r="A37" s="647" t="s">
        <v>2098</v>
      </c>
      <c r="B37" s="350">
        <v>1512.0775000000001</v>
      </c>
      <c r="C37" s="648">
        <v>0.10534270324799626</v>
      </c>
      <c r="D37" s="350">
        <v>1901.0775000000001</v>
      </c>
      <c r="E37" s="648">
        <v>8.4431212586342855E-2</v>
      </c>
      <c r="F37" s="350">
        <v>1840.4025000000001</v>
      </c>
      <c r="G37" s="648">
        <v>8.2892278724937873E-2</v>
      </c>
    </row>
    <row r="38" spans="1:8" ht="18" customHeight="1">
      <c r="A38" s="493" t="s">
        <v>2103</v>
      </c>
    </row>
    <row r="39" spans="1:8" ht="12" customHeight="1">
      <c r="A39" s="231"/>
    </row>
    <row r="40" spans="1:8">
      <c r="A40" s="4" t="s">
        <v>2104</v>
      </c>
    </row>
    <row r="42" spans="1:8">
      <c r="A42" s="160" t="s">
        <v>2118</v>
      </c>
      <c r="B42" s="158"/>
      <c r="C42" s="159"/>
      <c r="D42" s="158"/>
      <c r="E42" s="159"/>
      <c r="F42" s="158"/>
      <c r="G42" s="159"/>
    </row>
    <row r="43" spans="1:8" ht="12" customHeight="1">
      <c r="A43" s="80" t="s">
        <v>2099</v>
      </c>
      <c r="B43" s="219"/>
      <c r="C43" s="2"/>
      <c r="D43" s="2"/>
      <c r="E43" s="2"/>
      <c r="F43" s="219"/>
      <c r="G43" s="518"/>
    </row>
    <row r="44" spans="1:8" ht="12" customHeight="1">
      <c r="A44" s="2" t="s">
        <v>2100</v>
      </c>
      <c r="B44" s="219"/>
      <c r="C44" s="2"/>
      <c r="D44" s="2"/>
      <c r="E44" s="2"/>
      <c r="F44" s="219"/>
      <c r="G44" s="518"/>
    </row>
    <row r="45" spans="1:8">
      <c r="A45" s="160"/>
      <c r="B45" s="158"/>
      <c r="C45" s="159"/>
      <c r="D45" s="158"/>
      <c r="E45" s="159"/>
      <c r="F45" s="158"/>
      <c r="G45" s="159"/>
    </row>
    <row r="46" spans="1:8">
      <c r="A46" s="160"/>
      <c r="B46" s="158"/>
      <c r="C46" s="159"/>
      <c r="D46" s="158"/>
      <c r="E46" s="159"/>
      <c r="F46" s="158"/>
      <c r="G46" s="159"/>
    </row>
    <row r="47" spans="1:8">
      <c r="A47" s="4" t="s">
        <v>104</v>
      </c>
    </row>
  </sheetData>
  <mergeCells count="1">
    <mergeCell ref="A2:F2"/>
  </mergeCells>
  <phoneticPr fontId="0" type="noConversion"/>
  <pageMargins left="0.62" right="0.54" top="0.74" bottom="0.65" header="0.4" footer="0.38"/>
  <pageSetup paperSize="9" scale="81" orientation="portrait" horizontalDpi="1200" verticalDpi="1200"/>
  <headerFooter alignWithMargins="0">
    <oddHeader>&amp;L&amp;"Arial,Bold"Leistungen und Kostenbeteiligung in der OKP</oddHead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8F709-48D6-9B4C-810F-D8F8D47C6095}">
  <dimension ref="A1:I42"/>
  <sheetViews>
    <sheetView zoomScale="75" workbookViewId="0">
      <selection activeCell="C7" sqref="C7"/>
    </sheetView>
  </sheetViews>
  <sheetFormatPr baseColWidth="10" defaultColWidth="11.3984375" defaultRowHeight="13"/>
  <cols>
    <col min="1" max="1" width="14.796875" style="2" customWidth="1"/>
    <col min="2" max="4" width="14.796875" style="161" customWidth="1"/>
    <col min="5" max="5" width="15.59765625" style="161" customWidth="1"/>
    <col min="6" max="6" width="16.19921875" style="161" customWidth="1"/>
    <col min="7" max="7" width="12.796875" style="162" customWidth="1"/>
    <col min="8" max="8" width="11.3984375" style="2"/>
    <col min="9" max="9" width="15.19921875" style="2" hidden="1" customWidth="1"/>
    <col min="10" max="16384" width="11.3984375" style="2"/>
  </cols>
  <sheetData>
    <row r="1" spans="1:9" s="1" customFormat="1" ht="14" customHeight="1">
      <c r="B1" s="216"/>
      <c r="C1" s="216"/>
      <c r="D1" s="216"/>
      <c r="E1" s="216"/>
      <c r="F1" s="216"/>
      <c r="G1" s="193"/>
    </row>
    <row r="2" spans="1:9" s="1" customFormat="1" ht="40.5" customHeight="1">
      <c r="A2" s="1715" t="s">
        <v>2121</v>
      </c>
      <c r="B2" s="1716"/>
      <c r="C2" s="1716"/>
      <c r="D2" s="1716"/>
      <c r="E2" s="1716"/>
      <c r="F2" s="138">
        <v>2004</v>
      </c>
    </row>
    <row r="3" spans="1:9" ht="27" customHeight="1">
      <c r="A3" s="139" t="s">
        <v>503</v>
      </c>
      <c r="B3" s="140" t="s">
        <v>504</v>
      </c>
      <c r="C3" s="194" t="s">
        <v>2063</v>
      </c>
      <c r="D3" s="140" t="s">
        <v>2064</v>
      </c>
      <c r="E3" s="194" t="s">
        <v>652</v>
      </c>
      <c r="F3" s="140" t="s">
        <v>652</v>
      </c>
      <c r="G3"/>
    </row>
    <row r="4" spans="1:9" ht="15" customHeight="1">
      <c r="A4" s="142"/>
      <c r="B4" s="143"/>
      <c r="C4" s="197"/>
      <c r="D4" s="143"/>
      <c r="E4" s="197" t="s">
        <v>2065</v>
      </c>
      <c r="F4" s="143" t="s">
        <v>2066</v>
      </c>
      <c r="G4"/>
    </row>
    <row r="5" spans="1:9" ht="15" customHeight="1">
      <c r="A5" s="142"/>
      <c r="B5" s="143"/>
      <c r="C5" s="197"/>
      <c r="D5" s="143"/>
      <c r="E5" s="197" t="s">
        <v>2067</v>
      </c>
      <c r="F5" s="143" t="s">
        <v>506</v>
      </c>
      <c r="G5"/>
    </row>
    <row r="6" spans="1:9" ht="24" customHeight="1">
      <c r="A6" s="145"/>
      <c r="B6" s="146"/>
      <c r="C6" s="200"/>
      <c r="D6" s="146"/>
      <c r="E6" s="200"/>
      <c r="F6" s="146"/>
      <c r="G6"/>
    </row>
    <row r="7" spans="1:9" ht="30" customHeight="1" thickBot="1">
      <c r="A7" s="148" t="s">
        <v>510</v>
      </c>
      <c r="B7" s="149">
        <v>80.97946886855604</v>
      </c>
      <c r="C7" s="225">
        <v>404.69138252705261</v>
      </c>
      <c r="D7" s="149">
        <v>521.53115277178506</v>
      </c>
      <c r="E7" s="225">
        <v>464.97128364854211</v>
      </c>
      <c r="F7" s="149">
        <v>391.58739705125117</v>
      </c>
      <c r="G7"/>
      <c r="I7" s="9">
        <v>2156035045</v>
      </c>
    </row>
    <row r="8" spans="1:9" ht="20" customHeight="1" thickBot="1">
      <c r="A8" s="152" t="s">
        <v>511</v>
      </c>
      <c r="B8" s="153">
        <v>71.216519189624563</v>
      </c>
      <c r="C8" s="228">
        <v>409.53797428865209</v>
      </c>
      <c r="D8" s="153">
        <v>519.54507473122999</v>
      </c>
      <c r="E8" s="228">
        <v>466.81614451815608</v>
      </c>
      <c r="F8" s="153">
        <v>388.67709278957216</v>
      </c>
      <c r="G8"/>
      <c r="I8" s="9">
        <v>1563935884</v>
      </c>
    </row>
    <row r="9" spans="1:9" ht="20" customHeight="1" thickBot="1">
      <c r="A9" s="152" t="s">
        <v>512</v>
      </c>
      <c r="B9" s="153">
        <v>58.506354254396427</v>
      </c>
      <c r="C9" s="228">
        <v>347.38030049344684</v>
      </c>
      <c r="D9" s="153">
        <v>434.72281896593995</v>
      </c>
      <c r="E9" s="228">
        <v>392.17090015343308</v>
      </c>
      <c r="F9" s="153">
        <v>317.99452563923421</v>
      </c>
      <c r="G9"/>
      <c r="I9" s="9">
        <v>464604355</v>
      </c>
    </row>
    <row r="10" spans="1:9" ht="20" customHeight="1" thickBot="1">
      <c r="A10" s="152" t="s">
        <v>513</v>
      </c>
      <c r="B10" s="153">
        <v>62.910512820512707</v>
      </c>
      <c r="C10" s="228">
        <v>350.92903555523128</v>
      </c>
      <c r="D10" s="153">
        <v>433.0312837886546</v>
      </c>
      <c r="E10" s="228">
        <v>392.22799318124123</v>
      </c>
      <c r="F10" s="153">
        <v>319.6070227022135</v>
      </c>
      <c r="G10"/>
      <c r="I10" s="9">
        <v>45901795</v>
      </c>
    </row>
    <row r="11" spans="1:9" ht="20" customHeight="1" thickBot="1">
      <c r="A11" s="152" t="s">
        <v>514</v>
      </c>
      <c r="B11" s="153">
        <v>69.68500049050067</v>
      </c>
      <c r="C11" s="228">
        <v>372.67488461105495</v>
      </c>
      <c r="D11" s="153">
        <v>461.35088355406276</v>
      </c>
      <c r="E11" s="228">
        <v>416.63703878902572</v>
      </c>
      <c r="F11" s="153">
        <v>338.78464925154071</v>
      </c>
      <c r="G11"/>
      <c r="I11" s="9">
        <v>171549320</v>
      </c>
    </row>
    <row r="12" spans="1:9" ht="20" customHeight="1" thickBot="1">
      <c r="A12" s="152" t="s">
        <v>515</v>
      </c>
      <c r="B12" s="153">
        <v>54.792346938775552</v>
      </c>
      <c r="C12" s="228">
        <v>337.15128895729117</v>
      </c>
      <c r="D12" s="153">
        <v>436.67107273838667</v>
      </c>
      <c r="E12" s="228">
        <v>387.14797346524051</v>
      </c>
      <c r="F12" s="153">
        <v>310.31851415094332</v>
      </c>
      <c r="G12"/>
      <c r="I12" s="9">
        <v>41764939</v>
      </c>
    </row>
    <row r="13" spans="1:9" ht="20" customHeight="1" thickBot="1">
      <c r="A13" s="152" t="s">
        <v>516</v>
      </c>
      <c r="B13" s="153">
        <v>61.635279805352866</v>
      </c>
      <c r="C13" s="228">
        <v>326.10128221732936</v>
      </c>
      <c r="D13" s="153">
        <v>421.79162337662365</v>
      </c>
      <c r="E13" s="228">
        <v>373.89342109529525</v>
      </c>
      <c r="F13" s="153">
        <v>308.18179258083489</v>
      </c>
      <c r="G13"/>
      <c r="I13" s="9">
        <v>44323506</v>
      </c>
    </row>
    <row r="14" spans="1:9" ht="20" customHeight="1" thickBot="1">
      <c r="A14" s="152" t="s">
        <v>517</v>
      </c>
      <c r="B14" s="153">
        <v>72.058704453441294</v>
      </c>
      <c r="C14" s="228">
        <v>383.63957620867723</v>
      </c>
      <c r="D14" s="153">
        <v>478.0971583921289</v>
      </c>
      <c r="E14" s="228">
        <v>431.67369253062861</v>
      </c>
      <c r="F14" s="153">
        <v>353.76113203653074</v>
      </c>
      <c r="G14"/>
      <c r="I14" s="9">
        <v>55927154</v>
      </c>
    </row>
    <row r="15" spans="1:9" ht="20" customHeight="1" thickBot="1">
      <c r="A15" s="152" t="s">
        <v>518</v>
      </c>
      <c r="B15" s="153">
        <v>60.313087626927398</v>
      </c>
      <c r="C15" s="228">
        <v>348.72707354480588</v>
      </c>
      <c r="D15" s="153">
        <v>454.84521080194054</v>
      </c>
      <c r="E15" s="228">
        <v>402.0176333713066</v>
      </c>
      <c r="F15" s="153">
        <v>331.98179908658176</v>
      </c>
      <c r="G15"/>
      <c r="I15" s="9">
        <v>128772453</v>
      </c>
    </row>
    <row r="16" spans="1:9" ht="20" customHeight="1" thickBot="1">
      <c r="A16" s="152" t="s">
        <v>519</v>
      </c>
      <c r="B16" s="153">
        <v>79.227600168705152</v>
      </c>
      <c r="C16" s="228">
        <v>404.68606285130306</v>
      </c>
      <c r="D16" s="153">
        <v>518.00341542703109</v>
      </c>
      <c r="E16" s="228">
        <v>462.31887621638566</v>
      </c>
      <c r="F16" s="153">
        <v>371.63846414951183</v>
      </c>
      <c r="G16"/>
      <c r="I16" s="9">
        <v>391250033</v>
      </c>
    </row>
    <row r="17" spans="1:9" ht="20" customHeight="1" thickBot="1">
      <c r="A17" s="152" t="s">
        <v>520</v>
      </c>
      <c r="B17" s="153">
        <v>69.142583083034594</v>
      </c>
      <c r="C17" s="228">
        <v>391.48511725484525</v>
      </c>
      <c r="D17" s="153">
        <v>494.1044999605956</v>
      </c>
      <c r="E17" s="228">
        <v>444.15045652635536</v>
      </c>
      <c r="F17" s="153">
        <v>366.55603581352239</v>
      </c>
      <c r="G17"/>
      <c r="I17" s="9">
        <v>393696828</v>
      </c>
    </row>
    <row r="18" spans="1:9" ht="20" customHeight="1" thickBot="1">
      <c r="A18" s="152" t="s">
        <v>521</v>
      </c>
      <c r="B18" s="153">
        <v>100.15346905426571</v>
      </c>
      <c r="C18" s="228">
        <v>461.04238133503293</v>
      </c>
      <c r="D18" s="153">
        <v>602.32954211916694</v>
      </c>
      <c r="E18" s="228">
        <v>536.0831909683202</v>
      </c>
      <c r="F18" s="153">
        <v>466.23303931355406</v>
      </c>
      <c r="G18"/>
      <c r="I18" s="9">
        <v>473520714</v>
      </c>
    </row>
    <row r="19" spans="1:9" ht="20" customHeight="1" thickBot="1">
      <c r="A19" s="152" t="s">
        <v>522</v>
      </c>
      <c r="B19" s="153">
        <v>89.840062712914175</v>
      </c>
      <c r="C19" s="228">
        <v>438.7497642825532</v>
      </c>
      <c r="D19" s="153">
        <v>550.67577054949822</v>
      </c>
      <c r="E19" s="228">
        <v>496.35863389126257</v>
      </c>
      <c r="F19" s="153">
        <v>417.35748864957179</v>
      </c>
      <c r="G19"/>
      <c r="I19" s="9">
        <v>469771093</v>
      </c>
    </row>
    <row r="20" spans="1:9" ht="20" customHeight="1" thickBot="1">
      <c r="A20" s="152" t="s">
        <v>523</v>
      </c>
      <c r="B20" s="153">
        <v>61.466892700438734</v>
      </c>
      <c r="C20" s="228">
        <v>388.86595561672129</v>
      </c>
      <c r="D20" s="153">
        <v>507.45857325655777</v>
      </c>
      <c r="E20" s="228">
        <v>450.28997662815516</v>
      </c>
      <c r="F20" s="153">
        <v>372.68652815369137</v>
      </c>
      <c r="G20"/>
      <c r="I20" s="9">
        <v>127694959</v>
      </c>
    </row>
    <row r="21" spans="1:9" ht="20" customHeight="1" thickBot="1">
      <c r="A21" s="152" t="s">
        <v>2047</v>
      </c>
      <c r="B21" s="153">
        <v>58.903212452392694</v>
      </c>
      <c r="C21" s="228">
        <v>344.99724165106898</v>
      </c>
      <c r="D21" s="153">
        <v>445.69807139152169</v>
      </c>
      <c r="E21" s="228">
        <v>396.45497253541487</v>
      </c>
      <c r="F21" s="153">
        <v>320.36661876947778</v>
      </c>
      <c r="G21"/>
      <c r="I21" s="9">
        <v>69489100</v>
      </c>
    </row>
    <row r="22" spans="1:9" ht="20" customHeight="1" thickBot="1">
      <c r="A22" s="152" t="s">
        <v>2048</v>
      </c>
      <c r="B22" s="153">
        <v>48.534325241451342</v>
      </c>
      <c r="C22" s="228">
        <v>310.89159604519773</v>
      </c>
      <c r="D22" s="153">
        <v>397.6561307901909</v>
      </c>
      <c r="E22" s="228">
        <v>353.75129858499008</v>
      </c>
      <c r="F22" s="153">
        <v>275.80168044811961</v>
      </c>
      <c r="G22"/>
      <c r="I22" s="9">
        <v>16712649</v>
      </c>
    </row>
    <row r="23" spans="1:9" ht="20" customHeight="1" thickBot="1">
      <c r="A23" s="152" t="s">
        <v>2049</v>
      </c>
      <c r="B23" s="153">
        <v>66.786330419831017</v>
      </c>
      <c r="C23" s="228">
        <v>379.61688948536653</v>
      </c>
      <c r="D23" s="153">
        <v>470.75879946623502</v>
      </c>
      <c r="E23" s="228">
        <v>426.2727878434971</v>
      </c>
      <c r="F23" s="153">
        <v>344.79755484495308</v>
      </c>
      <c r="G23"/>
      <c r="I23" s="9">
        <v>615853738</v>
      </c>
    </row>
    <row r="24" spans="1:9" ht="20" customHeight="1" thickBot="1">
      <c r="A24" s="152" t="s">
        <v>2050</v>
      </c>
      <c r="B24" s="153">
        <v>68.216024525213754</v>
      </c>
      <c r="C24" s="228">
        <v>364.79046332848554</v>
      </c>
      <c r="D24" s="153">
        <v>462.37956566543232</v>
      </c>
      <c r="E24" s="228">
        <v>414.08781569307894</v>
      </c>
      <c r="F24" s="153">
        <v>345.50184441009765</v>
      </c>
      <c r="G24"/>
      <c r="I24" s="9">
        <v>264690646</v>
      </c>
    </row>
    <row r="25" spans="1:9" ht="20" customHeight="1" thickBot="1">
      <c r="A25" s="152" t="s">
        <v>2051</v>
      </c>
      <c r="B25" s="153">
        <v>65.376830826698153</v>
      </c>
      <c r="C25" s="228">
        <v>371.14826649986617</v>
      </c>
      <c r="D25" s="153">
        <v>471.65059509137586</v>
      </c>
      <c r="E25" s="228">
        <v>422.1337373665192</v>
      </c>
      <c r="F25" s="153">
        <v>345.71346250355282</v>
      </c>
      <c r="G25"/>
      <c r="I25" s="9">
        <v>819222625</v>
      </c>
    </row>
    <row r="26" spans="1:9" ht="20" customHeight="1" thickBot="1">
      <c r="A26" s="152" t="s">
        <v>2052</v>
      </c>
      <c r="B26" s="153">
        <v>66.632308230915186</v>
      </c>
      <c r="C26" s="228">
        <v>364.71148696742716</v>
      </c>
      <c r="D26" s="153">
        <v>468.31414529493532</v>
      </c>
      <c r="E26" s="228">
        <v>417.33592598975906</v>
      </c>
      <c r="F26" s="153">
        <v>336.04610528833416</v>
      </c>
      <c r="G26"/>
      <c r="I26" s="9">
        <v>344655658</v>
      </c>
    </row>
    <row r="27" spans="1:9" ht="20" customHeight="1" thickBot="1">
      <c r="A27" s="152" t="s">
        <v>2053</v>
      </c>
      <c r="B27" s="153">
        <v>102.27003348311104</v>
      </c>
      <c r="C27" s="228">
        <v>465.98958273616972</v>
      </c>
      <c r="D27" s="153">
        <v>572.51395776412051</v>
      </c>
      <c r="E27" s="228">
        <v>522.22025411408015</v>
      </c>
      <c r="F27" s="153">
        <v>445.68065489176843</v>
      </c>
      <c r="G27"/>
      <c r="I27" s="9">
        <v>627641817</v>
      </c>
    </row>
    <row r="28" spans="1:9" ht="20" customHeight="1" thickBot="1">
      <c r="A28" s="152" t="s">
        <v>2054</v>
      </c>
      <c r="B28" s="153">
        <v>124.40848154184079</v>
      </c>
      <c r="C28" s="228">
        <v>457.16035874966406</v>
      </c>
      <c r="D28" s="153">
        <v>599.62801039538999</v>
      </c>
      <c r="E28" s="228">
        <v>531.82921807001071</v>
      </c>
      <c r="F28" s="153">
        <v>442.24301134575364</v>
      </c>
      <c r="G28"/>
      <c r="I28" s="9">
        <v>1280335377</v>
      </c>
    </row>
    <row r="29" spans="1:9" ht="20" customHeight="1" thickBot="1">
      <c r="A29" s="152" t="s">
        <v>2055</v>
      </c>
      <c r="B29" s="153">
        <v>72.270560439737125</v>
      </c>
      <c r="C29" s="228">
        <v>369.09934085794816</v>
      </c>
      <c r="D29" s="153">
        <v>470.10843475535864</v>
      </c>
      <c r="E29" s="228">
        <v>420.742223222946</v>
      </c>
      <c r="F29" s="153">
        <v>346.78487394384683</v>
      </c>
      <c r="G29"/>
      <c r="I29" s="9">
        <v>410743307</v>
      </c>
    </row>
    <row r="30" spans="1:9" ht="20" customHeight="1" thickBot="1">
      <c r="A30" s="152" t="s">
        <v>2056</v>
      </c>
      <c r="B30" s="153">
        <v>90.774937191132238</v>
      </c>
      <c r="C30" s="228">
        <v>426.02519468621188</v>
      </c>
      <c r="D30" s="153">
        <v>558.63241903883841</v>
      </c>
      <c r="E30" s="228">
        <v>495.38437485872714</v>
      </c>
      <c r="F30" s="153">
        <v>408.6370195864871</v>
      </c>
      <c r="G30"/>
      <c r="I30" s="9">
        <v>318756043</v>
      </c>
    </row>
    <row r="31" spans="1:9" ht="20" customHeight="1" thickBot="1">
      <c r="A31" s="152" t="s">
        <v>2057</v>
      </c>
      <c r="B31" s="153">
        <v>122.20541953942114</v>
      </c>
      <c r="C31" s="228">
        <v>500.32245137525547</v>
      </c>
      <c r="D31" s="153">
        <v>657.16190579565955</v>
      </c>
      <c r="E31" s="228">
        <v>583.13600947592658</v>
      </c>
      <c r="F31" s="153">
        <v>484.69931612673861</v>
      </c>
      <c r="G31"/>
      <c r="I31" s="9">
        <v>966736347</v>
      </c>
    </row>
    <row r="32" spans="1:9" ht="20" customHeight="1" thickBot="1">
      <c r="A32" s="186" t="s">
        <v>2058</v>
      </c>
      <c r="B32" s="153">
        <v>82.260773689516043</v>
      </c>
      <c r="C32" s="228">
        <v>421.17224035323477</v>
      </c>
      <c r="D32" s="153">
        <v>527.89311326534244</v>
      </c>
      <c r="E32" s="228">
        <v>476.21409052885895</v>
      </c>
      <c r="F32" s="153">
        <v>386.46102171759946</v>
      </c>
      <c r="G32"/>
      <c r="I32" s="9">
        <v>146808815</v>
      </c>
    </row>
    <row r="33" spans="1:9" ht="30" customHeight="1" thickBot="1">
      <c r="A33" s="187" t="s">
        <v>2059</v>
      </c>
      <c r="B33" s="218">
        <v>81.413091296952786</v>
      </c>
      <c r="C33" s="229">
        <v>406.28848596807188</v>
      </c>
      <c r="D33" s="218">
        <v>520.4807189769906</v>
      </c>
      <c r="E33" s="229">
        <v>465.20947121011284</v>
      </c>
      <c r="F33" s="218">
        <v>385.68777567780353</v>
      </c>
      <c r="G33" s="230"/>
      <c r="I33" s="9">
        <v>12410394200</v>
      </c>
    </row>
    <row r="34" spans="1:9" ht="20" customHeight="1">
      <c r="A34" s="155" t="s">
        <v>2132</v>
      </c>
      <c r="B34" s="156"/>
      <c r="C34" s="156"/>
      <c r="D34" s="156"/>
      <c r="E34" s="156"/>
      <c r="F34" s="156"/>
      <c r="G34" s="159"/>
    </row>
    <row r="35" spans="1:9" ht="14.25" customHeight="1">
      <c r="A35" s="4"/>
      <c r="B35" s="158"/>
      <c r="C35" s="158"/>
      <c r="D35" s="158"/>
      <c r="E35" s="158"/>
      <c r="F35" s="158"/>
      <c r="G35" s="159"/>
    </row>
    <row r="36" spans="1:9" ht="15.75" customHeight="1">
      <c r="A36" s="4" t="s">
        <v>2119</v>
      </c>
      <c r="B36" s="158"/>
      <c r="C36" s="158"/>
      <c r="D36" s="158"/>
      <c r="E36" s="158"/>
      <c r="F36" s="158"/>
      <c r="G36" s="159"/>
    </row>
    <row r="37" spans="1:9" ht="13.5" customHeight="1">
      <c r="A37" s="4"/>
      <c r="B37" s="158"/>
      <c r="C37" s="158"/>
      <c r="D37" s="158"/>
      <c r="E37" s="158"/>
      <c r="F37" s="158"/>
      <c r="G37" s="159"/>
    </row>
    <row r="38" spans="1:9" ht="11.25" customHeight="1">
      <c r="A38" s="231" t="s">
        <v>2120</v>
      </c>
      <c r="B38" s="232"/>
      <c r="C38" s="158"/>
      <c r="D38" s="158"/>
      <c r="E38" s="158"/>
      <c r="F38" s="158"/>
      <c r="G38" s="159"/>
    </row>
    <row r="39" spans="1:9" ht="12" customHeight="1"/>
    <row r="40" spans="1:9" ht="12" customHeight="1"/>
    <row r="41" spans="1:9" ht="12" customHeight="1">
      <c r="A41" s="4" t="s">
        <v>104</v>
      </c>
    </row>
    <row r="42" spans="1:9" ht="12" customHeight="1"/>
  </sheetData>
  <mergeCells count="1">
    <mergeCell ref="A2:E2"/>
  </mergeCells>
  <phoneticPr fontId="0" type="noConversion"/>
  <pageMargins left="0.62" right="0.56000000000000005" top="0.78" bottom="0.49" header="0.4" footer="0.4921259845"/>
  <pageSetup paperSize="9" scale="80" orientation="portrait" horizontalDpi="4294967292" verticalDpi="4294967292"/>
  <headerFooter alignWithMargins="0">
    <oddHeader>&amp;L&amp;"Arial,Bold"Leistungen und Kostenbeteiligung in der OKP</oddHead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7EEA3-2FAB-1D43-A1CD-8B3467E9905B}">
  <dimension ref="A1:K45"/>
  <sheetViews>
    <sheetView topLeftCell="A26" zoomScale="75" workbookViewId="0">
      <selection activeCell="A38" sqref="A38"/>
    </sheetView>
  </sheetViews>
  <sheetFormatPr baseColWidth="10" defaultColWidth="11.3984375" defaultRowHeight="13"/>
  <cols>
    <col min="1" max="1" width="14.796875" style="2" customWidth="1"/>
    <col min="2" max="2" width="14.796875" style="161" customWidth="1"/>
    <col min="3" max="3" width="14.796875" style="162" customWidth="1"/>
    <col min="4" max="4" width="14.796875" style="161" customWidth="1"/>
    <col min="5" max="5" width="14.796875" style="162" customWidth="1"/>
    <col min="6" max="6" width="14.796875" style="161" customWidth="1"/>
    <col min="7" max="7" width="14.796875" style="162" customWidth="1"/>
    <col min="8" max="8" width="11.3984375" style="2"/>
    <col min="9" max="9" width="7.59765625" style="2" customWidth="1"/>
    <col min="10" max="10" width="6.3984375" style="2" customWidth="1"/>
    <col min="11" max="11" width="8.796875" style="2" customWidth="1"/>
    <col min="12" max="16384" width="11.3984375" style="2"/>
  </cols>
  <sheetData>
    <row r="1" spans="1:11" s="1" customFormat="1" ht="18.75" customHeight="1">
      <c r="A1" s="134"/>
      <c r="B1" s="135"/>
      <c r="C1" s="136"/>
      <c r="D1" s="137"/>
      <c r="E1" s="136"/>
      <c r="F1" s="137"/>
      <c r="G1" s="136"/>
      <c r="H1" s="651"/>
    </row>
    <row r="2" spans="1:11" s="1" customFormat="1" ht="43.5" customHeight="1">
      <c r="A2" s="1730" t="s">
        <v>2110</v>
      </c>
      <c r="B2" s="1731"/>
      <c r="C2" s="1731"/>
      <c r="D2" s="1731"/>
      <c r="E2" s="1731"/>
      <c r="F2" s="1731"/>
      <c r="G2" s="138">
        <v>2004</v>
      </c>
      <c r="H2" s="651"/>
    </row>
    <row r="3" spans="1:11" ht="27" customHeight="1">
      <c r="A3" s="139" t="s">
        <v>449</v>
      </c>
      <c r="B3" s="140" t="s">
        <v>450</v>
      </c>
      <c r="C3" s="141" t="s">
        <v>451</v>
      </c>
      <c r="D3" s="140" t="s">
        <v>452</v>
      </c>
      <c r="E3" s="141" t="s">
        <v>451</v>
      </c>
      <c r="F3" s="140" t="s">
        <v>652</v>
      </c>
      <c r="G3" s="141" t="s">
        <v>451</v>
      </c>
    </row>
    <row r="4" spans="1:11" ht="15" customHeight="1">
      <c r="A4" s="142"/>
      <c r="B4" s="143"/>
      <c r="C4" s="144" t="s">
        <v>486</v>
      </c>
      <c r="D4" s="143"/>
      <c r="E4" s="144" t="s">
        <v>486</v>
      </c>
      <c r="F4" s="143"/>
      <c r="G4" s="144" t="s">
        <v>486</v>
      </c>
    </row>
    <row r="5" spans="1:11" ht="15" customHeight="1">
      <c r="A5" s="142"/>
      <c r="B5" s="143"/>
      <c r="C5" s="144" t="s">
        <v>454</v>
      </c>
      <c r="D5" s="143"/>
      <c r="E5" s="144" t="s">
        <v>454</v>
      </c>
      <c r="F5" s="143"/>
      <c r="G5" s="144" t="s">
        <v>454</v>
      </c>
    </row>
    <row r="6" spans="1:11" ht="23" customHeight="1">
      <c r="A6" s="145"/>
      <c r="B6" s="146"/>
      <c r="C6" s="147"/>
      <c r="D6" s="146"/>
      <c r="E6" s="147"/>
      <c r="F6" s="146"/>
      <c r="G6" s="147"/>
    </row>
    <row r="7" spans="1:11" ht="30" customHeight="1" thickBot="1">
      <c r="A7" s="148" t="s">
        <v>455</v>
      </c>
      <c r="B7" s="149">
        <v>83.025819670048776</v>
      </c>
      <c r="C7" s="150">
        <v>4.6341755334326627E-2</v>
      </c>
      <c r="D7" s="149">
        <v>79.716341072676499</v>
      </c>
      <c r="E7" s="150">
        <v>5.1833038450314201E-2</v>
      </c>
      <c r="F7" s="149">
        <v>81.412932255428387</v>
      </c>
      <c r="G7" s="150">
        <v>4.8964742709607982E-2</v>
      </c>
      <c r="I7" s="151"/>
      <c r="J7" s="151"/>
      <c r="K7" s="151"/>
    </row>
    <row r="8" spans="1:11" ht="20" customHeight="1" thickBot="1">
      <c r="A8" s="152" t="s">
        <v>456</v>
      </c>
      <c r="B8" s="153">
        <v>235.29009504128268</v>
      </c>
      <c r="C8" s="154">
        <v>6.8100507539819055E-2</v>
      </c>
      <c r="D8" s="153">
        <v>351.98468716001867</v>
      </c>
      <c r="E8" s="154">
        <v>9.3705594796534217E-2</v>
      </c>
      <c r="F8" s="153">
        <v>293.02268686437651</v>
      </c>
      <c r="G8" s="154">
        <v>8.2994611126571569E-2</v>
      </c>
      <c r="I8" s="151"/>
      <c r="J8" s="151"/>
      <c r="K8" s="151"/>
    </row>
    <row r="9" spans="1:11" ht="20" customHeight="1" thickBot="1">
      <c r="A9" s="152" t="s">
        <v>457</v>
      </c>
      <c r="B9" s="153">
        <v>250.52944186912086</v>
      </c>
      <c r="C9" s="154">
        <v>6.6054042983951525E-2</v>
      </c>
      <c r="D9" s="153">
        <v>409.32982024485921</v>
      </c>
      <c r="E9" s="154">
        <v>8.2981010293356638E-2</v>
      </c>
      <c r="F9" s="153">
        <v>329.94843290145764</v>
      </c>
      <c r="G9" s="154">
        <v>7.6590301310188721E-2</v>
      </c>
      <c r="I9" s="151"/>
      <c r="J9" s="151"/>
      <c r="K9" s="151"/>
    </row>
    <row r="10" spans="1:11" ht="20" customHeight="1" thickBot="1">
      <c r="A10" s="152" t="s">
        <v>458</v>
      </c>
      <c r="B10" s="153">
        <v>274.55958209477166</v>
      </c>
      <c r="C10" s="154">
        <v>8.0018245450232381E-2</v>
      </c>
      <c r="D10" s="153">
        <v>430.14534547138669</v>
      </c>
      <c r="E10" s="154">
        <v>9.3638370145347885E-2</v>
      </c>
      <c r="F10" s="153">
        <v>352.61568594705278</v>
      </c>
      <c r="G10" s="154">
        <v>8.8339460058910801E-2</v>
      </c>
      <c r="I10" s="151"/>
      <c r="J10" s="151"/>
      <c r="K10" s="151"/>
    </row>
    <row r="11" spans="1:11" ht="20" customHeight="1" thickBot="1">
      <c r="A11" s="152" t="s">
        <v>459</v>
      </c>
      <c r="B11" s="153">
        <v>299.27319637845807</v>
      </c>
      <c r="C11" s="154">
        <v>8.0612741791849338E-2</v>
      </c>
      <c r="D11" s="153">
        <v>430.3190665061943</v>
      </c>
      <c r="E11" s="154">
        <v>9.4352499002487641E-2</v>
      </c>
      <c r="F11" s="153">
        <v>364.45418805578851</v>
      </c>
      <c r="G11" s="154">
        <v>8.9102259500296335E-2</v>
      </c>
      <c r="I11" s="151"/>
      <c r="J11" s="151"/>
      <c r="K11" s="151"/>
    </row>
    <row r="12" spans="1:11" ht="20" customHeight="1" thickBot="1">
      <c r="A12" s="152" t="s">
        <v>460</v>
      </c>
      <c r="B12" s="153">
        <v>327.35388466107105</v>
      </c>
      <c r="C12" s="154">
        <v>8.5149143822725801E-2</v>
      </c>
      <c r="D12" s="153">
        <v>439.69970164527001</v>
      </c>
      <c r="E12" s="154">
        <v>9.1578290224186815E-2</v>
      </c>
      <c r="F12" s="153">
        <v>383.02260379967737</v>
      </c>
      <c r="G12" s="154">
        <v>8.9023150513710153E-2</v>
      </c>
      <c r="I12" s="151"/>
      <c r="J12" s="151"/>
      <c r="K12" s="151"/>
    </row>
    <row r="13" spans="1:11" ht="20" customHeight="1" thickBot="1">
      <c r="A13" s="152" t="s">
        <v>461</v>
      </c>
      <c r="B13" s="153">
        <v>369.82081845808887</v>
      </c>
      <c r="C13" s="154">
        <v>8.6464540146779678E-2</v>
      </c>
      <c r="D13" s="153">
        <v>474.14771479419846</v>
      </c>
      <c r="E13" s="154">
        <v>8.7469450789309205E-2</v>
      </c>
      <c r="F13" s="153">
        <v>421.29678981529571</v>
      </c>
      <c r="G13" s="154">
        <v>8.6701675145511178E-2</v>
      </c>
      <c r="I13" s="151"/>
      <c r="J13" s="151"/>
      <c r="K13" s="151"/>
    </row>
    <row r="14" spans="1:11" ht="20" customHeight="1" thickBot="1">
      <c r="A14" s="152" t="s">
        <v>462</v>
      </c>
      <c r="B14" s="153">
        <v>426.50453408059059</v>
      </c>
      <c r="C14" s="154">
        <v>9.2038538870474668E-2</v>
      </c>
      <c r="D14" s="153">
        <v>523.91499880326501</v>
      </c>
      <c r="E14" s="154">
        <v>8.2880843367250157E-2</v>
      </c>
      <c r="F14" s="153">
        <v>475.10417434450937</v>
      </c>
      <c r="G14" s="154">
        <v>8.7066716329636668E-2</v>
      </c>
      <c r="I14" s="151"/>
      <c r="J14" s="151"/>
      <c r="K14" s="151"/>
    </row>
    <row r="15" spans="1:11" ht="20" customHeight="1" thickBot="1">
      <c r="A15" s="152" t="s">
        <v>463</v>
      </c>
      <c r="B15" s="153">
        <v>496.82534810153595</v>
      </c>
      <c r="C15" s="154">
        <v>9.4335847658877175E-2</v>
      </c>
      <c r="D15" s="153">
        <v>560.39586933757869</v>
      </c>
      <c r="E15" s="154">
        <v>7.4888784865485364E-2</v>
      </c>
      <c r="F15" s="153">
        <v>528.63552325531839</v>
      </c>
      <c r="G15" s="154">
        <v>8.3983233885152442E-2</v>
      </c>
      <c r="I15" s="151"/>
      <c r="J15" s="151"/>
      <c r="K15" s="151"/>
    </row>
    <row r="16" spans="1:11" ht="20" customHeight="1" thickBot="1">
      <c r="A16" s="152" t="s">
        <v>464</v>
      </c>
      <c r="B16" s="153">
        <v>562.137086452934</v>
      </c>
      <c r="C16" s="154">
        <v>9.7239352172011712E-2</v>
      </c>
      <c r="D16" s="153">
        <v>593.95089466850641</v>
      </c>
      <c r="E16" s="154">
        <v>9.0032832690550027E-2</v>
      </c>
      <c r="F16" s="153">
        <v>578.44276720077346</v>
      </c>
      <c r="G16" s="154">
        <v>9.3309983214295497E-2</v>
      </c>
      <c r="I16" s="151"/>
      <c r="J16" s="151"/>
      <c r="K16" s="151"/>
    </row>
    <row r="17" spans="1:11" ht="20" customHeight="1" thickBot="1">
      <c r="A17" s="152" t="s">
        <v>465</v>
      </c>
      <c r="B17" s="153">
        <v>623.65483455383765</v>
      </c>
      <c r="C17" s="154">
        <v>9.562880434064247E-2</v>
      </c>
      <c r="D17" s="153">
        <v>631.54936662252021</v>
      </c>
      <c r="E17" s="154">
        <v>0.10303480974000885</v>
      </c>
      <c r="F17" s="153">
        <v>627.86332049021144</v>
      </c>
      <c r="G17" s="154">
        <v>9.9574881463973364E-2</v>
      </c>
      <c r="I17" s="151"/>
      <c r="J17" s="151"/>
      <c r="K17" s="151"/>
    </row>
    <row r="18" spans="1:11" ht="20" customHeight="1" thickBot="1">
      <c r="A18" s="152" t="s">
        <v>466</v>
      </c>
      <c r="B18" s="153">
        <v>685.46628895648701</v>
      </c>
      <c r="C18" s="154">
        <v>0.10626348074707852</v>
      </c>
      <c r="D18" s="153">
        <v>679.30964349833312</v>
      </c>
      <c r="E18" s="154">
        <v>0.10934335602356561</v>
      </c>
      <c r="F18" s="153">
        <v>682.01140963504372</v>
      </c>
      <c r="G18" s="154">
        <v>0.10801988518948104</v>
      </c>
      <c r="I18" s="151"/>
      <c r="J18" s="151"/>
      <c r="K18" s="151"/>
    </row>
    <row r="19" spans="1:11" ht="20" customHeight="1" thickBot="1">
      <c r="A19" s="152" t="s">
        <v>467</v>
      </c>
      <c r="B19" s="153">
        <v>738.89508740896053</v>
      </c>
      <c r="C19" s="154">
        <v>0.1080436596009083</v>
      </c>
      <c r="D19" s="153">
        <v>738.2989108187121</v>
      </c>
      <c r="E19" s="154">
        <v>0.11384318246269613</v>
      </c>
      <c r="F19" s="153">
        <v>738.53797820309046</v>
      </c>
      <c r="G19" s="154">
        <v>0.11152180394387444</v>
      </c>
      <c r="I19" s="151"/>
      <c r="J19" s="151"/>
      <c r="K19" s="151"/>
    </row>
    <row r="20" spans="1:11" ht="20" customHeight="1" thickBot="1">
      <c r="A20" s="152" t="s">
        <v>468</v>
      </c>
      <c r="B20" s="153">
        <v>798.9899869250753</v>
      </c>
      <c r="C20" s="154">
        <v>0.11536968391347845</v>
      </c>
      <c r="D20" s="153">
        <v>811.66973035138972</v>
      </c>
      <c r="E20" s="154">
        <v>0.11704038787270057</v>
      </c>
      <c r="F20" s="153">
        <v>807.04427888330792</v>
      </c>
      <c r="G20" s="154">
        <v>0.11642794589155578</v>
      </c>
      <c r="I20" s="151"/>
      <c r="J20" s="151"/>
      <c r="K20" s="151"/>
    </row>
    <row r="21" spans="1:11" ht="20" customHeight="1" thickBot="1">
      <c r="A21" s="152" t="s">
        <v>469</v>
      </c>
      <c r="B21" s="153">
        <v>872.65394893111625</v>
      </c>
      <c r="C21" s="154">
        <v>0.12159851327898612</v>
      </c>
      <c r="D21" s="153">
        <v>904.14621562591219</v>
      </c>
      <c r="E21" s="154">
        <v>0.12914495353119423</v>
      </c>
      <c r="F21" s="153">
        <v>894.17421348908738</v>
      </c>
      <c r="G21" s="154">
        <v>0.12667927453769687</v>
      </c>
      <c r="I21" s="151"/>
      <c r="J21" s="151"/>
      <c r="K21" s="151"/>
    </row>
    <row r="22" spans="1:11" ht="20" customHeight="1" thickBot="1">
      <c r="A22" s="152" t="s">
        <v>470</v>
      </c>
      <c r="B22" s="153">
        <v>984.90053935460219</v>
      </c>
      <c r="C22" s="154">
        <v>0.11566302522915899</v>
      </c>
      <c r="D22" s="153">
        <v>1016.1975718737149</v>
      </c>
      <c r="E22" s="154">
        <v>0.12939458329276454</v>
      </c>
      <c r="F22" s="153">
        <v>1008.5823342304884</v>
      </c>
      <c r="G22" s="154">
        <v>0.12602412317715264</v>
      </c>
      <c r="I22" s="151"/>
      <c r="J22" s="151"/>
      <c r="K22" s="151"/>
    </row>
    <row r="23" spans="1:11" ht="30" customHeight="1" thickBot="1">
      <c r="A23" s="187" t="s">
        <v>652</v>
      </c>
      <c r="B23" s="218">
        <v>336.2066652732608</v>
      </c>
      <c r="C23" s="204">
        <v>9.450359089772585E-2</v>
      </c>
      <c r="D23" s="218">
        <v>433.21887546801281</v>
      </c>
      <c r="E23" s="204">
        <v>9.7410904049961528E-2</v>
      </c>
      <c r="F23" s="218">
        <v>385.68761956545927</v>
      </c>
      <c r="G23" s="204">
        <v>9.6114711122092314E-2</v>
      </c>
      <c r="I23" s="151"/>
      <c r="J23" s="151"/>
      <c r="K23" s="151"/>
    </row>
    <row r="24" spans="1:11" ht="20" customHeight="1">
      <c r="A24" s="155" t="s">
        <v>2132</v>
      </c>
      <c r="B24" s="156"/>
      <c r="C24" s="157"/>
      <c r="D24" s="156"/>
      <c r="E24" s="157"/>
      <c r="F24" s="156"/>
      <c r="G24" s="157"/>
    </row>
    <row r="25" spans="1:11" ht="14.25" customHeight="1">
      <c r="A25" s="4"/>
      <c r="B25" s="158"/>
      <c r="C25" s="159"/>
      <c r="D25" s="158"/>
      <c r="E25" s="159"/>
      <c r="F25" s="158"/>
      <c r="G25" s="159"/>
    </row>
    <row r="26" spans="1:11" ht="12.75" customHeight="1">
      <c r="A26" s="4" t="s">
        <v>2106</v>
      </c>
      <c r="B26" s="158"/>
      <c r="C26" s="159"/>
      <c r="D26" s="158"/>
      <c r="E26" s="159"/>
      <c r="F26" s="158"/>
      <c r="G26" s="159"/>
    </row>
    <row r="27" spans="1:11" ht="21" customHeight="1">
      <c r="A27" s="4"/>
      <c r="B27" s="158"/>
      <c r="C27" s="159"/>
      <c r="D27" s="158"/>
      <c r="E27" s="159"/>
      <c r="F27" s="158"/>
      <c r="G27" s="159"/>
    </row>
    <row r="28" spans="1:11" ht="24" customHeight="1">
      <c r="A28" s="515" t="s">
        <v>2107</v>
      </c>
      <c r="B28" s="645"/>
      <c r="C28" s="646"/>
      <c r="D28" s="645"/>
      <c r="E28" s="646"/>
      <c r="F28" s="645"/>
      <c r="G28" s="646"/>
    </row>
    <row r="29" spans="1:11" ht="24" customHeight="1" thickBot="1">
      <c r="A29" s="148" t="s">
        <v>2090</v>
      </c>
      <c r="B29" s="149">
        <v>98.979999999999848</v>
      </c>
      <c r="C29" s="150">
        <v>5.6914041644419024E-2</v>
      </c>
      <c r="D29" s="149">
        <v>88.040000000000077</v>
      </c>
      <c r="E29" s="150">
        <v>6.2386871002776303E-2</v>
      </c>
      <c r="F29" s="149">
        <v>93.650000000000091</v>
      </c>
      <c r="G29" s="150">
        <v>5.9389140271494174E-2</v>
      </c>
    </row>
    <row r="30" spans="1:11" ht="24" customHeight="1" thickBot="1">
      <c r="A30" s="152" t="s">
        <v>2091</v>
      </c>
      <c r="B30" s="149">
        <v>75.87</v>
      </c>
      <c r="C30" s="150">
        <v>3.4073872154831285E-2</v>
      </c>
      <c r="D30" s="149">
        <v>64.069999999999993</v>
      </c>
      <c r="E30" s="150">
        <v>2.9567732604852449E-2</v>
      </c>
      <c r="F30" s="149">
        <v>70.12</v>
      </c>
      <c r="G30" s="150">
        <v>3.2087135707977728E-2</v>
      </c>
    </row>
    <row r="31" spans="1:11" ht="24" customHeight="1" thickBot="1">
      <c r="A31" s="152" t="s">
        <v>2092</v>
      </c>
      <c r="B31" s="149">
        <v>74.53</v>
      </c>
      <c r="C31" s="150">
        <v>2.7433140336366069E-2</v>
      </c>
      <c r="D31" s="149">
        <v>71.260000000000005</v>
      </c>
      <c r="E31" s="150">
        <v>3.2903319321640763E-2</v>
      </c>
      <c r="F31" s="149">
        <v>72.930000000000007</v>
      </c>
      <c r="G31" s="150">
        <v>2.9939274113825794E-2</v>
      </c>
    </row>
    <row r="32" spans="1:11" ht="24" customHeight="1" thickBot="1">
      <c r="A32" s="152" t="s">
        <v>2093</v>
      </c>
      <c r="B32" s="149">
        <v>80.02</v>
      </c>
      <c r="C32" s="150">
        <v>4.8754914809960109E-2</v>
      </c>
      <c r="D32" s="149">
        <v>101.86</v>
      </c>
      <c r="E32" s="150">
        <v>5.477891684788376E-2</v>
      </c>
      <c r="F32" s="149">
        <v>90.660000000000082</v>
      </c>
      <c r="G32" s="150">
        <v>5.1984219076352686E-2</v>
      </c>
    </row>
    <row r="33" spans="1:9" ht="24" customHeight="1" thickBot="1">
      <c r="A33" s="152" t="s">
        <v>2094</v>
      </c>
      <c r="B33" s="149">
        <v>228.32</v>
      </c>
      <c r="C33" s="150">
        <v>6.5670945157526084E-2</v>
      </c>
      <c r="D33" s="149">
        <v>318.56</v>
      </c>
      <c r="E33" s="150">
        <v>8.4311923482759732E-2</v>
      </c>
      <c r="F33" s="149">
        <v>272.52</v>
      </c>
      <c r="G33" s="150">
        <v>7.6388340311240907E-2</v>
      </c>
      <c r="I33" s="20"/>
    </row>
    <row r="34" spans="1:9" ht="24" customHeight="1" thickBot="1">
      <c r="A34" s="152" t="s">
        <v>2095</v>
      </c>
      <c r="B34" s="149">
        <v>234.16</v>
      </c>
      <c r="C34" s="150">
        <v>7.5707460492466475E-2</v>
      </c>
      <c r="D34" s="149">
        <v>360.13</v>
      </c>
      <c r="E34" s="150">
        <v>9.6686765332846272E-2</v>
      </c>
      <c r="F34" s="149">
        <v>296.49</v>
      </c>
      <c r="G34" s="150">
        <v>8.7438107463781944E-2</v>
      </c>
    </row>
    <row r="35" spans="1:9" ht="24" customHeight="1" thickBot="1">
      <c r="A35" s="152" t="s">
        <v>2096</v>
      </c>
      <c r="B35" s="149">
        <v>993.75</v>
      </c>
      <c r="C35" s="150">
        <v>0.12186723865432383</v>
      </c>
      <c r="D35" s="149">
        <v>1021.34</v>
      </c>
      <c r="E35" s="150">
        <v>0.13011341632088536</v>
      </c>
      <c r="F35" s="149">
        <v>1014.35</v>
      </c>
      <c r="G35" s="150">
        <v>0.12798300825122921</v>
      </c>
    </row>
    <row r="36" spans="1:9" ht="24" customHeight="1" thickBot="1">
      <c r="A36" s="152" t="s">
        <v>2097</v>
      </c>
      <c r="B36" s="149">
        <v>1162.0999999999999</v>
      </c>
      <c r="C36" s="150">
        <v>0.1441370483410459</v>
      </c>
      <c r="D36" s="149">
        <v>1150.17</v>
      </c>
      <c r="E36" s="150">
        <v>0.12446473613202293</v>
      </c>
      <c r="F36" s="149">
        <v>1152.47</v>
      </c>
      <c r="G36" s="150">
        <v>0.12824654664356025</v>
      </c>
    </row>
    <row r="37" spans="1:9" ht="24" customHeight="1" thickBot="1">
      <c r="A37" s="647" t="s">
        <v>2098</v>
      </c>
      <c r="B37" s="350">
        <v>1228.45</v>
      </c>
      <c r="C37" s="648">
        <v>0.10286658227620894</v>
      </c>
      <c r="D37" s="350">
        <v>1243.78</v>
      </c>
      <c r="E37" s="648">
        <v>0.16743007321193629</v>
      </c>
      <c r="F37" s="350">
        <v>1241.3800000000001</v>
      </c>
      <c r="G37" s="648">
        <v>0.15785251926054092</v>
      </c>
    </row>
    <row r="38" spans="1:9" ht="18.75" customHeight="1">
      <c r="A38" s="493" t="s">
        <v>2103</v>
      </c>
    </row>
    <row r="39" spans="1:9" ht="12" customHeight="1">
      <c r="A39" s="231"/>
    </row>
    <row r="40" spans="1:9">
      <c r="A40" s="4" t="s">
        <v>2106</v>
      </c>
    </row>
    <row r="42" spans="1:9">
      <c r="A42" s="191" t="s">
        <v>2060</v>
      </c>
      <c r="B42" s="158"/>
      <c r="C42" s="159"/>
      <c r="D42" s="158"/>
      <c r="E42" s="159"/>
      <c r="F42" s="158"/>
      <c r="G42" s="159"/>
    </row>
    <row r="43" spans="1:9">
      <c r="A43" s="191"/>
      <c r="B43" s="158"/>
      <c r="C43" s="159"/>
      <c r="D43" s="158"/>
      <c r="E43" s="159"/>
      <c r="F43" s="158"/>
      <c r="G43" s="159"/>
    </row>
    <row r="44" spans="1:9">
      <c r="A44" s="191"/>
      <c r="B44" s="158"/>
      <c r="C44" s="159"/>
      <c r="D44" s="158"/>
      <c r="E44" s="159"/>
      <c r="F44" s="158"/>
      <c r="G44" s="159"/>
    </row>
    <row r="45" spans="1:9">
      <c r="A45" s="4" t="s">
        <v>104</v>
      </c>
    </row>
  </sheetData>
  <mergeCells count="1">
    <mergeCell ref="A2:F2"/>
  </mergeCells>
  <phoneticPr fontId="0" type="noConversion"/>
  <pageMargins left="0.62" right="0.66" top="0.83" bottom="0.86614173228346458" header="0.44" footer="0.51181102362204722"/>
  <pageSetup paperSize="9" scale="80" orientation="portrait" horizontalDpi="1200" verticalDpi="1200"/>
  <headerFooter alignWithMargins="0">
    <oddHeader>&amp;L&amp;"Arial,Bold"Leistungen und Kostenbeteiligung in der OKP</oddHead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1397E-07F3-1A42-8939-38DF98525E5B}">
  <sheetPr>
    <pageSetUpPr fitToPage="1"/>
  </sheetPr>
  <dimension ref="A1:H39"/>
  <sheetViews>
    <sheetView zoomScale="75" workbookViewId="0">
      <selection activeCell="A42" sqref="A42"/>
    </sheetView>
  </sheetViews>
  <sheetFormatPr baseColWidth="10" defaultColWidth="11.3984375" defaultRowHeight="13"/>
  <cols>
    <col min="1" max="2" width="14.796875" style="2" customWidth="1"/>
    <col min="3" max="3" width="15.796875" style="2" customWidth="1"/>
    <col min="4" max="5" width="16" style="2" customWidth="1"/>
    <col min="6" max="6" width="16.59765625" style="2" customWidth="1"/>
    <col min="7" max="7" width="16.796875" style="2" customWidth="1"/>
    <col min="8" max="8" width="12.19921875" style="2" customWidth="1"/>
    <col min="9" max="16384" width="11.3984375" style="2"/>
  </cols>
  <sheetData>
    <row r="1" spans="1:8" s="1" customFormat="1" ht="14" customHeight="1"/>
    <row r="2" spans="1:8" s="1" customFormat="1" ht="39" customHeight="1">
      <c r="A2" s="1715" t="s">
        <v>2062</v>
      </c>
      <c r="B2" s="1716"/>
      <c r="C2" s="1716"/>
      <c r="D2" s="1716"/>
      <c r="E2" s="1716"/>
      <c r="F2" s="178">
        <v>2004</v>
      </c>
    </row>
    <row r="3" spans="1:8" ht="27" customHeight="1">
      <c r="A3" s="139" t="s">
        <v>503</v>
      </c>
      <c r="B3" s="164" t="s">
        <v>504</v>
      </c>
      <c r="C3" s="141" t="s">
        <v>505</v>
      </c>
      <c r="D3" s="164" t="s">
        <v>506</v>
      </c>
      <c r="E3" s="141" t="s">
        <v>652</v>
      </c>
      <c r="F3" s="164" t="s">
        <v>451</v>
      </c>
    </row>
    <row r="4" spans="1:8" ht="15" customHeight="1">
      <c r="A4" s="142"/>
      <c r="B4" s="166"/>
      <c r="C4" s="144" t="s">
        <v>506</v>
      </c>
      <c r="D4" s="179"/>
      <c r="E4" s="144"/>
      <c r="F4" s="166" t="s">
        <v>486</v>
      </c>
    </row>
    <row r="5" spans="1:8" ht="15" customHeight="1">
      <c r="A5" s="142"/>
      <c r="B5" s="166" t="s">
        <v>507</v>
      </c>
      <c r="C5" s="144" t="s">
        <v>508</v>
      </c>
      <c r="D5" s="166" t="s">
        <v>509</v>
      </c>
      <c r="E5" s="144"/>
      <c r="F5" s="166" t="s">
        <v>454</v>
      </c>
    </row>
    <row r="6" spans="1:8" ht="24" customHeight="1">
      <c r="A6" s="145"/>
      <c r="B6" s="180"/>
      <c r="C6" s="145"/>
      <c r="D6" s="180"/>
      <c r="E6" s="147"/>
      <c r="F6" s="168"/>
      <c r="H6" s="181"/>
    </row>
    <row r="7" spans="1:8" ht="30" customHeight="1" thickBot="1">
      <c r="A7" s="148" t="s">
        <v>510</v>
      </c>
      <c r="B7" s="182">
        <v>62.235969222588643</v>
      </c>
      <c r="C7" s="183">
        <v>76.982044340176728</v>
      </c>
      <c r="D7" s="182">
        <v>217.08968356788796</v>
      </c>
      <c r="E7" s="183">
        <v>182.8915330083623</v>
      </c>
      <c r="F7" s="184">
        <v>8.5566508228495833E-2</v>
      </c>
      <c r="H7" s="185"/>
    </row>
    <row r="8" spans="1:8" ht="20" customHeight="1" thickBot="1">
      <c r="A8" s="152" t="s">
        <v>511</v>
      </c>
      <c r="B8" s="182">
        <v>52.006579677223378</v>
      </c>
      <c r="C8" s="183">
        <v>73.149070087498899</v>
      </c>
      <c r="D8" s="182">
        <v>239.87793136638129</v>
      </c>
      <c r="E8" s="183">
        <v>195.13738754249437</v>
      </c>
      <c r="F8" s="184">
        <v>0.13524087835009171</v>
      </c>
      <c r="H8" s="185"/>
    </row>
    <row r="9" spans="1:8" ht="20" customHeight="1" thickBot="1">
      <c r="A9" s="152" t="s">
        <v>512</v>
      </c>
      <c r="B9" s="182">
        <v>45.781878118989852</v>
      </c>
      <c r="C9" s="183">
        <v>56.550930322804653</v>
      </c>
      <c r="D9" s="182">
        <v>186.99114378100543</v>
      </c>
      <c r="E9" s="183">
        <v>149.53757882725537</v>
      </c>
      <c r="F9" s="184">
        <v>7.7444930244549792E-2</v>
      </c>
      <c r="H9" s="185"/>
    </row>
    <row r="10" spans="1:8" ht="20" customHeight="1" thickBot="1">
      <c r="A10" s="152" t="s">
        <v>513</v>
      </c>
      <c r="B10" s="182">
        <v>47.9081517094017</v>
      </c>
      <c r="C10" s="183">
        <v>52.396077524162045</v>
      </c>
      <c r="D10" s="182">
        <v>169.34132105717455</v>
      </c>
      <c r="E10" s="183">
        <v>137.90393260015267</v>
      </c>
      <c r="F10" s="184">
        <v>5.6898466638388177E-2</v>
      </c>
      <c r="H10" s="185"/>
    </row>
    <row r="11" spans="1:8" ht="20" customHeight="1" thickBot="1">
      <c r="A11" s="152" t="s">
        <v>514</v>
      </c>
      <c r="B11" s="182">
        <v>56.708233870704028</v>
      </c>
      <c r="C11" s="183">
        <v>68.540013947001398</v>
      </c>
      <c r="D11" s="182">
        <v>178.18196282982572</v>
      </c>
      <c r="E11" s="183">
        <v>147.97017170531259</v>
      </c>
      <c r="F11" s="184">
        <v>7.3649222141855375E-2</v>
      </c>
      <c r="H11" s="185"/>
    </row>
    <row r="12" spans="1:8" ht="20" customHeight="1" thickBot="1">
      <c r="A12" s="152" t="s">
        <v>515</v>
      </c>
      <c r="B12" s="182">
        <v>42.522757227891162</v>
      </c>
      <c r="C12" s="183">
        <v>54.327447916666671</v>
      </c>
      <c r="D12" s="182">
        <v>168.05287368881119</v>
      </c>
      <c r="E12" s="183">
        <v>134.24585298742139</v>
      </c>
      <c r="F12" s="184">
        <v>5.2168731794190654E-2</v>
      </c>
      <c r="H12" s="185"/>
    </row>
    <row r="13" spans="1:8" ht="20" customHeight="1" thickBot="1">
      <c r="A13" s="152" t="s">
        <v>516</v>
      </c>
      <c r="B13" s="182">
        <v>45.254683698296844</v>
      </c>
      <c r="C13" s="183">
        <v>62.467325686688802</v>
      </c>
      <c r="D13" s="182">
        <v>153.24837740966774</v>
      </c>
      <c r="E13" s="183">
        <v>128.40058498246333</v>
      </c>
      <c r="F13" s="184">
        <v>3.482377027618043E-2</v>
      </c>
      <c r="H13" s="185"/>
    </row>
    <row r="14" spans="1:8" ht="20" customHeight="1" thickBot="1">
      <c r="A14" s="152" t="s">
        <v>517</v>
      </c>
      <c r="B14" s="182">
        <v>58.10351671032786</v>
      </c>
      <c r="C14" s="183">
        <v>70.734602917341974</v>
      </c>
      <c r="D14" s="182">
        <v>185.11757370039757</v>
      </c>
      <c r="E14" s="183">
        <v>154.0350278623394</v>
      </c>
      <c r="F14" s="184">
        <v>8.2838797525956423E-2</v>
      </c>
      <c r="H14" s="185"/>
    </row>
    <row r="15" spans="1:8" ht="20" customHeight="1" thickBot="1">
      <c r="A15" s="152" t="s">
        <v>518</v>
      </c>
      <c r="B15" s="182">
        <v>44.953922213864864</v>
      </c>
      <c r="C15" s="183">
        <v>66.26786939500343</v>
      </c>
      <c r="D15" s="182">
        <v>177.28734428658004</v>
      </c>
      <c r="E15" s="183">
        <v>146.75791131109526</v>
      </c>
      <c r="F15" s="184">
        <v>4.5477594590982412E-2</v>
      </c>
      <c r="H15" s="185"/>
    </row>
    <row r="16" spans="1:8" ht="20" customHeight="1" thickBot="1">
      <c r="A16" s="152" t="s">
        <v>519</v>
      </c>
      <c r="B16" s="182">
        <v>55.995078026149308</v>
      </c>
      <c r="C16" s="183">
        <v>70.870937973002199</v>
      </c>
      <c r="D16" s="182">
        <v>207.11537595788263</v>
      </c>
      <c r="E16" s="183">
        <v>167.13762853662919</v>
      </c>
      <c r="F16" s="184">
        <v>4.3958670510331144E-2</v>
      </c>
      <c r="H16" s="185"/>
    </row>
    <row r="17" spans="1:8" ht="20" customHeight="1" thickBot="1">
      <c r="A17" s="152" t="s">
        <v>520</v>
      </c>
      <c r="B17" s="182">
        <v>55.233798404547372</v>
      </c>
      <c r="C17" s="183">
        <v>65.485104004282988</v>
      </c>
      <c r="D17" s="182">
        <v>210.70148116485211</v>
      </c>
      <c r="E17" s="183">
        <v>172.41186720555353</v>
      </c>
      <c r="F17" s="184">
        <v>4.8389134435687764E-2</v>
      </c>
      <c r="H17" s="185"/>
    </row>
    <row r="18" spans="1:8" ht="20" customHeight="1" thickBot="1">
      <c r="A18" s="152" t="s">
        <v>521</v>
      </c>
      <c r="B18" s="182">
        <v>75.924601688568131</v>
      </c>
      <c r="C18" s="183">
        <v>89.935767153671819</v>
      </c>
      <c r="D18" s="182">
        <v>290.88026657912332</v>
      </c>
      <c r="E18" s="183">
        <v>248.01350999976361</v>
      </c>
      <c r="F18" s="184">
        <v>2.8816357512669429E-2</v>
      </c>
      <c r="H18" s="185"/>
    </row>
    <row r="19" spans="1:8" ht="20" customHeight="1" thickBot="1">
      <c r="A19" s="152" t="s">
        <v>522</v>
      </c>
      <c r="B19" s="182">
        <v>66.101322971508196</v>
      </c>
      <c r="C19" s="183">
        <v>76.356807007494396</v>
      </c>
      <c r="D19" s="182">
        <v>219.56107988849558</v>
      </c>
      <c r="E19" s="183">
        <v>185.41967996870403</v>
      </c>
      <c r="F19" s="184">
        <v>3.1622388011799944E-2</v>
      </c>
      <c r="H19" s="185"/>
    </row>
    <row r="20" spans="1:8" ht="20" customHeight="1" thickBot="1">
      <c r="A20" s="152" t="s">
        <v>523</v>
      </c>
      <c r="B20" s="182">
        <v>46.693696538580866</v>
      </c>
      <c r="C20" s="183">
        <v>71.202697823171363</v>
      </c>
      <c r="D20" s="182">
        <v>217.81285580802455</v>
      </c>
      <c r="E20" s="183">
        <v>176.92606449786834</v>
      </c>
      <c r="F20" s="184">
        <v>7.8542130573461821E-2</v>
      </c>
      <c r="H20" s="185"/>
    </row>
    <row r="21" spans="1:8" ht="20" customHeight="1" thickBot="1">
      <c r="A21" s="152" t="s">
        <v>2047</v>
      </c>
      <c r="B21" s="182">
        <v>47.306880278191748</v>
      </c>
      <c r="C21" s="183">
        <v>55.644901577652341</v>
      </c>
      <c r="D21" s="182">
        <v>170.42285405883894</v>
      </c>
      <c r="E21" s="183">
        <v>138.58838275452379</v>
      </c>
      <c r="F21" s="184">
        <v>6.69037807526459E-2</v>
      </c>
      <c r="H21" s="185"/>
    </row>
    <row r="22" spans="1:8" ht="20" customHeight="1" thickBot="1">
      <c r="A22" s="152" t="s">
        <v>2048</v>
      </c>
      <c r="B22" s="182">
        <v>38.266488297224399</v>
      </c>
      <c r="C22" s="183">
        <v>53.557508532423206</v>
      </c>
      <c r="D22" s="182">
        <v>155.30278350515462</v>
      </c>
      <c r="E22" s="183">
        <v>121.25735751756025</v>
      </c>
      <c r="F22" s="184">
        <v>3.6840254266208849E-2</v>
      </c>
      <c r="H22" s="185"/>
    </row>
    <row r="23" spans="1:8" ht="20" customHeight="1" thickBot="1">
      <c r="A23" s="152" t="s">
        <v>2049</v>
      </c>
      <c r="B23" s="182">
        <v>52.592726592475834</v>
      </c>
      <c r="C23" s="183">
        <v>62.673185810030049</v>
      </c>
      <c r="D23" s="182">
        <v>186.00524466614425</v>
      </c>
      <c r="E23" s="183">
        <v>151.24443720371022</v>
      </c>
      <c r="F23" s="184">
        <v>6.7021953922828933E-2</v>
      </c>
      <c r="H23" s="185"/>
    </row>
    <row r="24" spans="1:8" ht="20" customHeight="1" thickBot="1">
      <c r="A24" s="152" t="s">
        <v>2050</v>
      </c>
      <c r="B24" s="182">
        <v>54.566593489387124</v>
      </c>
      <c r="C24" s="183">
        <v>55.693917420855598</v>
      </c>
      <c r="D24" s="182">
        <v>186.37668315521333</v>
      </c>
      <c r="E24" s="183">
        <v>154.18620942812981</v>
      </c>
      <c r="F24" s="184">
        <v>7.5963122156196203E-2</v>
      </c>
      <c r="H24" s="185"/>
    </row>
    <row r="25" spans="1:8" ht="20" customHeight="1" thickBot="1">
      <c r="A25" s="152" t="s">
        <v>2051</v>
      </c>
      <c r="B25" s="182">
        <v>51.729194654695988</v>
      </c>
      <c r="C25" s="183">
        <v>67.996110299366833</v>
      </c>
      <c r="D25" s="182">
        <v>192.05116117935174</v>
      </c>
      <c r="E25" s="183">
        <v>157.41677867580051</v>
      </c>
      <c r="F25" s="184">
        <v>4.520309313988595E-2</v>
      </c>
      <c r="H25" s="185"/>
    </row>
    <row r="26" spans="1:8" ht="20" customHeight="1" thickBot="1">
      <c r="A26" s="152" t="s">
        <v>2052</v>
      </c>
      <c r="B26" s="182">
        <v>52.259193061979083</v>
      </c>
      <c r="C26" s="183">
        <v>72.405524198011037</v>
      </c>
      <c r="D26" s="182">
        <v>194.8591020925702</v>
      </c>
      <c r="E26" s="183">
        <v>157.36893626835456</v>
      </c>
      <c r="F26" s="184">
        <v>2.6337757427283386E-2</v>
      </c>
      <c r="H26" s="185"/>
    </row>
    <row r="27" spans="1:8" ht="20" customHeight="1" thickBot="1">
      <c r="A27" s="152" t="s">
        <v>2053</v>
      </c>
      <c r="B27" s="182">
        <v>66.328971565378808</v>
      </c>
      <c r="C27" s="183">
        <v>71.678766494800314</v>
      </c>
      <c r="D27" s="182">
        <v>257.8177426447611</v>
      </c>
      <c r="E27" s="183">
        <v>216.74429752170639</v>
      </c>
      <c r="F27" s="184">
        <v>3.338747568718E-4</v>
      </c>
      <c r="H27" s="185"/>
    </row>
    <row r="28" spans="1:8" ht="20" customHeight="1" thickBot="1">
      <c r="A28" s="152" t="s">
        <v>2054</v>
      </c>
      <c r="B28" s="182">
        <v>71.274998228583584</v>
      </c>
      <c r="C28" s="183">
        <v>86.695063110547494</v>
      </c>
      <c r="D28" s="182">
        <v>267.655713351798</v>
      </c>
      <c r="E28" s="183">
        <v>219.16817603213335</v>
      </c>
      <c r="F28" s="184">
        <v>4.5833229298791668E-2</v>
      </c>
      <c r="H28" s="185"/>
    </row>
    <row r="29" spans="1:8" ht="20" customHeight="1" thickBot="1">
      <c r="A29" s="152" t="s">
        <v>2055</v>
      </c>
      <c r="B29" s="182">
        <v>50.820163454893198</v>
      </c>
      <c r="C29" s="183">
        <v>61.897942300075385</v>
      </c>
      <c r="D29" s="182">
        <v>190.88999251503094</v>
      </c>
      <c r="E29" s="183">
        <v>156.09506969387905</v>
      </c>
      <c r="F29" s="184">
        <v>7.3960856094793291E-3</v>
      </c>
      <c r="H29" s="185"/>
    </row>
    <row r="30" spans="1:8" ht="20" customHeight="1" thickBot="1">
      <c r="A30" s="152" t="s">
        <v>2056</v>
      </c>
      <c r="B30" s="182">
        <v>63.183767703818226</v>
      </c>
      <c r="C30" s="183">
        <v>88.453067629254747</v>
      </c>
      <c r="D30" s="182">
        <v>276.86054105259626</v>
      </c>
      <c r="E30" s="183">
        <v>223.45764449153458</v>
      </c>
      <c r="F30" s="184">
        <v>6.5311509146642646E-2</v>
      </c>
      <c r="H30" s="185"/>
    </row>
    <row r="31" spans="1:8" ht="20" customHeight="1" thickBot="1">
      <c r="A31" s="152" t="s">
        <v>2057</v>
      </c>
      <c r="B31" s="182">
        <v>82.28383792192362</v>
      </c>
      <c r="C31" s="183">
        <v>108.56135919165581</v>
      </c>
      <c r="D31" s="182">
        <v>306.01009131469397</v>
      </c>
      <c r="E31" s="183">
        <v>252.4228249065757</v>
      </c>
      <c r="F31" s="184">
        <v>5.4685498191333101E-2</v>
      </c>
      <c r="H31" s="185"/>
    </row>
    <row r="32" spans="1:8" ht="20" customHeight="1" thickBot="1">
      <c r="A32" s="186" t="s">
        <v>2058</v>
      </c>
      <c r="B32" s="182">
        <v>52.019767515120968</v>
      </c>
      <c r="C32" s="183">
        <v>68.353993085076226</v>
      </c>
      <c r="D32" s="182">
        <v>247.22322981452882</v>
      </c>
      <c r="E32" s="183">
        <v>194.80946861498271</v>
      </c>
      <c r="F32" s="184">
        <v>9.1960820046020172E-2</v>
      </c>
      <c r="H32" s="185"/>
    </row>
    <row r="33" spans="1:8" ht="30" customHeight="1" thickBot="1">
      <c r="A33" s="187" t="s">
        <v>2059</v>
      </c>
      <c r="B33" s="188">
        <v>58.587099333720566</v>
      </c>
      <c r="C33" s="189">
        <v>73.31298719001407</v>
      </c>
      <c r="D33" s="188">
        <v>223.90899444828668</v>
      </c>
      <c r="E33" s="189">
        <v>183.97196779826004</v>
      </c>
      <c r="F33" s="190">
        <v>6.4012570138267277E-2</v>
      </c>
      <c r="H33" s="185"/>
    </row>
    <row r="34" spans="1:8" ht="20" customHeight="1">
      <c r="A34" s="155" t="s">
        <v>2132</v>
      </c>
      <c r="B34" s="155"/>
      <c r="C34" s="155"/>
      <c r="D34" s="155"/>
      <c r="E34" s="155"/>
      <c r="F34" s="155"/>
      <c r="H34" s="181"/>
    </row>
    <row r="35" spans="1:8" ht="11.25" customHeight="1">
      <c r="A35" s="4"/>
      <c r="B35" s="4"/>
      <c r="C35" s="4"/>
      <c r="D35" s="4"/>
      <c r="E35" s="4"/>
      <c r="F35" s="4"/>
      <c r="H35" s="181"/>
    </row>
    <row r="36" spans="1:8" ht="14.25" customHeight="1">
      <c r="A36" s="4" t="s">
        <v>471</v>
      </c>
      <c r="B36" s="4"/>
      <c r="C36" s="4"/>
      <c r="D36" s="4"/>
      <c r="E36" s="4"/>
      <c r="F36" s="4"/>
      <c r="H36" s="181"/>
    </row>
    <row r="37" spans="1:8" ht="13.5" customHeight="1">
      <c r="A37" s="4"/>
      <c r="B37" s="4"/>
      <c r="C37" s="4"/>
      <c r="D37" s="4"/>
      <c r="E37" s="4"/>
      <c r="F37" s="4"/>
      <c r="H37" s="181"/>
    </row>
    <row r="38" spans="1:8" ht="12" customHeight="1"/>
    <row r="39" spans="1:8" ht="12" customHeight="1">
      <c r="A39" s="4" t="s">
        <v>104</v>
      </c>
    </row>
  </sheetData>
  <mergeCells count="1">
    <mergeCell ref="A2:E2"/>
  </mergeCells>
  <phoneticPr fontId="0" type="noConversion"/>
  <pageMargins left="0.65" right="0.5" top="0.87" bottom="0.49" header="0.51" footer="0.4921259845"/>
  <pageSetup paperSize="9" scale="83" orientation="portrait"/>
  <headerFooter alignWithMargins="0">
    <oddHeader>&amp;L&amp;"Arial,Bold"Leistungen und Kostenbeteiligung in der OKP</oddHead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BE417-A8A6-5748-9017-2E36D1FF8080}">
  <sheetPr>
    <pageSetUpPr fitToPage="1"/>
  </sheetPr>
  <dimension ref="A1:H41"/>
  <sheetViews>
    <sheetView zoomScale="75" workbookViewId="0">
      <selection activeCell="A3" sqref="A3"/>
    </sheetView>
  </sheetViews>
  <sheetFormatPr baseColWidth="10" defaultColWidth="11.3984375" defaultRowHeight="13"/>
  <cols>
    <col min="1" max="2" width="14.796875" style="2" customWidth="1"/>
    <col min="3" max="3" width="15.796875" style="2" customWidth="1"/>
    <col min="4" max="4" width="16" style="2" customWidth="1"/>
    <col min="5" max="5" width="15.3984375" style="2" customWidth="1"/>
    <col min="6" max="6" width="17.59765625" style="2" customWidth="1"/>
    <col min="7" max="7" width="16.796875" style="2" customWidth="1"/>
    <col min="8" max="8" width="12.19921875" style="2" customWidth="1"/>
    <col min="9" max="16384" width="11.3984375" style="2"/>
  </cols>
  <sheetData>
    <row r="1" spans="1:8" s="1" customFormat="1" ht="14" customHeight="1"/>
    <row r="2" spans="1:8" s="1" customFormat="1" ht="39" customHeight="1">
      <c r="A2" s="1715" t="s">
        <v>2061</v>
      </c>
      <c r="B2" s="1716"/>
      <c r="C2" s="1716"/>
      <c r="D2" s="1716"/>
      <c r="E2" s="1716"/>
      <c r="F2" s="178">
        <v>2004</v>
      </c>
    </row>
    <row r="3" spans="1:8" ht="27" customHeight="1">
      <c r="A3" s="139" t="s">
        <v>503</v>
      </c>
      <c r="B3" s="164" t="s">
        <v>504</v>
      </c>
      <c r="C3" s="141" t="s">
        <v>505</v>
      </c>
      <c r="D3" s="164" t="s">
        <v>506</v>
      </c>
      <c r="E3" s="141" t="s">
        <v>652</v>
      </c>
      <c r="F3" s="164" t="s">
        <v>451</v>
      </c>
    </row>
    <row r="4" spans="1:8" ht="15" customHeight="1">
      <c r="A4" s="142"/>
      <c r="B4" s="166"/>
      <c r="C4" s="144" t="s">
        <v>506</v>
      </c>
      <c r="D4" s="179"/>
      <c r="E4" s="144"/>
      <c r="F4" s="166" t="s">
        <v>486</v>
      </c>
    </row>
    <row r="5" spans="1:8" ht="15" customHeight="1">
      <c r="A5" s="142"/>
      <c r="B5" s="166" t="s">
        <v>507</v>
      </c>
      <c r="C5" s="144" t="s">
        <v>508</v>
      </c>
      <c r="D5" s="166" t="s">
        <v>509</v>
      </c>
      <c r="E5" s="144"/>
      <c r="F5" s="166" t="s">
        <v>454</v>
      </c>
    </row>
    <row r="6" spans="1:8" ht="24" customHeight="1">
      <c r="A6" s="145"/>
      <c r="B6" s="180"/>
      <c r="C6" s="145"/>
      <c r="D6" s="180"/>
      <c r="E6" s="147"/>
      <c r="F6" s="168"/>
      <c r="H6" s="181"/>
    </row>
    <row r="7" spans="1:8" ht="30" customHeight="1" thickBot="1">
      <c r="A7" s="148" t="s">
        <v>510</v>
      </c>
      <c r="B7" s="182">
        <v>80.979468868556125</v>
      </c>
      <c r="C7" s="183">
        <v>300.42397695551466</v>
      </c>
      <c r="D7" s="182">
        <v>482.97764653887481</v>
      </c>
      <c r="E7" s="183">
        <v>391.58739705125089</v>
      </c>
      <c r="F7" s="184">
        <v>0.12511199120881125</v>
      </c>
      <c r="H7" s="185"/>
    </row>
    <row r="8" spans="1:8" ht="20" customHeight="1" thickBot="1">
      <c r="A8" s="152" t="s">
        <v>511</v>
      </c>
      <c r="B8" s="182">
        <v>71.216519189624663</v>
      </c>
      <c r="C8" s="183">
        <v>276.03751215262434</v>
      </c>
      <c r="D8" s="182">
        <v>488.71806698692211</v>
      </c>
      <c r="E8" s="183">
        <v>388.67709278957221</v>
      </c>
      <c r="F8" s="184">
        <v>0.10068257928094961</v>
      </c>
      <c r="H8" s="185"/>
    </row>
    <row r="9" spans="1:8" ht="20" customHeight="1" thickBot="1">
      <c r="A9" s="152" t="s">
        <v>512</v>
      </c>
      <c r="B9" s="182">
        <v>58.506354254396442</v>
      </c>
      <c r="C9" s="183">
        <v>241.32266168315923</v>
      </c>
      <c r="D9" s="182">
        <v>412.21452763213597</v>
      </c>
      <c r="E9" s="183">
        <v>317.99452563923433</v>
      </c>
      <c r="F9" s="184">
        <v>0.1585129600836194</v>
      </c>
      <c r="H9" s="185"/>
    </row>
    <row r="10" spans="1:8" ht="20" customHeight="1" thickBot="1">
      <c r="A10" s="152" t="s">
        <v>513</v>
      </c>
      <c r="B10" s="182">
        <v>62.910512820512821</v>
      </c>
      <c r="C10" s="183">
        <v>245.32942628007402</v>
      </c>
      <c r="D10" s="182">
        <v>411.8031978297505</v>
      </c>
      <c r="E10" s="183">
        <v>319.60702270221367</v>
      </c>
      <c r="F10" s="184">
        <v>0.11746868738220353</v>
      </c>
      <c r="H10" s="185"/>
    </row>
    <row r="11" spans="1:8" ht="20" customHeight="1" thickBot="1">
      <c r="A11" s="152" t="s">
        <v>514</v>
      </c>
      <c r="B11" s="182">
        <v>69.685000490500641</v>
      </c>
      <c r="C11" s="183">
        <v>277.44284518828454</v>
      </c>
      <c r="D11" s="182">
        <v>434.38429209911573</v>
      </c>
      <c r="E11" s="183">
        <v>338.78464925154094</v>
      </c>
      <c r="F11" s="184">
        <v>0.10224724957935673</v>
      </c>
      <c r="H11" s="185"/>
    </row>
    <row r="12" spans="1:8" ht="20" customHeight="1" thickBot="1">
      <c r="A12" s="152" t="s">
        <v>515</v>
      </c>
      <c r="B12" s="182">
        <v>54.792346938775509</v>
      </c>
      <c r="C12" s="183">
        <v>243.2775</v>
      </c>
      <c r="D12" s="182">
        <v>407.25279720279718</v>
      </c>
      <c r="E12" s="183">
        <v>310.31851415094337</v>
      </c>
      <c r="F12" s="184">
        <v>0.12533250676666408</v>
      </c>
      <c r="H12" s="185"/>
    </row>
    <row r="13" spans="1:8" ht="20" customHeight="1" thickBot="1">
      <c r="A13" s="152" t="s">
        <v>516</v>
      </c>
      <c r="B13" s="182">
        <v>61.635279805352795</v>
      </c>
      <c r="C13" s="183">
        <v>241.67672804105041</v>
      </c>
      <c r="D13" s="182">
        <v>389.8057250799186</v>
      </c>
      <c r="E13" s="183">
        <v>308.18179258083512</v>
      </c>
      <c r="F13" s="184">
        <v>0.1222831057303274</v>
      </c>
      <c r="H13" s="185"/>
    </row>
    <row r="14" spans="1:8" ht="20" customHeight="1" thickBot="1">
      <c r="A14" s="152" t="s">
        <v>517</v>
      </c>
      <c r="B14" s="182">
        <v>72.058704453441294</v>
      </c>
      <c r="C14" s="183">
        <v>298.91410048622367</v>
      </c>
      <c r="D14" s="182">
        <v>450.10726877203513</v>
      </c>
      <c r="E14" s="183">
        <v>353.76113203653063</v>
      </c>
      <c r="F14" s="184">
        <v>0.14069006355785557</v>
      </c>
      <c r="H14" s="185"/>
    </row>
    <row r="15" spans="1:8" ht="20" customHeight="1" thickBot="1">
      <c r="A15" s="152" t="s">
        <v>518</v>
      </c>
      <c r="B15" s="182">
        <v>60.31308762692742</v>
      </c>
      <c r="C15" s="183">
        <v>253.94018646325222</v>
      </c>
      <c r="D15" s="182">
        <v>418.48752272574239</v>
      </c>
      <c r="E15" s="183">
        <v>331.98179908658199</v>
      </c>
      <c r="F15" s="184">
        <v>0.11256734229908615</v>
      </c>
      <c r="H15" s="185"/>
    </row>
    <row r="16" spans="1:8" ht="20" customHeight="1" thickBot="1">
      <c r="A16" s="152" t="s">
        <v>519</v>
      </c>
      <c r="B16" s="182">
        <v>79.227600168705195</v>
      </c>
      <c r="C16" s="183">
        <v>307.02052636456307</v>
      </c>
      <c r="D16" s="182">
        <v>482.08585262859907</v>
      </c>
      <c r="E16" s="183">
        <v>371.63846414951183</v>
      </c>
      <c r="F16" s="184">
        <v>7.1180225240466438E-2</v>
      </c>
      <c r="H16" s="185"/>
    </row>
    <row r="17" spans="1:8" ht="20" customHeight="1" thickBot="1">
      <c r="A17" s="152" t="s">
        <v>520</v>
      </c>
      <c r="B17" s="182">
        <v>69.142583083034594</v>
      </c>
      <c r="C17" s="183">
        <v>270.04586895932732</v>
      </c>
      <c r="D17" s="182">
        <v>465.01690549117075</v>
      </c>
      <c r="E17" s="183">
        <v>366.55603581352267</v>
      </c>
      <c r="F17" s="184">
        <v>8.4240225491842818E-2</v>
      </c>
      <c r="H17" s="185"/>
    </row>
    <row r="18" spans="1:8" ht="20" customHeight="1" thickBot="1">
      <c r="A18" s="152" t="s">
        <v>521</v>
      </c>
      <c r="B18" s="182">
        <v>100.15346905426567</v>
      </c>
      <c r="C18" s="183">
        <v>322.72746998408797</v>
      </c>
      <c r="D18" s="182">
        <v>557.13539726379338</v>
      </c>
      <c r="E18" s="183">
        <v>466.23303931355383</v>
      </c>
      <c r="F18" s="184">
        <v>8.3729179188689745E-2</v>
      </c>
      <c r="H18" s="185"/>
    </row>
    <row r="19" spans="1:8" ht="20" customHeight="1" thickBot="1">
      <c r="A19" s="152" t="s">
        <v>522</v>
      </c>
      <c r="B19" s="182">
        <v>89.840062712914218</v>
      </c>
      <c r="C19" s="183">
        <v>308.83326173087022</v>
      </c>
      <c r="D19" s="182">
        <v>516.68853629758428</v>
      </c>
      <c r="E19" s="183">
        <v>417.35748864957174</v>
      </c>
      <c r="F19" s="184">
        <v>8.6815132926943234E-2</v>
      </c>
      <c r="H19" s="185"/>
    </row>
    <row r="20" spans="1:8" ht="20" customHeight="1" thickBot="1">
      <c r="A20" s="152" t="s">
        <v>523</v>
      </c>
      <c r="B20" s="182">
        <v>61.46689270043877</v>
      </c>
      <c r="C20" s="183">
        <v>265.13695450324974</v>
      </c>
      <c r="D20" s="182">
        <v>472.49255587732978</v>
      </c>
      <c r="E20" s="183">
        <v>372.68652815369103</v>
      </c>
      <c r="F20" s="184">
        <v>0.10154067112482867</v>
      </c>
      <c r="H20" s="185"/>
    </row>
    <row r="21" spans="1:8" ht="20" customHeight="1" thickBot="1">
      <c r="A21" s="152" t="s">
        <v>2047</v>
      </c>
      <c r="B21" s="182">
        <v>58.903212452392779</v>
      </c>
      <c r="C21" s="183">
        <v>249.03517151541467</v>
      </c>
      <c r="D21" s="182">
        <v>414.84424030566623</v>
      </c>
      <c r="E21" s="183">
        <v>320.36661876947767</v>
      </c>
      <c r="F21" s="184">
        <v>0.13478735640826869</v>
      </c>
      <c r="H21" s="185"/>
    </row>
    <row r="22" spans="1:8" ht="20" customHeight="1" thickBot="1">
      <c r="A22" s="152" t="s">
        <v>2048</v>
      </c>
      <c r="B22" s="182">
        <v>48.53432524145132</v>
      </c>
      <c r="C22" s="183">
        <v>228.89488054607509</v>
      </c>
      <c r="D22" s="182">
        <v>372.64494845360827</v>
      </c>
      <c r="E22" s="183">
        <v>275.8016804481195</v>
      </c>
      <c r="F22" s="184">
        <v>0.11250208037608855</v>
      </c>
      <c r="H22" s="185"/>
    </row>
    <row r="23" spans="1:8" ht="20" customHeight="1" thickBot="1">
      <c r="A23" s="152" t="s">
        <v>2049</v>
      </c>
      <c r="B23" s="182">
        <v>66.786330419830918</v>
      </c>
      <c r="C23" s="183">
        <v>288.67661197134271</v>
      </c>
      <c r="D23" s="182">
        <v>445.23763609375101</v>
      </c>
      <c r="E23" s="183">
        <v>344.79755484495325</v>
      </c>
      <c r="F23" s="184">
        <v>0.13077027493328625</v>
      </c>
      <c r="H23" s="185"/>
    </row>
    <row r="24" spans="1:8" ht="20" customHeight="1" thickBot="1">
      <c r="A24" s="152" t="s">
        <v>2050</v>
      </c>
      <c r="B24" s="182">
        <v>68.216024525213683</v>
      </c>
      <c r="C24" s="183">
        <v>256.68869261803513</v>
      </c>
      <c r="D24" s="182">
        <v>435.12294287774921</v>
      </c>
      <c r="E24" s="183">
        <v>345.50184441009787</v>
      </c>
      <c r="F24" s="184">
        <v>0.16147676565416708</v>
      </c>
      <c r="H24" s="185"/>
    </row>
    <row r="25" spans="1:8" ht="20" customHeight="1" thickBot="1">
      <c r="A25" s="152" t="s">
        <v>2051</v>
      </c>
      <c r="B25" s="182">
        <v>65.376830826698125</v>
      </c>
      <c r="C25" s="183">
        <v>271.38468005043933</v>
      </c>
      <c r="D25" s="182">
        <v>441.06409086681896</v>
      </c>
      <c r="E25" s="183">
        <v>345.71346250355327</v>
      </c>
      <c r="F25" s="184">
        <v>0.11332005130123006</v>
      </c>
      <c r="H25" s="185"/>
    </row>
    <row r="26" spans="1:8" ht="20" customHeight="1" thickBot="1">
      <c r="A26" s="152" t="s">
        <v>2052</v>
      </c>
      <c r="B26" s="182">
        <v>66.632308230915228</v>
      </c>
      <c r="C26" s="183">
        <v>267.55841199070341</v>
      </c>
      <c r="D26" s="182">
        <v>437.22306403667875</v>
      </c>
      <c r="E26" s="183">
        <v>336.04610528833422</v>
      </c>
      <c r="F26" s="184">
        <v>0.10099248798293621</v>
      </c>
      <c r="H26" s="185"/>
    </row>
    <row r="27" spans="1:8" ht="20" customHeight="1" thickBot="1">
      <c r="A27" s="152" t="s">
        <v>2053</v>
      </c>
      <c r="B27" s="182">
        <v>102.27003348311098</v>
      </c>
      <c r="C27" s="183">
        <v>347.36227387922747</v>
      </c>
      <c r="D27" s="182">
        <v>539.1935912174057</v>
      </c>
      <c r="E27" s="183">
        <v>445.68065489176831</v>
      </c>
      <c r="F27" s="184">
        <v>5.2155014921951647E-2</v>
      </c>
      <c r="H27" s="185"/>
    </row>
    <row r="28" spans="1:8" ht="20" customHeight="1" thickBot="1">
      <c r="A28" s="152" t="s">
        <v>2054</v>
      </c>
      <c r="B28" s="182">
        <v>124.40848154184086</v>
      </c>
      <c r="C28" s="183">
        <v>332.99714665028631</v>
      </c>
      <c r="D28" s="182">
        <v>554.11785335906836</v>
      </c>
      <c r="E28" s="183">
        <v>442.24301134575416</v>
      </c>
      <c r="F28" s="184">
        <v>4.7548681485673809E-2</v>
      </c>
      <c r="H28" s="185"/>
    </row>
    <row r="29" spans="1:8" ht="20" customHeight="1" thickBot="1">
      <c r="A29" s="152" t="s">
        <v>2055</v>
      </c>
      <c r="B29" s="182">
        <v>72.270560439737054</v>
      </c>
      <c r="C29" s="183">
        <v>259.93959139867377</v>
      </c>
      <c r="D29" s="182">
        <v>441.22100021966759</v>
      </c>
      <c r="E29" s="183">
        <v>346.78487394384695</v>
      </c>
      <c r="F29" s="184">
        <v>8.2644555219018548E-2</v>
      </c>
      <c r="H29" s="185"/>
    </row>
    <row r="30" spans="1:8" ht="20" customHeight="1" thickBot="1">
      <c r="A30" s="152" t="s">
        <v>2056</v>
      </c>
      <c r="B30" s="182">
        <v>90.77493719113221</v>
      </c>
      <c r="C30" s="183">
        <v>313.03535278356657</v>
      </c>
      <c r="D30" s="182">
        <v>515.92359539258587</v>
      </c>
      <c r="E30" s="183">
        <v>408.63701958648772</v>
      </c>
      <c r="F30" s="184">
        <v>5.5676377687462655E-2</v>
      </c>
      <c r="H30" s="185"/>
    </row>
    <row r="31" spans="1:8" ht="20" customHeight="1" thickBot="1">
      <c r="A31" s="152" t="s">
        <v>2057</v>
      </c>
      <c r="B31" s="182">
        <v>122.20541953942123</v>
      </c>
      <c r="C31" s="183">
        <v>391.38252933507169</v>
      </c>
      <c r="D31" s="182">
        <v>603.89618143899156</v>
      </c>
      <c r="E31" s="183">
        <v>484.69931612673815</v>
      </c>
      <c r="F31" s="184">
        <v>6.0108941521806833E-2</v>
      </c>
      <c r="H31" s="185"/>
    </row>
    <row r="32" spans="1:8" ht="20" customHeight="1" thickBot="1">
      <c r="A32" s="186" t="s">
        <v>2058</v>
      </c>
      <c r="B32" s="182">
        <v>82.260773689516128</v>
      </c>
      <c r="C32" s="183">
        <v>286.77027716374766</v>
      </c>
      <c r="D32" s="182">
        <v>499.46656509579662</v>
      </c>
      <c r="E32" s="183">
        <v>386.46102171759946</v>
      </c>
      <c r="F32" s="184">
        <v>6.749156825622829E-2</v>
      </c>
      <c r="H32" s="185"/>
    </row>
    <row r="33" spans="1:8" ht="30" customHeight="1" thickBot="1">
      <c r="A33" s="187" t="s">
        <v>2059</v>
      </c>
      <c r="B33" s="188">
        <v>81.413091296952771</v>
      </c>
      <c r="C33" s="189">
        <v>293.02268686437662</v>
      </c>
      <c r="D33" s="188">
        <v>485.47226933081953</v>
      </c>
      <c r="E33" s="189">
        <v>385.68777567780376</v>
      </c>
      <c r="F33" s="190">
        <v>9.611515478952859E-2</v>
      </c>
      <c r="H33" s="185"/>
    </row>
    <row r="34" spans="1:8" ht="20" customHeight="1">
      <c r="A34" s="155" t="s">
        <v>2132</v>
      </c>
      <c r="B34" s="155"/>
      <c r="C34" s="155"/>
      <c r="D34" s="155"/>
      <c r="E34" s="155"/>
      <c r="F34" s="155"/>
      <c r="H34" s="181"/>
    </row>
    <row r="35" spans="1:8" ht="11.25" customHeight="1">
      <c r="A35" s="4"/>
      <c r="B35" s="4"/>
      <c r="C35" s="4"/>
      <c r="D35" s="4"/>
      <c r="E35" s="4"/>
      <c r="F35" s="4"/>
      <c r="H35" s="181"/>
    </row>
    <row r="36" spans="1:8" ht="14.25" customHeight="1">
      <c r="A36" s="4" t="s">
        <v>471</v>
      </c>
      <c r="B36" s="4"/>
      <c r="C36" s="4"/>
      <c r="D36" s="4"/>
      <c r="E36" s="4"/>
      <c r="F36" s="4"/>
      <c r="H36" s="181"/>
    </row>
    <row r="37" spans="1:8" ht="13.5" customHeight="1">
      <c r="A37" s="4"/>
      <c r="B37" s="4"/>
      <c r="C37" s="4"/>
      <c r="D37" s="4"/>
      <c r="E37" s="4"/>
      <c r="F37" s="4"/>
      <c r="H37" s="181"/>
    </row>
    <row r="38" spans="1:8" ht="13.5" customHeight="1">
      <c r="A38" s="191" t="s">
        <v>2060</v>
      </c>
      <c r="B38" s="4"/>
      <c r="C38" s="4"/>
      <c r="D38" s="4"/>
      <c r="E38" s="4"/>
      <c r="F38" s="4"/>
      <c r="H38" s="181"/>
    </row>
    <row r="39" spans="1:8" ht="13.5" customHeight="1">
      <c r="A39" s="4"/>
      <c r="B39" s="4"/>
      <c r="C39" s="4"/>
      <c r="D39" s="4"/>
      <c r="E39" s="4"/>
      <c r="F39" s="4"/>
      <c r="H39" s="181"/>
    </row>
    <row r="40" spans="1:8" ht="12" customHeight="1"/>
    <row r="41" spans="1:8" ht="12" customHeight="1">
      <c r="A41" s="4" t="s">
        <v>104</v>
      </c>
    </row>
  </sheetData>
  <mergeCells count="1">
    <mergeCell ref="A2:E2"/>
  </mergeCells>
  <phoneticPr fontId="0" type="noConversion"/>
  <pageMargins left="0.65" right="0.5" top="0.87" bottom="0.49" header="0.51" footer="0.4921259845"/>
  <pageSetup paperSize="9" scale="83" orientation="portrait"/>
  <headerFooter alignWithMargins="0">
    <oddHeader>&amp;L&amp;"Arial,Bold"Leistungen und Kostenbeteiligung in der OKP</oddHead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0D2D-5BF0-FA46-90EB-2842266074F5}">
  <sheetPr>
    <pageSetUpPr fitToPage="1"/>
  </sheetPr>
  <dimension ref="A1:B18"/>
  <sheetViews>
    <sheetView workbookViewId="0">
      <selection activeCell="B12" sqref="B12"/>
    </sheetView>
  </sheetViews>
  <sheetFormatPr baseColWidth="10" defaultColWidth="11.3984375" defaultRowHeight="13"/>
  <cols>
    <col min="1" max="1" width="5.59765625" style="930" customWidth="1"/>
    <col min="2" max="16384" width="11.3984375" style="930"/>
  </cols>
  <sheetData>
    <row r="1" spans="1:2" ht="16">
      <c r="A1" s="929" t="s">
        <v>2203</v>
      </c>
    </row>
    <row r="2" spans="1:2" ht="16">
      <c r="A2" s="929"/>
    </row>
    <row r="3" spans="1:2">
      <c r="A3" s="931">
        <v>3.01</v>
      </c>
      <c r="B3" s="932" t="s">
        <v>2204</v>
      </c>
    </row>
    <row r="4" spans="1:2">
      <c r="A4" s="931">
        <v>3.02</v>
      </c>
      <c r="B4" s="932" t="s">
        <v>2205</v>
      </c>
    </row>
    <row r="5" spans="1:2">
      <c r="A5" s="931">
        <v>3.03</v>
      </c>
      <c r="B5" s="932" t="s">
        <v>2206</v>
      </c>
    </row>
    <row r="6" spans="1:2">
      <c r="A6" s="931">
        <v>3.04</v>
      </c>
      <c r="B6" s="932" t="s">
        <v>2207</v>
      </c>
    </row>
    <row r="7" spans="1:2">
      <c r="A7" s="931">
        <v>3.05</v>
      </c>
      <c r="B7" s="932" t="s">
        <v>2208</v>
      </c>
    </row>
    <row r="8" spans="1:2">
      <c r="A8" s="931">
        <v>3.06</v>
      </c>
      <c r="B8" s="932" t="s">
        <v>2209</v>
      </c>
    </row>
    <row r="9" spans="1:2">
      <c r="A9" s="931">
        <v>3.07</v>
      </c>
      <c r="B9" s="931" t="s">
        <v>2210</v>
      </c>
    </row>
    <row r="10" spans="1:2">
      <c r="A10" s="931">
        <v>3.08</v>
      </c>
      <c r="B10" s="931" t="s">
        <v>2211</v>
      </c>
    </row>
    <row r="11" spans="1:2">
      <c r="A11" s="931">
        <v>3.09</v>
      </c>
      <c r="B11" s="931" t="s">
        <v>2212</v>
      </c>
    </row>
    <row r="12" spans="1:2">
      <c r="A12" s="933" t="s">
        <v>2213</v>
      </c>
      <c r="B12" s="2" t="s">
        <v>2010</v>
      </c>
    </row>
    <row r="13" spans="1:2">
      <c r="A13" s="931">
        <v>3.11</v>
      </c>
      <c r="B13" s="932" t="s">
        <v>2214</v>
      </c>
    </row>
    <row r="14" spans="1:2">
      <c r="A14" s="931">
        <v>3.12</v>
      </c>
      <c r="B14" s="932" t="s">
        <v>2215</v>
      </c>
    </row>
    <row r="15" spans="1:2">
      <c r="A15" s="931">
        <v>3.13</v>
      </c>
      <c r="B15" s="932" t="s">
        <v>2216</v>
      </c>
    </row>
    <row r="18" spans="1:1">
      <c r="A18" s="934" t="s">
        <v>104</v>
      </c>
    </row>
  </sheetData>
  <phoneticPr fontId="39" type="noConversion"/>
  <pageMargins left="0.57999999999999996" right="0.6" top="0.65" bottom="0.984251969" header="0.34" footer="0.4921259845"/>
  <pageSetup paperSize="9" orientation="portrait"/>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6A39D-2013-E245-833E-254E150AA0CF}">
  <sheetPr>
    <pageSetUpPr fitToPage="1"/>
  </sheetPr>
  <dimension ref="A1:M46"/>
  <sheetViews>
    <sheetView topLeftCell="A39" zoomScale="75" workbookViewId="0">
      <selection activeCell="A42" sqref="A42"/>
    </sheetView>
  </sheetViews>
  <sheetFormatPr baseColWidth="10" defaultColWidth="11.3984375" defaultRowHeight="13"/>
  <cols>
    <col min="1" max="1" width="11.19921875" style="2" customWidth="1"/>
    <col min="2" max="2" width="11.19921875" style="2" hidden="1" customWidth="1"/>
    <col min="3" max="13" width="9.796875" style="2" customWidth="1"/>
    <col min="14" max="16384" width="11.3984375" style="2"/>
  </cols>
  <sheetData>
    <row r="1" spans="1:13" s="1" customFormat="1" ht="14" customHeight="1"/>
    <row r="2" spans="1:13" s="1" customFormat="1" ht="42" customHeight="1">
      <c r="A2" s="1715" t="s">
        <v>2256</v>
      </c>
      <c r="B2" s="1716"/>
      <c r="C2" s="1716"/>
      <c r="D2" s="1716"/>
      <c r="E2" s="1716"/>
      <c r="F2" s="1716"/>
      <c r="G2" s="1716"/>
      <c r="H2" s="1716"/>
      <c r="I2" s="1716"/>
      <c r="J2" s="1716"/>
      <c r="K2" s="1716"/>
      <c r="L2" s="1716"/>
      <c r="M2" s="178">
        <v>2004</v>
      </c>
    </row>
    <row r="3" spans="1:13" ht="24" customHeight="1">
      <c r="A3" s="139" t="s">
        <v>503</v>
      </c>
      <c r="B3" s="164">
        <v>1996</v>
      </c>
      <c r="C3" s="164" t="s">
        <v>946</v>
      </c>
      <c r="D3" s="141">
        <v>1997</v>
      </c>
      <c r="E3" s="164">
        <v>1998</v>
      </c>
      <c r="F3" s="141">
        <v>1999</v>
      </c>
      <c r="G3" s="164">
        <v>2000</v>
      </c>
      <c r="H3" s="141">
        <v>2001</v>
      </c>
      <c r="I3" s="164">
        <v>2002</v>
      </c>
      <c r="J3" s="141">
        <v>2003</v>
      </c>
      <c r="K3" s="164">
        <v>2004</v>
      </c>
      <c r="L3" s="141">
        <v>2005</v>
      </c>
      <c r="M3" s="164">
        <v>2006</v>
      </c>
    </row>
    <row r="4" spans="1:13" ht="15" customHeight="1">
      <c r="A4" s="165"/>
      <c r="B4" s="166"/>
      <c r="C4" s="166"/>
      <c r="D4" s="144"/>
      <c r="E4" s="166"/>
      <c r="F4" s="144"/>
      <c r="G4" s="143"/>
      <c r="H4" s="197"/>
      <c r="I4" s="166"/>
      <c r="J4" s="144"/>
      <c r="K4" s="166"/>
      <c r="L4" s="144"/>
      <c r="M4" s="166"/>
    </row>
    <row r="5" spans="1:13" ht="16" customHeight="1">
      <c r="A5" s="167"/>
      <c r="B5" s="168"/>
      <c r="C5" s="168"/>
      <c r="D5" s="147"/>
      <c r="E5" s="168"/>
      <c r="F5" s="147"/>
      <c r="G5" s="146"/>
      <c r="H5" s="200"/>
      <c r="I5" s="168"/>
      <c r="J5" s="147"/>
      <c r="K5" s="168"/>
      <c r="L5" s="147"/>
      <c r="M5" s="168"/>
    </row>
    <row r="6" spans="1:13" ht="30" customHeight="1" thickBot="1">
      <c r="A6" s="689" t="s">
        <v>510</v>
      </c>
      <c r="B6" s="330">
        <v>153.29054508483716</v>
      </c>
      <c r="C6" s="330">
        <v>161.38999999999999</v>
      </c>
      <c r="D6" s="381">
        <v>181.74761941037556</v>
      </c>
      <c r="E6" s="330">
        <v>196.00202818343942</v>
      </c>
      <c r="F6" s="381">
        <v>204.56496440459452</v>
      </c>
      <c r="G6" s="330">
        <v>214.60878128536802</v>
      </c>
      <c r="H6" s="381">
        <v>225.83</v>
      </c>
      <c r="I6" s="330">
        <v>249.25184999999999</v>
      </c>
      <c r="J6" s="225">
        <v>275.28021999999999</v>
      </c>
      <c r="K6" s="149">
        <v>285.95999999999998</v>
      </c>
      <c r="L6" s="225">
        <v>292.56547431664393</v>
      </c>
      <c r="M6" s="149">
        <v>305.71078128208603</v>
      </c>
    </row>
    <row r="7" spans="1:13" ht="20" customHeight="1" thickBot="1">
      <c r="A7" s="681" t="s">
        <v>511</v>
      </c>
      <c r="B7" s="153">
        <v>158.55113159342818</v>
      </c>
      <c r="C7" s="153">
        <v>164.94</v>
      </c>
      <c r="D7" s="228">
        <v>178.90407101057329</v>
      </c>
      <c r="E7" s="153">
        <v>188.61433433173246</v>
      </c>
      <c r="F7" s="228">
        <v>201.25978915744582</v>
      </c>
      <c r="G7" s="153">
        <v>206.27433629075489</v>
      </c>
      <c r="H7" s="228">
        <v>214.24</v>
      </c>
      <c r="I7" s="153">
        <v>236.81533999999999</v>
      </c>
      <c r="J7" s="225">
        <v>260.21762999999999</v>
      </c>
      <c r="K7" s="149">
        <v>272.43</v>
      </c>
      <c r="L7" s="225">
        <v>285.23096933241277</v>
      </c>
      <c r="M7" s="149">
        <v>313.47175498303255</v>
      </c>
    </row>
    <row r="8" spans="1:13" ht="20" customHeight="1" thickBot="1">
      <c r="A8" s="681" t="s">
        <v>512</v>
      </c>
      <c r="B8" s="153">
        <v>134.67895033237539</v>
      </c>
      <c r="C8" s="153">
        <v>139.1</v>
      </c>
      <c r="D8" s="228">
        <v>143.57709006234506</v>
      </c>
      <c r="E8" s="153">
        <v>153.2386309546296</v>
      </c>
      <c r="F8" s="228">
        <v>153.08542492035309</v>
      </c>
      <c r="G8" s="153">
        <v>162.59231768593037</v>
      </c>
      <c r="H8" s="228">
        <v>174.18</v>
      </c>
      <c r="I8" s="153">
        <v>193.38892000000001</v>
      </c>
      <c r="J8" s="225">
        <v>213.69806</v>
      </c>
      <c r="K8" s="149">
        <v>226.05</v>
      </c>
      <c r="L8" s="225">
        <v>235.7660711752128</v>
      </c>
      <c r="M8" s="149">
        <v>251.06721873350054</v>
      </c>
    </row>
    <row r="9" spans="1:13" ht="20" customHeight="1" thickBot="1">
      <c r="A9" s="681" t="s">
        <v>513</v>
      </c>
      <c r="B9" s="153">
        <v>134.95768672951414</v>
      </c>
      <c r="C9" s="153">
        <v>141.16</v>
      </c>
      <c r="D9" s="228">
        <v>145.5123971024037</v>
      </c>
      <c r="E9" s="153">
        <v>152.96870852349821</v>
      </c>
      <c r="F9" s="228">
        <v>151.85893279388182</v>
      </c>
      <c r="G9" s="153">
        <v>155.97839469348565</v>
      </c>
      <c r="H9" s="228">
        <v>162.32</v>
      </c>
      <c r="I9" s="153">
        <v>179.01891000000001</v>
      </c>
      <c r="J9" s="225">
        <v>198.10935000000001</v>
      </c>
      <c r="K9" s="149">
        <v>206.39</v>
      </c>
      <c r="L9" s="225">
        <v>215.23330582702548</v>
      </c>
      <c r="M9" s="149">
        <v>225.76360460781848</v>
      </c>
    </row>
    <row r="10" spans="1:13" ht="20" customHeight="1" thickBot="1">
      <c r="A10" s="681" t="s">
        <v>514</v>
      </c>
      <c r="B10" s="153">
        <v>134.45660111580844</v>
      </c>
      <c r="C10" s="153">
        <v>140.25</v>
      </c>
      <c r="D10" s="228">
        <v>154.58932622469482</v>
      </c>
      <c r="E10" s="153">
        <v>160.06682962371025</v>
      </c>
      <c r="F10" s="228">
        <v>157.52798339248363</v>
      </c>
      <c r="G10" s="153">
        <v>161.03489102830923</v>
      </c>
      <c r="H10" s="228">
        <v>171.06</v>
      </c>
      <c r="I10" s="153">
        <v>192.22412</v>
      </c>
      <c r="J10" s="225">
        <v>213.82740999999999</v>
      </c>
      <c r="K10" s="149">
        <v>224.67</v>
      </c>
      <c r="L10" s="225">
        <v>235.39211061064699</v>
      </c>
      <c r="M10" s="149">
        <v>247.78103833154384</v>
      </c>
    </row>
    <row r="11" spans="1:13" ht="20" customHeight="1" thickBot="1">
      <c r="A11" s="681" t="s">
        <v>515</v>
      </c>
      <c r="B11" s="153">
        <v>137.58390190437046</v>
      </c>
      <c r="C11" s="153">
        <v>141.9</v>
      </c>
      <c r="D11" s="228">
        <v>150.48059358036346</v>
      </c>
      <c r="E11" s="153">
        <v>151.75133379152348</v>
      </c>
      <c r="F11" s="228">
        <v>150.6541390130584</v>
      </c>
      <c r="G11" s="153">
        <v>155.42777867792469</v>
      </c>
      <c r="H11" s="228">
        <v>163.99</v>
      </c>
      <c r="I11" s="153">
        <v>177.7379</v>
      </c>
      <c r="J11" s="225">
        <v>189.19853000000001</v>
      </c>
      <c r="K11" s="149">
        <v>197.66</v>
      </c>
      <c r="L11" s="225">
        <v>206.98166069521869</v>
      </c>
      <c r="M11" s="149">
        <v>218.25594161856341</v>
      </c>
    </row>
    <row r="12" spans="1:13" ht="20" customHeight="1" thickBot="1">
      <c r="A12" s="681" t="s">
        <v>516</v>
      </c>
      <c r="B12" s="153">
        <v>130.84504672897197</v>
      </c>
      <c r="C12" s="153">
        <v>135.5</v>
      </c>
      <c r="D12" s="228">
        <v>142.42034638479478</v>
      </c>
      <c r="E12" s="153">
        <v>144.8240287051961</v>
      </c>
      <c r="F12" s="228">
        <v>143.0851864701819</v>
      </c>
      <c r="G12" s="153">
        <v>147.03459410221294</v>
      </c>
      <c r="H12" s="228">
        <v>154.96</v>
      </c>
      <c r="I12" s="153">
        <v>168.07506000000001</v>
      </c>
      <c r="J12" s="225">
        <v>183.25393</v>
      </c>
      <c r="K12" s="149">
        <v>192.14</v>
      </c>
      <c r="L12" s="225">
        <v>201.39448518799912</v>
      </c>
      <c r="M12" s="149">
        <v>210.91047225881189</v>
      </c>
    </row>
    <row r="13" spans="1:13" ht="20" customHeight="1" thickBot="1">
      <c r="A13" s="681" t="s">
        <v>517</v>
      </c>
      <c r="B13" s="153">
        <v>128.29419254148183</v>
      </c>
      <c r="C13" s="153">
        <v>129.91</v>
      </c>
      <c r="D13" s="228">
        <v>142.97885760257441</v>
      </c>
      <c r="E13" s="153">
        <v>151.98406510079528</v>
      </c>
      <c r="F13" s="228">
        <v>154.08716723613713</v>
      </c>
      <c r="G13" s="153">
        <v>157.45437633505952</v>
      </c>
      <c r="H13" s="228">
        <v>169.57</v>
      </c>
      <c r="I13" s="153">
        <v>190.28371000000001</v>
      </c>
      <c r="J13" s="225">
        <v>213.61912000000001</v>
      </c>
      <c r="K13" s="149">
        <v>225.57</v>
      </c>
      <c r="L13" s="225">
        <v>236.97408544868864</v>
      </c>
      <c r="M13" s="149">
        <v>248.81582208755259</v>
      </c>
    </row>
    <row r="14" spans="1:13" ht="20" customHeight="1" thickBot="1">
      <c r="A14" s="681" t="s">
        <v>518</v>
      </c>
      <c r="B14" s="153">
        <v>136.59697114249281</v>
      </c>
      <c r="C14" s="153">
        <v>142.31</v>
      </c>
      <c r="D14" s="228">
        <v>153.72972946648645</v>
      </c>
      <c r="E14" s="153">
        <v>153.40230466967873</v>
      </c>
      <c r="F14" s="228">
        <v>151.61979283853594</v>
      </c>
      <c r="G14" s="153">
        <v>156.98032288444494</v>
      </c>
      <c r="H14" s="228">
        <v>166.33</v>
      </c>
      <c r="I14" s="153">
        <v>186.00414000000001</v>
      </c>
      <c r="J14" s="225">
        <v>209.53888000000001</v>
      </c>
      <c r="K14" s="149">
        <v>222.2</v>
      </c>
      <c r="L14" s="225">
        <v>233.48223674042862</v>
      </c>
      <c r="M14" s="149">
        <v>246.64040001928436</v>
      </c>
    </row>
    <row r="15" spans="1:13" ht="20" customHeight="1" thickBot="1">
      <c r="A15" s="681" t="s">
        <v>519</v>
      </c>
      <c r="B15" s="153">
        <v>175.04105550901633</v>
      </c>
      <c r="C15" s="153">
        <v>178.52</v>
      </c>
      <c r="D15" s="228">
        <v>190.51005291406392</v>
      </c>
      <c r="E15" s="153">
        <v>191.13510846174776</v>
      </c>
      <c r="F15" s="228">
        <v>194.51130641123947</v>
      </c>
      <c r="G15" s="153">
        <v>204.74739109792625</v>
      </c>
      <c r="H15" s="228">
        <v>219</v>
      </c>
      <c r="I15" s="153">
        <v>237.39559</v>
      </c>
      <c r="J15" s="225">
        <v>253.22302999999999</v>
      </c>
      <c r="K15" s="149">
        <v>257.31</v>
      </c>
      <c r="L15" s="225">
        <v>267.94934127347727</v>
      </c>
      <c r="M15" s="149">
        <v>280.85977558782912</v>
      </c>
    </row>
    <row r="16" spans="1:13" ht="20" customHeight="1" thickBot="1">
      <c r="A16" s="681" t="s">
        <v>520</v>
      </c>
      <c r="B16" s="153">
        <v>136.69143164527779</v>
      </c>
      <c r="C16" s="153">
        <v>153.49</v>
      </c>
      <c r="D16" s="228">
        <v>174.39784107055755</v>
      </c>
      <c r="E16" s="153">
        <v>189.81747980375937</v>
      </c>
      <c r="F16" s="228">
        <v>194.79505634054161</v>
      </c>
      <c r="G16" s="153">
        <v>203.28838173925092</v>
      </c>
      <c r="H16" s="228">
        <v>208.4</v>
      </c>
      <c r="I16" s="153">
        <v>220.08157</v>
      </c>
      <c r="J16" s="225">
        <v>240.44400999999999</v>
      </c>
      <c r="K16" s="149">
        <v>252.59</v>
      </c>
      <c r="L16" s="225">
        <v>261.60649368847061</v>
      </c>
      <c r="M16" s="149">
        <v>271.93447315719851</v>
      </c>
    </row>
    <row r="17" spans="1:13" ht="20" customHeight="1" thickBot="1">
      <c r="A17" s="681" t="s">
        <v>521</v>
      </c>
      <c r="B17" s="153">
        <v>191.43963598784845</v>
      </c>
      <c r="C17" s="153">
        <v>197.47</v>
      </c>
      <c r="D17" s="228">
        <v>227.39206822581488</v>
      </c>
      <c r="E17" s="153">
        <v>249.08995494732562</v>
      </c>
      <c r="F17" s="228">
        <v>269.95984005961856</v>
      </c>
      <c r="G17" s="153">
        <v>283.15886833389669</v>
      </c>
      <c r="H17" s="228">
        <v>300.27999999999997</v>
      </c>
      <c r="I17" s="153">
        <v>326.16320000000002</v>
      </c>
      <c r="J17" s="225">
        <v>355.56977000000001</v>
      </c>
      <c r="K17" s="149">
        <v>377.5</v>
      </c>
      <c r="L17" s="225">
        <v>388.8796583090612</v>
      </c>
      <c r="M17" s="149">
        <v>403.98271803947608</v>
      </c>
    </row>
    <row r="18" spans="1:13" ht="20" customHeight="1" thickBot="1">
      <c r="A18" s="681" t="s">
        <v>522</v>
      </c>
      <c r="B18" s="153">
        <v>160.8793210751939</v>
      </c>
      <c r="C18" s="153">
        <v>169.85</v>
      </c>
      <c r="D18" s="228">
        <v>193.34249054078401</v>
      </c>
      <c r="E18" s="153">
        <v>205.76685458807557</v>
      </c>
      <c r="F18" s="228">
        <v>207.25163370069049</v>
      </c>
      <c r="G18" s="153">
        <v>214.55458510182976</v>
      </c>
      <c r="H18" s="228">
        <v>225.18</v>
      </c>
      <c r="I18" s="153">
        <v>247.74626000000001</v>
      </c>
      <c r="J18" s="225">
        <v>272.16631999999998</v>
      </c>
      <c r="K18" s="149">
        <v>285.56</v>
      </c>
      <c r="L18" s="225">
        <v>294.88832131060462</v>
      </c>
      <c r="M18" s="149">
        <v>308.53389458370998</v>
      </c>
    </row>
    <row r="19" spans="1:13" ht="20" customHeight="1" thickBot="1">
      <c r="A19" s="681" t="s">
        <v>523</v>
      </c>
      <c r="B19" s="153">
        <v>139.68868748220555</v>
      </c>
      <c r="C19" s="153">
        <v>143.76</v>
      </c>
      <c r="D19" s="228">
        <v>167.06871021092456</v>
      </c>
      <c r="E19" s="153">
        <v>175.44410487580495</v>
      </c>
      <c r="F19" s="228">
        <v>185.0638682097516</v>
      </c>
      <c r="G19" s="153">
        <v>192.3170919504424</v>
      </c>
      <c r="H19" s="228">
        <v>202.52</v>
      </c>
      <c r="I19" s="153">
        <v>234.57712000000001</v>
      </c>
      <c r="J19" s="225">
        <v>256.67111999999997</v>
      </c>
      <c r="K19" s="149">
        <v>268.14999999999998</v>
      </c>
      <c r="L19" s="225">
        <v>275.75601151496562</v>
      </c>
      <c r="M19" s="149">
        <v>289.43933399936861</v>
      </c>
    </row>
    <row r="20" spans="1:13" ht="20" customHeight="1" thickBot="1">
      <c r="A20" s="681" t="s">
        <v>2047</v>
      </c>
      <c r="B20" s="153">
        <v>117.66163332768265</v>
      </c>
      <c r="C20" s="153">
        <v>120.66</v>
      </c>
      <c r="D20" s="228">
        <v>134.57239758753036</v>
      </c>
      <c r="E20" s="153">
        <v>146.4983795331388</v>
      </c>
      <c r="F20" s="228">
        <v>146.59109792193715</v>
      </c>
      <c r="G20" s="153">
        <v>149.68480463866564</v>
      </c>
      <c r="H20" s="228">
        <v>160.36000000000001</v>
      </c>
      <c r="I20" s="153">
        <v>176.92891</v>
      </c>
      <c r="J20" s="225">
        <v>195.91064</v>
      </c>
      <c r="K20" s="149">
        <v>204.72</v>
      </c>
      <c r="L20" s="225">
        <v>214.75282596580126</v>
      </c>
      <c r="M20" s="149">
        <v>226.80879006320112</v>
      </c>
    </row>
    <row r="21" spans="1:13" ht="20" customHeight="1" thickBot="1">
      <c r="A21" s="681" t="s">
        <v>2048</v>
      </c>
      <c r="B21" s="153">
        <v>114.22864746826805</v>
      </c>
      <c r="C21" s="153">
        <v>117.49</v>
      </c>
      <c r="D21" s="228">
        <v>125.32828990016854</v>
      </c>
      <c r="E21" s="153">
        <v>133.14947357866239</v>
      </c>
      <c r="F21" s="228">
        <v>131.34777988963828</v>
      </c>
      <c r="G21" s="153">
        <v>132.89659199669521</v>
      </c>
      <c r="H21" s="228">
        <v>145.16999999999999</v>
      </c>
      <c r="I21" s="153">
        <v>158.90671</v>
      </c>
      <c r="J21" s="225">
        <v>173.64661000000001</v>
      </c>
      <c r="K21" s="149">
        <v>183.62</v>
      </c>
      <c r="L21" s="225">
        <v>193.25574765665991</v>
      </c>
      <c r="M21" s="149">
        <v>207.40256939397082</v>
      </c>
    </row>
    <row r="22" spans="1:13" ht="20" customHeight="1" thickBot="1">
      <c r="A22" s="681" t="s">
        <v>2049</v>
      </c>
      <c r="B22" s="153">
        <v>125.5704997780322</v>
      </c>
      <c r="C22" s="153">
        <v>129.91</v>
      </c>
      <c r="D22" s="228">
        <v>144.38414639400574</v>
      </c>
      <c r="E22" s="153">
        <v>157.70305244819662</v>
      </c>
      <c r="F22" s="228">
        <v>160.05901339082263</v>
      </c>
      <c r="G22" s="153">
        <v>164.68000692764107</v>
      </c>
      <c r="H22" s="228">
        <v>175.58</v>
      </c>
      <c r="I22" s="153">
        <v>193.89466999999999</v>
      </c>
      <c r="J22" s="225">
        <v>210.78359</v>
      </c>
      <c r="K22" s="149">
        <v>225.37</v>
      </c>
      <c r="L22" s="225">
        <v>237.31876460814382</v>
      </c>
      <c r="M22" s="149">
        <v>253.37984855202521</v>
      </c>
    </row>
    <row r="23" spans="1:13" ht="20" customHeight="1" thickBot="1">
      <c r="A23" s="681" t="s">
        <v>2050</v>
      </c>
      <c r="B23" s="153">
        <v>119.85956620265458</v>
      </c>
      <c r="C23" s="153">
        <v>122.63</v>
      </c>
      <c r="D23" s="228">
        <v>144.11893562856102</v>
      </c>
      <c r="E23" s="153">
        <v>144.77702993957635</v>
      </c>
      <c r="F23" s="228">
        <v>147.11126893343456</v>
      </c>
      <c r="G23" s="153">
        <v>155.12945645924145</v>
      </c>
      <c r="H23" s="228">
        <v>168</v>
      </c>
      <c r="I23" s="153">
        <v>190.35756000000001</v>
      </c>
      <c r="J23" s="225">
        <v>215.96934999999999</v>
      </c>
      <c r="K23" s="149">
        <v>228.95</v>
      </c>
      <c r="L23" s="225">
        <v>235.56881996024393</v>
      </c>
      <c r="M23" s="149">
        <v>249.20225944656201</v>
      </c>
    </row>
    <row r="24" spans="1:13" ht="20" customHeight="1" thickBot="1">
      <c r="A24" s="681" t="s">
        <v>2051</v>
      </c>
      <c r="B24" s="153">
        <v>106.68640035872531</v>
      </c>
      <c r="C24" s="153">
        <v>132.41999999999999</v>
      </c>
      <c r="D24" s="228">
        <v>149.28856926870534</v>
      </c>
      <c r="E24" s="153">
        <v>160.04363007055017</v>
      </c>
      <c r="F24" s="228">
        <v>165.54637553497736</v>
      </c>
      <c r="G24" s="153">
        <v>174.78444225248529</v>
      </c>
      <c r="H24" s="228">
        <v>190.11</v>
      </c>
      <c r="I24" s="153">
        <v>212.10615999999999</v>
      </c>
      <c r="J24" s="225">
        <v>232.59259</v>
      </c>
      <c r="K24" s="149">
        <v>244.4</v>
      </c>
      <c r="L24" s="225">
        <v>253.92230421171496</v>
      </c>
      <c r="M24" s="149">
        <v>268.48872033015317</v>
      </c>
    </row>
    <row r="25" spans="1:13" ht="20" customHeight="1" thickBot="1">
      <c r="A25" s="681" t="s">
        <v>2052</v>
      </c>
      <c r="B25" s="153">
        <v>125.89932433941615</v>
      </c>
      <c r="C25" s="153">
        <v>130.75</v>
      </c>
      <c r="D25" s="228">
        <v>152.67183076361556</v>
      </c>
      <c r="E25" s="153">
        <v>166.13212539894155</v>
      </c>
      <c r="F25" s="228">
        <v>173.91081430580377</v>
      </c>
      <c r="G25" s="153">
        <v>180.22488745415569</v>
      </c>
      <c r="H25" s="228">
        <v>198.02</v>
      </c>
      <c r="I25" s="153">
        <v>225.25766999999999</v>
      </c>
      <c r="J25" s="225">
        <v>250.03977</v>
      </c>
      <c r="K25" s="149">
        <v>262.89</v>
      </c>
      <c r="L25" s="225">
        <v>271.97590756003279</v>
      </c>
      <c r="M25" s="149">
        <v>285.10260514050844</v>
      </c>
    </row>
    <row r="26" spans="1:13" ht="20" customHeight="1" thickBot="1">
      <c r="A26" s="681" t="s">
        <v>2053</v>
      </c>
      <c r="B26" s="153">
        <v>195.20141418113619</v>
      </c>
      <c r="C26" s="153">
        <v>202.05</v>
      </c>
      <c r="D26" s="228">
        <v>221.64821956701763</v>
      </c>
      <c r="E26" s="153">
        <v>239.64824283614516</v>
      </c>
      <c r="F26" s="228">
        <v>242.63157967888316</v>
      </c>
      <c r="G26" s="153">
        <v>247.60432959342589</v>
      </c>
      <c r="H26" s="228">
        <v>257.93</v>
      </c>
      <c r="I26" s="153">
        <v>280.14476999999999</v>
      </c>
      <c r="J26" s="225">
        <v>306.45803000000001</v>
      </c>
      <c r="K26" s="149">
        <v>328.44</v>
      </c>
      <c r="L26" s="225">
        <v>343.36133739708555</v>
      </c>
      <c r="M26" s="149">
        <v>361.87697362979037</v>
      </c>
    </row>
    <row r="27" spans="1:13" ht="20" customHeight="1" thickBot="1">
      <c r="A27" s="681" t="s">
        <v>2054</v>
      </c>
      <c r="B27" s="153">
        <v>250.86297780951151</v>
      </c>
      <c r="C27" s="153">
        <v>254.22</v>
      </c>
      <c r="D27" s="228">
        <v>265.0439754536082</v>
      </c>
      <c r="E27" s="153">
        <v>263.08633335060824</v>
      </c>
      <c r="F27" s="228">
        <v>270.67558737547967</v>
      </c>
      <c r="G27" s="153">
        <v>274.83631654030387</v>
      </c>
      <c r="H27" s="228">
        <v>288.01</v>
      </c>
      <c r="I27" s="153">
        <v>309.12257</v>
      </c>
      <c r="J27" s="225">
        <v>338.71998000000002</v>
      </c>
      <c r="K27" s="149">
        <v>341.4</v>
      </c>
      <c r="L27" s="225">
        <v>353.09690522660532</v>
      </c>
      <c r="M27" s="149">
        <v>370.26507690894886</v>
      </c>
    </row>
    <row r="28" spans="1:13" ht="20" customHeight="1" thickBot="1">
      <c r="A28" s="681" t="s">
        <v>2055</v>
      </c>
      <c r="B28" s="153">
        <v>166.26105782296611</v>
      </c>
      <c r="C28" s="153">
        <v>171.56</v>
      </c>
      <c r="D28" s="228">
        <v>172.41864224466755</v>
      </c>
      <c r="E28" s="153">
        <v>167.16669943841148</v>
      </c>
      <c r="F28" s="228">
        <v>168.76751136732656</v>
      </c>
      <c r="G28" s="153">
        <v>170.7753395375473</v>
      </c>
      <c r="H28" s="228">
        <v>178.74</v>
      </c>
      <c r="I28" s="153">
        <v>193.50014999999999</v>
      </c>
      <c r="J28" s="225">
        <v>211.19194999999999</v>
      </c>
      <c r="K28" s="149">
        <v>226.02</v>
      </c>
      <c r="L28" s="225">
        <v>237.12477848949436</v>
      </c>
      <c r="M28" s="149">
        <v>250.48571078817801</v>
      </c>
    </row>
    <row r="29" spans="1:13" ht="20" customHeight="1" thickBot="1">
      <c r="A29" s="681" t="s">
        <v>2056</v>
      </c>
      <c r="B29" s="153">
        <v>182.19524165383032</v>
      </c>
      <c r="C29" s="153">
        <v>186.79</v>
      </c>
      <c r="D29" s="228">
        <v>209.60890775240387</v>
      </c>
      <c r="E29" s="153">
        <v>231.06217497794015</v>
      </c>
      <c r="F29" s="228">
        <v>247.3175692987063</v>
      </c>
      <c r="G29" s="153">
        <v>254.10089923369213</v>
      </c>
      <c r="H29" s="228">
        <v>263.48</v>
      </c>
      <c r="I29" s="153">
        <v>293.69824</v>
      </c>
      <c r="J29" s="225">
        <v>319.02927</v>
      </c>
      <c r="K29" s="149">
        <v>331.59</v>
      </c>
      <c r="L29" s="225">
        <v>346.23349645897997</v>
      </c>
      <c r="M29" s="149">
        <v>361.99430207464491</v>
      </c>
    </row>
    <row r="30" spans="1:13" ht="20" customHeight="1" thickBot="1">
      <c r="A30" s="681" t="s">
        <v>2057</v>
      </c>
      <c r="B30" s="153">
        <v>249.78789170339516</v>
      </c>
      <c r="C30" s="153">
        <v>262.29000000000002</v>
      </c>
      <c r="D30" s="228">
        <v>280.97595294559625</v>
      </c>
      <c r="E30" s="153">
        <v>292.53003148629085</v>
      </c>
      <c r="F30" s="228">
        <v>298.44549609980186</v>
      </c>
      <c r="G30" s="153">
        <v>320.43181073162663</v>
      </c>
      <c r="H30" s="228">
        <v>336.47</v>
      </c>
      <c r="I30" s="153">
        <v>363.55230999999998</v>
      </c>
      <c r="J30" s="225">
        <v>389.5677</v>
      </c>
      <c r="K30" s="149">
        <v>398.27</v>
      </c>
      <c r="L30" s="225">
        <v>410.85283098214046</v>
      </c>
      <c r="M30" s="149">
        <v>425.56637864631631</v>
      </c>
    </row>
    <row r="31" spans="1:13" ht="20" customHeight="1" thickBot="1">
      <c r="A31" s="681" t="s">
        <v>2058</v>
      </c>
      <c r="B31" s="153">
        <v>185.5585448541552</v>
      </c>
      <c r="C31" s="153">
        <v>187.76</v>
      </c>
      <c r="D31" s="228">
        <v>202.37524782381857</v>
      </c>
      <c r="E31" s="153">
        <v>221.92375082863774</v>
      </c>
      <c r="F31" s="228">
        <v>226.4991872043224</v>
      </c>
      <c r="G31" s="153">
        <v>237.61423548859224</v>
      </c>
      <c r="H31" s="228">
        <v>261.69</v>
      </c>
      <c r="I31" s="153">
        <v>285.07929000000001</v>
      </c>
      <c r="J31" s="225">
        <v>300.93169999999998</v>
      </c>
      <c r="K31" s="149">
        <v>309.3</v>
      </c>
      <c r="L31" s="225">
        <v>318.93631269266461</v>
      </c>
      <c r="M31" s="149">
        <v>333.63017255883432</v>
      </c>
    </row>
    <row r="32" spans="1:13" ht="30" customHeight="1" thickBot="1">
      <c r="A32" s="187" t="s">
        <v>2059</v>
      </c>
      <c r="B32" s="392">
        <v>166.16924861756607</v>
      </c>
      <c r="C32" s="392">
        <v>173.08</v>
      </c>
      <c r="D32" s="393">
        <v>188.06152293360134</v>
      </c>
      <c r="E32" s="392">
        <v>197.28646689698576</v>
      </c>
      <c r="F32" s="393">
        <v>203.88952141156713</v>
      </c>
      <c r="G32" s="392">
        <v>211.67614847185897</v>
      </c>
      <c r="H32" s="393">
        <v>223.27</v>
      </c>
      <c r="I32" s="392">
        <v>245.01247000000001</v>
      </c>
      <c r="J32" s="227">
        <v>268.54743999999999</v>
      </c>
      <c r="K32" s="483">
        <v>279.98</v>
      </c>
      <c r="L32" s="484">
        <v>290.21806622890591</v>
      </c>
      <c r="M32" s="483">
        <v>306.40836181971781</v>
      </c>
    </row>
    <row r="33" spans="1:10" ht="20" customHeight="1">
      <c r="A33" s="155" t="s">
        <v>1674</v>
      </c>
      <c r="B33" s="489"/>
      <c r="C33" s="489"/>
      <c r="D33" s="489"/>
      <c r="E33" s="489"/>
      <c r="F33" s="489"/>
      <c r="G33" s="489"/>
      <c r="H33" s="489"/>
      <c r="I33" s="489"/>
      <c r="J33" s="490"/>
    </row>
    <row r="34" spans="1:10" ht="15.75" customHeight="1">
      <c r="A34" s="4"/>
      <c r="B34" s="491"/>
      <c r="C34" s="491"/>
      <c r="D34" s="491"/>
      <c r="E34" s="491"/>
      <c r="F34" s="491"/>
      <c r="G34" s="491"/>
      <c r="H34" s="491"/>
      <c r="I34" s="491"/>
      <c r="J34" s="492"/>
    </row>
    <row r="35" spans="1:10" ht="14.25" customHeight="1">
      <c r="A35" s="4" t="s">
        <v>2242</v>
      </c>
      <c r="B35" s="491"/>
      <c r="C35" s="491"/>
      <c r="D35" s="491"/>
      <c r="E35" s="491"/>
      <c r="F35" s="491"/>
      <c r="G35" s="491"/>
      <c r="H35" s="491"/>
      <c r="I35" s="491"/>
      <c r="J35" s="492"/>
    </row>
    <row r="36" spans="1:10" ht="20" customHeight="1">
      <c r="A36" s="4"/>
      <c r="B36" s="491"/>
      <c r="C36" s="491"/>
      <c r="D36" s="491"/>
      <c r="E36" s="491"/>
      <c r="F36" s="491"/>
      <c r="G36" s="491"/>
      <c r="H36" s="491"/>
      <c r="I36" s="491"/>
      <c r="J36" s="492"/>
    </row>
    <row r="37" spans="1:10" ht="12.75" customHeight="1">
      <c r="A37" s="4" t="s">
        <v>2250</v>
      </c>
      <c r="B37" s="491"/>
      <c r="C37" s="491"/>
      <c r="D37" s="491"/>
      <c r="E37" s="491"/>
      <c r="F37" s="491"/>
      <c r="G37" s="491"/>
      <c r="H37" s="491"/>
      <c r="I37" s="491"/>
      <c r="J37" s="492"/>
    </row>
    <row r="38" spans="1:10">
      <c r="A38" s="2" t="s">
        <v>738</v>
      </c>
    </row>
    <row r="39" spans="1:10">
      <c r="A39" s="2" t="s">
        <v>2251</v>
      </c>
    </row>
    <row r="40" spans="1:10">
      <c r="A40" s="2" t="s">
        <v>2252</v>
      </c>
    </row>
    <row r="41" spans="1:10">
      <c r="A41" s="219" t="s">
        <v>2253</v>
      </c>
    </row>
    <row r="42" spans="1:10">
      <c r="A42" s="4" t="s">
        <v>2254</v>
      </c>
    </row>
    <row r="43" spans="1:10">
      <c r="A43" s="4" t="s">
        <v>2255</v>
      </c>
    </row>
    <row r="46" spans="1:10">
      <c r="A46" s="2" t="s">
        <v>104</v>
      </c>
    </row>
  </sheetData>
  <mergeCells count="1">
    <mergeCell ref="A2:L2"/>
  </mergeCells>
  <phoneticPr fontId="0" type="noConversion"/>
  <pageMargins left="0.6" right="0.56000000000000005" top="0.9" bottom="0.49" header="0.53" footer="0.4921259845"/>
  <pageSetup paperSize="9" scale="78" orientation="portrait" horizontalDpi="4294967292" verticalDpi="4294967292"/>
  <headerFooter alignWithMargins="0">
    <oddHeader>&amp;L&amp;"Arial,Bold"Prämientarife in der OKP</oddHead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160D1-BEB3-7B4A-9A01-8C9E56693EDC}">
  <sheetPr>
    <pageSetUpPr fitToPage="1"/>
  </sheetPr>
  <dimension ref="A1:Q43"/>
  <sheetViews>
    <sheetView zoomScale="75" workbookViewId="0">
      <selection activeCell="M7" sqref="M7"/>
    </sheetView>
  </sheetViews>
  <sheetFormatPr baseColWidth="10" defaultColWidth="11.3984375" defaultRowHeight="13"/>
  <cols>
    <col min="1" max="1" width="11.19921875" style="2" customWidth="1"/>
    <col min="2" max="11" width="10.796875" style="2" customWidth="1"/>
    <col min="12" max="12" width="3.796875" style="2" customWidth="1"/>
    <col min="13" max="13" width="12.3984375" style="2" customWidth="1"/>
    <col min="14" max="16384" width="11.3984375" style="2"/>
  </cols>
  <sheetData>
    <row r="1" spans="1:14" s="1" customFormat="1" ht="14" customHeight="1"/>
    <row r="2" spans="1:14" s="1" customFormat="1" ht="28" customHeight="1">
      <c r="A2" s="178" t="s">
        <v>2241</v>
      </c>
      <c r="M2" s="178">
        <v>2004</v>
      </c>
    </row>
    <row r="3" spans="1:14" ht="24" customHeight="1">
      <c r="A3" s="139" t="s">
        <v>503</v>
      </c>
      <c r="B3" s="360" t="s">
        <v>2217</v>
      </c>
      <c r="C3" s="210" t="s">
        <v>2217</v>
      </c>
      <c r="D3" s="360" t="s">
        <v>2217</v>
      </c>
      <c r="E3" s="210" t="s">
        <v>2217</v>
      </c>
      <c r="F3" s="360" t="s">
        <v>2217</v>
      </c>
      <c r="G3" s="210" t="s">
        <v>2217</v>
      </c>
      <c r="H3" s="360" t="s">
        <v>2217</v>
      </c>
      <c r="I3" s="210" t="s">
        <v>2217</v>
      </c>
      <c r="J3" s="360" t="s">
        <v>2217</v>
      </c>
      <c r="K3" s="210" t="s">
        <v>2217</v>
      </c>
      <c r="L3" s="935"/>
      <c r="M3" s="210" t="s">
        <v>391</v>
      </c>
    </row>
    <row r="4" spans="1:14" ht="15" customHeight="1">
      <c r="A4" s="165"/>
      <c r="B4" s="179" t="s">
        <v>2218</v>
      </c>
      <c r="C4" s="195" t="s">
        <v>2218</v>
      </c>
      <c r="D4" s="196" t="s">
        <v>2218</v>
      </c>
      <c r="E4" s="195" t="s">
        <v>2218</v>
      </c>
      <c r="F4" s="196" t="s">
        <v>2218</v>
      </c>
      <c r="G4" s="195" t="s">
        <v>2218</v>
      </c>
      <c r="H4" s="179" t="s">
        <v>2218</v>
      </c>
      <c r="I4" s="142" t="s">
        <v>2218</v>
      </c>
      <c r="J4" s="179" t="s">
        <v>2218</v>
      </c>
      <c r="K4" s="142" t="s">
        <v>2218</v>
      </c>
      <c r="L4" s="936"/>
      <c r="M4" s="142" t="s">
        <v>392</v>
      </c>
    </row>
    <row r="5" spans="1:14" ht="15" customHeight="1">
      <c r="A5" s="165"/>
      <c r="B5" s="179" t="s">
        <v>2234</v>
      </c>
      <c r="C5" s="142" t="s">
        <v>2219</v>
      </c>
      <c r="D5" s="179" t="s">
        <v>2220</v>
      </c>
      <c r="E5" s="142" t="s">
        <v>2221</v>
      </c>
      <c r="F5" s="196" t="s">
        <v>2222</v>
      </c>
      <c r="G5" s="142" t="s">
        <v>2223</v>
      </c>
      <c r="H5" s="179" t="s">
        <v>2224</v>
      </c>
      <c r="I5" s="142" t="s">
        <v>2225</v>
      </c>
      <c r="J5" s="179" t="s">
        <v>2226</v>
      </c>
      <c r="K5" s="142" t="s">
        <v>2227</v>
      </c>
      <c r="L5" s="936"/>
      <c r="M5" s="142" t="s">
        <v>393</v>
      </c>
    </row>
    <row r="6" spans="1:14" ht="15" customHeight="1">
      <c r="A6" s="165"/>
      <c r="B6" s="362"/>
      <c r="C6" s="142"/>
      <c r="D6" s="179"/>
      <c r="E6" s="142"/>
      <c r="F6" s="196"/>
      <c r="G6" s="142"/>
      <c r="H6" s="179"/>
      <c r="I6" s="142"/>
      <c r="J6" s="179"/>
      <c r="K6" s="142"/>
      <c r="L6" s="936"/>
      <c r="M6" s="142" t="s">
        <v>2228</v>
      </c>
    </row>
    <row r="7" spans="1:14" ht="16" customHeight="1">
      <c r="A7" s="167"/>
      <c r="B7" s="180"/>
      <c r="C7" s="145"/>
      <c r="D7" s="180"/>
      <c r="E7" s="145"/>
      <c r="F7" s="198"/>
      <c r="G7" s="145"/>
      <c r="H7" s="180"/>
      <c r="I7" s="145"/>
      <c r="J7" s="180"/>
      <c r="K7" s="145"/>
      <c r="L7" s="937"/>
      <c r="M7" s="938"/>
    </row>
    <row r="8" spans="1:14" ht="30" customHeight="1" thickBot="1">
      <c r="A8" s="689" t="s">
        <v>510</v>
      </c>
      <c r="B8" s="407">
        <v>0.12613928626541648</v>
      </c>
      <c r="C8" s="329">
        <v>7.8429686283143063E-2</v>
      </c>
      <c r="D8" s="407">
        <v>4.3687998030005115E-2</v>
      </c>
      <c r="E8" s="329">
        <v>4.9098421667693515E-2</v>
      </c>
      <c r="F8" s="407">
        <v>5.2286857263827313E-2</v>
      </c>
      <c r="G8" s="329">
        <v>0.10371451977150947</v>
      </c>
      <c r="H8" s="407">
        <v>0.10442598520331936</v>
      </c>
      <c r="I8" s="329">
        <v>3.8796031185967417E-2</v>
      </c>
      <c r="J8" s="407">
        <v>2.309929471479899E-2</v>
      </c>
      <c r="K8" s="329">
        <v>4.4931162831657101E-2</v>
      </c>
      <c r="L8" s="940"/>
      <c r="M8" s="329">
        <v>6.5966148888227716E-2</v>
      </c>
      <c r="N8" s="9"/>
    </row>
    <row r="9" spans="1:14" ht="20" customHeight="1" thickBot="1">
      <c r="A9" s="681" t="s">
        <v>511</v>
      </c>
      <c r="B9" s="409">
        <v>8.4661519404469976E-2</v>
      </c>
      <c r="C9" s="331">
        <v>5.4276368705915568E-2</v>
      </c>
      <c r="D9" s="409">
        <v>6.7043975583916726E-2</v>
      </c>
      <c r="E9" s="331">
        <v>2.4915792440715512E-2</v>
      </c>
      <c r="F9" s="409">
        <v>3.8616843241308985E-2</v>
      </c>
      <c r="G9" s="331">
        <v>0.10537406646751291</v>
      </c>
      <c r="H9" s="409">
        <v>9.8820836521823274E-2</v>
      </c>
      <c r="I9" s="331">
        <v>4.6931370484006196E-2</v>
      </c>
      <c r="J9" s="409">
        <v>4.698810458617908E-2</v>
      </c>
      <c r="K9" s="331">
        <v>9.9010236219151615E-2</v>
      </c>
      <c r="L9" s="940"/>
      <c r="M9" s="329">
        <v>6.6319232860316601E-2</v>
      </c>
      <c r="N9" s="9"/>
    </row>
    <row r="10" spans="1:14" ht="20" customHeight="1" thickBot="1">
      <c r="A10" s="681" t="s">
        <v>512</v>
      </c>
      <c r="B10" s="409">
        <v>3.2186125538066657E-2</v>
      </c>
      <c r="C10" s="331">
        <v>6.729166114238172E-2</v>
      </c>
      <c r="D10" s="409">
        <v>-9.9978728158878205E-4</v>
      </c>
      <c r="E10" s="331">
        <v>6.2101880505760043E-2</v>
      </c>
      <c r="F10" s="409">
        <v>7.1268326074623412E-2</v>
      </c>
      <c r="G10" s="331">
        <v>0.11028200711907221</v>
      </c>
      <c r="H10" s="409">
        <v>0.10501708164045787</v>
      </c>
      <c r="I10" s="331">
        <v>5.7800899081629442E-2</v>
      </c>
      <c r="J10" s="409">
        <v>4.2981956094725993E-2</v>
      </c>
      <c r="K10" s="331">
        <v>6.4899701140273436E-2</v>
      </c>
      <c r="L10" s="940"/>
      <c r="M10" s="329">
        <v>6.0831209574214062E-2</v>
      </c>
      <c r="N10" s="9"/>
    </row>
    <row r="11" spans="1:14" ht="20" customHeight="1" thickBot="1">
      <c r="A11" s="681" t="s">
        <v>513</v>
      </c>
      <c r="B11" s="409">
        <v>3.083307666763746E-2</v>
      </c>
      <c r="C11" s="331">
        <v>5.1241760630519773E-2</v>
      </c>
      <c r="D11" s="409">
        <v>-7.2549199135449882E-3</v>
      </c>
      <c r="E11" s="331">
        <v>2.7126898785698517E-2</v>
      </c>
      <c r="F11" s="409">
        <v>4.06569468738045E-2</v>
      </c>
      <c r="G11" s="331">
        <v>0.10287647856086757</v>
      </c>
      <c r="H11" s="409">
        <v>0.10663923716215229</v>
      </c>
      <c r="I11" s="331">
        <v>4.1798380540847724E-2</v>
      </c>
      <c r="J11" s="409">
        <v>4.2847549915332461E-2</v>
      </c>
      <c r="K11" s="331">
        <v>4.8925043177359351E-2</v>
      </c>
      <c r="L11" s="940"/>
      <c r="M11" s="329">
        <v>4.8079503952755065E-2</v>
      </c>
      <c r="N11" s="9"/>
    </row>
    <row r="12" spans="1:14" ht="20" customHeight="1" thickBot="1">
      <c r="A12" s="681" t="s">
        <v>514</v>
      </c>
      <c r="B12" s="409">
        <v>0.10224118520281511</v>
      </c>
      <c r="C12" s="331">
        <v>3.543261059986702E-2</v>
      </c>
      <c r="D12" s="409">
        <v>-1.5861163972542003E-2</v>
      </c>
      <c r="E12" s="331">
        <v>2.2262124863796862E-2</v>
      </c>
      <c r="F12" s="409">
        <v>6.2254266188365381E-2</v>
      </c>
      <c r="G12" s="331">
        <v>0.12372337191628668</v>
      </c>
      <c r="H12" s="409">
        <v>0.11238594823584047</v>
      </c>
      <c r="I12" s="331">
        <v>5.0707203533915557E-2</v>
      </c>
      <c r="J12" s="409">
        <v>4.7723819872021123E-2</v>
      </c>
      <c r="K12" s="331">
        <v>5.2631023566413804E-2</v>
      </c>
      <c r="L12" s="940"/>
      <c r="M12" s="329">
        <v>5.8562536533335319E-2</v>
      </c>
      <c r="N12" s="9"/>
    </row>
    <row r="13" spans="1:14" ht="20" customHeight="1" thickBot="1">
      <c r="A13" s="681" t="s">
        <v>515</v>
      </c>
      <c r="B13" s="409">
        <v>6.0469299368311802E-2</v>
      </c>
      <c r="C13" s="331">
        <v>8.4445454455319702E-3</v>
      </c>
      <c r="D13" s="409">
        <v>-7.2302150567744583E-3</v>
      </c>
      <c r="E13" s="331">
        <v>3.1686083742130222E-2</v>
      </c>
      <c r="F13" s="409">
        <v>5.5088101978333137E-2</v>
      </c>
      <c r="G13" s="331">
        <v>8.3833770351850578E-2</v>
      </c>
      <c r="H13" s="409">
        <v>6.4480507533846154E-2</v>
      </c>
      <c r="I13" s="331">
        <v>4.4722704769429189E-2</v>
      </c>
      <c r="J13" s="409">
        <v>4.7160076369618054E-2</v>
      </c>
      <c r="K13" s="331">
        <v>5.4469951035643449E-2</v>
      </c>
      <c r="L13" s="940"/>
      <c r="M13" s="329">
        <v>4.399487809528102E-2</v>
      </c>
      <c r="N13" s="9"/>
    </row>
    <row r="14" spans="1:14" ht="20" customHeight="1" thickBot="1">
      <c r="A14" s="681" t="s">
        <v>516</v>
      </c>
      <c r="B14" s="409">
        <v>5.1072667046455855E-2</v>
      </c>
      <c r="C14" s="331">
        <v>1.6877380103450967E-2</v>
      </c>
      <c r="D14" s="409">
        <v>-1.2006586548933718E-2</v>
      </c>
      <c r="E14" s="331">
        <v>2.760179253674222E-2</v>
      </c>
      <c r="F14" s="409">
        <v>5.3901640944971296E-2</v>
      </c>
      <c r="G14" s="331">
        <v>8.4635131646876527E-2</v>
      </c>
      <c r="H14" s="409">
        <v>9.0310067418687856E-2</v>
      </c>
      <c r="I14" s="331">
        <v>4.8490474392554495E-2</v>
      </c>
      <c r="J14" s="409">
        <v>4.8165323139373051E-2</v>
      </c>
      <c r="K14" s="331">
        <v>4.7250484847833452E-2</v>
      </c>
      <c r="L14" s="940"/>
      <c r="M14" s="329">
        <v>4.5239671776731827E-2</v>
      </c>
      <c r="N14" s="9"/>
    </row>
    <row r="15" spans="1:14" ht="20" customHeight="1" thickBot="1">
      <c r="A15" s="681" t="s">
        <v>517</v>
      </c>
      <c r="B15" s="409">
        <v>0.10059931954872159</v>
      </c>
      <c r="C15" s="331">
        <v>6.2982790946979339E-2</v>
      </c>
      <c r="D15" s="409">
        <v>1.3837648926860124E-2</v>
      </c>
      <c r="E15" s="331">
        <v>2.185262510382957E-2</v>
      </c>
      <c r="F15" s="409">
        <v>7.6946884214629252E-2</v>
      </c>
      <c r="G15" s="331">
        <v>0.12215433154449507</v>
      </c>
      <c r="H15" s="409">
        <v>0.12263482775272783</v>
      </c>
      <c r="I15" s="331">
        <v>5.5944804940681214E-2</v>
      </c>
      <c r="J15" s="409">
        <v>5.0556747123680745E-2</v>
      </c>
      <c r="K15" s="331">
        <v>4.9970597487243085E-2</v>
      </c>
      <c r="L15" s="940"/>
      <c r="M15" s="329">
        <v>6.7145263396990895E-2</v>
      </c>
      <c r="N15" s="9"/>
    </row>
    <row r="16" spans="1:14" ht="20" customHeight="1" thickBot="1">
      <c r="A16" s="681" t="s">
        <v>518</v>
      </c>
      <c r="B16" s="409">
        <v>8.0245446324829217E-2</v>
      </c>
      <c r="C16" s="331">
        <v>-2.1298729786621839E-3</v>
      </c>
      <c r="D16" s="409">
        <v>-1.1619850399125831E-2</v>
      </c>
      <c r="E16" s="331">
        <v>3.5355080926786187E-2</v>
      </c>
      <c r="F16" s="409">
        <v>5.9559548252665184E-2</v>
      </c>
      <c r="G16" s="331">
        <v>0.11828377322190819</v>
      </c>
      <c r="H16" s="409">
        <v>0.12652804394568862</v>
      </c>
      <c r="I16" s="331">
        <v>6.0423726613409334E-2</v>
      </c>
      <c r="J16" s="409">
        <v>5.0775142846213539E-2</v>
      </c>
      <c r="K16" s="331">
        <v>5.635616423138945E-2</v>
      </c>
      <c r="L16" s="940"/>
      <c r="M16" s="329">
        <v>5.6532545774213849E-2</v>
      </c>
      <c r="N16" s="9"/>
    </row>
    <row r="17" spans="1:14" ht="20" customHeight="1" thickBot="1">
      <c r="A17" s="681" t="s">
        <v>519</v>
      </c>
      <c r="B17" s="409">
        <v>6.716363944691861E-2</v>
      </c>
      <c r="C17" s="331">
        <v>3.280958343787832E-3</v>
      </c>
      <c r="D17" s="409">
        <v>1.766393404468336E-2</v>
      </c>
      <c r="E17" s="331">
        <v>5.2624625660810942E-2</v>
      </c>
      <c r="F17" s="409">
        <v>6.9610698459434905E-2</v>
      </c>
      <c r="G17" s="331">
        <v>8.3998127853881277E-2</v>
      </c>
      <c r="H17" s="409">
        <v>6.6671162678295648E-2</v>
      </c>
      <c r="I17" s="331">
        <v>1.6139803713745904E-2</v>
      </c>
      <c r="J17" s="409">
        <v>4.1348339642754972E-2</v>
      </c>
      <c r="K17" s="331">
        <v>4.8182370044250522E-2</v>
      </c>
      <c r="L17" s="940"/>
      <c r="M17" s="329">
        <v>4.6357921811414737E-2</v>
      </c>
      <c r="N17" s="9"/>
    </row>
    <row r="18" spans="1:14" ht="20" customHeight="1" thickBot="1">
      <c r="A18" s="681" t="s">
        <v>520</v>
      </c>
      <c r="B18" s="409">
        <v>0.13621630771097482</v>
      </c>
      <c r="C18" s="331">
        <v>8.8416454232156383E-2</v>
      </c>
      <c r="D18" s="409">
        <v>2.6222961878580753E-2</v>
      </c>
      <c r="E18" s="331">
        <v>4.3601339573327014E-2</v>
      </c>
      <c r="F18" s="409">
        <v>2.514466501733259E-2</v>
      </c>
      <c r="G18" s="331">
        <v>5.605359884836858E-2</v>
      </c>
      <c r="H18" s="409">
        <v>9.2522240731016225E-2</v>
      </c>
      <c r="I18" s="331">
        <v>5.0514837113222466E-2</v>
      </c>
      <c r="J18" s="409">
        <v>3.5696162510275853E-2</v>
      </c>
      <c r="K18" s="331">
        <v>3.9479063853157914E-2</v>
      </c>
      <c r="L18" s="940"/>
      <c r="M18" s="329">
        <v>5.8859696586414545E-2</v>
      </c>
      <c r="N18" s="9"/>
    </row>
    <row r="19" spans="1:14" ht="20" customHeight="1" thickBot="1">
      <c r="A19" s="681" t="s">
        <v>521</v>
      </c>
      <c r="B19" s="409">
        <v>0.15152715969927022</v>
      </c>
      <c r="C19" s="331">
        <v>9.5420596201110097E-2</v>
      </c>
      <c r="D19" s="409">
        <v>8.3784531241760662E-2</v>
      </c>
      <c r="E19" s="331">
        <v>4.8892562209857715E-2</v>
      </c>
      <c r="F19" s="409">
        <v>6.0464755233850864E-2</v>
      </c>
      <c r="G19" s="331">
        <v>8.6196882909284733E-2</v>
      </c>
      <c r="H19" s="409">
        <v>9.015906760787229E-2</v>
      </c>
      <c r="I19" s="331">
        <v>6.1676306171922324E-2</v>
      </c>
      <c r="J19" s="409">
        <v>3.0144790222678575E-2</v>
      </c>
      <c r="K19" s="331">
        <v>3.8837361141712767E-2</v>
      </c>
      <c r="L19" s="940"/>
      <c r="M19" s="329">
        <v>7.4202518030308973E-2</v>
      </c>
      <c r="N19" s="9"/>
    </row>
    <row r="20" spans="1:14" ht="20" customHeight="1" thickBot="1">
      <c r="A20" s="681" t="s">
        <v>522</v>
      </c>
      <c r="B20" s="409">
        <v>0.138313161853306</v>
      </c>
      <c r="C20" s="331">
        <v>6.4260908259432759E-2</v>
      </c>
      <c r="D20" s="409">
        <v>7.2158322854636303E-3</v>
      </c>
      <c r="E20" s="331">
        <v>3.5237123446206775E-2</v>
      </c>
      <c r="F20" s="409">
        <v>4.9523131342671167E-2</v>
      </c>
      <c r="G20" s="331">
        <v>0.10021431743494102</v>
      </c>
      <c r="H20" s="409">
        <v>9.8568834096627533E-2</v>
      </c>
      <c r="I20" s="331">
        <v>4.9211379277200873E-2</v>
      </c>
      <c r="J20" s="409">
        <v>3.2666764640021828E-2</v>
      </c>
      <c r="K20" s="331">
        <v>4.62736985054506E-2</v>
      </c>
      <c r="L20" s="940"/>
      <c r="M20" s="329">
        <v>6.15091278865465E-2</v>
      </c>
      <c r="N20" s="9"/>
    </row>
    <row r="21" spans="1:14" ht="20" customHeight="1" thickBot="1">
      <c r="A21" s="681" t="s">
        <v>523</v>
      </c>
      <c r="B21" s="409">
        <v>0.16213627024850141</v>
      </c>
      <c r="C21" s="331">
        <v>5.013143786353802E-2</v>
      </c>
      <c r="D21" s="409">
        <v>5.4830929433373532E-2</v>
      </c>
      <c r="E21" s="331">
        <v>3.9193084046368121E-2</v>
      </c>
      <c r="F21" s="409">
        <v>5.3052528748650074E-2</v>
      </c>
      <c r="G21" s="331">
        <v>0.15829113174007503</v>
      </c>
      <c r="H21" s="409">
        <v>9.4186508897372345E-2</v>
      </c>
      <c r="I21" s="331">
        <v>4.4722133132858888E-2</v>
      </c>
      <c r="J21" s="409">
        <v>2.836476418036793E-2</v>
      </c>
      <c r="K21" s="331">
        <v>4.9621121255811307E-2</v>
      </c>
      <c r="L21" s="940"/>
      <c r="M21" s="329">
        <v>7.2486782588386811E-2</v>
      </c>
      <c r="N21" s="9"/>
    </row>
    <row r="22" spans="1:14" ht="20" customHeight="1" thickBot="1">
      <c r="A22" s="681" t="s">
        <v>2047</v>
      </c>
      <c r="B22" s="409">
        <v>0.11530248290676592</v>
      </c>
      <c r="C22" s="331">
        <v>8.8621308376789498E-2</v>
      </c>
      <c r="D22" s="409">
        <v>6.3289702653235302E-4</v>
      </c>
      <c r="E22" s="331">
        <v>2.1104328711528897E-2</v>
      </c>
      <c r="F22" s="409">
        <v>7.1317829402282706E-2</v>
      </c>
      <c r="G22" s="331">
        <v>0.10332321027687685</v>
      </c>
      <c r="H22" s="409">
        <v>0.10728450200704898</v>
      </c>
      <c r="I22" s="331">
        <v>4.4966215209138127E-2</v>
      </c>
      <c r="J22" s="409">
        <v>4.9007551610987132E-2</v>
      </c>
      <c r="K22" s="331">
        <v>5.6138791390431875E-2</v>
      </c>
      <c r="L22" s="940"/>
      <c r="M22" s="329">
        <v>6.5147263829324675E-2</v>
      </c>
      <c r="N22" s="9"/>
    </row>
    <row r="23" spans="1:14" ht="20" customHeight="1" thickBot="1">
      <c r="A23" s="681" t="s">
        <v>2048</v>
      </c>
      <c r="B23" s="409">
        <v>6.6714528046374566E-2</v>
      </c>
      <c r="C23" s="331">
        <v>6.2405572474689475E-2</v>
      </c>
      <c r="D23" s="409">
        <v>-1.3531361714019141E-2</v>
      </c>
      <c r="E23" s="331">
        <v>1.17916885109004E-2</v>
      </c>
      <c r="F23" s="409">
        <v>9.2353068042632547E-2</v>
      </c>
      <c r="G23" s="331">
        <v>9.4624991389405722E-2</v>
      </c>
      <c r="H23" s="409">
        <v>9.2758197561323863E-2</v>
      </c>
      <c r="I23" s="331">
        <v>5.7434982462369888E-2</v>
      </c>
      <c r="J23" s="409">
        <v>5.2476569309769738E-2</v>
      </c>
      <c r="K23" s="331">
        <v>7.3202592465422045E-2</v>
      </c>
      <c r="L23" s="940"/>
      <c r="M23" s="329">
        <v>5.8476749752785384E-2</v>
      </c>
      <c r="N23" s="9"/>
    </row>
    <row r="24" spans="1:14" ht="20" customHeight="1" thickBot="1">
      <c r="A24" s="681" t="s">
        <v>2049</v>
      </c>
      <c r="B24" s="409">
        <v>0.11141672230009814</v>
      </c>
      <c r="C24" s="331">
        <v>9.2246319189679626E-2</v>
      </c>
      <c r="D24" s="409">
        <v>1.4939222203069979E-2</v>
      </c>
      <c r="E24" s="331">
        <v>2.8870561169430431E-2</v>
      </c>
      <c r="F24" s="409">
        <v>6.6188927701152478E-2</v>
      </c>
      <c r="G24" s="331">
        <v>0.10430954550632188</v>
      </c>
      <c r="H24" s="409">
        <v>8.7103580516163737E-2</v>
      </c>
      <c r="I24" s="331">
        <v>6.9200880391115938E-2</v>
      </c>
      <c r="J24" s="409">
        <v>5.3018434610391019E-2</v>
      </c>
      <c r="K24" s="331">
        <v>6.7677260879059231E-2</v>
      </c>
      <c r="L24" s="940"/>
      <c r="M24" s="329">
        <v>6.9086754690193874E-2</v>
      </c>
      <c r="N24" s="9"/>
    </row>
    <row r="25" spans="1:14" ht="20" customHeight="1" thickBot="1">
      <c r="A25" s="681" t="s">
        <v>2050</v>
      </c>
      <c r="B25" s="409">
        <v>0.1752339201546198</v>
      </c>
      <c r="C25" s="331">
        <v>4.5663278607013247E-3</v>
      </c>
      <c r="D25" s="409">
        <v>1.6122992679380221E-2</v>
      </c>
      <c r="E25" s="331">
        <v>5.4504237397578148E-2</v>
      </c>
      <c r="F25" s="409">
        <v>8.2966470936743919E-2</v>
      </c>
      <c r="G25" s="331">
        <v>0.13308071428571422</v>
      </c>
      <c r="H25" s="409">
        <v>0.13454569390362003</v>
      </c>
      <c r="I25" s="331">
        <v>6.0104130516668297E-2</v>
      </c>
      <c r="J25" s="409">
        <v>2.8909456039501791E-2</v>
      </c>
      <c r="K25" s="331">
        <v>5.787455015744003E-2</v>
      </c>
      <c r="L25" s="940"/>
      <c r="M25" s="329">
        <v>7.3483873846458048E-2</v>
      </c>
      <c r="N25" s="9"/>
    </row>
    <row r="26" spans="1:14" ht="20" customHeight="1" thickBot="1">
      <c r="A26" s="681" t="s">
        <v>2051</v>
      </c>
      <c r="B26" s="409">
        <v>0.12738686957185741</v>
      </c>
      <c r="C26" s="331">
        <v>7.2042091732333002E-2</v>
      </c>
      <c r="D26" s="409">
        <v>3.4382783382265636E-2</v>
      </c>
      <c r="E26" s="331">
        <v>5.5803497283793302E-2</v>
      </c>
      <c r="F26" s="409">
        <v>8.7682619516994187E-2</v>
      </c>
      <c r="G26" s="331">
        <v>0.11570227762874108</v>
      </c>
      <c r="H26" s="409">
        <v>9.6585738009683508E-2</v>
      </c>
      <c r="I26" s="331">
        <v>5.0764342922532402E-2</v>
      </c>
      <c r="J26" s="409">
        <v>3.8961964859717479E-2</v>
      </c>
      <c r="K26" s="331">
        <v>5.7365642469489497E-2</v>
      </c>
      <c r="L26" s="940"/>
      <c r="M26" s="329">
        <v>7.3240977482849967E-2</v>
      </c>
      <c r="N26" s="9"/>
    </row>
    <row r="27" spans="1:14" ht="20" customHeight="1" thickBot="1">
      <c r="A27" s="681" t="s">
        <v>2052</v>
      </c>
      <c r="B27" s="409">
        <v>0.1676621855725855</v>
      </c>
      <c r="C27" s="331">
        <v>8.8164886528195208E-2</v>
      </c>
      <c r="D27" s="409">
        <v>4.6822304164127582E-2</v>
      </c>
      <c r="E27" s="331">
        <v>3.6306385968898347E-2</v>
      </c>
      <c r="F27" s="409">
        <v>9.8738375133517131E-2</v>
      </c>
      <c r="G27" s="331">
        <v>0.13755009594990386</v>
      </c>
      <c r="H27" s="409">
        <v>0.11001667556980421</v>
      </c>
      <c r="I27" s="331">
        <v>5.1392744442213978E-2</v>
      </c>
      <c r="J27" s="409">
        <v>3.456163246997912E-2</v>
      </c>
      <c r="K27" s="331">
        <v>4.8264192583228116E-2</v>
      </c>
      <c r="L27" s="940"/>
      <c r="M27" s="329">
        <v>8.1075309839450993E-2</v>
      </c>
      <c r="N27" s="9"/>
    </row>
    <row r="28" spans="1:14" ht="20" customHeight="1" thickBot="1">
      <c r="A28" s="681" t="s">
        <v>2053</v>
      </c>
      <c r="B28" s="409">
        <v>9.6996879816964254E-2</v>
      </c>
      <c r="C28" s="331">
        <v>8.1209870777622095E-2</v>
      </c>
      <c r="D28" s="409">
        <v>1.2448815845387928E-2</v>
      </c>
      <c r="E28" s="331">
        <v>2.0495064661920859E-2</v>
      </c>
      <c r="F28" s="409">
        <v>4.1702301504699779E-2</v>
      </c>
      <c r="G28" s="331">
        <v>8.6127127515217339E-2</v>
      </c>
      <c r="H28" s="409">
        <v>9.3927364769294197E-2</v>
      </c>
      <c r="I28" s="331">
        <v>7.1729136939240767E-2</v>
      </c>
      <c r="J28" s="409">
        <v>4.5430938366476603E-2</v>
      </c>
      <c r="K28" s="331">
        <v>5.3924639195158219E-2</v>
      </c>
      <c r="L28" s="940"/>
      <c r="M28" s="329">
        <v>6.0010603174455168E-2</v>
      </c>
      <c r="N28" s="9"/>
    </row>
    <row r="29" spans="1:14" ht="20" customHeight="1" thickBot="1">
      <c r="A29" s="681" t="s">
        <v>2054</v>
      </c>
      <c r="B29" s="409">
        <v>4.2577198700370467E-2</v>
      </c>
      <c r="C29" s="331">
        <v>-7.3861030029056529E-3</v>
      </c>
      <c r="D29" s="409">
        <v>2.884700975613752E-2</v>
      </c>
      <c r="E29" s="331">
        <v>1.5371645463735373E-2</v>
      </c>
      <c r="F29" s="409">
        <v>4.7932833715460754E-2</v>
      </c>
      <c r="G29" s="331">
        <v>7.3304989410089894E-2</v>
      </c>
      <c r="H29" s="409">
        <v>9.5746518929368474E-2</v>
      </c>
      <c r="I29" s="331">
        <v>7.912199333502512E-3</v>
      </c>
      <c r="J29" s="409">
        <v>3.4261585315188414E-2</v>
      </c>
      <c r="K29" s="331">
        <v>4.8621699675689856E-2</v>
      </c>
      <c r="L29" s="940"/>
      <c r="M29" s="329">
        <v>3.8317810742704461E-2</v>
      </c>
      <c r="N29" s="9"/>
    </row>
    <row r="30" spans="1:14" ht="20" customHeight="1" thickBot="1">
      <c r="A30" s="681" t="s">
        <v>2055</v>
      </c>
      <c r="B30" s="409">
        <v>5.0049093300743586E-3</v>
      </c>
      <c r="C30" s="331">
        <v>-3.046041157662871E-2</v>
      </c>
      <c r="D30" s="409">
        <v>9.5761412667292323E-3</v>
      </c>
      <c r="E30" s="331">
        <v>1.189700644367897E-2</v>
      </c>
      <c r="F30" s="409">
        <v>4.663823526289379E-2</v>
      </c>
      <c r="G30" s="331">
        <v>8.2578885532057722E-2</v>
      </c>
      <c r="H30" s="409">
        <v>9.1430420079777752E-2</v>
      </c>
      <c r="I30" s="331">
        <v>7.0211246214640477E-2</v>
      </c>
      <c r="J30" s="409">
        <v>4.9131840056164666E-2</v>
      </c>
      <c r="K30" s="331">
        <v>5.6345576298664213E-2</v>
      </c>
      <c r="L30" s="940"/>
      <c r="M30" s="329">
        <v>3.8572196240749479E-2</v>
      </c>
      <c r="N30" s="9"/>
    </row>
    <row r="31" spans="1:14" ht="20" customHeight="1" thickBot="1">
      <c r="A31" s="681" t="s">
        <v>2056</v>
      </c>
      <c r="B31" s="409">
        <v>0.12216343354785519</v>
      </c>
      <c r="C31" s="331">
        <v>0.10234902445499827</v>
      </c>
      <c r="D31" s="409">
        <v>7.0350737078962E-2</v>
      </c>
      <c r="E31" s="331">
        <v>2.742761039670838E-2</v>
      </c>
      <c r="F31" s="409">
        <v>3.6910931030126326E-2</v>
      </c>
      <c r="G31" s="331">
        <v>0.11468893274631853</v>
      </c>
      <c r="H31" s="409">
        <v>8.6248490968144687E-2</v>
      </c>
      <c r="I31" s="331">
        <v>3.9371716582619509E-2</v>
      </c>
      <c r="J31" s="409">
        <v>4.4161453780210413E-2</v>
      </c>
      <c r="K31" s="331">
        <v>4.5520741860203495E-2</v>
      </c>
      <c r="L31" s="940"/>
      <c r="M31" s="329">
        <v>6.8402292561152045E-2</v>
      </c>
      <c r="N31" s="9"/>
    </row>
    <row r="32" spans="1:14" ht="20" customHeight="1" thickBot="1">
      <c r="A32" s="681" t="s">
        <v>2057</v>
      </c>
      <c r="B32" s="409">
        <v>7.124157591061886E-2</v>
      </c>
      <c r="C32" s="331">
        <v>4.1121236246618453E-2</v>
      </c>
      <c r="D32" s="409">
        <v>2.0221734443659045E-2</v>
      </c>
      <c r="E32" s="331">
        <v>7.3669446914596426E-2</v>
      </c>
      <c r="F32" s="409">
        <v>5.0051801135955198E-2</v>
      </c>
      <c r="G32" s="331">
        <v>8.0489523583082923E-2</v>
      </c>
      <c r="H32" s="409">
        <v>7.1558863152320518E-2</v>
      </c>
      <c r="I32" s="331">
        <v>2.2338350946446539E-2</v>
      </c>
      <c r="J32" s="409">
        <v>3.159372029562979E-2</v>
      </c>
      <c r="K32" s="331">
        <v>3.5812209517951388E-2</v>
      </c>
      <c r="L32" s="940"/>
      <c r="M32" s="329">
        <v>4.9587277185674905E-2</v>
      </c>
    </row>
    <row r="33" spans="1:17" ht="20" customHeight="1" thickBot="1">
      <c r="A33" s="681" t="s">
        <v>2058</v>
      </c>
      <c r="B33" s="409">
        <v>7.7840050190767895E-2</v>
      </c>
      <c r="C33" s="331">
        <v>9.6595325836672741E-2</v>
      </c>
      <c r="D33" s="409">
        <v>2.0617155030052015E-2</v>
      </c>
      <c r="E33" s="331">
        <v>4.9073236957106969E-2</v>
      </c>
      <c r="F33" s="409">
        <v>0.10132290458903759</v>
      </c>
      <c r="G33" s="331">
        <v>8.9377851656540219E-2</v>
      </c>
      <c r="H33" s="409">
        <v>5.5607020769554927E-2</v>
      </c>
      <c r="I33" s="331">
        <v>2.780797104459265E-2</v>
      </c>
      <c r="J33" s="409">
        <v>3.1155230173503412E-2</v>
      </c>
      <c r="K33" s="331">
        <v>4.6071454649095012E-2</v>
      </c>
      <c r="L33" s="940"/>
      <c r="M33" s="329">
        <v>5.9171348833261694E-2</v>
      </c>
      <c r="O33" s="10"/>
      <c r="P33" s="10"/>
      <c r="Q33" s="10"/>
    </row>
    <row r="34" spans="1:17" ht="30" customHeight="1" thickBot="1">
      <c r="A34" s="312" t="s">
        <v>2059</v>
      </c>
      <c r="B34" s="411">
        <v>8.6558371467537087E-2</v>
      </c>
      <c r="C34" s="413">
        <v>4.9052798358128147E-2</v>
      </c>
      <c r="D34" s="411">
        <v>3.3469373842196726E-2</v>
      </c>
      <c r="E34" s="413">
        <v>3.8190422962315562E-2</v>
      </c>
      <c r="F34" s="411">
        <v>5.4771648160833575E-2</v>
      </c>
      <c r="G34" s="413">
        <v>9.7381959063017831E-2</v>
      </c>
      <c r="H34" s="411">
        <v>9.6056212975608846E-2</v>
      </c>
      <c r="I34" s="413">
        <v>4.2571845034158562E-2</v>
      </c>
      <c r="J34" s="752">
        <v>3.6567134184248395E-2</v>
      </c>
      <c r="K34" s="737">
        <v>5.5786656568933335E-2</v>
      </c>
      <c r="L34" s="943"/>
      <c r="M34" s="737">
        <v>5.8779131147931096E-2</v>
      </c>
    </row>
    <row r="35" spans="1:17" ht="20" customHeight="1">
      <c r="A35" s="155" t="s">
        <v>1674</v>
      </c>
      <c r="B35" s="489"/>
      <c r="C35" s="489"/>
      <c r="D35" s="489"/>
      <c r="E35" s="489"/>
      <c r="F35" s="489"/>
      <c r="G35" s="489"/>
      <c r="H35" s="489"/>
      <c r="I35" s="490"/>
    </row>
    <row r="36" spans="1:17" ht="13.5" customHeight="1">
      <c r="A36" s="4"/>
      <c r="B36" s="491"/>
      <c r="C36" s="491"/>
      <c r="D36" s="491"/>
      <c r="E36" s="491"/>
      <c r="F36" s="491"/>
      <c r="G36" s="491"/>
      <c r="H36" s="491"/>
      <c r="I36" s="492"/>
    </row>
    <row r="37" spans="1:17" ht="17.25" customHeight="1">
      <c r="A37" s="4" t="s">
        <v>2238</v>
      </c>
      <c r="B37" s="491"/>
      <c r="C37" s="491"/>
      <c r="D37" s="491"/>
      <c r="E37" s="491"/>
      <c r="F37" s="491"/>
      <c r="G37" s="491"/>
      <c r="H37" s="491"/>
      <c r="I37" s="492"/>
    </row>
    <row r="38" spans="1:17" ht="12.75" customHeight="1">
      <c r="A38" s="4"/>
      <c r="B38" s="491"/>
      <c r="C38" s="491"/>
      <c r="D38" s="491"/>
      <c r="E38" s="491"/>
      <c r="F38" s="491"/>
      <c r="G38" s="491"/>
      <c r="H38" s="491"/>
      <c r="I38" s="492"/>
    </row>
    <row r="39" spans="1:17" ht="12.75" customHeight="1">
      <c r="A39" s="4" t="s">
        <v>2230</v>
      </c>
      <c r="B39" s="491"/>
      <c r="C39" s="491"/>
      <c r="D39" s="491"/>
      <c r="E39" s="491"/>
      <c r="F39" s="491"/>
      <c r="G39" s="491"/>
      <c r="H39" s="491"/>
      <c r="I39" s="492"/>
    </row>
    <row r="40" spans="1:17" ht="12.75" customHeight="1">
      <c r="A40" s="4" t="s">
        <v>2239</v>
      </c>
      <c r="B40" s="491"/>
      <c r="C40" s="491"/>
      <c r="D40" s="491"/>
      <c r="E40" s="491"/>
      <c r="F40" s="491"/>
      <c r="G40" s="491"/>
      <c r="H40" s="491"/>
      <c r="I40" s="492"/>
    </row>
    <row r="41" spans="1:17">
      <c r="A41" s="4" t="s">
        <v>2240</v>
      </c>
    </row>
    <row r="43" spans="1:17">
      <c r="A43" s="2" t="s">
        <v>104</v>
      </c>
    </row>
  </sheetData>
  <phoneticPr fontId="0" type="noConversion"/>
  <pageMargins left="0.51" right="0.49" top="0.92" bottom="0.49" header="0.56000000000000005" footer="0.4921259845"/>
  <pageSetup paperSize="9" scale="70" orientation="portrait" horizontalDpi="4294967292" verticalDpi="4294967292"/>
  <headerFooter alignWithMargins="0">
    <oddHeader>&amp;L&amp;"Arial,Bold"Prämientarife in der OKP</oddHead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142D4-406C-3E4F-8693-CEC1D5CF5553}">
  <sheetPr>
    <pageSetUpPr fitToPage="1"/>
  </sheetPr>
  <dimension ref="A1:M45"/>
  <sheetViews>
    <sheetView zoomScale="75" workbookViewId="0">
      <selection activeCell="A19" sqref="A19"/>
    </sheetView>
  </sheetViews>
  <sheetFormatPr baseColWidth="10" defaultColWidth="11.3984375" defaultRowHeight="13"/>
  <cols>
    <col min="1" max="1" width="12.3984375" style="2" customWidth="1"/>
    <col min="2" max="2" width="11.19921875" style="2" hidden="1" customWidth="1"/>
    <col min="3" max="13" width="9.796875" style="2" customWidth="1"/>
    <col min="14" max="16384" width="11.3984375" style="2"/>
  </cols>
  <sheetData>
    <row r="1" spans="1:13" s="1" customFormat="1" ht="14" customHeight="1"/>
    <row r="2" spans="1:13" s="1" customFormat="1" ht="39" customHeight="1">
      <c r="A2" s="1732" t="s">
        <v>2249</v>
      </c>
      <c r="B2" s="1726"/>
      <c r="C2" s="1726"/>
      <c r="D2" s="1726"/>
      <c r="E2" s="1726"/>
      <c r="F2" s="1726"/>
      <c r="G2" s="1726"/>
      <c r="H2" s="1726"/>
      <c r="I2" s="1726"/>
      <c r="J2" s="1726"/>
      <c r="K2" s="1726"/>
      <c r="L2" s="1726"/>
      <c r="M2" s="178">
        <v>2004</v>
      </c>
    </row>
    <row r="3" spans="1:13" s="1" customFormat="1" ht="10.5" customHeight="1">
      <c r="A3" s="178"/>
    </row>
    <row r="4" spans="1:13" ht="24" customHeight="1">
      <c r="A4" s="139" t="s">
        <v>503</v>
      </c>
      <c r="B4" s="164">
        <v>1996</v>
      </c>
      <c r="C4" s="164" t="s">
        <v>1600</v>
      </c>
      <c r="D4" s="141">
        <v>1997</v>
      </c>
      <c r="E4" s="164">
        <v>1998</v>
      </c>
      <c r="F4" s="141">
        <v>1999</v>
      </c>
      <c r="G4" s="164">
        <v>2000</v>
      </c>
      <c r="H4" s="141">
        <v>2001</v>
      </c>
      <c r="I4" s="164">
        <v>2002</v>
      </c>
      <c r="J4" s="141">
        <v>2003</v>
      </c>
      <c r="K4" s="164">
        <v>2004</v>
      </c>
      <c r="L4" s="141">
        <v>2005</v>
      </c>
      <c r="M4" s="164">
        <v>2006</v>
      </c>
    </row>
    <row r="5" spans="1:13" ht="15" customHeight="1">
      <c r="A5" s="165"/>
      <c r="B5" s="166"/>
      <c r="C5" s="953"/>
      <c r="D5" s="144"/>
      <c r="E5" s="166"/>
      <c r="F5" s="144"/>
      <c r="G5" s="143"/>
      <c r="H5" s="197"/>
      <c r="I5" s="166"/>
      <c r="J5" s="144"/>
      <c r="K5" s="166"/>
      <c r="L5" s="144"/>
      <c r="M5" s="166"/>
    </row>
    <row r="6" spans="1:13" ht="16" customHeight="1">
      <c r="A6" s="167"/>
      <c r="B6" s="168"/>
      <c r="C6" s="168"/>
      <c r="D6" s="147"/>
      <c r="E6" s="168"/>
      <c r="F6" s="147"/>
      <c r="G6" s="146"/>
      <c r="H6" s="200"/>
      <c r="I6" s="168"/>
      <c r="J6" s="147"/>
      <c r="K6" s="168"/>
      <c r="L6" s="147"/>
      <c r="M6" s="168"/>
    </row>
    <row r="7" spans="1:13" ht="30" customHeight="1" thickBot="1">
      <c r="A7" s="689" t="s">
        <v>510</v>
      </c>
      <c r="B7" s="330">
        <v>103.49267703996466</v>
      </c>
      <c r="C7" s="954">
        <v>108.96094823223416</v>
      </c>
      <c r="D7" s="955">
        <v>122.70520447305117</v>
      </c>
      <c r="E7" s="954">
        <v>125.59959640332212</v>
      </c>
      <c r="F7" s="955">
        <v>132.64596877205022</v>
      </c>
      <c r="G7" s="954">
        <v>138.98328369990259</v>
      </c>
      <c r="H7" s="955">
        <v>151.38</v>
      </c>
      <c r="I7" s="954">
        <v>174.09601000000001</v>
      </c>
      <c r="J7" s="956">
        <v>200.61509000000001</v>
      </c>
      <c r="K7" s="149">
        <v>213.43</v>
      </c>
      <c r="L7" s="956">
        <v>221.44627356036315</v>
      </c>
      <c r="M7" s="149">
        <v>237.4402416911102</v>
      </c>
    </row>
    <row r="8" spans="1:13" ht="20" customHeight="1" thickBot="1">
      <c r="A8" s="681" t="s">
        <v>511</v>
      </c>
      <c r="B8" s="153">
        <v>103.61707928535405</v>
      </c>
      <c r="C8" s="957">
        <v>107.79236253672181</v>
      </c>
      <c r="D8" s="958">
        <v>116.91822772927814</v>
      </c>
      <c r="E8" s="957">
        <v>121.7744622665916</v>
      </c>
      <c r="F8" s="958">
        <v>130.77066160794996</v>
      </c>
      <c r="G8" s="957">
        <v>132.36579076296618</v>
      </c>
      <c r="H8" s="958">
        <v>139.02000000000001</v>
      </c>
      <c r="I8" s="957">
        <v>164.31093000000001</v>
      </c>
      <c r="J8" s="958">
        <v>188.46906000000001</v>
      </c>
      <c r="K8" s="149">
        <v>200.77</v>
      </c>
      <c r="L8" s="958">
        <v>215.11004977363322</v>
      </c>
      <c r="M8" s="149">
        <v>242.4325024681834</v>
      </c>
    </row>
    <row r="9" spans="1:13" ht="20" customHeight="1" thickBot="1">
      <c r="A9" s="681" t="s">
        <v>512</v>
      </c>
      <c r="B9" s="153">
        <v>94.747957343608093</v>
      </c>
      <c r="C9" s="957">
        <v>97.858208977499629</v>
      </c>
      <c r="D9" s="958">
        <v>101.0078855765798</v>
      </c>
      <c r="E9" s="957">
        <v>99.27296670420948</v>
      </c>
      <c r="F9" s="958">
        <v>99.313871902013233</v>
      </c>
      <c r="G9" s="957">
        <v>103.31013455077574</v>
      </c>
      <c r="H9" s="958">
        <v>116.86</v>
      </c>
      <c r="I9" s="957">
        <v>132.45740000000001</v>
      </c>
      <c r="J9" s="958">
        <v>155.02828</v>
      </c>
      <c r="K9" s="149">
        <v>171.83</v>
      </c>
      <c r="L9" s="958">
        <v>181.80248445195153</v>
      </c>
      <c r="M9" s="149">
        <v>196.61909388560909</v>
      </c>
    </row>
    <row r="10" spans="1:13" ht="20" customHeight="1" thickBot="1">
      <c r="A10" s="681" t="s">
        <v>513</v>
      </c>
      <c r="B10" s="153">
        <v>96.058782765650847</v>
      </c>
      <c r="C10" s="957">
        <v>100.47340098808827</v>
      </c>
      <c r="D10" s="958">
        <v>103.57130506381228</v>
      </c>
      <c r="E10" s="957">
        <v>99.811903817252784</v>
      </c>
      <c r="F10" s="958">
        <v>100.49972598737601</v>
      </c>
      <c r="G10" s="957">
        <v>101.53445060823319</v>
      </c>
      <c r="H10" s="958">
        <v>110.92</v>
      </c>
      <c r="I10" s="957">
        <v>124.09028000000001</v>
      </c>
      <c r="J10" s="958">
        <v>146.08038999999999</v>
      </c>
      <c r="K10" s="149">
        <v>159.94999999999999</v>
      </c>
      <c r="L10" s="958">
        <v>169.71616503100199</v>
      </c>
      <c r="M10" s="149">
        <v>179.94842991435394</v>
      </c>
    </row>
    <row r="11" spans="1:13" ht="20" customHeight="1" thickBot="1">
      <c r="A11" s="681" t="s">
        <v>514</v>
      </c>
      <c r="B11" s="153">
        <v>95.28644266957194</v>
      </c>
      <c r="C11" s="957">
        <v>99.392097327352644</v>
      </c>
      <c r="D11" s="958">
        <v>109.55406315789473</v>
      </c>
      <c r="E11" s="957">
        <v>101.36691701799487</v>
      </c>
      <c r="F11" s="958">
        <v>101.42125446539846</v>
      </c>
      <c r="G11" s="957">
        <v>102.67209990843598</v>
      </c>
      <c r="H11" s="958">
        <v>116.22</v>
      </c>
      <c r="I11" s="957">
        <v>133.61651000000001</v>
      </c>
      <c r="J11" s="958">
        <v>157.78397000000001</v>
      </c>
      <c r="K11" s="149">
        <v>172.46</v>
      </c>
      <c r="L11" s="958">
        <v>182.65670623243545</v>
      </c>
      <c r="M11" s="149">
        <v>194.8934507436793</v>
      </c>
    </row>
    <row r="12" spans="1:13" ht="20" customHeight="1" thickBot="1">
      <c r="A12" s="681" t="s">
        <v>515</v>
      </c>
      <c r="B12" s="153">
        <v>97.756294719266066</v>
      </c>
      <c r="C12" s="957">
        <v>100.82297440804891</v>
      </c>
      <c r="D12" s="958">
        <v>106.91966903073286</v>
      </c>
      <c r="E12" s="957">
        <v>98.293455290611035</v>
      </c>
      <c r="F12" s="958">
        <v>99.132544247391962</v>
      </c>
      <c r="G12" s="957">
        <v>101.33712050372301</v>
      </c>
      <c r="H12" s="958">
        <v>112.89</v>
      </c>
      <c r="I12" s="957">
        <v>124.3211</v>
      </c>
      <c r="J12" s="958">
        <v>139.16525999999999</v>
      </c>
      <c r="K12" s="149">
        <v>151.84</v>
      </c>
      <c r="L12" s="958">
        <v>161.63967635759852</v>
      </c>
      <c r="M12" s="149">
        <v>173.24353186300817</v>
      </c>
    </row>
    <row r="13" spans="1:13" ht="20" customHeight="1" thickBot="1">
      <c r="A13" s="681" t="s">
        <v>516</v>
      </c>
      <c r="B13" s="153">
        <v>91.935864040502338</v>
      </c>
      <c r="C13" s="957">
        <v>95.206581287648731</v>
      </c>
      <c r="D13" s="958">
        <v>100.06903531438415</v>
      </c>
      <c r="E13" s="957">
        <v>94.474041396688264</v>
      </c>
      <c r="F13" s="958">
        <v>93.082203248380139</v>
      </c>
      <c r="G13" s="957">
        <v>94.932787628663803</v>
      </c>
      <c r="H13" s="958">
        <v>105.4</v>
      </c>
      <c r="I13" s="957">
        <v>117.36539999999999</v>
      </c>
      <c r="J13" s="958">
        <v>134.10787999999999</v>
      </c>
      <c r="K13" s="149">
        <v>146.78</v>
      </c>
      <c r="L13" s="958">
        <v>156.51267345793133</v>
      </c>
      <c r="M13" s="149">
        <v>166.28225401488783</v>
      </c>
    </row>
    <row r="14" spans="1:13" ht="20" customHeight="1" thickBot="1">
      <c r="A14" s="681" t="s">
        <v>517</v>
      </c>
      <c r="B14" s="153">
        <v>89.157404789313702</v>
      </c>
      <c r="C14" s="957">
        <v>90.280302067724151</v>
      </c>
      <c r="D14" s="958">
        <v>99.362439024390241</v>
      </c>
      <c r="E14" s="957">
        <v>97.935286132455175</v>
      </c>
      <c r="F14" s="958">
        <v>101.95834029062087</v>
      </c>
      <c r="G14" s="957">
        <v>103.97293710447366</v>
      </c>
      <c r="H14" s="958">
        <v>114.51</v>
      </c>
      <c r="I14" s="957">
        <v>132.51589000000001</v>
      </c>
      <c r="J14" s="958">
        <v>158.82345000000001</v>
      </c>
      <c r="K14" s="149">
        <v>172.36</v>
      </c>
      <c r="L14" s="958">
        <v>183.72615669362864</v>
      </c>
      <c r="M14" s="149">
        <v>197.61385567374325</v>
      </c>
    </row>
    <row r="15" spans="1:13" ht="20" customHeight="1" thickBot="1">
      <c r="A15" s="681" t="s">
        <v>518</v>
      </c>
      <c r="B15" s="153">
        <v>96.4234489986966</v>
      </c>
      <c r="C15" s="957">
        <v>100.45626130824101</v>
      </c>
      <c r="D15" s="958">
        <v>108.51741883304449</v>
      </c>
      <c r="E15" s="957">
        <v>100.13687301155676</v>
      </c>
      <c r="F15" s="958">
        <v>100.3815115692726</v>
      </c>
      <c r="G15" s="957">
        <v>103.3598685502174</v>
      </c>
      <c r="H15" s="958">
        <v>114.25</v>
      </c>
      <c r="I15" s="957">
        <v>130.75167999999999</v>
      </c>
      <c r="J15" s="958">
        <v>154.30319</v>
      </c>
      <c r="K15" s="149">
        <v>169.88</v>
      </c>
      <c r="L15" s="958">
        <v>181.66398646544454</v>
      </c>
      <c r="M15" s="149">
        <v>195.88696111621792</v>
      </c>
    </row>
    <row r="16" spans="1:13" ht="20" customHeight="1" thickBot="1">
      <c r="A16" s="681" t="s">
        <v>519</v>
      </c>
      <c r="B16" s="153">
        <v>121.93927253792606</v>
      </c>
      <c r="C16" s="957">
        <v>124.36281802670725</v>
      </c>
      <c r="D16" s="958">
        <v>132.71547749725576</v>
      </c>
      <c r="E16" s="957">
        <v>124.35170593655391</v>
      </c>
      <c r="F16" s="958">
        <v>126.03065744109516</v>
      </c>
      <c r="G16" s="957">
        <v>134.54823356565456</v>
      </c>
      <c r="H16" s="958">
        <v>154.97999999999999</v>
      </c>
      <c r="I16" s="957">
        <v>176.73509999999999</v>
      </c>
      <c r="J16" s="958">
        <v>196.11358999999999</v>
      </c>
      <c r="K16" s="149">
        <v>206.37</v>
      </c>
      <c r="L16" s="958">
        <v>218.59136178292249</v>
      </c>
      <c r="M16" s="149">
        <v>230.82170096311799</v>
      </c>
    </row>
    <row r="17" spans="1:13" ht="20" customHeight="1" thickBot="1">
      <c r="A17" s="681" t="s">
        <v>520</v>
      </c>
      <c r="B17" s="153">
        <v>94.55147795462733</v>
      </c>
      <c r="C17" s="957">
        <v>106.17129527852973</v>
      </c>
      <c r="D17" s="958">
        <v>120.6335571062627</v>
      </c>
      <c r="E17" s="957">
        <v>122.27340823970037</v>
      </c>
      <c r="F17" s="958">
        <v>125.57664769332453</v>
      </c>
      <c r="G17" s="957">
        <v>130.66324862664206</v>
      </c>
      <c r="H17" s="958">
        <v>137.36000000000001</v>
      </c>
      <c r="I17" s="957">
        <v>151.08682999999999</v>
      </c>
      <c r="J17" s="958">
        <v>175.06958</v>
      </c>
      <c r="K17" s="149">
        <v>189.51</v>
      </c>
      <c r="L17" s="958">
        <v>200.0979227909263</v>
      </c>
      <c r="M17" s="149">
        <v>212.7346659838806</v>
      </c>
    </row>
    <row r="18" spans="1:13" ht="20" customHeight="1" thickBot="1">
      <c r="A18" s="681" t="s">
        <v>521</v>
      </c>
      <c r="B18" s="153">
        <v>126.81676675301063</v>
      </c>
      <c r="C18" s="957">
        <v>130.81150515928985</v>
      </c>
      <c r="D18" s="958">
        <v>150.63300099206347</v>
      </c>
      <c r="E18" s="957">
        <v>160.38187974892634</v>
      </c>
      <c r="F18" s="958">
        <v>174.90947829534193</v>
      </c>
      <c r="G18" s="957">
        <v>183.16173991706793</v>
      </c>
      <c r="H18" s="958">
        <v>197.67</v>
      </c>
      <c r="I18" s="957">
        <v>227.49455</v>
      </c>
      <c r="J18" s="958">
        <v>265.27109999999999</v>
      </c>
      <c r="K18" s="149">
        <v>304.58999999999997</v>
      </c>
      <c r="L18" s="958">
        <v>315.60744948729871</v>
      </c>
      <c r="M18" s="149">
        <v>321.40687412838491</v>
      </c>
    </row>
    <row r="19" spans="1:13" ht="20" customHeight="1" thickBot="1">
      <c r="A19" s="681" t="s">
        <v>522</v>
      </c>
      <c r="B19" s="153">
        <v>108.66145246128281</v>
      </c>
      <c r="C19" s="957">
        <v>114.72044745839402</v>
      </c>
      <c r="D19" s="958">
        <v>130.58779527559057</v>
      </c>
      <c r="E19" s="957">
        <v>131.77250554712134</v>
      </c>
      <c r="F19" s="958">
        <v>134.34878019385729</v>
      </c>
      <c r="G19" s="957">
        <v>138.34368170410627</v>
      </c>
      <c r="H19" s="958">
        <v>150.65</v>
      </c>
      <c r="I19" s="957">
        <v>173.19712999999999</v>
      </c>
      <c r="J19" s="958">
        <v>201.31742</v>
      </c>
      <c r="K19" s="149">
        <v>219.13</v>
      </c>
      <c r="L19" s="958">
        <v>228.15884556205111</v>
      </c>
      <c r="M19" s="149">
        <v>239.86079260948537</v>
      </c>
    </row>
    <row r="20" spans="1:13" ht="20" customHeight="1" thickBot="1">
      <c r="A20" s="681" t="s">
        <v>523</v>
      </c>
      <c r="B20" s="153">
        <v>94.893119817524862</v>
      </c>
      <c r="C20" s="957">
        <v>97.658838026559309</v>
      </c>
      <c r="D20" s="958">
        <v>113.49287778098815</v>
      </c>
      <c r="E20" s="957">
        <v>117.13302911275416</v>
      </c>
      <c r="F20" s="958">
        <v>125.57561326247689</v>
      </c>
      <c r="G20" s="957">
        <v>128.53692086322715</v>
      </c>
      <c r="H20" s="958">
        <v>136.82</v>
      </c>
      <c r="I20" s="957">
        <v>162.55437000000001</v>
      </c>
      <c r="J20" s="958">
        <v>184.15544</v>
      </c>
      <c r="K20" s="149">
        <v>197.5</v>
      </c>
      <c r="L20" s="958">
        <v>207.2924819230908</v>
      </c>
      <c r="M20" s="149">
        <v>221.75786437511638</v>
      </c>
    </row>
    <row r="21" spans="1:13" ht="20" customHeight="1" thickBot="1">
      <c r="A21" s="681" t="s">
        <v>2047</v>
      </c>
      <c r="B21" s="153">
        <v>84.640654218642027</v>
      </c>
      <c r="C21" s="957">
        <v>86.797548607703703</v>
      </c>
      <c r="D21" s="958">
        <v>96.805521472392641</v>
      </c>
      <c r="E21" s="957">
        <v>93.604905782975962</v>
      </c>
      <c r="F21" s="958">
        <v>92.427128057553958</v>
      </c>
      <c r="G21" s="957">
        <v>94.494371345497996</v>
      </c>
      <c r="H21" s="958">
        <v>105.99</v>
      </c>
      <c r="I21" s="957">
        <v>124.73943</v>
      </c>
      <c r="J21" s="958">
        <v>144.57185999999999</v>
      </c>
      <c r="K21" s="149">
        <v>154.80000000000001</v>
      </c>
      <c r="L21" s="958">
        <v>164.18628268196784</v>
      </c>
      <c r="M21" s="149">
        <v>176.07769424699086</v>
      </c>
    </row>
    <row r="22" spans="1:13" ht="20" customHeight="1" thickBot="1">
      <c r="A22" s="681" t="s">
        <v>2048</v>
      </c>
      <c r="B22" s="153">
        <v>84.70053836451649</v>
      </c>
      <c r="C22" s="957">
        <v>87.118831160208671</v>
      </c>
      <c r="D22" s="958">
        <v>92.930922865013784</v>
      </c>
      <c r="E22" s="957">
        <v>84.133407325194227</v>
      </c>
      <c r="F22" s="958">
        <v>83.653681081081089</v>
      </c>
      <c r="G22" s="957">
        <v>84.500495983783793</v>
      </c>
      <c r="H22" s="958">
        <v>98.49</v>
      </c>
      <c r="I22" s="957">
        <v>112.27669</v>
      </c>
      <c r="J22" s="958">
        <v>128.34836000000001</v>
      </c>
      <c r="K22" s="149">
        <v>139.65</v>
      </c>
      <c r="L22" s="958">
        <v>147.89034066694799</v>
      </c>
      <c r="M22" s="149">
        <v>160.5974363114253</v>
      </c>
    </row>
    <row r="23" spans="1:13" ht="20" customHeight="1" thickBot="1">
      <c r="A23" s="681" t="s">
        <v>2049</v>
      </c>
      <c r="B23" s="153">
        <v>88.224208027055212</v>
      </c>
      <c r="C23" s="957">
        <v>91.273084721765287</v>
      </c>
      <c r="D23" s="958">
        <v>101.44243265568353</v>
      </c>
      <c r="E23" s="957">
        <v>98.804830175187703</v>
      </c>
      <c r="F23" s="958">
        <v>101.19949759417557</v>
      </c>
      <c r="G23" s="957">
        <v>104.43936075457667</v>
      </c>
      <c r="H23" s="958">
        <v>117.91</v>
      </c>
      <c r="I23" s="957">
        <v>136.97377</v>
      </c>
      <c r="J23" s="958">
        <v>155.69031000000001</v>
      </c>
      <c r="K23" s="149">
        <v>171.18</v>
      </c>
      <c r="L23" s="958">
        <v>181.24942888161328</v>
      </c>
      <c r="M23" s="149">
        <v>196.13982445853085</v>
      </c>
    </row>
    <row r="24" spans="1:13" ht="20" customHeight="1" thickBot="1">
      <c r="A24" s="681" t="s">
        <v>2050</v>
      </c>
      <c r="B24" s="153">
        <v>83.604262707432284</v>
      </c>
      <c r="C24" s="957">
        <v>85.536691485083622</v>
      </c>
      <c r="D24" s="958">
        <v>100.52562125107112</v>
      </c>
      <c r="E24" s="957">
        <v>94.053581689331551</v>
      </c>
      <c r="F24" s="958">
        <v>92.058254503415654</v>
      </c>
      <c r="G24" s="957">
        <v>97.184198797041233</v>
      </c>
      <c r="H24" s="958">
        <v>110.24</v>
      </c>
      <c r="I24" s="957">
        <v>133.39986999999999</v>
      </c>
      <c r="J24" s="958">
        <v>159.97224</v>
      </c>
      <c r="K24" s="149">
        <v>176.82</v>
      </c>
      <c r="L24" s="958">
        <v>184.9437495127612</v>
      </c>
      <c r="M24" s="149">
        <v>198.13803420396442</v>
      </c>
    </row>
    <row r="25" spans="1:13" ht="20" customHeight="1" thickBot="1">
      <c r="A25" s="681" t="s">
        <v>2051</v>
      </c>
      <c r="B25" s="153">
        <v>74.567468820555504</v>
      </c>
      <c r="C25" s="957">
        <v>92.55372932273086</v>
      </c>
      <c r="D25" s="958">
        <v>104.34385916835457</v>
      </c>
      <c r="E25" s="957">
        <v>104.32416135479689</v>
      </c>
      <c r="F25" s="958">
        <v>108.48734022796025</v>
      </c>
      <c r="G25" s="957">
        <v>114.05383210655711</v>
      </c>
      <c r="H25" s="958">
        <v>128.36000000000001</v>
      </c>
      <c r="I25" s="957">
        <v>148.18475000000001</v>
      </c>
      <c r="J25" s="958">
        <v>171.21063000000001</v>
      </c>
      <c r="K25" s="149">
        <v>185.82</v>
      </c>
      <c r="L25" s="958">
        <v>196.20559437086871</v>
      </c>
      <c r="M25" s="149">
        <v>211.55035937553356</v>
      </c>
    </row>
    <row r="26" spans="1:13" ht="20" customHeight="1" thickBot="1">
      <c r="A26" s="681" t="s">
        <v>2052</v>
      </c>
      <c r="B26" s="153">
        <v>88.150775152880584</v>
      </c>
      <c r="C26" s="957">
        <v>91.547066767146291</v>
      </c>
      <c r="D26" s="958">
        <v>106.89604806408545</v>
      </c>
      <c r="E26" s="957">
        <v>106.37882387882388</v>
      </c>
      <c r="F26" s="958">
        <v>112.74856168670729</v>
      </c>
      <c r="G26" s="957">
        <v>116.21513892428332</v>
      </c>
      <c r="H26" s="958">
        <v>133.44</v>
      </c>
      <c r="I26" s="957">
        <v>158.80098000000001</v>
      </c>
      <c r="J26" s="958">
        <v>185.42766</v>
      </c>
      <c r="K26" s="149">
        <v>198.77</v>
      </c>
      <c r="L26" s="958">
        <v>209.47026319107218</v>
      </c>
      <c r="M26" s="149">
        <v>225.02986477824896</v>
      </c>
    </row>
    <row r="27" spans="1:13" ht="20" customHeight="1" thickBot="1">
      <c r="A27" s="681" t="s">
        <v>2053</v>
      </c>
      <c r="B27" s="153">
        <v>121.0827398004341</v>
      </c>
      <c r="C27" s="957">
        <v>125.33089311522994</v>
      </c>
      <c r="D27" s="958">
        <v>137.4875986920807</v>
      </c>
      <c r="E27" s="957">
        <v>154.14173754867801</v>
      </c>
      <c r="F27" s="958">
        <v>156.30024656591013</v>
      </c>
      <c r="G27" s="957">
        <v>157.88541656871067</v>
      </c>
      <c r="H27" s="958">
        <v>172.05</v>
      </c>
      <c r="I27" s="957">
        <v>199.00112999999999</v>
      </c>
      <c r="J27" s="958">
        <v>238.92483999999999</v>
      </c>
      <c r="K27" s="149">
        <v>258.85000000000002</v>
      </c>
      <c r="L27" s="958">
        <v>270.795528857835</v>
      </c>
      <c r="M27" s="149">
        <v>289.34051282230178</v>
      </c>
    </row>
    <row r="28" spans="1:13" ht="20" customHeight="1" thickBot="1">
      <c r="A28" s="681" t="s">
        <v>2054</v>
      </c>
      <c r="B28" s="153">
        <v>160.87320031654653</v>
      </c>
      <c r="C28" s="957">
        <v>163.02598869541859</v>
      </c>
      <c r="D28" s="958">
        <v>169.96717860942778</v>
      </c>
      <c r="E28" s="957">
        <v>170.85231661111587</v>
      </c>
      <c r="F28" s="958">
        <v>173.83822945389281</v>
      </c>
      <c r="G28" s="957">
        <v>178.54078958477936</v>
      </c>
      <c r="H28" s="958">
        <v>203.85</v>
      </c>
      <c r="I28" s="957">
        <v>225.16328999999999</v>
      </c>
      <c r="J28" s="958">
        <v>263.77596</v>
      </c>
      <c r="K28" s="149">
        <v>275.74</v>
      </c>
      <c r="L28" s="958">
        <v>296.01030381901819</v>
      </c>
      <c r="M28" s="149">
        <v>312.82699152011577</v>
      </c>
    </row>
    <row r="29" spans="1:13" ht="20" customHeight="1" thickBot="1">
      <c r="A29" s="681" t="s">
        <v>2055</v>
      </c>
      <c r="B29" s="153">
        <v>118.66494682773886</v>
      </c>
      <c r="C29" s="957">
        <v>122.44694304449895</v>
      </c>
      <c r="D29" s="958">
        <v>123.05977889218144</v>
      </c>
      <c r="E29" s="957">
        <v>110.04930271084336</v>
      </c>
      <c r="F29" s="958">
        <v>111.6919165</v>
      </c>
      <c r="G29" s="957">
        <v>113.299991636161</v>
      </c>
      <c r="H29" s="958">
        <v>126.61</v>
      </c>
      <c r="I29" s="957">
        <v>143.85676000000001</v>
      </c>
      <c r="J29" s="958">
        <v>164.25402</v>
      </c>
      <c r="K29" s="149">
        <v>180.8</v>
      </c>
      <c r="L29" s="958">
        <v>192.61415156048051</v>
      </c>
      <c r="M29" s="149">
        <v>204.97707751793763</v>
      </c>
    </row>
    <row r="30" spans="1:13" ht="20" customHeight="1" thickBot="1">
      <c r="A30" s="681" t="s">
        <v>2056</v>
      </c>
      <c r="B30" s="153">
        <v>130.31729945526038</v>
      </c>
      <c r="C30" s="957">
        <v>133.60375465511694</v>
      </c>
      <c r="D30" s="958">
        <v>149.92524805867126</v>
      </c>
      <c r="E30" s="957">
        <v>147.83122423031514</v>
      </c>
      <c r="F30" s="958">
        <v>158.8659692707802</v>
      </c>
      <c r="G30" s="957">
        <v>165.95791946422477</v>
      </c>
      <c r="H30" s="958">
        <v>186.01</v>
      </c>
      <c r="I30" s="957">
        <v>216.13197</v>
      </c>
      <c r="J30" s="958">
        <v>257.2851</v>
      </c>
      <c r="K30" s="149">
        <v>273.58</v>
      </c>
      <c r="L30" s="958">
        <v>290.26435985324292</v>
      </c>
      <c r="M30" s="149">
        <v>303.86497009979729</v>
      </c>
    </row>
    <row r="31" spans="1:13" ht="20" customHeight="1" thickBot="1">
      <c r="A31" s="681" t="s">
        <v>2057</v>
      </c>
      <c r="B31" s="153">
        <v>174.81919294809606</v>
      </c>
      <c r="C31" s="957">
        <v>183.56905054790883</v>
      </c>
      <c r="D31" s="958">
        <v>196.64679899735791</v>
      </c>
      <c r="E31" s="957">
        <v>191.59177670950652</v>
      </c>
      <c r="F31" s="958">
        <v>200.04429547550032</v>
      </c>
      <c r="G31" s="957">
        <v>211.48209303003449</v>
      </c>
      <c r="H31" s="958">
        <v>243.57</v>
      </c>
      <c r="I31" s="957">
        <v>268.60239000000001</v>
      </c>
      <c r="J31" s="958">
        <v>303.51902000000001</v>
      </c>
      <c r="K31" s="149">
        <v>319.72000000000003</v>
      </c>
      <c r="L31" s="958">
        <v>344.63633083994421</v>
      </c>
      <c r="M31" s="149">
        <v>355.97149218709495</v>
      </c>
    </row>
    <row r="32" spans="1:13" ht="20" customHeight="1" thickBot="1">
      <c r="A32" s="681" t="s">
        <v>2058</v>
      </c>
      <c r="B32" s="153">
        <v>132.03341645615652</v>
      </c>
      <c r="C32" s="957">
        <v>133.59985277580608</v>
      </c>
      <c r="D32" s="958">
        <v>143.99927202135405</v>
      </c>
      <c r="E32" s="957">
        <v>142.07569398414986</v>
      </c>
      <c r="F32" s="958">
        <v>141.41483011996496</v>
      </c>
      <c r="G32" s="957">
        <v>149.07766646447803</v>
      </c>
      <c r="H32" s="958">
        <v>181.76</v>
      </c>
      <c r="I32" s="957">
        <v>202.59136000000001</v>
      </c>
      <c r="J32" s="958">
        <v>234.39028999999999</v>
      </c>
      <c r="K32" s="149">
        <v>252.56</v>
      </c>
      <c r="L32" s="958">
        <v>266.24991617000836</v>
      </c>
      <c r="M32" s="149">
        <v>282.33360723970895</v>
      </c>
    </row>
    <row r="33" spans="1:13" ht="30" customHeight="1" thickBot="1">
      <c r="A33" s="187" t="s">
        <v>2059</v>
      </c>
      <c r="B33" s="392">
        <v>110.14945460955127</v>
      </c>
      <c r="C33" s="959">
        <v>114.73041951160255</v>
      </c>
      <c r="D33" s="960">
        <v>124.66129778231421</v>
      </c>
      <c r="E33" s="959">
        <v>125.29607374124997</v>
      </c>
      <c r="F33" s="960">
        <v>130.21886901362492</v>
      </c>
      <c r="G33" s="959">
        <v>134.7191420153035</v>
      </c>
      <c r="H33" s="960">
        <v>149.77000000000001</v>
      </c>
      <c r="I33" s="959">
        <v>172.20867000000001</v>
      </c>
      <c r="J33" s="961">
        <v>198.72591</v>
      </c>
      <c r="K33" s="483">
        <v>213.29</v>
      </c>
      <c r="L33" s="962">
        <v>225.09346768269774</v>
      </c>
      <c r="M33" s="483">
        <v>241.17388660184943</v>
      </c>
    </row>
    <row r="34" spans="1:13" ht="20" customHeight="1">
      <c r="A34" s="155" t="s">
        <v>1674</v>
      </c>
      <c r="B34" s="489"/>
      <c r="C34" s="489"/>
      <c r="D34" s="489"/>
      <c r="E34" s="489"/>
      <c r="F34" s="489"/>
      <c r="G34" s="489"/>
      <c r="H34" s="489"/>
      <c r="I34" s="489"/>
      <c r="J34" s="490"/>
    </row>
    <row r="35" spans="1:13" ht="13.5" customHeight="1">
      <c r="A35" s="4"/>
      <c r="B35" s="491"/>
      <c r="C35" s="491"/>
      <c r="D35" s="491"/>
      <c r="E35" s="491"/>
      <c r="F35" s="491"/>
      <c r="G35" s="491"/>
      <c r="H35" s="491"/>
      <c r="I35" s="491"/>
      <c r="J35" s="492"/>
    </row>
    <row r="36" spans="1:13" ht="20" customHeight="1">
      <c r="A36" s="4" t="s">
        <v>2242</v>
      </c>
      <c r="B36" s="491"/>
      <c r="C36" s="491"/>
      <c r="D36" s="491"/>
      <c r="E36" s="491"/>
      <c r="F36" s="491"/>
      <c r="G36" s="491"/>
      <c r="H36" s="491"/>
      <c r="I36" s="491"/>
      <c r="J36" s="492"/>
    </row>
    <row r="37" spans="1:13" ht="16.5" customHeight="1">
      <c r="A37" s="4"/>
      <c r="B37" s="491"/>
      <c r="C37" s="491"/>
      <c r="D37" s="491"/>
      <c r="E37" s="491"/>
      <c r="F37" s="491"/>
      <c r="G37" s="491"/>
      <c r="H37" s="491"/>
      <c r="I37" s="491"/>
      <c r="J37" s="492"/>
    </row>
    <row r="38" spans="1:13" ht="12.75" customHeight="1">
      <c r="A38" s="4" t="s">
        <v>2230</v>
      </c>
      <c r="B38" s="491"/>
      <c r="C38" s="491"/>
      <c r="D38" s="491"/>
      <c r="E38" s="491"/>
      <c r="F38" s="491"/>
      <c r="G38" s="491"/>
      <c r="H38" s="491"/>
      <c r="I38" s="491"/>
      <c r="J38" s="492"/>
    </row>
    <row r="39" spans="1:13">
      <c r="A39" s="2" t="s">
        <v>2245</v>
      </c>
    </row>
    <row r="40" spans="1:13">
      <c r="A40" s="2" t="s">
        <v>2246</v>
      </c>
    </row>
    <row r="41" spans="1:13">
      <c r="A41" s="2" t="s">
        <v>2247</v>
      </c>
    </row>
    <row r="42" spans="1:13">
      <c r="A42" s="946" t="s">
        <v>2248</v>
      </c>
    </row>
    <row r="45" spans="1:13">
      <c r="A45" s="2" t="s">
        <v>104</v>
      </c>
    </row>
  </sheetData>
  <mergeCells count="1">
    <mergeCell ref="A2:L2"/>
  </mergeCells>
  <phoneticPr fontId="0" type="noConversion"/>
  <pageMargins left="0.53" right="0.49" top="1.03" bottom="0.49" header="0.56000000000000005" footer="0.4921259845"/>
  <pageSetup paperSize="9" scale="78" orientation="portrait" horizontalDpi="4294967292" verticalDpi="4294967292"/>
  <headerFooter alignWithMargins="0">
    <oddHeader>&amp;L&amp;"Arial,Bold"Prämientarife in der OKP</oddHead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E364E-395B-B647-9AA0-61380CD456F1}">
  <sheetPr>
    <pageSetUpPr fitToPage="1"/>
  </sheetPr>
  <dimension ref="A1:O43"/>
  <sheetViews>
    <sheetView zoomScale="75" workbookViewId="0">
      <selection activeCell="M7" sqref="M7"/>
    </sheetView>
  </sheetViews>
  <sheetFormatPr baseColWidth="10" defaultColWidth="11.3984375" defaultRowHeight="13"/>
  <cols>
    <col min="1" max="1" width="11.3984375" style="2"/>
    <col min="2" max="9" width="10.796875" style="23" customWidth="1"/>
    <col min="10" max="11" width="10.796875" style="2" customWidth="1"/>
    <col min="12" max="12" width="2.59765625" style="2" customWidth="1"/>
    <col min="13" max="13" width="12.19921875" style="2" customWidth="1"/>
    <col min="14" max="16384" width="11.3984375" style="2"/>
  </cols>
  <sheetData>
    <row r="1" spans="1:13" s="1" customFormat="1" ht="14" customHeight="1">
      <c r="B1" s="209"/>
      <c r="C1" s="209"/>
      <c r="D1" s="209"/>
      <c r="E1" s="209"/>
      <c r="F1" s="209"/>
      <c r="G1" s="209"/>
      <c r="H1" s="209"/>
      <c r="I1" s="209"/>
    </row>
    <row r="2" spans="1:13" s="1" customFormat="1" ht="28" customHeight="1">
      <c r="A2" s="178" t="s">
        <v>2237</v>
      </c>
      <c r="B2" s="947"/>
      <c r="C2" s="947"/>
      <c r="D2" s="947"/>
      <c r="E2" s="947"/>
      <c r="F2" s="947"/>
      <c r="G2" s="947"/>
      <c r="H2" s="947"/>
      <c r="I2" s="947"/>
      <c r="J2" s="729"/>
      <c r="K2" s="729"/>
      <c r="L2" s="445"/>
      <c r="M2" s="445">
        <v>2004</v>
      </c>
    </row>
    <row r="3" spans="1:13" ht="24" customHeight="1">
      <c r="A3" s="139" t="s">
        <v>503</v>
      </c>
      <c r="B3" s="196" t="s">
        <v>2217</v>
      </c>
      <c r="C3" s="142" t="s">
        <v>2217</v>
      </c>
      <c r="D3" s="196" t="s">
        <v>2217</v>
      </c>
      <c r="E3" s="142" t="s">
        <v>2217</v>
      </c>
      <c r="F3" s="196" t="s">
        <v>2217</v>
      </c>
      <c r="G3" s="142" t="s">
        <v>2217</v>
      </c>
      <c r="H3" s="196" t="s">
        <v>2217</v>
      </c>
      <c r="I3" s="195" t="s">
        <v>2217</v>
      </c>
      <c r="J3" s="196" t="s">
        <v>2217</v>
      </c>
      <c r="K3" s="195" t="s">
        <v>2217</v>
      </c>
      <c r="L3" s="948"/>
      <c r="M3" s="142" t="s">
        <v>391</v>
      </c>
    </row>
    <row r="4" spans="1:13" ht="15" customHeight="1">
      <c r="A4" s="949"/>
      <c r="B4" s="196" t="s">
        <v>2218</v>
      </c>
      <c r="C4" s="142" t="s">
        <v>2218</v>
      </c>
      <c r="D4" s="196" t="s">
        <v>2218</v>
      </c>
      <c r="E4" s="142" t="s">
        <v>2218</v>
      </c>
      <c r="F4" s="196" t="s">
        <v>2218</v>
      </c>
      <c r="G4" s="142" t="s">
        <v>2218</v>
      </c>
      <c r="H4" s="196" t="s">
        <v>2218</v>
      </c>
      <c r="I4" s="195" t="s">
        <v>2218</v>
      </c>
      <c r="J4" s="196" t="s">
        <v>2218</v>
      </c>
      <c r="K4" s="195" t="s">
        <v>2218</v>
      </c>
      <c r="L4" s="948"/>
      <c r="M4" s="142" t="s">
        <v>392</v>
      </c>
    </row>
    <row r="5" spans="1:13" ht="15" customHeight="1">
      <c r="A5" s="165"/>
      <c r="B5" s="179" t="s">
        <v>2234</v>
      </c>
      <c r="C5" s="142" t="s">
        <v>2219</v>
      </c>
      <c r="D5" s="179" t="s">
        <v>2220</v>
      </c>
      <c r="E5" s="142" t="s">
        <v>2221</v>
      </c>
      <c r="F5" s="179" t="s">
        <v>2222</v>
      </c>
      <c r="G5" s="142" t="s">
        <v>2223</v>
      </c>
      <c r="H5" s="196" t="s">
        <v>2224</v>
      </c>
      <c r="I5" s="195" t="s">
        <v>2225</v>
      </c>
      <c r="J5" s="196" t="s">
        <v>2226</v>
      </c>
      <c r="K5" s="195" t="s">
        <v>2227</v>
      </c>
      <c r="L5" s="948"/>
      <c r="M5" s="142" t="s">
        <v>393</v>
      </c>
    </row>
    <row r="6" spans="1:13" ht="15" customHeight="1">
      <c r="A6" s="165"/>
      <c r="B6" s="950"/>
      <c r="C6" s="142"/>
      <c r="D6" s="196"/>
      <c r="E6" s="142"/>
      <c r="F6" s="196"/>
      <c r="G6" s="142"/>
      <c r="H6" s="196"/>
      <c r="I6" s="195"/>
      <c r="J6" s="196"/>
      <c r="K6" s="195"/>
      <c r="L6" s="948"/>
      <c r="M6" s="142" t="s">
        <v>2228</v>
      </c>
    </row>
    <row r="7" spans="1:13" ht="16" customHeight="1">
      <c r="A7" s="167"/>
      <c r="B7" s="198"/>
      <c r="C7" s="145"/>
      <c r="D7" s="198"/>
      <c r="E7" s="145"/>
      <c r="F7" s="198"/>
      <c r="G7" s="145"/>
      <c r="H7" s="198"/>
      <c r="I7" s="199"/>
      <c r="J7" s="198"/>
      <c r="K7" s="199"/>
      <c r="L7" s="951"/>
      <c r="M7" s="938"/>
    </row>
    <row r="8" spans="1:13" ht="30" customHeight="1" thickBot="1">
      <c r="A8" s="689" t="s">
        <v>510</v>
      </c>
      <c r="B8" s="407">
        <v>0.12613928626541648</v>
      </c>
      <c r="C8" s="329">
        <v>2.3588175764025054E-2</v>
      </c>
      <c r="D8" s="407">
        <v>5.6101871108733325E-2</v>
      </c>
      <c r="E8" s="329">
        <v>4.7776159249459882E-2</v>
      </c>
      <c r="F8" s="407">
        <v>8.9195736135180281E-2</v>
      </c>
      <c r="G8" s="329">
        <v>0.15005951909102921</v>
      </c>
      <c r="H8" s="407">
        <v>0.15232445591372246</v>
      </c>
      <c r="I8" s="329">
        <v>6.3878096109320603E-2</v>
      </c>
      <c r="J8" s="407">
        <v>3.7559263273031718E-2</v>
      </c>
      <c r="K8" s="329">
        <v>7.2225049776632799E-2</v>
      </c>
      <c r="L8" s="940"/>
      <c r="M8" s="329">
        <v>8.1006599133440771E-2</v>
      </c>
    </row>
    <row r="9" spans="1:13" ht="20" customHeight="1" thickBot="1">
      <c r="A9" s="681" t="s">
        <v>511</v>
      </c>
      <c r="B9" s="407">
        <v>8.4661519404469976E-2</v>
      </c>
      <c r="C9" s="329">
        <v>4.1535307467694071E-2</v>
      </c>
      <c r="D9" s="407">
        <v>7.3875911040064191E-2</v>
      </c>
      <c r="E9" s="329">
        <v>1.2197913013535233E-2</v>
      </c>
      <c r="F9" s="407">
        <v>5.0271366934601991E-2</v>
      </c>
      <c r="G9" s="329">
        <v>0.18192296072507563</v>
      </c>
      <c r="H9" s="407">
        <v>0.14702692024200692</v>
      </c>
      <c r="I9" s="329">
        <v>6.5267689030761744E-2</v>
      </c>
      <c r="J9" s="407">
        <v>7.1425261610963853E-2</v>
      </c>
      <c r="K9" s="329">
        <v>0.12701616090602186</v>
      </c>
      <c r="L9" s="940"/>
      <c r="M9" s="329">
        <v>8.4426908349267693E-2</v>
      </c>
    </row>
    <row r="10" spans="1:13" ht="20" customHeight="1" thickBot="1">
      <c r="A10" s="681" t="s">
        <v>512</v>
      </c>
      <c r="B10" s="407">
        <v>3.2186125538066657E-2</v>
      </c>
      <c r="C10" s="329">
        <v>-1.7176073555712379E-2</v>
      </c>
      <c r="D10" s="407">
        <v>4.1204770202574181E-4</v>
      </c>
      <c r="E10" s="329">
        <v>4.0238715621775167E-2</v>
      </c>
      <c r="F10" s="407">
        <v>0.13115717550986883</v>
      </c>
      <c r="G10" s="329">
        <v>0.13347081978435749</v>
      </c>
      <c r="H10" s="407">
        <v>0.17040104969597758</v>
      </c>
      <c r="I10" s="329">
        <v>0.10837841973090345</v>
      </c>
      <c r="J10" s="407">
        <v>5.8036922842062078E-2</v>
      </c>
      <c r="K10" s="329">
        <v>8.149838809036436E-2</v>
      </c>
      <c r="L10" s="940"/>
      <c r="M10" s="329">
        <v>7.2266758917739038E-2</v>
      </c>
    </row>
    <row r="11" spans="1:13" ht="20" customHeight="1" thickBot="1">
      <c r="A11" s="681" t="s">
        <v>513</v>
      </c>
      <c r="B11" s="407">
        <v>3.083307666763746E-2</v>
      </c>
      <c r="C11" s="329">
        <v>-3.6297710492720459E-2</v>
      </c>
      <c r="D11" s="407">
        <v>6.8911837548211174E-3</v>
      </c>
      <c r="E11" s="329">
        <v>1.0295795443135303E-2</v>
      </c>
      <c r="F11" s="407">
        <v>9.2437092391237652E-2</v>
      </c>
      <c r="G11" s="329">
        <v>0.11873674720519301</v>
      </c>
      <c r="H11" s="407">
        <v>0.1772105760418945</v>
      </c>
      <c r="I11" s="329">
        <v>9.4945050461598512E-2</v>
      </c>
      <c r="J11" s="407">
        <v>6.1057611947496149E-2</v>
      </c>
      <c r="K11" s="329">
        <v>6.0290455428820389E-2</v>
      </c>
      <c r="L11" s="940"/>
      <c r="M11" s="329">
        <v>6.0009349500087961E-2</v>
      </c>
    </row>
    <row r="12" spans="1:13" ht="20" customHeight="1" thickBot="1">
      <c r="A12" s="681" t="s">
        <v>514</v>
      </c>
      <c r="B12" s="407">
        <v>0.10224118520281511</v>
      </c>
      <c r="C12" s="329">
        <v>-7.47315608741973E-2</v>
      </c>
      <c r="D12" s="407">
        <v>5.3604715425992211E-4</v>
      </c>
      <c r="E12" s="329">
        <v>1.2333168719228071E-2</v>
      </c>
      <c r="F12" s="407">
        <v>0.13195308271328021</v>
      </c>
      <c r="G12" s="329">
        <v>0.14968602650146279</v>
      </c>
      <c r="H12" s="407">
        <v>0.18087180992827911</v>
      </c>
      <c r="I12" s="329">
        <v>9.3013441099244698E-2</v>
      </c>
      <c r="J12" s="407">
        <v>5.9125050634555532E-2</v>
      </c>
      <c r="K12" s="329">
        <v>6.6993130247691379E-2</v>
      </c>
      <c r="L12" s="940"/>
      <c r="M12" s="329">
        <v>6.9657003495423586E-2</v>
      </c>
    </row>
    <row r="13" spans="1:13" ht="20" customHeight="1" thickBot="1">
      <c r="A13" s="681" t="s">
        <v>515</v>
      </c>
      <c r="B13" s="407">
        <v>6.0469299368311802E-2</v>
      </c>
      <c r="C13" s="329">
        <v>-8.0679390595965295E-2</v>
      </c>
      <c r="D13" s="407">
        <v>8.5365699506656512E-3</v>
      </c>
      <c r="E13" s="329">
        <v>2.2238673213403892E-2</v>
      </c>
      <c r="F13" s="407">
        <v>0.11400441850775245</v>
      </c>
      <c r="G13" s="329">
        <v>0.10125874745327312</v>
      </c>
      <c r="H13" s="407">
        <v>0.11940177491994519</v>
      </c>
      <c r="I13" s="329">
        <v>9.1076896633542237E-2</v>
      </c>
      <c r="J13" s="407">
        <v>6.4539491290822593E-2</v>
      </c>
      <c r="K13" s="329">
        <v>7.1788410908088185E-2</v>
      </c>
      <c r="L13" s="940"/>
      <c r="M13" s="329">
        <v>5.5625207648603681E-2</v>
      </c>
    </row>
    <row r="14" spans="1:13" ht="20" customHeight="1" thickBot="1">
      <c r="A14" s="681" t="s">
        <v>516</v>
      </c>
      <c r="B14" s="407">
        <v>5.1072667046455855E-2</v>
      </c>
      <c r="C14" s="329">
        <v>-5.5911340607194271E-2</v>
      </c>
      <c r="D14" s="407">
        <v>-1.4732492944426023E-2</v>
      </c>
      <c r="E14" s="329">
        <v>1.9881183681756731E-2</v>
      </c>
      <c r="F14" s="407">
        <v>0.11025919108453275</v>
      </c>
      <c r="G14" s="329">
        <v>0.1135237191650853</v>
      </c>
      <c r="H14" s="407">
        <v>0.14265260460067442</v>
      </c>
      <c r="I14" s="329">
        <v>9.4491986600638178E-2</v>
      </c>
      <c r="J14" s="407">
        <v>6.6307899290988681E-2</v>
      </c>
      <c r="K14" s="329">
        <v>6.2420380031285028E-2</v>
      </c>
      <c r="L14" s="940"/>
      <c r="M14" s="329">
        <v>5.7347866290102578E-2</v>
      </c>
    </row>
    <row r="15" spans="1:13" ht="20" customHeight="1" thickBot="1">
      <c r="A15" s="681" t="s">
        <v>517</v>
      </c>
      <c r="B15" s="407">
        <v>0.10059931954872159</v>
      </c>
      <c r="C15" s="329">
        <v>-1.436310245549377E-2</v>
      </c>
      <c r="D15" s="407">
        <v>4.1078699180238321E-2</v>
      </c>
      <c r="E15" s="329">
        <v>1.9759019302495684E-2</v>
      </c>
      <c r="F15" s="407">
        <v>0.10134428428176978</v>
      </c>
      <c r="G15" s="329">
        <v>0.15724294821412976</v>
      </c>
      <c r="H15" s="407">
        <v>0.19852381476666681</v>
      </c>
      <c r="I15" s="329">
        <v>8.5230172244715741E-2</v>
      </c>
      <c r="J15" s="407">
        <v>6.5944283439479223E-2</v>
      </c>
      <c r="K15" s="329">
        <v>7.5589122583525015E-2</v>
      </c>
      <c r="L15" s="940"/>
      <c r="M15" s="329">
        <v>8.1489827535605297E-2</v>
      </c>
    </row>
    <row r="16" spans="1:13" ht="20" customHeight="1" thickBot="1">
      <c r="A16" s="681" t="s">
        <v>518</v>
      </c>
      <c r="B16" s="407">
        <v>8.0245446324829217E-2</v>
      </c>
      <c r="C16" s="329">
        <v>-7.7227655353481195E-2</v>
      </c>
      <c r="D16" s="407">
        <v>2.4430417123930681E-3</v>
      </c>
      <c r="E16" s="329">
        <v>2.9670373900371638E-2</v>
      </c>
      <c r="F16" s="407">
        <v>0.10536131288220085</v>
      </c>
      <c r="G16" s="329">
        <v>0.14443483588621442</v>
      </c>
      <c r="H16" s="407">
        <v>0.18012395710709028</v>
      </c>
      <c r="I16" s="329">
        <v>0.10094937116983771</v>
      </c>
      <c r="J16" s="407">
        <v>6.9366532054653485E-2</v>
      </c>
      <c r="K16" s="329">
        <v>7.8292758666720141E-2</v>
      </c>
      <c r="L16" s="940"/>
      <c r="M16" s="329">
        <v>6.9061899193190834E-2</v>
      </c>
    </row>
    <row r="17" spans="1:13" ht="20" customHeight="1" thickBot="1">
      <c r="A17" s="681" t="s">
        <v>519</v>
      </c>
      <c r="B17" s="407">
        <v>6.716363944691861E-2</v>
      </c>
      <c r="C17" s="329">
        <v>-6.3020317738560649E-2</v>
      </c>
      <c r="D17" s="407">
        <v>1.3501636281514795E-2</v>
      </c>
      <c r="E17" s="329">
        <v>6.758336659903863E-2</v>
      </c>
      <c r="F17" s="407">
        <v>0.15185458696026277</v>
      </c>
      <c r="G17" s="329">
        <v>0.14037359659310877</v>
      </c>
      <c r="H17" s="407">
        <v>0.1096470933051783</v>
      </c>
      <c r="I17" s="329">
        <v>5.2298313441715205E-2</v>
      </c>
      <c r="J17" s="407">
        <v>5.9220631792036071E-2</v>
      </c>
      <c r="K17" s="329">
        <v>5.5950697595914756E-2</v>
      </c>
      <c r="L17" s="940"/>
      <c r="M17" s="329">
        <v>6.3796625286590691E-2</v>
      </c>
    </row>
    <row r="18" spans="1:13" ht="20" customHeight="1" thickBot="1">
      <c r="A18" s="681" t="s">
        <v>520</v>
      </c>
      <c r="B18" s="407">
        <v>0.13621630771097482</v>
      </c>
      <c r="C18" s="329">
        <v>1.3593656464868875E-2</v>
      </c>
      <c r="D18" s="407">
        <v>2.701519080214565E-2</v>
      </c>
      <c r="E18" s="329">
        <v>4.050594618308101E-2</v>
      </c>
      <c r="F18" s="407">
        <v>5.1251988939087889E-2</v>
      </c>
      <c r="G18" s="329">
        <v>9.993324111822921E-2</v>
      </c>
      <c r="H18" s="407">
        <v>0.15873488112762724</v>
      </c>
      <c r="I18" s="329">
        <v>8.2483890119574133E-2</v>
      </c>
      <c r="J18" s="407">
        <v>5.5869995203030598E-2</v>
      </c>
      <c r="K18" s="329">
        <v>6.315279547483299E-2</v>
      </c>
      <c r="L18" s="940"/>
      <c r="M18" s="329">
        <v>7.1971193613195927E-2</v>
      </c>
    </row>
    <row r="19" spans="1:13" ht="20" customHeight="1" thickBot="1">
      <c r="A19" s="681" t="s">
        <v>521</v>
      </c>
      <c r="B19" s="407">
        <v>0.15152715969927022</v>
      </c>
      <c r="C19" s="329">
        <v>6.4719408712945459E-2</v>
      </c>
      <c r="D19" s="407">
        <v>9.0581296148655843E-2</v>
      </c>
      <c r="E19" s="329">
        <v>4.718018544307645E-2</v>
      </c>
      <c r="F19" s="407">
        <v>7.9210101899562124E-2</v>
      </c>
      <c r="G19" s="329">
        <v>0.15088050791723595</v>
      </c>
      <c r="H19" s="407">
        <v>0.16605474724559333</v>
      </c>
      <c r="I19" s="329">
        <v>0.14822157408025216</v>
      </c>
      <c r="J19" s="407">
        <v>3.6171409065625104E-2</v>
      </c>
      <c r="K19" s="329">
        <v>1.8375436481322893E-2</v>
      </c>
      <c r="L19" s="940"/>
      <c r="M19" s="329">
        <v>9.4059450238984876E-2</v>
      </c>
    </row>
    <row r="20" spans="1:13" ht="20" customHeight="1" thickBot="1">
      <c r="A20" s="681" t="s">
        <v>522</v>
      </c>
      <c r="B20" s="407">
        <v>0.138313161853306</v>
      </c>
      <c r="C20" s="329">
        <v>9.0721362515584492E-3</v>
      </c>
      <c r="D20" s="407">
        <v>1.9550927077232272E-2</v>
      </c>
      <c r="E20" s="329">
        <v>2.9735301686286908E-2</v>
      </c>
      <c r="F20" s="407">
        <v>8.8954682601370072E-2</v>
      </c>
      <c r="G20" s="329">
        <v>0.1496656488549617</v>
      </c>
      <c r="H20" s="407">
        <v>0.16236002294033391</v>
      </c>
      <c r="I20" s="329">
        <v>8.8480072911723218E-2</v>
      </c>
      <c r="J20" s="407">
        <v>4.1203146817191172E-2</v>
      </c>
      <c r="K20" s="329">
        <v>5.1288596848425794E-2</v>
      </c>
      <c r="L20" s="940"/>
      <c r="M20" s="329">
        <v>7.6544144807069392E-2</v>
      </c>
    </row>
    <row r="21" spans="1:13" ht="20" customHeight="1" thickBot="1">
      <c r="A21" s="681" t="s">
        <v>523</v>
      </c>
      <c r="B21" s="407">
        <v>0.16213627024850141</v>
      </c>
      <c r="C21" s="329">
        <v>3.2073830560456429E-2</v>
      </c>
      <c r="D21" s="407">
        <v>7.2076887396088418E-2</v>
      </c>
      <c r="E21" s="329">
        <v>2.3581868515828441E-2</v>
      </c>
      <c r="F21" s="407">
        <v>6.444124443891619E-2</v>
      </c>
      <c r="G21" s="329">
        <v>0.18808924133898564</v>
      </c>
      <c r="H21" s="407">
        <v>0.13288520019486394</v>
      </c>
      <c r="I21" s="329">
        <v>7.2463566647827493E-2</v>
      </c>
      <c r="J21" s="407">
        <v>4.9582186952358498E-2</v>
      </c>
      <c r="K21" s="329">
        <v>6.9782475070140126E-2</v>
      </c>
      <c r="L21" s="940"/>
      <c r="M21" s="329">
        <v>8.5467307602872022E-2</v>
      </c>
    </row>
    <row r="22" spans="1:13" ht="20" customHeight="1" thickBot="1">
      <c r="A22" s="681" t="s">
        <v>2047</v>
      </c>
      <c r="B22" s="407">
        <v>0.11530248290676592</v>
      </c>
      <c r="C22" s="329">
        <v>-3.3062325792330371E-2</v>
      </c>
      <c r="D22" s="407">
        <v>-1.2582435883784715E-2</v>
      </c>
      <c r="E22" s="329">
        <v>2.2366196282294748E-2</v>
      </c>
      <c r="F22" s="407">
        <v>0.12165411008948612</v>
      </c>
      <c r="G22" s="329">
        <v>0.17689810359467883</v>
      </c>
      <c r="H22" s="407">
        <v>0.15899086599962819</v>
      </c>
      <c r="I22" s="329">
        <v>7.0747792827733136E-2</v>
      </c>
      <c r="J22" s="407">
        <v>6.0634901046303868E-2</v>
      </c>
      <c r="K22" s="329">
        <v>7.2426340195891559E-2</v>
      </c>
      <c r="L22" s="940"/>
      <c r="M22" s="329">
        <v>7.3296438554066645E-2</v>
      </c>
    </row>
    <row r="23" spans="1:13" ht="20" customHeight="1" thickBot="1">
      <c r="A23" s="681" t="s">
        <v>2048</v>
      </c>
      <c r="B23" s="407">
        <v>6.6714528046374566E-2</v>
      </c>
      <c r="C23" s="329">
        <v>-9.4667256803188438E-2</v>
      </c>
      <c r="D23" s="407">
        <v>-5.7019709454876333E-3</v>
      </c>
      <c r="E23" s="329">
        <v>1.0122864789200658E-2</v>
      </c>
      <c r="F23" s="407">
        <v>0.16555528879855186</v>
      </c>
      <c r="G23" s="329">
        <v>0.13998060716824057</v>
      </c>
      <c r="H23" s="407">
        <v>0.14314342540735758</v>
      </c>
      <c r="I23" s="329">
        <v>8.8054416901002686E-2</v>
      </c>
      <c r="J23" s="407">
        <v>5.9007093927303966E-2</v>
      </c>
      <c r="K23" s="329">
        <v>8.5922417834535469E-2</v>
      </c>
      <c r="L23" s="940"/>
      <c r="M23" s="329">
        <v>6.3071944413781722E-2</v>
      </c>
    </row>
    <row r="24" spans="1:13" ht="20" customHeight="1" thickBot="1">
      <c r="A24" s="681" t="s">
        <v>2049</v>
      </c>
      <c r="B24" s="407">
        <v>0.11141672230009814</v>
      </c>
      <c r="C24" s="329">
        <v>-2.6000978204538838E-2</v>
      </c>
      <c r="D24" s="407">
        <v>2.4236339607506707E-2</v>
      </c>
      <c r="E24" s="329">
        <v>3.2014617042798177E-2</v>
      </c>
      <c r="F24" s="407">
        <v>0.12898048348915259</v>
      </c>
      <c r="G24" s="329">
        <v>0.16168068866084306</v>
      </c>
      <c r="H24" s="407">
        <v>0.13664324198713373</v>
      </c>
      <c r="I24" s="329">
        <v>9.9490392176622811E-2</v>
      </c>
      <c r="J24" s="407">
        <v>5.8823629405381883E-2</v>
      </c>
      <c r="K24" s="329">
        <v>8.2154165498880216E-2</v>
      </c>
      <c r="L24" s="940"/>
      <c r="M24" s="329">
        <v>7.9499151679155222E-2</v>
      </c>
    </row>
    <row r="25" spans="1:13" ht="20" customHeight="1" thickBot="1">
      <c r="A25" s="681" t="s">
        <v>2050</v>
      </c>
      <c r="B25" s="407">
        <v>0.1752339201546198</v>
      </c>
      <c r="C25" s="329">
        <v>-6.4381990195067851E-2</v>
      </c>
      <c r="D25" s="407">
        <v>-2.1214792143766092E-2</v>
      </c>
      <c r="E25" s="329">
        <v>5.5681528194034824E-2</v>
      </c>
      <c r="F25" s="407">
        <v>0.13434078136739491</v>
      </c>
      <c r="G25" s="329">
        <v>0.21008590348330913</v>
      </c>
      <c r="H25" s="407">
        <v>0.19919337252727454</v>
      </c>
      <c r="I25" s="329">
        <v>0.10531677246002169</v>
      </c>
      <c r="J25" s="407">
        <v>4.594361222011778E-2</v>
      </c>
      <c r="K25" s="329">
        <v>7.1342149848069303E-2</v>
      </c>
      <c r="L25" s="940"/>
      <c r="M25" s="329">
        <v>8.7630906596630087E-2</v>
      </c>
    </row>
    <row r="26" spans="1:13" ht="20" customHeight="1" thickBot="1">
      <c r="A26" s="681" t="s">
        <v>2051</v>
      </c>
      <c r="B26" s="407">
        <v>0.12738686957185741</v>
      </c>
      <c r="C26" s="329">
        <v>-1.887778898986836E-4</v>
      </c>
      <c r="D26" s="407">
        <v>3.9906181071561964E-2</v>
      </c>
      <c r="E26" s="329">
        <v>5.131005946777023E-2</v>
      </c>
      <c r="F26" s="407">
        <v>0.12543346969768687</v>
      </c>
      <c r="G26" s="329">
        <v>0.15444647865378625</v>
      </c>
      <c r="H26" s="407">
        <v>0.15538629987228769</v>
      </c>
      <c r="I26" s="329">
        <v>8.5329806916778272E-2</v>
      </c>
      <c r="J26" s="407">
        <v>5.5890616569092222E-2</v>
      </c>
      <c r="K26" s="329">
        <v>7.8207581459986741E-2</v>
      </c>
      <c r="L26" s="940"/>
      <c r="M26" s="329">
        <v>8.6180456866027377E-2</v>
      </c>
    </row>
    <row r="27" spans="1:13" ht="20" customHeight="1" thickBot="1">
      <c r="A27" s="681" t="s">
        <v>2052</v>
      </c>
      <c r="B27" s="407">
        <v>0.1676621855725855</v>
      </c>
      <c r="C27" s="329">
        <v>-4.8385716275637369E-3</v>
      </c>
      <c r="D27" s="407">
        <v>5.9877873956748928E-2</v>
      </c>
      <c r="E27" s="329">
        <v>3.074608833777015E-2</v>
      </c>
      <c r="F27" s="407">
        <v>0.14821529479854645</v>
      </c>
      <c r="G27" s="329">
        <v>0.19005530575539575</v>
      </c>
      <c r="H27" s="407">
        <v>0.1676732725452954</v>
      </c>
      <c r="I27" s="329">
        <v>7.1954421470885155E-2</v>
      </c>
      <c r="J27" s="407">
        <v>5.3832385123872672E-2</v>
      </c>
      <c r="K27" s="329">
        <v>7.4280718179953853E-2</v>
      </c>
      <c r="L27" s="940"/>
      <c r="M27" s="329">
        <v>9.4106435494597074E-2</v>
      </c>
    </row>
    <row r="28" spans="1:13" ht="20" customHeight="1" thickBot="1">
      <c r="A28" s="681" t="s">
        <v>2053</v>
      </c>
      <c r="B28" s="407">
        <v>9.6996879816964254E-2</v>
      </c>
      <c r="C28" s="329">
        <v>0.12113193491651697</v>
      </c>
      <c r="D28" s="407">
        <v>1.4003403955080485E-2</v>
      </c>
      <c r="E28" s="329">
        <v>1.0141826629378237E-2</v>
      </c>
      <c r="F28" s="407">
        <v>8.9714324091009434E-2</v>
      </c>
      <c r="G28" s="329">
        <v>0.15664707933740174</v>
      </c>
      <c r="H28" s="407">
        <v>0.20062051908951473</v>
      </c>
      <c r="I28" s="329">
        <v>8.3395096131486435E-2</v>
      </c>
      <c r="J28" s="407">
        <v>4.6148459949140408E-2</v>
      </c>
      <c r="K28" s="329">
        <v>6.8483346245361121E-2</v>
      </c>
      <c r="L28" s="940"/>
      <c r="M28" s="329">
        <v>8.7264257194386241E-2</v>
      </c>
    </row>
    <row r="29" spans="1:13" ht="20" customHeight="1" thickBot="1">
      <c r="A29" s="681" t="s">
        <v>2054</v>
      </c>
      <c r="B29" s="407">
        <v>4.2577198700370467E-2</v>
      </c>
      <c r="C29" s="329">
        <v>5.2076995625258693E-3</v>
      </c>
      <c r="D29" s="407">
        <v>1.7476572176503113E-2</v>
      </c>
      <c r="E29" s="329">
        <v>2.7051357722978953E-2</v>
      </c>
      <c r="F29" s="407">
        <v>0.1417559005652469</v>
      </c>
      <c r="G29" s="329">
        <v>0.10455378955114059</v>
      </c>
      <c r="H29" s="407">
        <v>0.17148741253514288</v>
      </c>
      <c r="I29" s="329">
        <v>4.5356824784184235E-2</v>
      </c>
      <c r="J29" s="407">
        <v>7.3512380572344105E-2</v>
      </c>
      <c r="K29" s="329">
        <v>5.6811156517643902E-2</v>
      </c>
      <c r="L29" s="940"/>
      <c r="M29" s="329">
        <v>6.7344797404862655E-2</v>
      </c>
    </row>
    <row r="30" spans="1:13" ht="20" customHeight="1" thickBot="1">
      <c r="A30" s="681" t="s">
        <v>2055</v>
      </c>
      <c r="B30" s="407">
        <v>5.0049093300743586E-3</v>
      </c>
      <c r="C30" s="329">
        <v>-0.1057248460745015</v>
      </c>
      <c r="D30" s="407">
        <v>1.4926162626151651E-2</v>
      </c>
      <c r="E30" s="329">
        <v>1.4397417347216779E-2</v>
      </c>
      <c r="F30" s="407">
        <v>0.11747581064772961</v>
      </c>
      <c r="G30" s="329">
        <v>0.13621957191375089</v>
      </c>
      <c r="H30" s="407">
        <v>0.1417886792389873</v>
      </c>
      <c r="I30" s="329">
        <v>0.10073409466629801</v>
      </c>
      <c r="J30" s="407">
        <v>6.534375863097619E-2</v>
      </c>
      <c r="K30" s="329">
        <v>6.4184930636185245E-2</v>
      </c>
      <c r="L30" s="940"/>
      <c r="M30" s="329">
        <v>5.2872384789024673E-2</v>
      </c>
    </row>
    <row r="31" spans="1:13" ht="20" customHeight="1" thickBot="1">
      <c r="A31" s="681" t="s">
        <v>2056</v>
      </c>
      <c r="B31" s="407">
        <v>0.12216343354785519</v>
      </c>
      <c r="C31" s="329">
        <v>-1.3967119317599197E-2</v>
      </c>
      <c r="D31" s="407">
        <v>7.4644210638974196E-2</v>
      </c>
      <c r="E31" s="329">
        <v>4.4641091015261036E-2</v>
      </c>
      <c r="F31" s="407">
        <v>0.12082629500605302</v>
      </c>
      <c r="G31" s="329">
        <v>0.16193736895865807</v>
      </c>
      <c r="H31" s="407">
        <v>0.19040741635770031</v>
      </c>
      <c r="I31" s="329">
        <v>6.3334021286113984E-2</v>
      </c>
      <c r="J31" s="407">
        <v>6.098530540698488E-2</v>
      </c>
      <c r="K31" s="329">
        <v>4.6855942815131835E-2</v>
      </c>
      <c r="L31" s="940"/>
      <c r="M31" s="329">
        <v>8.5640902447116973E-2</v>
      </c>
    </row>
    <row r="32" spans="1:13" ht="20" customHeight="1" thickBot="1">
      <c r="A32" s="681" t="s">
        <v>2057</v>
      </c>
      <c r="B32" s="407">
        <v>7.124157591061886E-2</v>
      </c>
      <c r="C32" s="329">
        <v>-2.5706100041421487E-2</v>
      </c>
      <c r="D32" s="407">
        <v>4.4117335885504039E-2</v>
      </c>
      <c r="E32" s="329">
        <v>5.7176324510263221E-2</v>
      </c>
      <c r="F32" s="407">
        <v>0.15172871854170844</v>
      </c>
      <c r="G32" s="329">
        <v>0.10277287843330463</v>
      </c>
      <c r="H32" s="407">
        <v>0.12999374279581044</v>
      </c>
      <c r="I32" s="329">
        <v>5.3377149148676084E-2</v>
      </c>
      <c r="J32" s="407">
        <v>7.7931724133442293E-2</v>
      </c>
      <c r="K32" s="329">
        <v>3.2890210151450994E-2</v>
      </c>
      <c r="L32" s="940"/>
      <c r="M32" s="329">
        <v>6.8468137567060161E-2</v>
      </c>
    </row>
    <row r="33" spans="1:15" ht="20" customHeight="1" thickBot="1">
      <c r="A33" s="681" t="s">
        <v>2058</v>
      </c>
      <c r="B33" s="407">
        <v>7.7840050190767895E-2</v>
      </c>
      <c r="C33" s="329">
        <v>-1.3358248345303636E-2</v>
      </c>
      <c r="D33" s="407">
        <v>-4.6514913681057202E-3</v>
      </c>
      <c r="E33" s="329">
        <v>5.4186935967129646E-2</v>
      </c>
      <c r="F33" s="407">
        <v>0.21923024629118038</v>
      </c>
      <c r="G33" s="329">
        <v>0.11460915492957757</v>
      </c>
      <c r="H33" s="407">
        <v>0.15696093851188908</v>
      </c>
      <c r="I33" s="329">
        <v>7.7519038864621859E-2</v>
      </c>
      <c r="J33" s="407">
        <v>5.4204609478968768E-2</v>
      </c>
      <c r="K33" s="329">
        <v>6.0408248389572039E-2</v>
      </c>
      <c r="L33" s="940"/>
      <c r="M33" s="329">
        <v>7.7694483354574295E-2</v>
      </c>
      <c r="N33" s="10"/>
      <c r="O33" s="10"/>
    </row>
    <row r="34" spans="1:15" ht="30" customHeight="1" thickBot="1">
      <c r="A34" s="187" t="s">
        <v>2059</v>
      </c>
      <c r="B34" s="952">
        <v>8.6558371467537087E-2</v>
      </c>
      <c r="C34" s="433">
        <v>5.0920050587330845E-3</v>
      </c>
      <c r="D34" s="952">
        <v>3.9289301934081866E-2</v>
      </c>
      <c r="E34" s="433">
        <v>3.4559300320813779E-2</v>
      </c>
      <c r="F34" s="952">
        <v>0.11172026305650617</v>
      </c>
      <c r="G34" s="433">
        <v>0.14982085864992989</v>
      </c>
      <c r="H34" s="752">
        <v>0.15398318795447397</v>
      </c>
      <c r="I34" s="737">
        <v>7.3287323228259371E-2</v>
      </c>
      <c r="J34" s="752">
        <v>5.5339995699272171E-2</v>
      </c>
      <c r="K34" s="737">
        <v>7.1438851978678608E-2</v>
      </c>
      <c r="L34" s="943"/>
      <c r="M34" s="737">
        <v>7.7122678840646275E-2</v>
      </c>
    </row>
    <row r="35" spans="1:15" ht="20" customHeight="1">
      <c r="A35" s="155" t="s">
        <v>1674</v>
      </c>
      <c r="B35" s="743"/>
      <c r="C35" s="743"/>
      <c r="D35" s="743"/>
      <c r="E35" s="743"/>
      <c r="F35" s="743"/>
      <c r="G35" s="944"/>
    </row>
    <row r="36" spans="1:15" ht="15.75" customHeight="1">
      <c r="A36" s="4"/>
      <c r="B36" s="744"/>
      <c r="C36" s="744"/>
      <c r="D36" s="744"/>
      <c r="E36" s="744"/>
      <c r="F36" s="744"/>
      <c r="G36" s="945"/>
    </row>
    <row r="37" spans="1:15" ht="20" customHeight="1">
      <c r="A37" s="4" t="s">
        <v>2235</v>
      </c>
      <c r="B37" s="744"/>
      <c r="C37" s="744"/>
      <c r="D37" s="744"/>
      <c r="E37" s="744"/>
      <c r="F37" s="744"/>
      <c r="G37" s="945"/>
    </row>
    <row r="38" spans="1:15" ht="12.75" customHeight="1">
      <c r="A38" s="4"/>
      <c r="B38" s="744"/>
      <c r="C38" s="744"/>
      <c r="D38" s="744"/>
      <c r="E38" s="744"/>
      <c r="F38" s="744"/>
      <c r="G38" s="945"/>
    </row>
    <row r="39" spans="1:15" ht="12.75" customHeight="1">
      <c r="A39" s="4" t="s">
        <v>2236</v>
      </c>
      <c r="B39" s="744"/>
      <c r="C39" s="744"/>
      <c r="D39" s="744"/>
      <c r="E39" s="744"/>
      <c r="F39" s="744"/>
      <c r="G39" s="945"/>
    </row>
    <row r="40" spans="1:15">
      <c r="A40" s="946" t="s">
        <v>2231</v>
      </c>
    </row>
    <row r="43" spans="1:15">
      <c r="A43" s="2" t="s">
        <v>104</v>
      </c>
    </row>
  </sheetData>
  <phoneticPr fontId="0" type="noConversion"/>
  <pageMargins left="0.51" right="0.47" top="0.78" bottom="0.49" header="0.47" footer="0.4921259845"/>
  <pageSetup paperSize="9" scale="70" orientation="portrait" horizontalDpi="4294967292" verticalDpi="4294967292"/>
  <headerFooter alignWithMargins="0">
    <oddHeader>&amp;L&amp;"Arial,Bold"Prämientarife in der OKP</oddHead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263C8-37C8-D54C-A74D-3D6867BEE4FD}">
  <sheetPr>
    <pageSetUpPr fitToPage="1"/>
  </sheetPr>
  <dimension ref="A1:M41"/>
  <sheetViews>
    <sheetView zoomScale="75" workbookViewId="0">
      <selection activeCell="M2" sqref="M2"/>
    </sheetView>
  </sheetViews>
  <sheetFormatPr baseColWidth="10" defaultColWidth="11.3984375" defaultRowHeight="13"/>
  <cols>
    <col min="1" max="1" width="11.19921875" style="2" customWidth="1"/>
    <col min="2" max="2" width="11.19921875" style="2" hidden="1" customWidth="1"/>
    <col min="3" max="13" width="9.59765625" style="2" customWidth="1"/>
    <col min="14" max="16384" width="11.3984375" style="2"/>
  </cols>
  <sheetData>
    <row r="1" spans="1:13" s="1" customFormat="1" ht="14" customHeight="1"/>
    <row r="2" spans="1:13" s="1" customFormat="1" ht="37.5" customHeight="1">
      <c r="A2" s="1715" t="s">
        <v>2244</v>
      </c>
      <c r="B2" s="1716"/>
      <c r="C2" s="1716"/>
      <c r="D2" s="1716"/>
      <c r="E2" s="1716"/>
      <c r="F2" s="1716"/>
      <c r="G2" s="1716"/>
      <c r="H2" s="1716"/>
      <c r="I2" s="1716"/>
      <c r="J2" s="1716"/>
      <c r="K2" s="1716"/>
      <c r="L2" s="1716"/>
      <c r="M2" s="178">
        <v>2004</v>
      </c>
    </row>
    <row r="3" spans="1:13" ht="24" customHeight="1">
      <c r="A3" s="139" t="s">
        <v>503</v>
      </c>
      <c r="B3" s="164">
        <v>1996</v>
      </c>
      <c r="C3" s="164" t="s">
        <v>946</v>
      </c>
      <c r="D3" s="141">
        <v>1997</v>
      </c>
      <c r="E3" s="164">
        <v>1998</v>
      </c>
      <c r="F3" s="141">
        <v>1999</v>
      </c>
      <c r="G3" s="164">
        <v>2000</v>
      </c>
      <c r="H3" s="141">
        <v>2001</v>
      </c>
      <c r="I3" s="164">
        <v>2002</v>
      </c>
      <c r="J3" s="141">
        <v>2003</v>
      </c>
      <c r="K3" s="164">
        <v>2004</v>
      </c>
      <c r="L3" s="141">
        <v>2005</v>
      </c>
      <c r="M3" s="164">
        <v>2006</v>
      </c>
    </row>
    <row r="4" spans="1:13" ht="15" customHeight="1">
      <c r="A4" s="165"/>
      <c r="B4" s="166"/>
      <c r="C4" s="953"/>
      <c r="D4" s="144"/>
      <c r="E4" s="166"/>
      <c r="F4" s="144"/>
      <c r="G4" s="166"/>
      <c r="H4" s="144"/>
      <c r="I4" s="166"/>
      <c r="J4" s="144"/>
      <c r="K4" s="166"/>
      <c r="L4" s="144"/>
      <c r="M4" s="166"/>
    </row>
    <row r="5" spans="1:13" ht="16" customHeight="1">
      <c r="A5" s="167"/>
      <c r="B5" s="168"/>
      <c r="C5" s="168"/>
      <c r="D5" s="147"/>
      <c r="E5" s="168"/>
      <c r="F5" s="147"/>
      <c r="G5" s="146"/>
      <c r="H5" s="200"/>
      <c r="I5" s="168"/>
      <c r="J5" s="147"/>
      <c r="K5" s="168"/>
      <c r="L5" s="147"/>
      <c r="M5" s="168"/>
    </row>
    <row r="6" spans="1:13" ht="30" customHeight="1" thickBot="1">
      <c r="A6" s="689" t="s">
        <v>510</v>
      </c>
      <c r="B6" s="330">
        <v>41.718753671585276</v>
      </c>
      <c r="C6" s="954">
        <v>48.623124808862244</v>
      </c>
      <c r="D6" s="955">
        <v>49.463482306636379</v>
      </c>
      <c r="E6" s="954">
        <v>50.318363772724794</v>
      </c>
      <c r="F6" s="955">
        <v>53.013812330781704</v>
      </c>
      <c r="G6" s="954">
        <v>55.255514362971027</v>
      </c>
      <c r="H6" s="955">
        <v>57.87</v>
      </c>
      <c r="I6" s="954">
        <v>63.425809999999998</v>
      </c>
      <c r="J6" s="956">
        <v>69.532570000000007</v>
      </c>
      <c r="K6" s="149">
        <v>72.39</v>
      </c>
      <c r="L6" s="956">
        <v>71.143465364966588</v>
      </c>
      <c r="M6" s="149">
        <v>73.365637516402629</v>
      </c>
    </row>
    <row r="7" spans="1:13" ht="20" customHeight="1" thickBot="1">
      <c r="A7" s="681" t="s">
        <v>511</v>
      </c>
      <c r="B7" s="153">
        <v>43.262386429302111</v>
      </c>
      <c r="C7" s="957">
        <v>47.850944795402114</v>
      </c>
      <c r="D7" s="958">
        <v>48.815905481405821</v>
      </c>
      <c r="E7" s="957">
        <v>49.800325535025237</v>
      </c>
      <c r="F7" s="958">
        <v>52.917628328055834</v>
      </c>
      <c r="G7" s="957">
        <v>54.167464738283748</v>
      </c>
      <c r="H7" s="958">
        <v>56.07</v>
      </c>
      <c r="I7" s="957">
        <v>62.33831</v>
      </c>
      <c r="J7" s="958">
        <v>68.851010000000002</v>
      </c>
      <c r="K7" s="149">
        <v>71.97</v>
      </c>
      <c r="L7" s="958">
        <v>71.799993741828587</v>
      </c>
      <c r="M7" s="149">
        <v>74.674152677321516</v>
      </c>
    </row>
    <row r="8" spans="1:13" ht="20" customHeight="1" thickBot="1">
      <c r="A8" s="681" t="s">
        <v>512</v>
      </c>
      <c r="B8" s="153">
        <v>35.431055547687443</v>
      </c>
      <c r="C8" s="957">
        <v>36.559398807841738</v>
      </c>
      <c r="D8" s="958">
        <v>37.771959469685505</v>
      </c>
      <c r="E8" s="957">
        <v>39.024736967872208</v>
      </c>
      <c r="F8" s="958">
        <v>39.205738865192295</v>
      </c>
      <c r="G8" s="957">
        <v>41.56641556075305</v>
      </c>
      <c r="H8" s="958">
        <v>44.3</v>
      </c>
      <c r="I8" s="957">
        <v>48.980910000000002</v>
      </c>
      <c r="J8" s="958">
        <v>54.38438</v>
      </c>
      <c r="K8" s="149">
        <v>56.91</v>
      </c>
      <c r="L8" s="958">
        <v>58.357895238113684</v>
      </c>
      <c r="M8" s="149">
        <v>61.099794685380274</v>
      </c>
    </row>
    <row r="9" spans="1:13" ht="20" customHeight="1" thickBot="1">
      <c r="A9" s="681" t="s">
        <v>513</v>
      </c>
      <c r="B9" s="153">
        <v>36.226433792447438</v>
      </c>
      <c r="C9" s="957">
        <v>39.195508348405333</v>
      </c>
      <c r="D9" s="958">
        <v>39.05961451588616</v>
      </c>
      <c r="E9" s="957">
        <v>38.924191837703162</v>
      </c>
      <c r="F9" s="958">
        <v>38.919598278799377</v>
      </c>
      <c r="G9" s="957">
        <v>39.98278042622718</v>
      </c>
      <c r="H9" s="958">
        <v>41.73</v>
      </c>
      <c r="I9" s="957">
        <v>46.114289999999997</v>
      </c>
      <c r="J9" s="958">
        <v>51.525869999999998</v>
      </c>
      <c r="K9" s="149">
        <v>53.28</v>
      </c>
      <c r="L9" s="958">
        <v>53.993688496421697</v>
      </c>
      <c r="M9" s="149">
        <v>55.562223652082302</v>
      </c>
    </row>
    <row r="10" spans="1:13" ht="20" customHeight="1" thickBot="1">
      <c r="A10" s="681" t="s">
        <v>514</v>
      </c>
      <c r="B10" s="153">
        <v>35.409999042794709</v>
      </c>
      <c r="C10" s="957">
        <v>40.853033267557798</v>
      </c>
      <c r="D10" s="958">
        <v>40.712079944129485</v>
      </c>
      <c r="E10" s="957">
        <v>40.57161294540699</v>
      </c>
      <c r="F10" s="958">
        <v>40.587244523046742</v>
      </c>
      <c r="G10" s="957">
        <v>41.513266884274493</v>
      </c>
      <c r="H10" s="958">
        <v>43.94</v>
      </c>
      <c r="I10" s="957">
        <v>49.170670000000001</v>
      </c>
      <c r="J10" s="958">
        <v>54.933639999999997</v>
      </c>
      <c r="K10" s="149">
        <v>57.27</v>
      </c>
      <c r="L10" s="958">
        <v>58.5178217736985</v>
      </c>
      <c r="M10" s="149">
        <v>60.316237552065772</v>
      </c>
    </row>
    <row r="11" spans="1:13" ht="20" customHeight="1" thickBot="1">
      <c r="A11" s="681" t="s">
        <v>515</v>
      </c>
      <c r="B11" s="153">
        <v>36.653282798397214</v>
      </c>
      <c r="C11" s="957">
        <v>41.100529884767042</v>
      </c>
      <c r="D11" s="958">
        <v>40.089048760991204</v>
      </c>
      <c r="E11" s="957">
        <v>39.102460115892001</v>
      </c>
      <c r="F11" s="958">
        <v>39.41021611490568</v>
      </c>
      <c r="G11" s="957">
        <v>40.642995823188755</v>
      </c>
      <c r="H11" s="958">
        <v>42.6</v>
      </c>
      <c r="I11" s="957">
        <v>45.837009999999999</v>
      </c>
      <c r="J11" s="958">
        <v>49.250610000000002</v>
      </c>
      <c r="K11" s="149">
        <v>51.14</v>
      </c>
      <c r="L11" s="958">
        <v>51.996797969440962</v>
      </c>
      <c r="M11" s="149">
        <v>53.63314180829402</v>
      </c>
    </row>
    <row r="12" spans="1:13" ht="20" customHeight="1" thickBot="1">
      <c r="A12" s="681" t="s">
        <v>516</v>
      </c>
      <c r="B12" s="153">
        <v>35.740646131932074</v>
      </c>
      <c r="C12" s="957">
        <v>39.866934485882474</v>
      </c>
      <c r="D12" s="958">
        <v>38.902467685076381</v>
      </c>
      <c r="E12" s="957">
        <v>37.961333408374607</v>
      </c>
      <c r="F12" s="958">
        <v>37.488602413777578</v>
      </c>
      <c r="G12" s="957">
        <v>38.582415416158433</v>
      </c>
      <c r="H12" s="958">
        <v>40.46</v>
      </c>
      <c r="I12" s="957">
        <v>43.951790000000003</v>
      </c>
      <c r="J12" s="958">
        <v>48.316870000000002</v>
      </c>
      <c r="K12" s="149">
        <v>50.08</v>
      </c>
      <c r="L12" s="958">
        <v>50.894153047774623</v>
      </c>
      <c r="M12" s="149">
        <v>52.383284318552882</v>
      </c>
    </row>
    <row r="13" spans="1:13" ht="20" customHeight="1" thickBot="1">
      <c r="A13" s="681" t="s">
        <v>517</v>
      </c>
      <c r="B13" s="153">
        <v>34.656615291496252</v>
      </c>
      <c r="C13" s="957">
        <v>38.69665897380591</v>
      </c>
      <c r="D13" s="958">
        <v>38.623441674087267</v>
      </c>
      <c r="E13" s="957">
        <v>38.550362907593978</v>
      </c>
      <c r="F13" s="958">
        <v>40.192322472448488</v>
      </c>
      <c r="G13" s="957">
        <v>41.094264828779039</v>
      </c>
      <c r="H13" s="958">
        <v>44.09</v>
      </c>
      <c r="I13" s="957">
        <v>49.420699999999997</v>
      </c>
      <c r="J13" s="958">
        <v>56.229599999999998</v>
      </c>
      <c r="K13" s="149">
        <v>58.87</v>
      </c>
      <c r="L13" s="958">
        <v>58.413925647594262</v>
      </c>
      <c r="M13" s="149">
        <v>60.588983829050342</v>
      </c>
    </row>
    <row r="14" spans="1:13" ht="20" customHeight="1" thickBot="1">
      <c r="A14" s="681" t="s">
        <v>518</v>
      </c>
      <c r="B14" s="153">
        <v>36.639340808245812</v>
      </c>
      <c r="C14" s="957">
        <v>42.959952271999612</v>
      </c>
      <c r="D14" s="958">
        <v>41.234852450764485</v>
      </c>
      <c r="E14" s="957">
        <v>39.579025737059446</v>
      </c>
      <c r="F14" s="958">
        <v>39.824251186401611</v>
      </c>
      <c r="G14" s="957">
        <v>41.290124723913671</v>
      </c>
      <c r="H14" s="958">
        <v>43.54</v>
      </c>
      <c r="I14" s="957">
        <v>48.346510000000002</v>
      </c>
      <c r="J14" s="958">
        <v>54.650489999999998</v>
      </c>
      <c r="K14" s="149">
        <v>57.49</v>
      </c>
      <c r="L14" s="958">
        <v>58.330476837688686</v>
      </c>
      <c r="M14" s="149">
        <v>60.683553543266456</v>
      </c>
    </row>
    <row r="15" spans="1:13" ht="20" customHeight="1" thickBot="1">
      <c r="A15" s="681" t="s">
        <v>519</v>
      </c>
      <c r="B15" s="153">
        <v>48.51028508862985</v>
      </c>
      <c r="C15" s="957">
        <v>53.136312542552758</v>
      </c>
      <c r="D15" s="958">
        <v>52.797310620851235</v>
      </c>
      <c r="E15" s="957">
        <v>52.460471481951494</v>
      </c>
      <c r="F15" s="958">
        <v>52.488688974196272</v>
      </c>
      <c r="G15" s="957">
        <v>54.825350997568805</v>
      </c>
      <c r="H15" s="958">
        <v>56.92</v>
      </c>
      <c r="I15" s="957">
        <v>61.386839999999999</v>
      </c>
      <c r="J15" s="958">
        <v>65.283850000000001</v>
      </c>
      <c r="K15" s="149">
        <v>66.430000000000007</v>
      </c>
      <c r="L15" s="958">
        <v>67.333016467085358</v>
      </c>
      <c r="M15" s="149">
        <v>68.94849155811535</v>
      </c>
    </row>
    <row r="16" spans="1:13" ht="20" customHeight="1" thickBot="1">
      <c r="A16" s="681" t="s">
        <v>520</v>
      </c>
      <c r="B16" s="153">
        <v>35.379722200083393</v>
      </c>
      <c r="C16" s="957">
        <v>43.698825059972535</v>
      </c>
      <c r="D16" s="958">
        <v>45.139238759182142</v>
      </c>
      <c r="E16" s="957">
        <v>46.627131804164158</v>
      </c>
      <c r="F16" s="958">
        <v>48.122314081303209</v>
      </c>
      <c r="G16" s="957">
        <v>50.2937322719145</v>
      </c>
      <c r="H16" s="958">
        <v>52.23</v>
      </c>
      <c r="I16" s="957">
        <v>55.529260000000001</v>
      </c>
      <c r="J16" s="958">
        <v>61.430140000000002</v>
      </c>
      <c r="K16" s="149">
        <v>64.650000000000006</v>
      </c>
      <c r="L16" s="958">
        <v>64.975847324237691</v>
      </c>
      <c r="M16" s="149">
        <v>67.060873539734828</v>
      </c>
    </row>
    <row r="17" spans="1:13" ht="20" customHeight="1" thickBot="1">
      <c r="A17" s="681" t="s">
        <v>521</v>
      </c>
      <c r="B17" s="153">
        <v>49.802437633137387</v>
      </c>
      <c r="C17" s="957">
        <v>55.608376352079588</v>
      </c>
      <c r="D17" s="958">
        <v>59.155353266577968</v>
      </c>
      <c r="E17" s="957">
        <v>62.92857388854101</v>
      </c>
      <c r="F17" s="958">
        <v>68.475240112711333</v>
      </c>
      <c r="G17" s="957">
        <v>71.798648406979126</v>
      </c>
      <c r="H17" s="958">
        <v>75.72</v>
      </c>
      <c r="I17" s="957">
        <v>82.667259999999999</v>
      </c>
      <c r="J17" s="958">
        <v>90.215479999999999</v>
      </c>
      <c r="K17" s="149">
        <v>95.33</v>
      </c>
      <c r="L17" s="958">
        <v>96.23377831835252</v>
      </c>
      <c r="M17" s="149">
        <v>99.047784400346274</v>
      </c>
    </row>
    <row r="18" spans="1:13" ht="20" customHeight="1" thickBot="1">
      <c r="A18" s="681" t="s">
        <v>522</v>
      </c>
      <c r="B18" s="153">
        <v>41.943975664072163</v>
      </c>
      <c r="C18" s="957">
        <v>48.73882289363096</v>
      </c>
      <c r="D18" s="958">
        <v>50.407676162950722</v>
      </c>
      <c r="E18" s="957">
        <v>52.13367219996919</v>
      </c>
      <c r="F18" s="958">
        <v>53.269683230627017</v>
      </c>
      <c r="G18" s="957">
        <v>55.417669457793103</v>
      </c>
      <c r="H18" s="958">
        <v>57.9</v>
      </c>
      <c r="I18" s="957">
        <v>63.903820000000003</v>
      </c>
      <c r="J18" s="958">
        <v>70.882249999999999</v>
      </c>
      <c r="K18" s="149">
        <v>73.53</v>
      </c>
      <c r="L18" s="958">
        <v>73.661902515574909</v>
      </c>
      <c r="M18" s="149">
        <v>75.883841871704192</v>
      </c>
    </row>
    <row r="19" spans="1:13" ht="20" customHeight="1" thickBot="1">
      <c r="A19" s="681" t="s">
        <v>523</v>
      </c>
      <c r="B19" s="153">
        <v>36.575020697081818</v>
      </c>
      <c r="C19" s="957">
        <v>43.363014743291892</v>
      </c>
      <c r="D19" s="958">
        <v>43.743997054720204</v>
      </c>
      <c r="E19" s="957">
        <v>44.128326631611507</v>
      </c>
      <c r="F19" s="958">
        <v>47.147867343025055</v>
      </c>
      <c r="G19" s="957">
        <v>49.138359447703145</v>
      </c>
      <c r="H19" s="958">
        <v>51.27</v>
      </c>
      <c r="I19" s="957">
        <v>59.141860000000001</v>
      </c>
      <c r="J19" s="958">
        <v>64.781949999999995</v>
      </c>
      <c r="K19" s="149">
        <v>67.66</v>
      </c>
      <c r="L19" s="958">
        <v>67.727635537495416</v>
      </c>
      <c r="M19" s="149">
        <v>69.959268567702509</v>
      </c>
    </row>
    <row r="20" spans="1:13" ht="20" customHeight="1" thickBot="1">
      <c r="A20" s="681" t="s">
        <v>2047</v>
      </c>
      <c r="B20" s="153">
        <v>33.407080929158951</v>
      </c>
      <c r="C20" s="957">
        <v>38.928380905268767</v>
      </c>
      <c r="D20" s="958">
        <v>38.208469914040116</v>
      </c>
      <c r="E20" s="957">
        <v>37.501872392913214</v>
      </c>
      <c r="F20" s="958">
        <v>37.487556354175133</v>
      </c>
      <c r="G20" s="957">
        <v>38.283417332687009</v>
      </c>
      <c r="H20" s="958">
        <v>40.82</v>
      </c>
      <c r="I20" s="957">
        <v>45.358510000000003</v>
      </c>
      <c r="J20" s="958">
        <v>50.411659999999998</v>
      </c>
      <c r="K20" s="149">
        <v>52.4</v>
      </c>
      <c r="L20" s="958">
        <v>52.679216017947418</v>
      </c>
      <c r="M20" s="149">
        <v>55.341946435058126</v>
      </c>
    </row>
    <row r="21" spans="1:13" ht="20" customHeight="1" thickBot="1">
      <c r="A21" s="681" t="s">
        <v>2048</v>
      </c>
      <c r="B21" s="153">
        <v>32.853731323273763</v>
      </c>
      <c r="C21" s="957">
        <v>37.826647940838654</v>
      </c>
      <c r="D21" s="958">
        <v>36.04614126880314</v>
      </c>
      <c r="E21" s="957">
        <v>34.349443344878779</v>
      </c>
      <c r="F21" s="958">
        <v>34.115438111975898</v>
      </c>
      <c r="G21" s="957">
        <v>34.538117356336265</v>
      </c>
      <c r="H21" s="958">
        <v>37.409999999999997</v>
      </c>
      <c r="I21" s="957">
        <v>40.66377</v>
      </c>
      <c r="J21" s="958">
        <v>44.770470000000003</v>
      </c>
      <c r="K21" s="149">
        <v>46.87</v>
      </c>
      <c r="L21" s="958">
        <v>47.628780512439704</v>
      </c>
      <c r="M21" s="149">
        <v>50.819024006504293</v>
      </c>
    </row>
    <row r="22" spans="1:13" ht="20" customHeight="1" thickBot="1">
      <c r="A22" s="681" t="s">
        <v>2049</v>
      </c>
      <c r="B22" s="153">
        <v>34.998635932327019</v>
      </c>
      <c r="C22" s="957">
        <v>40.172667812497217</v>
      </c>
      <c r="D22" s="958">
        <v>40.242319517530895</v>
      </c>
      <c r="E22" s="957">
        <v>40.312091985269127</v>
      </c>
      <c r="F22" s="958">
        <v>40.988240996996879</v>
      </c>
      <c r="G22" s="957">
        <v>42.319009021309192</v>
      </c>
      <c r="H22" s="958">
        <v>44.87</v>
      </c>
      <c r="I22" s="957">
        <v>49.452069999999999</v>
      </c>
      <c r="J22" s="958">
        <v>53.806179999999998</v>
      </c>
      <c r="K22" s="149">
        <v>57.16</v>
      </c>
      <c r="L22" s="958">
        <v>58.07834299500238</v>
      </c>
      <c r="M22" s="149">
        <v>61.394593356672509</v>
      </c>
    </row>
    <row r="23" spans="1:13" ht="20" customHeight="1" thickBot="1">
      <c r="A23" s="681" t="s">
        <v>2050</v>
      </c>
      <c r="B23" s="153">
        <v>32.952640897764887</v>
      </c>
      <c r="C23" s="957">
        <v>41.835502483503376</v>
      </c>
      <c r="D23" s="958">
        <v>39.622198567834332</v>
      </c>
      <c r="E23" s="957">
        <v>37.525989318950934</v>
      </c>
      <c r="F23" s="958">
        <v>37.77391368135067</v>
      </c>
      <c r="G23" s="957">
        <v>39.750026255583869</v>
      </c>
      <c r="H23" s="958">
        <v>42.77</v>
      </c>
      <c r="I23" s="957">
        <v>49.12473</v>
      </c>
      <c r="J23" s="958">
        <v>55.57593</v>
      </c>
      <c r="K23" s="149">
        <v>58.57</v>
      </c>
      <c r="L23" s="958">
        <v>58.114611822119521</v>
      </c>
      <c r="M23" s="149">
        <v>61.631082357271531</v>
      </c>
    </row>
    <row r="24" spans="1:13" ht="20" customHeight="1" thickBot="1">
      <c r="A24" s="681" t="s">
        <v>2051</v>
      </c>
      <c r="B24" s="153">
        <v>28.585234891458057</v>
      </c>
      <c r="C24" s="957">
        <v>39.150533178462055</v>
      </c>
      <c r="D24" s="958">
        <v>39.999932557539303</v>
      </c>
      <c r="E24" s="957">
        <v>40.867760275814078</v>
      </c>
      <c r="F24" s="958">
        <v>43.09740090145656</v>
      </c>
      <c r="G24" s="957">
        <v>45.488728140942797</v>
      </c>
      <c r="H24" s="958">
        <v>49.16</v>
      </c>
      <c r="I24" s="957">
        <v>54.710949999999997</v>
      </c>
      <c r="J24" s="958">
        <v>60.209690000000002</v>
      </c>
      <c r="K24" s="149">
        <v>63.06</v>
      </c>
      <c r="L24" s="958">
        <v>62.755689744103172</v>
      </c>
      <c r="M24" s="149">
        <v>65.189347502437428</v>
      </c>
    </row>
    <row r="25" spans="1:13" ht="20" customHeight="1" thickBot="1">
      <c r="A25" s="681" t="s">
        <v>2052</v>
      </c>
      <c r="B25" s="153">
        <v>34.888516622037422</v>
      </c>
      <c r="C25" s="957">
        <v>41.845829594912111</v>
      </c>
      <c r="D25" s="958">
        <v>42.307563867089662</v>
      </c>
      <c r="E25" s="957">
        <v>42.774392996751637</v>
      </c>
      <c r="F25" s="958">
        <v>45.224448958677044</v>
      </c>
      <c r="G25" s="957">
        <v>46.859517817001347</v>
      </c>
      <c r="H25" s="958">
        <v>51.33</v>
      </c>
      <c r="I25" s="957">
        <v>58.294269999999997</v>
      </c>
      <c r="J25" s="958">
        <v>64.791269999999997</v>
      </c>
      <c r="K25" s="149">
        <v>67.77</v>
      </c>
      <c r="L25" s="958">
        <v>67.137751183768685</v>
      </c>
      <c r="M25" s="149">
        <v>69.667862463289453</v>
      </c>
    </row>
    <row r="26" spans="1:13" ht="20" customHeight="1" thickBot="1">
      <c r="A26" s="681" t="s">
        <v>2053</v>
      </c>
      <c r="B26" s="153">
        <v>60.9754826368548</v>
      </c>
      <c r="C26" s="957">
        <v>72.894106500725968</v>
      </c>
      <c r="D26" s="958">
        <v>69.236727717337061</v>
      </c>
      <c r="E26" s="957">
        <v>65.762853749458174</v>
      </c>
      <c r="F26" s="958">
        <v>66.363292805326296</v>
      </c>
      <c r="G26" s="957">
        <v>67.274446818129505</v>
      </c>
      <c r="H26" s="958">
        <v>69.28</v>
      </c>
      <c r="I26" s="957">
        <v>75.362449999999995</v>
      </c>
      <c r="J26" s="958">
        <v>81.438580000000002</v>
      </c>
      <c r="K26" s="149">
        <v>86.57</v>
      </c>
      <c r="L26" s="958">
        <v>84.714167476335049</v>
      </c>
      <c r="M26" s="149">
        <v>86.657805051429548</v>
      </c>
    </row>
    <row r="27" spans="1:13" ht="20" customHeight="1" thickBot="1">
      <c r="A27" s="681" t="s">
        <v>2054</v>
      </c>
      <c r="B27" s="153">
        <v>75.856129550277231</v>
      </c>
      <c r="C27" s="957">
        <v>82.765787216160703</v>
      </c>
      <c r="D27" s="958">
        <v>80.144189924253979</v>
      </c>
      <c r="E27" s="957">
        <v>77.605631440918998</v>
      </c>
      <c r="F27" s="958">
        <v>78.121876774646324</v>
      </c>
      <c r="G27" s="957">
        <v>79.210640099703042</v>
      </c>
      <c r="H27" s="958">
        <v>80.73</v>
      </c>
      <c r="I27" s="957">
        <v>85.726100000000002</v>
      </c>
      <c r="J27" s="958">
        <v>91.803979999999996</v>
      </c>
      <c r="K27" s="149">
        <v>93.22</v>
      </c>
      <c r="L27" s="958">
        <v>92.598065538322643</v>
      </c>
      <c r="M27" s="149">
        <v>95.032337902904914</v>
      </c>
    </row>
    <row r="28" spans="1:13" ht="20" customHeight="1" thickBot="1">
      <c r="A28" s="681" t="s">
        <v>2055</v>
      </c>
      <c r="B28" s="153">
        <v>48.560499657043145</v>
      </c>
      <c r="C28" s="957">
        <v>53.667414952103677</v>
      </c>
      <c r="D28" s="958">
        <v>50.358968764082256</v>
      </c>
      <c r="E28" s="957">
        <v>47.254479039937515</v>
      </c>
      <c r="F28" s="958">
        <v>47.200711518046234</v>
      </c>
      <c r="G28" s="957">
        <v>47.401333618583557</v>
      </c>
      <c r="H28" s="958">
        <v>48.57</v>
      </c>
      <c r="I28" s="957">
        <v>51.963740000000001</v>
      </c>
      <c r="J28" s="958">
        <v>56.395269999999996</v>
      </c>
      <c r="K28" s="149">
        <v>59.45</v>
      </c>
      <c r="L28" s="958">
        <v>60.498362656551102</v>
      </c>
      <c r="M28" s="149">
        <v>63.180482034828493</v>
      </c>
    </row>
    <row r="29" spans="1:13" ht="20" customHeight="1" thickBot="1">
      <c r="A29" s="681" t="s">
        <v>2056</v>
      </c>
      <c r="B29" s="153">
        <v>53.187830680760385</v>
      </c>
      <c r="C29" s="957">
        <v>59.105429644437542</v>
      </c>
      <c r="D29" s="958">
        <v>61.190638095238093</v>
      </c>
      <c r="E29" s="957">
        <v>63.349411602742357</v>
      </c>
      <c r="F29" s="958">
        <v>66.14797337310975</v>
      </c>
      <c r="G29" s="957">
        <v>68.133447129993144</v>
      </c>
      <c r="H29" s="958">
        <v>68.64</v>
      </c>
      <c r="I29" s="957">
        <v>75.354849999999999</v>
      </c>
      <c r="J29" s="958">
        <v>81.656689999999998</v>
      </c>
      <c r="K29" s="149">
        <v>83.8</v>
      </c>
      <c r="L29" s="958">
        <v>83.942605884006937</v>
      </c>
      <c r="M29" s="149">
        <v>85.817761101754826</v>
      </c>
    </row>
    <row r="30" spans="1:13" ht="20" customHeight="1" thickBot="1">
      <c r="A30" s="681" t="s">
        <v>2057</v>
      </c>
      <c r="B30" s="153">
        <v>73.007835599444448</v>
      </c>
      <c r="C30" s="957">
        <v>82.428616952524607</v>
      </c>
      <c r="D30" s="958">
        <v>82.123460989884748</v>
      </c>
      <c r="E30" s="957">
        <v>81.819434733953273</v>
      </c>
      <c r="F30" s="958">
        <v>81.408749890372022</v>
      </c>
      <c r="G30" s="957">
        <v>85.543589877557864</v>
      </c>
      <c r="H30" s="958">
        <v>88.63</v>
      </c>
      <c r="I30" s="957">
        <v>94.694569999999999</v>
      </c>
      <c r="J30" s="958">
        <v>100.62352</v>
      </c>
      <c r="K30" s="149">
        <v>103.25</v>
      </c>
      <c r="L30" s="958">
        <v>105.35244332317907</v>
      </c>
      <c r="M30" s="149">
        <v>106.96463190088616</v>
      </c>
    </row>
    <row r="31" spans="1:13" ht="20" customHeight="1" thickBot="1">
      <c r="A31" s="681" t="s">
        <v>2058</v>
      </c>
      <c r="B31" s="153">
        <v>50.87956011667579</v>
      </c>
      <c r="C31" s="957">
        <v>52.107642785267444</v>
      </c>
      <c r="D31" s="958">
        <v>55.490646339526755</v>
      </c>
      <c r="E31" s="957">
        <v>59.093285871089705</v>
      </c>
      <c r="F31" s="958">
        <v>58.959970294368595</v>
      </c>
      <c r="G31" s="957">
        <v>61.71005554804438</v>
      </c>
      <c r="H31" s="958">
        <v>66.92</v>
      </c>
      <c r="I31" s="957">
        <v>72.339150000000004</v>
      </c>
      <c r="J31" s="958">
        <v>76.573120000000003</v>
      </c>
      <c r="K31" s="149">
        <v>78.62</v>
      </c>
      <c r="L31" s="958">
        <v>79.919521132501785</v>
      </c>
      <c r="M31" s="149">
        <v>81.868790572789777</v>
      </c>
    </row>
    <row r="32" spans="1:13" ht="30" customHeight="1" thickBot="1">
      <c r="A32" s="187" t="s">
        <v>2059</v>
      </c>
      <c r="B32" s="392">
        <v>45.818020396587798</v>
      </c>
      <c r="C32" s="959">
        <v>51.909281343104297</v>
      </c>
      <c r="D32" s="960">
        <v>51.854400048567307</v>
      </c>
      <c r="E32" s="959">
        <v>51.799576777497641</v>
      </c>
      <c r="F32" s="960">
        <v>53.348085764350309</v>
      </c>
      <c r="G32" s="959">
        <v>55.173206027906794</v>
      </c>
      <c r="H32" s="960">
        <v>57.65</v>
      </c>
      <c r="I32" s="959">
        <v>63.127989999999997</v>
      </c>
      <c r="J32" s="961">
        <v>68.990499999999997</v>
      </c>
      <c r="K32" s="483">
        <v>71.84</v>
      </c>
      <c r="L32" s="962">
        <v>71.95510451056029</v>
      </c>
      <c r="M32" s="483">
        <v>74.466353915536445</v>
      </c>
    </row>
    <row r="33" spans="1:10" ht="20" customHeight="1">
      <c r="A33" s="155" t="s">
        <v>1674</v>
      </c>
      <c r="B33" s="489"/>
      <c r="C33" s="489"/>
      <c r="D33" s="489"/>
      <c r="E33" s="489"/>
      <c r="F33" s="489"/>
      <c r="G33" s="489"/>
      <c r="H33" s="489"/>
      <c r="I33" s="489"/>
      <c r="J33" s="490"/>
    </row>
    <row r="34" spans="1:10" ht="11.25" customHeight="1">
      <c r="A34" s="4"/>
      <c r="B34" s="491"/>
      <c r="C34" s="491"/>
      <c r="D34" s="491"/>
      <c r="E34" s="491"/>
      <c r="F34" s="491"/>
      <c r="G34" s="491"/>
      <c r="H34" s="491"/>
      <c r="I34" s="491"/>
      <c r="J34" s="492"/>
    </row>
    <row r="35" spans="1:10" ht="20" customHeight="1">
      <c r="A35" s="4" t="s">
        <v>2242</v>
      </c>
      <c r="B35" s="491"/>
      <c r="C35" s="491"/>
      <c r="D35" s="491"/>
      <c r="E35" s="491"/>
      <c r="F35" s="491"/>
      <c r="G35" s="491"/>
      <c r="H35" s="491"/>
      <c r="I35" s="491"/>
      <c r="J35" s="492"/>
    </row>
    <row r="36" spans="1:10" ht="13.5" customHeight="1">
      <c r="A36" s="4"/>
      <c r="B36" s="491"/>
      <c r="C36" s="491"/>
      <c r="D36" s="491"/>
      <c r="E36" s="491"/>
      <c r="F36" s="491"/>
      <c r="G36" s="491"/>
      <c r="H36" s="491"/>
      <c r="I36" s="491"/>
      <c r="J36" s="492"/>
    </row>
    <row r="37" spans="1:10" ht="12.75" customHeight="1">
      <c r="A37" s="4" t="s">
        <v>2230</v>
      </c>
      <c r="B37" s="491"/>
      <c r="C37" s="491"/>
      <c r="D37" s="491"/>
      <c r="E37" s="491"/>
      <c r="F37" s="491"/>
      <c r="G37" s="491"/>
      <c r="H37" s="491"/>
      <c r="I37" s="491"/>
      <c r="J37" s="492"/>
    </row>
    <row r="38" spans="1:10">
      <c r="A38" s="963" t="s">
        <v>2243</v>
      </c>
    </row>
    <row r="41" spans="1:10">
      <c r="A41" s="2" t="s">
        <v>104</v>
      </c>
    </row>
  </sheetData>
  <mergeCells count="1">
    <mergeCell ref="A2:L2"/>
  </mergeCells>
  <phoneticPr fontId="0" type="noConversion"/>
  <pageMargins left="0.46" right="0.47" top="0.85" bottom="0.49" header="0.52" footer="0.4921259845"/>
  <pageSetup paperSize="9" scale="81" orientation="portrait" horizontalDpi="4294967292" verticalDpi="4294967292"/>
  <headerFooter alignWithMargins="0">
    <oddHeader>&amp;L&amp;"Arial,Bold"Prämientarife in der OKP</oddHead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96488-B85A-B94B-9677-920094AFB059}">
  <sheetPr>
    <pageSetUpPr fitToPage="1"/>
  </sheetPr>
  <dimension ref="A1:P43"/>
  <sheetViews>
    <sheetView zoomScale="75" workbookViewId="0"/>
  </sheetViews>
  <sheetFormatPr baseColWidth="10" defaultColWidth="11.3984375" defaultRowHeight="13"/>
  <cols>
    <col min="1" max="1" width="12.796875" style="2" customWidth="1"/>
    <col min="2" max="2" width="15.3984375" style="2" hidden="1" customWidth="1"/>
    <col min="3" max="10" width="10.59765625" style="23" customWidth="1"/>
    <col min="11" max="12" width="10.59765625" style="2" customWidth="1"/>
    <col min="13" max="13" width="3" style="2" customWidth="1"/>
    <col min="14" max="14" width="12.3984375" style="2" customWidth="1"/>
    <col min="15" max="16384" width="11.3984375" style="2"/>
  </cols>
  <sheetData>
    <row r="1" spans="1:14" s="1" customFormat="1" ht="14" customHeight="1">
      <c r="C1" s="209"/>
      <c r="D1" s="209"/>
      <c r="E1" s="209"/>
      <c r="F1" s="209"/>
      <c r="G1" s="209"/>
      <c r="H1" s="209"/>
      <c r="I1" s="209"/>
      <c r="J1" s="209"/>
    </row>
    <row r="2" spans="1:14" s="1" customFormat="1" ht="28" customHeight="1">
      <c r="A2" s="178" t="s">
        <v>2232</v>
      </c>
      <c r="C2" s="209"/>
      <c r="D2" s="209"/>
      <c r="E2" s="209"/>
      <c r="F2" s="209"/>
      <c r="G2" s="209"/>
      <c r="H2" s="209"/>
      <c r="I2" s="209"/>
      <c r="J2" s="209"/>
      <c r="N2" s="445">
        <v>2004</v>
      </c>
    </row>
    <row r="3" spans="1:14" ht="24" customHeight="1">
      <c r="A3" s="139" t="s">
        <v>503</v>
      </c>
      <c r="B3" s="164" t="s">
        <v>2233</v>
      </c>
      <c r="C3" s="360" t="s">
        <v>2217</v>
      </c>
      <c r="D3" s="210" t="s">
        <v>2217</v>
      </c>
      <c r="E3" s="360" t="s">
        <v>2217</v>
      </c>
      <c r="F3" s="210" t="s">
        <v>2217</v>
      </c>
      <c r="G3" s="360" t="s">
        <v>2217</v>
      </c>
      <c r="H3" s="210" t="s">
        <v>2217</v>
      </c>
      <c r="I3" s="360" t="s">
        <v>2217</v>
      </c>
      <c r="J3" s="210" t="s">
        <v>2217</v>
      </c>
      <c r="K3" s="360" t="s">
        <v>2217</v>
      </c>
      <c r="L3" s="210" t="s">
        <v>2217</v>
      </c>
      <c r="M3" s="935"/>
      <c r="N3" s="210" t="s">
        <v>391</v>
      </c>
    </row>
    <row r="4" spans="1:14" ht="15" customHeight="1">
      <c r="A4" s="165"/>
      <c r="B4" s="166" t="s">
        <v>2217</v>
      </c>
      <c r="C4" s="179" t="s">
        <v>2218</v>
      </c>
      <c r="D4" s="195" t="s">
        <v>2218</v>
      </c>
      <c r="E4" s="196" t="s">
        <v>2218</v>
      </c>
      <c r="F4" s="195" t="s">
        <v>2218</v>
      </c>
      <c r="G4" s="196" t="s">
        <v>2218</v>
      </c>
      <c r="H4" s="195" t="s">
        <v>2218</v>
      </c>
      <c r="I4" s="179" t="s">
        <v>2218</v>
      </c>
      <c r="J4" s="142" t="s">
        <v>2218</v>
      </c>
      <c r="K4" s="179" t="s">
        <v>2218</v>
      </c>
      <c r="L4" s="142" t="s">
        <v>2218</v>
      </c>
      <c r="M4" s="936"/>
      <c r="N4" s="142" t="s">
        <v>392</v>
      </c>
    </row>
    <row r="5" spans="1:14" ht="15" customHeight="1">
      <c r="A5" s="165"/>
      <c r="B5" s="166" t="s">
        <v>2218</v>
      </c>
      <c r="C5" s="179" t="s">
        <v>2234</v>
      </c>
      <c r="D5" s="142" t="s">
        <v>2219</v>
      </c>
      <c r="E5" s="179" t="s">
        <v>2220</v>
      </c>
      <c r="F5" s="142" t="s">
        <v>2221</v>
      </c>
      <c r="G5" s="196" t="s">
        <v>2222</v>
      </c>
      <c r="H5" s="142" t="s">
        <v>2223</v>
      </c>
      <c r="I5" s="179" t="s">
        <v>2224</v>
      </c>
      <c r="J5" s="142" t="s">
        <v>2225</v>
      </c>
      <c r="K5" s="179" t="s">
        <v>2226</v>
      </c>
      <c r="L5" s="142" t="s">
        <v>2227</v>
      </c>
      <c r="M5" s="936"/>
      <c r="N5" s="142" t="s">
        <v>393</v>
      </c>
    </row>
    <row r="6" spans="1:14" ht="15" customHeight="1">
      <c r="A6" s="165"/>
      <c r="B6" s="166" t="s">
        <v>2077</v>
      </c>
      <c r="C6" s="362"/>
      <c r="D6" s="142"/>
      <c r="E6" s="179"/>
      <c r="F6" s="142"/>
      <c r="G6" s="196"/>
      <c r="H6" s="142"/>
      <c r="I6" s="179"/>
      <c r="J6" s="142"/>
      <c r="K6" s="179"/>
      <c r="L6" s="142"/>
      <c r="M6" s="936"/>
      <c r="N6" s="142" t="s">
        <v>2228</v>
      </c>
    </row>
    <row r="7" spans="1:14" ht="16" customHeight="1">
      <c r="A7" s="167"/>
      <c r="B7" s="168"/>
      <c r="C7" s="180"/>
      <c r="D7" s="145"/>
      <c r="E7" s="180"/>
      <c r="F7" s="145"/>
      <c r="G7" s="198"/>
      <c r="H7" s="145"/>
      <c r="I7" s="180"/>
      <c r="J7" s="145"/>
      <c r="K7" s="180"/>
      <c r="L7" s="145"/>
      <c r="M7" s="937"/>
      <c r="N7" s="938"/>
    </row>
    <row r="8" spans="1:14" ht="30" customHeight="1" thickBot="1">
      <c r="A8" s="689" t="s">
        <v>510</v>
      </c>
      <c r="B8" s="939">
        <v>18.564141910898105</v>
      </c>
      <c r="C8" s="407">
        <v>0.12613928626541648</v>
      </c>
      <c r="D8" s="329">
        <v>1.7283082917389336E-2</v>
      </c>
      <c r="E8" s="407">
        <v>5.3567889652206491E-2</v>
      </c>
      <c r="F8" s="329">
        <v>4.2285244800018162E-2</v>
      </c>
      <c r="G8" s="407">
        <v>4.7316284486187854E-2</v>
      </c>
      <c r="H8" s="329">
        <v>9.6005011232071835E-2</v>
      </c>
      <c r="I8" s="407">
        <v>9.6281939481734691E-2</v>
      </c>
      <c r="J8" s="329">
        <v>4.1094842316341751E-2</v>
      </c>
      <c r="K8" s="407">
        <v>-1.7219707625824143E-2</v>
      </c>
      <c r="L8" s="329">
        <v>3.1235084487890363E-2</v>
      </c>
      <c r="M8" s="940"/>
      <c r="N8" s="329">
        <v>4.1993435640564236E-2</v>
      </c>
    </row>
    <row r="9" spans="1:14" ht="20" customHeight="1" thickBot="1">
      <c r="A9" s="681" t="s">
        <v>511</v>
      </c>
      <c r="B9" s="511">
        <v>12.836830120731035</v>
      </c>
      <c r="C9" s="407">
        <v>8.4661519404469976E-2</v>
      </c>
      <c r="D9" s="331">
        <v>2.0165969347723856E-2</v>
      </c>
      <c r="E9" s="409">
        <v>6.2596032446377459E-2</v>
      </c>
      <c r="F9" s="331">
        <v>2.3618526561313802E-2</v>
      </c>
      <c r="G9" s="409">
        <v>3.5123210416226236E-2</v>
      </c>
      <c r="H9" s="331">
        <v>0.11179436418762267</v>
      </c>
      <c r="I9" s="409">
        <v>0.10447347706410404</v>
      </c>
      <c r="J9" s="331">
        <v>4.5300570027948739E-2</v>
      </c>
      <c r="K9" s="409">
        <v>-2.3621822727721842E-3</v>
      </c>
      <c r="L9" s="331">
        <v>4.0030072228523395E-2</v>
      </c>
      <c r="M9" s="941"/>
      <c r="N9" s="331">
        <v>4.5509488553851174E-2</v>
      </c>
    </row>
    <row r="10" spans="1:14" ht="20" customHeight="1" thickBot="1">
      <c r="A10" s="681" t="s">
        <v>512</v>
      </c>
      <c r="B10" s="511">
        <v>6.6069268493776274</v>
      </c>
      <c r="C10" s="407">
        <v>3.2186125538066657E-2</v>
      </c>
      <c r="D10" s="331">
        <v>3.316686546781189E-2</v>
      </c>
      <c r="E10" s="409">
        <v>4.6381324099404875E-3</v>
      </c>
      <c r="F10" s="331">
        <v>6.0212529182981811E-2</v>
      </c>
      <c r="G10" s="409">
        <v>6.5764257089995448E-2</v>
      </c>
      <c r="H10" s="331">
        <v>0.10566388261851034</v>
      </c>
      <c r="I10" s="409">
        <v>0.11031787690347117</v>
      </c>
      <c r="J10" s="331">
        <v>4.6440172711355698E-2</v>
      </c>
      <c r="K10" s="409">
        <v>2.5441842173848039E-2</v>
      </c>
      <c r="L10" s="331">
        <v>4.6984207296699276E-2</v>
      </c>
      <c r="M10" s="941"/>
      <c r="N10" s="331">
        <v>5.2698661035068595E-2</v>
      </c>
    </row>
    <row r="11" spans="1:14" ht="20" customHeight="1" thickBot="1">
      <c r="A11" s="681" t="s">
        <v>513</v>
      </c>
      <c r="B11" s="511">
        <v>7.820755252009902</v>
      </c>
      <c r="C11" s="407">
        <v>3.083307666763746E-2</v>
      </c>
      <c r="D11" s="331">
        <v>-3.4670766688678079E-3</v>
      </c>
      <c r="E11" s="409">
        <v>-1.1801295510360799E-4</v>
      </c>
      <c r="F11" s="331">
        <v>2.7317397775067809E-2</v>
      </c>
      <c r="G11" s="409">
        <v>4.369930142793943E-2</v>
      </c>
      <c r="H11" s="331">
        <v>0.1050632638389648</v>
      </c>
      <c r="I11" s="409">
        <v>0.11735147608257668</v>
      </c>
      <c r="J11" s="331">
        <v>3.404367553619192E-2</v>
      </c>
      <c r="K11" s="409">
        <v>1.3395054362269176E-2</v>
      </c>
      <c r="L11" s="331">
        <v>2.905034272227125E-2</v>
      </c>
      <c r="M11" s="941"/>
      <c r="N11" s="331">
        <v>3.5510082070931537E-2</v>
      </c>
    </row>
    <row r="12" spans="1:14" ht="20" customHeight="1" thickBot="1">
      <c r="A12" s="681" t="s">
        <v>514</v>
      </c>
      <c r="B12" s="511">
        <v>14.973400295568922</v>
      </c>
      <c r="C12" s="407">
        <v>0.10224118520281511</v>
      </c>
      <c r="D12" s="331">
        <v>-3.4502535590238415E-3</v>
      </c>
      <c r="E12" s="409">
        <v>3.8528361346612527E-4</v>
      </c>
      <c r="F12" s="331">
        <v>2.2815600618118381E-2</v>
      </c>
      <c r="G12" s="409">
        <v>5.8456809060352777E-2</v>
      </c>
      <c r="H12" s="331">
        <v>0.11904119253527545</v>
      </c>
      <c r="I12" s="409">
        <v>0.11720340601419488</v>
      </c>
      <c r="J12" s="331">
        <v>4.2530587814679777E-2</v>
      </c>
      <c r="K12" s="409">
        <v>2.1788401845617145E-2</v>
      </c>
      <c r="L12" s="331">
        <v>3.0732787445885146E-2</v>
      </c>
      <c r="M12" s="941"/>
      <c r="N12" s="331">
        <v>3.9731001674455646E-2</v>
      </c>
    </row>
    <row r="13" spans="1:14" ht="20" customHeight="1" thickBot="1">
      <c r="A13" s="681" t="s">
        <v>515</v>
      </c>
      <c r="B13" s="511">
        <v>9.3736923415335411</v>
      </c>
      <c r="C13" s="407">
        <v>6.0469299368311802E-2</v>
      </c>
      <c r="D13" s="331">
        <v>-2.4609929035263267E-2</v>
      </c>
      <c r="E13" s="409">
        <v>7.8705022165241889E-3</v>
      </c>
      <c r="F13" s="331">
        <v>3.1280714236347817E-2</v>
      </c>
      <c r="G13" s="409">
        <v>4.8151080823984893E-2</v>
      </c>
      <c r="H13" s="331">
        <v>7.5986150234741645E-2</v>
      </c>
      <c r="I13" s="409">
        <v>7.4472571400272525E-2</v>
      </c>
      <c r="J13" s="331">
        <v>3.8362773577829801E-2</v>
      </c>
      <c r="K13" s="409">
        <v>1.6753968897946114E-2</v>
      </c>
      <c r="L13" s="331">
        <v>3.1470088596893042E-2</v>
      </c>
      <c r="M13" s="941"/>
      <c r="N13" s="331">
        <v>2.6971950020344249E-2</v>
      </c>
    </row>
    <row r="14" spans="1:14" ht="20" customHeight="1" thickBot="1">
      <c r="A14" s="681" t="s">
        <v>516</v>
      </c>
      <c r="B14" s="511">
        <v>8.846570768398653</v>
      </c>
      <c r="C14" s="407">
        <v>5.1072667046455855E-2</v>
      </c>
      <c r="D14" s="331">
        <v>-2.4192148537220182E-2</v>
      </c>
      <c r="E14" s="409">
        <v>-1.2452960740645169E-2</v>
      </c>
      <c r="F14" s="331">
        <v>2.9177214725371048E-2</v>
      </c>
      <c r="G14" s="409">
        <v>4.8664257112716491E-2</v>
      </c>
      <c r="H14" s="331">
        <v>8.6302273850716871E-2</v>
      </c>
      <c r="I14" s="409">
        <v>9.9315181474975089E-2</v>
      </c>
      <c r="J14" s="331">
        <v>3.6490981307357062E-2</v>
      </c>
      <c r="K14" s="409">
        <v>1.6257049676010826E-2</v>
      </c>
      <c r="L14" s="331">
        <v>2.9259378172192152E-2</v>
      </c>
      <c r="M14" s="941"/>
      <c r="N14" s="331">
        <v>2.7680197613451751E-2</v>
      </c>
    </row>
    <row r="15" spans="1:14" ht="20" customHeight="1" thickBot="1">
      <c r="A15" s="681" t="s">
        <v>517</v>
      </c>
      <c r="B15" s="511">
        <v>11.446087130050357</v>
      </c>
      <c r="C15" s="407">
        <v>0.10059931954872159</v>
      </c>
      <c r="D15" s="331">
        <v>-1.8920832356148498E-3</v>
      </c>
      <c r="E15" s="409">
        <v>4.2592583856871036E-2</v>
      </c>
      <c r="F15" s="331">
        <v>2.2440662814367629E-2</v>
      </c>
      <c r="G15" s="409">
        <v>7.289910608457939E-2</v>
      </c>
      <c r="H15" s="331">
        <v>0.1209049671127238</v>
      </c>
      <c r="I15" s="409">
        <v>0.1377742524893415</v>
      </c>
      <c r="J15" s="331">
        <v>4.6957474355143969E-2</v>
      </c>
      <c r="K15" s="409">
        <v>-7.747143747337093E-3</v>
      </c>
      <c r="L15" s="331">
        <v>3.7235268086209583E-2</v>
      </c>
      <c r="M15" s="941"/>
      <c r="N15" s="331">
        <v>4.5856307277915231E-2</v>
      </c>
    </row>
    <row r="16" spans="1:14" ht="20" customHeight="1" thickBot="1">
      <c r="A16" s="681" t="s">
        <v>518</v>
      </c>
      <c r="B16" s="511">
        <v>12.542560922614735</v>
      </c>
      <c r="C16" s="407">
        <v>8.0245446324829217E-2</v>
      </c>
      <c r="D16" s="331">
        <v>-4.01559994832561E-2</v>
      </c>
      <c r="E16" s="409">
        <v>6.1958434998199419E-3</v>
      </c>
      <c r="F16" s="331">
        <v>3.680856497843199E-2</v>
      </c>
      <c r="G16" s="409">
        <v>5.4489427947484126E-2</v>
      </c>
      <c r="H16" s="331">
        <v>0.1103929719797887</v>
      </c>
      <c r="I16" s="409">
        <v>0.13039162495907131</v>
      </c>
      <c r="J16" s="331">
        <v>5.1957631120965297E-2</v>
      </c>
      <c r="K16" s="409">
        <v>1.4619531008674302E-2</v>
      </c>
      <c r="L16" s="331">
        <v>4.034043322027836E-2</v>
      </c>
      <c r="M16" s="941"/>
      <c r="N16" s="331">
        <v>3.5143886219785259E-2</v>
      </c>
    </row>
    <row r="17" spans="1:14" ht="20" customHeight="1" thickBot="1">
      <c r="A17" s="681" t="s">
        <v>519</v>
      </c>
      <c r="B17" s="511">
        <v>8.8373538196876229</v>
      </c>
      <c r="C17" s="407">
        <v>6.716363944691861E-2</v>
      </c>
      <c r="D17" s="331">
        <v>-6.3798541050443802E-3</v>
      </c>
      <c r="E17" s="409">
        <v>5.3788102637408741E-4</v>
      </c>
      <c r="F17" s="331">
        <v>4.4517439262414138E-2</v>
      </c>
      <c r="G17" s="409">
        <v>3.8205847556253447E-2</v>
      </c>
      <c r="H17" s="331">
        <v>7.8475755446240303E-2</v>
      </c>
      <c r="I17" s="409">
        <v>6.3482824657532522E-2</v>
      </c>
      <c r="J17" s="331">
        <v>1.7556409433573616E-2</v>
      </c>
      <c r="K17" s="409">
        <v>1.3593503945286134E-2</v>
      </c>
      <c r="L17" s="331">
        <v>2.3992317228497928E-2</v>
      </c>
      <c r="M17" s="941"/>
      <c r="N17" s="331">
        <v>2.6392182651675311E-2</v>
      </c>
    </row>
    <row r="18" spans="1:14" ht="20" customHeight="1" thickBot="1">
      <c r="A18" s="681" t="s">
        <v>520</v>
      </c>
      <c r="B18" s="511">
        <v>27.585057067168677</v>
      </c>
      <c r="C18" s="407">
        <v>0.13621630771097482</v>
      </c>
      <c r="D18" s="331">
        <v>3.2962298122038103E-2</v>
      </c>
      <c r="E18" s="409">
        <v>3.2066786424240767E-2</v>
      </c>
      <c r="F18" s="331">
        <v>4.5122896354125031E-2</v>
      </c>
      <c r="G18" s="409">
        <v>3.8499185497250732E-2</v>
      </c>
      <c r="H18" s="331">
        <v>6.3167911162167467E-2</v>
      </c>
      <c r="I18" s="409">
        <v>0.10626613788838535</v>
      </c>
      <c r="J18" s="331">
        <v>5.2414987170792848E-2</v>
      </c>
      <c r="K18" s="409">
        <v>5.0401751622224378E-3</v>
      </c>
      <c r="L18" s="331">
        <v>3.2089250103851663E-2</v>
      </c>
      <c r="M18" s="941"/>
      <c r="N18" s="331">
        <v>4.3758306208550035E-2</v>
      </c>
    </row>
    <row r="19" spans="1:14" ht="20" customHeight="1" thickBot="1">
      <c r="A19" s="681" t="s">
        <v>521</v>
      </c>
      <c r="B19" s="511">
        <v>18.780035833461632</v>
      </c>
      <c r="C19" s="407">
        <v>0.15152715969927022</v>
      </c>
      <c r="D19" s="331">
        <v>6.3784939377496075E-2</v>
      </c>
      <c r="E19" s="409">
        <v>8.814225210306792E-2</v>
      </c>
      <c r="F19" s="331">
        <v>4.8534452581654453E-2</v>
      </c>
      <c r="G19" s="409">
        <v>5.461595280726339E-2</v>
      </c>
      <c r="H19" s="331">
        <v>9.1749339672477559E-2</v>
      </c>
      <c r="I19" s="409">
        <v>9.1308457544135413E-2</v>
      </c>
      <c r="J19" s="331">
        <v>5.6692266116635359E-2</v>
      </c>
      <c r="K19" s="409">
        <v>9.4805236373913804E-3</v>
      </c>
      <c r="L19" s="331">
        <v>2.9241355074770992E-2</v>
      </c>
      <c r="M19" s="941"/>
      <c r="N19" s="331">
        <v>5.9425580516656584E-2</v>
      </c>
    </row>
    <row r="20" spans="1:14" ht="20" customHeight="1" thickBot="1">
      <c r="A20" s="681" t="s">
        <v>522</v>
      </c>
      <c r="B20" s="511">
        <v>20.178584325587163</v>
      </c>
      <c r="C20" s="407">
        <v>0.138313161853306</v>
      </c>
      <c r="D20" s="331">
        <v>3.4240738085979494E-2</v>
      </c>
      <c r="E20" s="409">
        <v>2.179035127816098E-2</v>
      </c>
      <c r="F20" s="331">
        <v>4.032286465580337E-2</v>
      </c>
      <c r="G20" s="409">
        <v>4.4793124043180477E-2</v>
      </c>
      <c r="H20" s="331">
        <v>0.10369291882556131</v>
      </c>
      <c r="I20" s="409">
        <v>0.1092020789993462</v>
      </c>
      <c r="J20" s="331">
        <v>3.7354203626436933E-2</v>
      </c>
      <c r="K20" s="409">
        <v>1.7938598609399392E-3</v>
      </c>
      <c r="L20" s="331">
        <v>3.01640234673477E-2</v>
      </c>
      <c r="M20" s="941"/>
      <c r="N20" s="331">
        <v>4.5267452156775745E-2</v>
      </c>
    </row>
    <row r="21" spans="1:14" ht="20" customHeight="1" thickBot="1">
      <c r="A21" s="681" t="s">
        <v>523</v>
      </c>
      <c r="B21" s="511">
        <v>19.60074449994876</v>
      </c>
      <c r="C21" s="407">
        <v>0.16213627024850141</v>
      </c>
      <c r="D21" s="331">
        <v>8.7858815556003389E-3</v>
      </c>
      <c r="E21" s="409">
        <v>6.8426358801706444E-2</v>
      </c>
      <c r="F21" s="331">
        <v>4.2218072987187938E-2</v>
      </c>
      <c r="G21" s="409">
        <v>4.3380376883878524E-2</v>
      </c>
      <c r="H21" s="331">
        <v>0.15353735127755019</v>
      </c>
      <c r="I21" s="409">
        <v>9.5365448431956601E-2</v>
      </c>
      <c r="J21" s="331">
        <v>4.4426726889202905E-2</v>
      </c>
      <c r="K21" s="409">
        <v>9.9963844953321335E-4</v>
      </c>
      <c r="L21" s="331">
        <v>3.2950109840636843E-2</v>
      </c>
      <c r="M21" s="941"/>
      <c r="N21" s="331">
        <v>4.899297361384769E-2</v>
      </c>
    </row>
    <row r="22" spans="1:14" ht="20" customHeight="1" thickBot="1">
      <c r="A22" s="681" t="s">
        <v>2047</v>
      </c>
      <c r="B22" s="511">
        <v>14.372369124565839</v>
      </c>
      <c r="C22" s="407">
        <v>0.11530248290676592</v>
      </c>
      <c r="D22" s="331">
        <v>-1.8493216889254538E-2</v>
      </c>
      <c r="E22" s="409">
        <v>-3.817419724564397E-4</v>
      </c>
      <c r="F22" s="331">
        <v>2.12300041910638E-2</v>
      </c>
      <c r="G22" s="409">
        <v>6.6258000043982967E-2</v>
      </c>
      <c r="H22" s="331">
        <v>0.11118348848603632</v>
      </c>
      <c r="I22" s="409">
        <v>0.11140467356621708</v>
      </c>
      <c r="J22" s="331">
        <v>3.9442065585620467E-2</v>
      </c>
      <c r="K22" s="409">
        <v>5.3285499608286546E-3</v>
      </c>
      <c r="L22" s="331">
        <v>5.0546128404863389E-2</v>
      </c>
      <c r="M22" s="941"/>
      <c r="N22" s="331">
        <v>3.5806921767384203E-2</v>
      </c>
    </row>
    <row r="23" spans="1:14" ht="20" customHeight="1" thickBot="1">
      <c r="A23" s="681" t="s">
        <v>2048</v>
      </c>
      <c r="B23" s="511">
        <v>9.7170391822978619</v>
      </c>
      <c r="C23" s="407">
        <v>6.6714528046374566E-2</v>
      </c>
      <c r="D23" s="331">
        <v>-4.7070167962549814E-2</v>
      </c>
      <c r="E23" s="409">
        <v>-6.8124898139803047E-3</v>
      </c>
      <c r="F23" s="331">
        <v>1.2389676573199004E-2</v>
      </c>
      <c r="G23" s="409">
        <v>8.3151105604106323E-2</v>
      </c>
      <c r="H23" s="331">
        <v>8.6975942261427575E-2</v>
      </c>
      <c r="I23" s="409">
        <v>0.10099161981291949</v>
      </c>
      <c r="J23" s="331">
        <v>4.6895420128490795E-2</v>
      </c>
      <c r="K23" s="409">
        <v>1.6189044430119592E-2</v>
      </c>
      <c r="L23" s="331">
        <v>6.6981422991322592E-2</v>
      </c>
      <c r="M23" s="941"/>
      <c r="N23" s="331">
        <v>2.996589975228936E-2</v>
      </c>
    </row>
    <row r="24" spans="1:14" ht="20" customHeight="1" thickBot="1">
      <c r="A24" s="681" t="s">
        <v>2049</v>
      </c>
      <c r="B24" s="511">
        <v>14.982537020422754</v>
      </c>
      <c r="C24" s="407">
        <v>0.11141672230009814</v>
      </c>
      <c r="D24" s="331">
        <v>1.7338083036648744E-3</v>
      </c>
      <c r="E24" s="409">
        <v>1.6772858426073123E-2</v>
      </c>
      <c r="F24" s="331">
        <v>3.2467068406517363E-2</v>
      </c>
      <c r="G24" s="409">
        <v>6.0280026344810889E-2</v>
      </c>
      <c r="H24" s="331">
        <v>0.10211878760864734</v>
      </c>
      <c r="I24" s="409">
        <v>8.8047072650345948E-2</v>
      </c>
      <c r="J24" s="331">
        <v>6.2331501697388658E-2</v>
      </c>
      <c r="K24" s="409">
        <v>1.6066182557774367E-2</v>
      </c>
      <c r="L24" s="331">
        <v>5.7099603581243441E-2</v>
      </c>
      <c r="M24" s="941"/>
      <c r="N24" s="331">
        <v>4.332579602146458E-2</v>
      </c>
    </row>
    <row r="25" spans="1:14" ht="20" customHeight="1" thickBot="1">
      <c r="A25" s="681" t="s">
        <v>2050</v>
      </c>
      <c r="B25" s="511">
        <v>20.239827486851979</v>
      </c>
      <c r="C25" s="407">
        <v>0.1752339201546198</v>
      </c>
      <c r="D25" s="331">
        <v>-5.2904920086517371E-2</v>
      </c>
      <c r="E25" s="409">
        <v>6.6067375410814311E-3</v>
      </c>
      <c r="F25" s="331">
        <v>5.2314213213464855E-2</v>
      </c>
      <c r="G25" s="409">
        <v>7.597413206719339E-2</v>
      </c>
      <c r="H25" s="331">
        <v>0.1485791442599953</v>
      </c>
      <c r="I25" s="409">
        <v>0.13132285917907338</v>
      </c>
      <c r="J25" s="331">
        <v>5.387350243171829E-2</v>
      </c>
      <c r="K25" s="409">
        <v>-7.7751097469775932E-3</v>
      </c>
      <c r="L25" s="331">
        <v>6.0509232100102839E-2</v>
      </c>
      <c r="M25" s="941"/>
      <c r="N25" s="331">
        <v>3.9502362067660446E-2</v>
      </c>
    </row>
    <row r="26" spans="1:14" ht="20" customHeight="1" thickBot="1">
      <c r="A26" s="681" t="s">
        <v>2051</v>
      </c>
      <c r="B26" s="511">
        <v>39.932145771844702</v>
      </c>
      <c r="C26" s="407">
        <v>0.12738686957185741</v>
      </c>
      <c r="D26" s="331">
        <v>2.1695729537204E-2</v>
      </c>
      <c r="E26" s="409">
        <v>5.455744603067969E-2</v>
      </c>
      <c r="F26" s="331">
        <v>5.5486576672084675E-2</v>
      </c>
      <c r="G26" s="409">
        <v>8.0707287477506329E-2</v>
      </c>
      <c r="H26" s="331">
        <v>0.11291598860862484</v>
      </c>
      <c r="I26" s="409">
        <v>0.10050529190226087</v>
      </c>
      <c r="J26" s="331">
        <v>4.7339722227435432E-2</v>
      </c>
      <c r="K26" s="409">
        <v>-4.8257255930357346E-3</v>
      </c>
      <c r="L26" s="331">
        <v>3.8779874275271409E-2</v>
      </c>
      <c r="M26" s="941"/>
      <c r="N26" s="331">
        <v>5.2310479367747575E-2</v>
      </c>
    </row>
    <row r="27" spans="1:14" ht="20" customHeight="1" thickBot="1">
      <c r="A27" s="681" t="s">
        <v>2052</v>
      </c>
      <c r="B27" s="511">
        <v>21.265011996428591</v>
      </c>
      <c r="C27" s="407">
        <v>0.1676621855725855</v>
      </c>
      <c r="D27" s="331">
        <v>1.1034176563049725E-2</v>
      </c>
      <c r="E27" s="409">
        <v>5.7278567625996812E-2</v>
      </c>
      <c r="F27" s="331">
        <v>3.6154533575816883E-2</v>
      </c>
      <c r="G27" s="409">
        <v>9.5401796502837533E-2</v>
      </c>
      <c r="H27" s="331">
        <v>0.13567640755893229</v>
      </c>
      <c r="I27" s="409">
        <v>0.11145177733592004</v>
      </c>
      <c r="J27" s="331">
        <v>4.5974249308587289E-2</v>
      </c>
      <c r="K27" s="409">
        <v>-9.3293318021441252E-3</v>
      </c>
      <c r="L27" s="331">
        <v>3.7685374247871106E-2</v>
      </c>
      <c r="M27" s="941"/>
      <c r="N27" s="331">
        <v>5.2296268480789276E-2</v>
      </c>
    </row>
    <row r="28" spans="1:14" ht="20" customHeight="1" thickBot="1">
      <c r="A28" s="681" t="s">
        <v>2053</v>
      </c>
      <c r="B28" s="511">
        <v>13.54847017723973</v>
      </c>
      <c r="C28" s="407">
        <v>9.6996879816964254E-2</v>
      </c>
      <c r="D28" s="331">
        <v>-5.0173861220899618E-2</v>
      </c>
      <c r="E28" s="409">
        <v>9.1303680061645132E-3</v>
      </c>
      <c r="F28" s="331">
        <v>1.3729789078972265E-2</v>
      </c>
      <c r="G28" s="409">
        <v>2.9811515021332502E-2</v>
      </c>
      <c r="H28" s="331">
        <v>8.7795178983833599E-2</v>
      </c>
      <c r="I28" s="409">
        <v>8.0625430834586842E-2</v>
      </c>
      <c r="J28" s="331">
        <v>6.3009693931303623E-2</v>
      </c>
      <c r="K28" s="409">
        <v>-2.1437363101131424E-2</v>
      </c>
      <c r="L28" s="331">
        <v>2.2943477260016332E-2</v>
      </c>
      <c r="M28" s="941"/>
      <c r="N28" s="331">
        <v>1.7446370232970576E-2</v>
      </c>
    </row>
    <row r="29" spans="1:14" ht="20" customHeight="1" thickBot="1">
      <c r="A29" s="681" t="s">
        <v>2054</v>
      </c>
      <c r="B29" s="511">
        <v>5.6528857976264577</v>
      </c>
      <c r="C29" s="407">
        <v>4.2577198700370467E-2</v>
      </c>
      <c r="D29" s="331">
        <v>-3.1674891039939701E-2</v>
      </c>
      <c r="E29" s="409">
        <v>6.6521633049316797E-3</v>
      </c>
      <c r="F29" s="331">
        <v>1.3936727713255159E-2</v>
      </c>
      <c r="G29" s="409">
        <v>1.9181260224441221E-2</v>
      </c>
      <c r="H29" s="331">
        <v>6.1886535364796158E-2</v>
      </c>
      <c r="I29" s="409">
        <v>7.0898827778237861E-2</v>
      </c>
      <c r="J29" s="331">
        <v>1.5424385740139046E-2</v>
      </c>
      <c r="K29" s="409">
        <v>-6.6716848495746994E-3</v>
      </c>
      <c r="L29" s="331">
        <v>2.6288587676540853E-2</v>
      </c>
      <c r="M29" s="941"/>
      <c r="N29" s="331">
        <v>1.3916186511718109E-2</v>
      </c>
    </row>
    <row r="30" spans="1:14" ht="20" customHeight="1" thickBot="1">
      <c r="A30" s="681" t="s">
        <v>2055</v>
      </c>
      <c r="B30" s="511">
        <v>3.7035638425072577</v>
      </c>
      <c r="C30" s="407">
        <v>5.0049093300743586E-3</v>
      </c>
      <c r="D30" s="331">
        <v>-6.1647206055557069E-2</v>
      </c>
      <c r="E30" s="409">
        <v>-1.1378291113068872E-3</v>
      </c>
      <c r="F30" s="331">
        <v>4.2504041588571351E-3</v>
      </c>
      <c r="G30" s="409">
        <v>2.4654715220043366E-2</v>
      </c>
      <c r="H30" s="331">
        <v>6.9873172740374745E-2</v>
      </c>
      <c r="I30" s="409">
        <v>8.5281198004608427E-2</v>
      </c>
      <c r="J30" s="331">
        <v>5.416642211306022E-2</v>
      </c>
      <c r="K30" s="409">
        <v>1.7634359235510599E-2</v>
      </c>
      <c r="L30" s="331">
        <v>4.4333751534793908E-2</v>
      </c>
      <c r="M30" s="941"/>
      <c r="N30" s="331">
        <v>1.645282173185203E-2</v>
      </c>
    </row>
    <row r="31" spans="1:14" ht="20" customHeight="1" thickBot="1">
      <c r="A31" s="681" t="s">
        <v>2056</v>
      </c>
      <c r="B31" s="511">
        <v>15.046312872791335</v>
      </c>
      <c r="C31" s="407">
        <v>0.12216343354785519</v>
      </c>
      <c r="D31" s="331">
        <v>3.5279473702240383E-2</v>
      </c>
      <c r="E31" s="409">
        <v>4.4176602427136835E-2</v>
      </c>
      <c r="F31" s="331">
        <v>3.0015640020961243E-2</v>
      </c>
      <c r="G31" s="409">
        <v>7.4347165943386972E-3</v>
      </c>
      <c r="H31" s="331">
        <v>9.7827068764568814E-2</v>
      </c>
      <c r="I31" s="409">
        <v>8.3628857333005069E-2</v>
      </c>
      <c r="J31" s="331">
        <v>2.6247818764145281E-2</v>
      </c>
      <c r="K31" s="409">
        <v>1.7017408592714389E-3</v>
      </c>
      <c r="L31" s="331">
        <v>2.2338539505659449E-2</v>
      </c>
      <c r="M31" s="941"/>
      <c r="N31" s="331">
        <v>3.799432746318665E-2</v>
      </c>
    </row>
    <row r="32" spans="1:14" ht="20" customHeight="1" thickBot="1">
      <c r="A32" s="681" t="s">
        <v>2057</v>
      </c>
      <c r="B32" s="511">
        <v>12.485817879128669</v>
      </c>
      <c r="C32" s="407">
        <v>7.124157591061886E-2</v>
      </c>
      <c r="D32" s="331">
        <v>-3.7020633600539643E-3</v>
      </c>
      <c r="E32" s="409">
        <v>-5.0194045573236368E-3</v>
      </c>
      <c r="F32" s="331">
        <v>5.0791100376236908E-2</v>
      </c>
      <c r="G32" s="409">
        <v>3.607996960216231E-2</v>
      </c>
      <c r="H32" s="331">
        <v>6.8425702358118068E-2</v>
      </c>
      <c r="I32" s="409">
        <v>6.2611298620396161E-2</v>
      </c>
      <c r="J32" s="331">
        <v>2.6102048507148146E-2</v>
      </c>
      <c r="K32" s="409">
        <v>2.0362647197860184E-2</v>
      </c>
      <c r="L32" s="331">
        <v>1.530281146647483E-2</v>
      </c>
      <c r="M32" s="941"/>
      <c r="N32" s="331">
        <v>2.6398996582507106E-2</v>
      </c>
    </row>
    <row r="33" spans="1:16" ht="20" customHeight="1" thickBot="1">
      <c r="A33" s="681" t="s">
        <v>2058</v>
      </c>
      <c r="B33" s="511">
        <v>9.0627478151873397</v>
      </c>
      <c r="C33" s="407">
        <v>7.7840050190767895E-2</v>
      </c>
      <c r="D33" s="331">
        <v>6.4923365814118172E-2</v>
      </c>
      <c r="E33" s="409">
        <v>-2.2560190173200878E-3</v>
      </c>
      <c r="F33" s="331">
        <v>4.6643260502769568E-2</v>
      </c>
      <c r="G33" s="409">
        <v>8.4426183150968281E-2</v>
      </c>
      <c r="H33" s="331">
        <v>8.0979527794381445E-2</v>
      </c>
      <c r="I33" s="409">
        <v>5.8529440835287661E-2</v>
      </c>
      <c r="J33" s="331">
        <v>2.673105131409037E-2</v>
      </c>
      <c r="K33" s="409">
        <v>1.6529141853240725E-2</v>
      </c>
      <c r="L33" s="331">
        <v>2.4390404405154387E-2</v>
      </c>
      <c r="M33" s="941"/>
      <c r="N33" s="331">
        <v>4.6216812429701548E-2</v>
      </c>
      <c r="O33" s="10"/>
      <c r="P33" s="10"/>
    </row>
    <row r="34" spans="1:16" ht="30" customHeight="1" thickBot="1">
      <c r="A34" s="187" t="s">
        <v>2059</v>
      </c>
      <c r="B34" s="942">
        <v>13.174684544924284</v>
      </c>
      <c r="C34" s="411">
        <v>8.6558371467537087E-2</v>
      </c>
      <c r="D34" s="413">
        <v>-1.0572539845860041E-3</v>
      </c>
      <c r="E34" s="411">
        <v>2.9894240130652117E-2</v>
      </c>
      <c r="F34" s="413">
        <v>3.4211541752752428E-2</v>
      </c>
      <c r="G34" s="411">
        <v>4.4891246139302288E-2</v>
      </c>
      <c r="H34" s="413">
        <v>9.502150910667817E-2</v>
      </c>
      <c r="I34" s="752">
        <v>9.2867046772754813E-2</v>
      </c>
      <c r="J34" s="737">
        <v>4.1302788065023632E-2</v>
      </c>
      <c r="K34" s="752">
        <v>1.6022342784003385E-3</v>
      </c>
      <c r="L34" s="737">
        <v>3.4900225940295959E-2</v>
      </c>
      <c r="M34" s="943"/>
      <c r="N34" s="737">
        <v>3.6743944482921176E-2</v>
      </c>
    </row>
    <row r="35" spans="1:16" ht="20" customHeight="1">
      <c r="A35" s="155" t="s">
        <v>1674</v>
      </c>
      <c r="B35" s="489"/>
      <c r="C35" s="743"/>
      <c r="D35" s="743"/>
      <c r="E35" s="743"/>
      <c r="F35" s="743"/>
      <c r="G35" s="743"/>
      <c r="H35" s="944"/>
    </row>
    <row r="36" spans="1:16" ht="11.25" customHeight="1">
      <c r="A36" s="4"/>
      <c r="B36" s="491"/>
      <c r="C36" s="744"/>
      <c r="D36" s="744"/>
      <c r="E36" s="744"/>
      <c r="F36" s="744"/>
      <c r="G36" s="744"/>
      <c r="H36" s="945"/>
    </row>
    <row r="37" spans="1:16" ht="20" customHeight="1">
      <c r="A37" s="4" t="s">
        <v>2229</v>
      </c>
      <c r="B37" s="491"/>
      <c r="C37" s="744"/>
      <c r="D37" s="744"/>
      <c r="E37" s="744"/>
      <c r="F37" s="744"/>
      <c r="G37" s="744"/>
      <c r="H37" s="945"/>
    </row>
    <row r="38" spans="1:16" ht="13.5" customHeight="1">
      <c r="A38" s="4"/>
      <c r="B38" s="491"/>
      <c r="C38" s="744"/>
      <c r="D38" s="744"/>
      <c r="E38" s="744"/>
      <c r="F38" s="744"/>
      <c r="G38" s="744"/>
      <c r="H38" s="945"/>
    </row>
    <row r="39" spans="1:16" ht="12.75" customHeight="1">
      <c r="A39" s="4" t="s">
        <v>2230</v>
      </c>
      <c r="B39" s="491"/>
      <c r="C39" s="744"/>
      <c r="D39" s="744"/>
      <c r="E39" s="744"/>
      <c r="F39" s="744"/>
      <c r="G39" s="744"/>
      <c r="H39" s="945"/>
    </row>
    <row r="40" spans="1:16">
      <c r="A40" s="946" t="s">
        <v>2231</v>
      </c>
    </row>
    <row r="43" spans="1:16">
      <c r="A43" s="2" t="s">
        <v>104</v>
      </c>
    </row>
  </sheetData>
  <phoneticPr fontId="0" type="noConversion"/>
  <pageMargins left="0.53" right="0.51" top="0.9" bottom="0.49" header="0.56000000000000005" footer="0.4921259845"/>
  <pageSetup paperSize="9" scale="70" orientation="portrait" horizontalDpi="4294967292" verticalDpi="4294967292"/>
  <headerFooter alignWithMargins="0">
    <oddHeader>&amp;L&amp;"Arial,Bold"Prämientarife in der OKP</oddHead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A301B-3656-8C4E-B494-5CCD681D2DCB}">
  <sheetPr>
    <pageSetUpPr fitToPage="1"/>
  </sheetPr>
  <dimension ref="A1:F42"/>
  <sheetViews>
    <sheetView topLeftCell="A21" zoomScale="75" workbookViewId="0">
      <selection activeCell="A40" sqref="A40"/>
    </sheetView>
  </sheetViews>
  <sheetFormatPr baseColWidth="10" defaultColWidth="11.3984375" defaultRowHeight="13"/>
  <cols>
    <col min="1" max="1" width="13.19921875" style="2" customWidth="1"/>
    <col min="2" max="2" width="15.19921875" style="2" customWidth="1"/>
    <col min="3" max="3" width="14.19921875" style="2" customWidth="1"/>
    <col min="4" max="4" width="15.59765625" style="2" customWidth="1"/>
    <col min="5" max="5" width="15.19921875" style="2" customWidth="1"/>
    <col min="6" max="6" width="14.19921875" style="2" customWidth="1"/>
    <col min="7" max="7" width="17.59765625" style="2" customWidth="1"/>
    <col min="8" max="16384" width="11.3984375" style="2"/>
  </cols>
  <sheetData>
    <row r="1" spans="1:6" s="1" customFormat="1" ht="14" customHeight="1">
      <c r="A1" s="591"/>
      <c r="B1" s="591"/>
      <c r="C1" s="591"/>
      <c r="D1" s="591"/>
      <c r="E1" s="591"/>
      <c r="F1" s="591"/>
    </row>
    <row r="2" spans="1:6" s="1" customFormat="1" ht="18.75" customHeight="1">
      <c r="A2" s="592" t="s">
        <v>2016</v>
      </c>
      <c r="B2" s="591"/>
      <c r="C2" s="591"/>
      <c r="D2" s="591"/>
      <c r="E2" s="591"/>
      <c r="F2" s="591"/>
    </row>
    <row r="3" spans="1:6" s="1" customFormat="1" ht="24" customHeight="1">
      <c r="A3" s="592" t="s">
        <v>1415</v>
      </c>
      <c r="B3" s="591"/>
      <c r="C3" s="591"/>
      <c r="D3" s="591"/>
      <c r="E3" s="591"/>
      <c r="F3" s="591"/>
    </row>
    <row r="4" spans="1:6" ht="24" customHeight="1">
      <c r="A4" s="139" t="s">
        <v>503</v>
      </c>
      <c r="B4" s="928">
        <v>0.05</v>
      </c>
      <c r="C4" s="964">
        <v>0.25</v>
      </c>
      <c r="D4" s="928">
        <v>0.5</v>
      </c>
      <c r="E4" s="964">
        <v>0.25</v>
      </c>
      <c r="F4" s="928">
        <v>0.05</v>
      </c>
    </row>
    <row r="5" spans="1:6" ht="73.5" customHeight="1">
      <c r="A5" s="165"/>
      <c r="B5" s="965" t="s">
        <v>2012</v>
      </c>
      <c r="C5" s="966" t="s">
        <v>2012</v>
      </c>
      <c r="D5" s="965" t="s">
        <v>2013</v>
      </c>
      <c r="E5" s="966" t="s">
        <v>2014</v>
      </c>
      <c r="F5" s="965" t="s">
        <v>2014</v>
      </c>
    </row>
    <row r="6" spans="1:6" ht="16" customHeight="1">
      <c r="A6" s="167"/>
      <c r="B6" s="168"/>
      <c r="C6" s="147"/>
      <c r="D6" s="168"/>
      <c r="E6" s="147"/>
      <c r="F6" s="146"/>
    </row>
    <row r="7" spans="1:6" ht="30" customHeight="1" thickBot="1">
      <c r="A7" s="689" t="s">
        <v>510</v>
      </c>
      <c r="B7" s="330">
        <v>254.6</v>
      </c>
      <c r="C7" s="381">
        <v>274</v>
      </c>
      <c r="D7" s="330">
        <v>295</v>
      </c>
      <c r="E7" s="381">
        <v>332.2</v>
      </c>
      <c r="F7" s="330">
        <v>376</v>
      </c>
    </row>
    <row r="8" spans="1:6" ht="20" customHeight="1" thickBot="1">
      <c r="A8" s="681" t="s">
        <v>511</v>
      </c>
      <c r="B8" s="153">
        <v>250.785</v>
      </c>
      <c r="C8" s="228">
        <v>274.8</v>
      </c>
      <c r="D8" s="153">
        <v>293</v>
      </c>
      <c r="E8" s="228">
        <v>321.64999999999998</v>
      </c>
      <c r="F8" s="153">
        <v>355.69499999999999</v>
      </c>
    </row>
    <row r="9" spans="1:6" ht="20" customHeight="1" thickBot="1">
      <c r="A9" s="681" t="s">
        <v>512</v>
      </c>
      <c r="B9" s="153">
        <v>215</v>
      </c>
      <c r="C9" s="228">
        <v>225</v>
      </c>
      <c r="D9" s="153">
        <v>240</v>
      </c>
      <c r="E9" s="228">
        <v>255</v>
      </c>
      <c r="F9" s="153">
        <v>285</v>
      </c>
    </row>
    <row r="10" spans="1:6" ht="20" customHeight="1" thickBot="1">
      <c r="A10" s="681" t="s">
        <v>513</v>
      </c>
      <c r="B10" s="153">
        <v>205.48</v>
      </c>
      <c r="C10" s="228">
        <v>208</v>
      </c>
      <c r="D10" s="153">
        <v>218.7</v>
      </c>
      <c r="E10" s="228">
        <v>226.8</v>
      </c>
      <c r="F10" s="153">
        <v>241.45</v>
      </c>
    </row>
    <row r="11" spans="1:6" ht="20" customHeight="1" thickBot="1">
      <c r="A11" s="681" t="s">
        <v>514</v>
      </c>
      <c r="B11" s="153">
        <v>217.58</v>
      </c>
      <c r="C11" s="228">
        <v>230</v>
      </c>
      <c r="D11" s="153">
        <v>241.8</v>
      </c>
      <c r="E11" s="228">
        <v>251.9</v>
      </c>
      <c r="F11" s="153">
        <v>278.98</v>
      </c>
    </row>
    <row r="12" spans="1:6" ht="20" customHeight="1" thickBot="1">
      <c r="A12" s="681" t="s">
        <v>515</v>
      </c>
      <c r="B12" s="153">
        <v>197.85</v>
      </c>
      <c r="C12" s="228">
        <v>205</v>
      </c>
      <c r="D12" s="153">
        <v>210.8</v>
      </c>
      <c r="E12" s="228">
        <v>217.95</v>
      </c>
      <c r="F12" s="153">
        <v>240.15</v>
      </c>
    </row>
    <row r="13" spans="1:6" ht="20" customHeight="1" thickBot="1">
      <c r="A13" s="681" t="s">
        <v>516</v>
      </c>
      <c r="B13" s="153">
        <v>188.95500000000001</v>
      </c>
      <c r="C13" s="228">
        <v>199</v>
      </c>
      <c r="D13" s="153">
        <v>202.9</v>
      </c>
      <c r="E13" s="228">
        <v>213.85</v>
      </c>
      <c r="F13" s="153">
        <v>235.05</v>
      </c>
    </row>
    <row r="14" spans="1:6" ht="20" customHeight="1" thickBot="1">
      <c r="A14" s="681" t="s">
        <v>517</v>
      </c>
      <c r="B14" s="153">
        <v>226.6</v>
      </c>
      <c r="C14" s="228">
        <v>231</v>
      </c>
      <c r="D14" s="153">
        <v>238</v>
      </c>
      <c r="E14" s="228">
        <v>248.5</v>
      </c>
      <c r="F14" s="153">
        <v>271.2</v>
      </c>
    </row>
    <row r="15" spans="1:6" ht="20" customHeight="1" thickBot="1">
      <c r="A15" s="681" t="s">
        <v>518</v>
      </c>
      <c r="B15" s="153">
        <v>216.755</v>
      </c>
      <c r="C15" s="228">
        <v>227</v>
      </c>
      <c r="D15" s="153">
        <v>235.15</v>
      </c>
      <c r="E15" s="228">
        <v>247.8</v>
      </c>
      <c r="F15" s="153">
        <v>266.2</v>
      </c>
    </row>
    <row r="16" spans="1:6" ht="20" customHeight="1" thickBot="1">
      <c r="A16" s="681" t="s">
        <v>519</v>
      </c>
      <c r="B16" s="153">
        <v>250.1</v>
      </c>
      <c r="C16" s="228">
        <v>269.95</v>
      </c>
      <c r="D16" s="153">
        <v>283.89999999999998</v>
      </c>
      <c r="E16" s="228">
        <v>299</v>
      </c>
      <c r="F16" s="153">
        <v>327</v>
      </c>
    </row>
    <row r="17" spans="1:6" ht="20" customHeight="1" thickBot="1">
      <c r="A17" s="681" t="s">
        <v>520</v>
      </c>
      <c r="B17" s="153">
        <v>246.745</v>
      </c>
      <c r="C17" s="228">
        <v>258</v>
      </c>
      <c r="D17" s="153">
        <v>267.8</v>
      </c>
      <c r="E17" s="228">
        <v>283.39999999999998</v>
      </c>
      <c r="F17" s="153">
        <v>298.2</v>
      </c>
    </row>
    <row r="18" spans="1:6" ht="20" customHeight="1" thickBot="1">
      <c r="A18" s="681" t="s">
        <v>521</v>
      </c>
      <c r="B18" s="153">
        <v>364.2</v>
      </c>
      <c r="C18" s="228">
        <v>384.5</v>
      </c>
      <c r="D18" s="153">
        <v>404.5</v>
      </c>
      <c r="E18" s="228">
        <v>417.25</v>
      </c>
      <c r="F18" s="153">
        <v>439.435</v>
      </c>
    </row>
    <row r="19" spans="1:6" ht="20" customHeight="1" thickBot="1">
      <c r="A19" s="681" t="s">
        <v>522</v>
      </c>
      <c r="B19" s="153">
        <v>266</v>
      </c>
      <c r="C19" s="228">
        <v>286.8</v>
      </c>
      <c r="D19" s="153">
        <v>298</v>
      </c>
      <c r="E19" s="228">
        <v>311.92500000000001</v>
      </c>
      <c r="F19" s="153">
        <v>342</v>
      </c>
    </row>
    <row r="20" spans="1:6" ht="20" customHeight="1" thickBot="1">
      <c r="A20" s="681" t="s">
        <v>523</v>
      </c>
      <c r="B20" s="153">
        <v>254</v>
      </c>
      <c r="C20" s="228">
        <v>266</v>
      </c>
      <c r="D20" s="153">
        <v>283.35000000000002</v>
      </c>
      <c r="E20" s="228">
        <v>299.82499999999999</v>
      </c>
      <c r="F20" s="153">
        <v>334.35</v>
      </c>
    </row>
    <row r="21" spans="1:6" ht="20" customHeight="1" thickBot="1">
      <c r="A21" s="681" t="s">
        <v>2047</v>
      </c>
      <c r="B21" s="153">
        <v>201.28</v>
      </c>
      <c r="C21" s="228">
        <v>209</v>
      </c>
      <c r="D21" s="153">
        <v>217.8</v>
      </c>
      <c r="E21" s="228">
        <v>227.8</v>
      </c>
      <c r="F21" s="153">
        <v>251.6</v>
      </c>
    </row>
    <row r="22" spans="1:6" ht="20" customHeight="1" thickBot="1">
      <c r="A22" s="681" t="s">
        <v>2048</v>
      </c>
      <c r="B22" s="153">
        <v>187</v>
      </c>
      <c r="C22" s="228">
        <v>187.25</v>
      </c>
      <c r="D22" s="153">
        <v>195</v>
      </c>
      <c r="E22" s="228">
        <v>207.47499999999999</v>
      </c>
      <c r="F22" s="153">
        <v>220</v>
      </c>
    </row>
    <row r="23" spans="1:6" ht="20" customHeight="1" thickBot="1">
      <c r="A23" s="681" t="s">
        <v>2049</v>
      </c>
      <c r="B23" s="153">
        <v>216.1</v>
      </c>
      <c r="C23" s="228">
        <v>229.4</v>
      </c>
      <c r="D23" s="153">
        <v>240.8</v>
      </c>
      <c r="E23" s="228">
        <v>252.5</v>
      </c>
      <c r="F23" s="153">
        <v>280</v>
      </c>
    </row>
    <row r="24" spans="1:6" ht="20" customHeight="1" thickBot="1">
      <c r="A24" s="681" t="s">
        <v>2050</v>
      </c>
      <c r="B24" s="153">
        <v>212.3</v>
      </c>
      <c r="C24" s="228">
        <v>235</v>
      </c>
      <c r="D24" s="153">
        <v>244</v>
      </c>
      <c r="E24" s="228">
        <v>255.8</v>
      </c>
      <c r="F24" s="153">
        <v>279</v>
      </c>
    </row>
    <row r="25" spans="1:6" ht="20" customHeight="1" thickBot="1">
      <c r="A25" s="681" t="s">
        <v>2051</v>
      </c>
      <c r="B25" s="153">
        <v>240.81</v>
      </c>
      <c r="C25" s="228">
        <v>247.1</v>
      </c>
      <c r="D25" s="153">
        <v>265.3</v>
      </c>
      <c r="E25" s="228">
        <v>270.77499999999998</v>
      </c>
      <c r="F25" s="153">
        <v>287.97500000000002</v>
      </c>
    </row>
    <row r="26" spans="1:6" ht="20" customHeight="1" thickBot="1">
      <c r="A26" s="681" t="s">
        <v>2052</v>
      </c>
      <c r="B26" s="153">
        <v>251.6</v>
      </c>
      <c r="C26" s="228">
        <v>265</v>
      </c>
      <c r="D26" s="153">
        <v>275</v>
      </c>
      <c r="E26" s="228">
        <v>287</v>
      </c>
      <c r="F26" s="153">
        <v>305.8</v>
      </c>
    </row>
    <row r="27" spans="1:6" ht="20" customHeight="1" thickBot="1">
      <c r="A27" s="681" t="s">
        <v>2053</v>
      </c>
      <c r="B27" s="153">
        <v>315.25</v>
      </c>
      <c r="C27" s="228">
        <v>328.57499999999999</v>
      </c>
      <c r="D27" s="153">
        <v>342.35</v>
      </c>
      <c r="E27" s="228">
        <v>359.875</v>
      </c>
      <c r="F27" s="153">
        <v>382.25</v>
      </c>
    </row>
    <row r="28" spans="1:6" ht="20" customHeight="1" thickBot="1">
      <c r="A28" s="681" t="s">
        <v>2054</v>
      </c>
      <c r="B28" s="153">
        <v>331.7</v>
      </c>
      <c r="C28" s="228">
        <v>353.95</v>
      </c>
      <c r="D28" s="153">
        <v>372.8</v>
      </c>
      <c r="E28" s="228">
        <v>392</v>
      </c>
      <c r="F28" s="153">
        <v>419.1</v>
      </c>
    </row>
    <row r="29" spans="1:6" ht="20" customHeight="1" thickBot="1">
      <c r="A29" s="681" t="s">
        <v>2055</v>
      </c>
      <c r="B29" s="153">
        <v>195.6</v>
      </c>
      <c r="C29" s="228">
        <v>226.8</v>
      </c>
      <c r="D29" s="153">
        <v>240.3</v>
      </c>
      <c r="E29" s="228">
        <v>260</v>
      </c>
      <c r="F29" s="153">
        <v>281.8</v>
      </c>
    </row>
    <row r="30" spans="1:6" ht="20" customHeight="1" thickBot="1">
      <c r="A30" s="681" t="s">
        <v>2056</v>
      </c>
      <c r="B30" s="153">
        <v>330.185</v>
      </c>
      <c r="C30" s="228">
        <v>355.45</v>
      </c>
      <c r="D30" s="153">
        <v>365.9</v>
      </c>
      <c r="E30" s="228">
        <v>389.75</v>
      </c>
      <c r="F30" s="153">
        <v>419.55</v>
      </c>
    </row>
    <row r="31" spans="1:6" ht="20" customHeight="1" thickBot="1">
      <c r="A31" s="681" t="s">
        <v>2057</v>
      </c>
      <c r="B31" s="153">
        <v>405.4</v>
      </c>
      <c r="C31" s="228">
        <v>421.9</v>
      </c>
      <c r="D31" s="153">
        <v>440.8</v>
      </c>
      <c r="E31" s="228">
        <v>460.25</v>
      </c>
      <c r="F31" s="153">
        <v>484.5</v>
      </c>
    </row>
    <row r="32" spans="1:6" ht="20" customHeight="1" thickBot="1">
      <c r="A32" s="681" t="s">
        <v>2058</v>
      </c>
      <c r="B32" s="153">
        <v>305.89999999999998</v>
      </c>
      <c r="C32" s="228">
        <v>323</v>
      </c>
      <c r="D32" s="153">
        <v>336.15</v>
      </c>
      <c r="E32" s="228">
        <v>354.27499999999998</v>
      </c>
      <c r="F32" s="153">
        <v>372.95</v>
      </c>
    </row>
    <row r="33" spans="1:6" ht="30" customHeight="1" thickBot="1">
      <c r="A33" s="187" t="s">
        <v>2059</v>
      </c>
      <c r="B33" s="392">
        <v>206.5</v>
      </c>
      <c r="C33" s="393">
        <v>237</v>
      </c>
      <c r="D33" s="392">
        <v>267</v>
      </c>
      <c r="E33" s="393">
        <v>319.8</v>
      </c>
      <c r="F33" s="392">
        <v>399.9</v>
      </c>
    </row>
    <row r="34" spans="1:6" ht="20" customHeight="1">
      <c r="A34" s="155" t="s">
        <v>1674</v>
      </c>
      <c r="B34" s="967"/>
      <c r="C34" s="967"/>
      <c r="D34" s="967"/>
      <c r="E34" s="967"/>
      <c r="F34" s="967"/>
    </row>
    <row r="35" spans="1:6" ht="12.75" customHeight="1">
      <c r="A35" s="4"/>
      <c r="B35" s="968"/>
      <c r="C35" s="968"/>
      <c r="D35" s="968"/>
      <c r="E35" s="968"/>
      <c r="F35" s="968"/>
    </row>
    <row r="36" spans="1:6" ht="15.75" customHeight="1">
      <c r="A36" s="4" t="s">
        <v>2242</v>
      </c>
      <c r="B36" s="968"/>
      <c r="C36" s="968"/>
      <c r="D36" s="968"/>
      <c r="E36" s="968"/>
      <c r="F36" s="968"/>
    </row>
    <row r="37" spans="1:6" ht="13.5" customHeight="1">
      <c r="A37" s="4"/>
      <c r="B37" s="968"/>
      <c r="C37" s="968"/>
      <c r="D37" s="968"/>
      <c r="E37" s="968"/>
      <c r="F37" s="968"/>
    </row>
    <row r="38" spans="1:6" ht="12.75" customHeight="1">
      <c r="A38" s="4" t="s">
        <v>2230</v>
      </c>
      <c r="B38" s="968"/>
      <c r="C38" s="968"/>
      <c r="D38" s="968"/>
      <c r="E38" s="968"/>
      <c r="F38" s="968"/>
    </row>
    <row r="39" spans="1:6">
      <c r="A39" s="2" t="s">
        <v>2015</v>
      </c>
      <c r="B39" s="394"/>
      <c r="C39" s="394"/>
      <c r="D39" s="394"/>
      <c r="E39" s="394"/>
      <c r="F39" s="394"/>
    </row>
    <row r="40" spans="1:6">
      <c r="B40" s="394"/>
      <c r="C40" s="394"/>
      <c r="D40" s="394"/>
      <c r="E40" s="394"/>
      <c r="F40" s="394"/>
    </row>
    <row r="41" spans="1:6">
      <c r="B41" s="394"/>
      <c r="C41" s="394"/>
      <c r="D41" s="394"/>
      <c r="E41" s="394"/>
      <c r="F41" s="394"/>
    </row>
    <row r="42" spans="1:6">
      <c r="A42" s="2" t="s">
        <v>104</v>
      </c>
      <c r="B42" s="394"/>
      <c r="C42" s="394"/>
      <c r="D42" s="394"/>
      <c r="E42" s="394"/>
      <c r="F42" s="394"/>
    </row>
  </sheetData>
  <phoneticPr fontId="0" type="noConversion"/>
  <pageMargins left="0.67" right="0.6" top="0.87" bottom="0.47244094488188981" header="0.57999999999999996" footer="0.51181102362204722"/>
  <pageSetup paperSize="9" scale="86" orientation="portrait" horizontalDpi="1200" verticalDpi="1200"/>
  <headerFooter alignWithMargins="0">
    <oddHeader>&amp;L&amp;"Arial,Bold"Prämientarife in der OKP</oddHead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9BEFE-B54D-7F4C-8CDD-23297E4BE3C4}">
  <sheetPr>
    <pageSetUpPr fitToPage="1"/>
  </sheetPr>
  <dimension ref="A1:G42"/>
  <sheetViews>
    <sheetView topLeftCell="A36" zoomScale="75" workbookViewId="0">
      <selection activeCell="A40" sqref="A40"/>
    </sheetView>
  </sheetViews>
  <sheetFormatPr baseColWidth="10" defaultColWidth="11.3984375" defaultRowHeight="13"/>
  <cols>
    <col min="1" max="1" width="11.19921875" style="2" customWidth="1"/>
    <col min="2" max="2" width="13.19921875" style="2" customWidth="1"/>
    <col min="3" max="3" width="15.19921875" style="2" customWidth="1"/>
    <col min="4" max="4" width="14.19921875" style="2" customWidth="1"/>
    <col min="5" max="5" width="15.59765625" style="2" customWidth="1"/>
    <col min="6" max="6" width="15.19921875" style="2" customWidth="1"/>
    <col min="7" max="7" width="16.19921875" style="2" customWidth="1"/>
    <col min="8" max="8" width="11.3984375" style="2"/>
    <col min="9" max="9" width="6.796875" style="2" customWidth="1"/>
    <col min="10" max="16384" width="11.3984375" style="2"/>
  </cols>
  <sheetData>
    <row r="1" spans="1:6" s="1" customFormat="1" ht="14" customHeight="1">
      <c r="A1" s="591"/>
      <c r="B1" s="591"/>
      <c r="C1" s="591"/>
      <c r="D1" s="591"/>
      <c r="E1" s="591"/>
      <c r="F1" s="591"/>
    </row>
    <row r="2" spans="1:6" s="1" customFormat="1" ht="18.75" customHeight="1">
      <c r="A2" s="592" t="s">
        <v>2017</v>
      </c>
      <c r="B2" s="591"/>
      <c r="C2" s="591"/>
      <c r="D2" s="591"/>
      <c r="E2" s="591"/>
      <c r="F2" s="591"/>
    </row>
    <row r="3" spans="1:6" s="1" customFormat="1" ht="24" customHeight="1">
      <c r="A3" s="592" t="s">
        <v>2019</v>
      </c>
      <c r="B3" s="591"/>
      <c r="C3" s="591"/>
      <c r="D3" s="591"/>
      <c r="E3" s="591"/>
      <c r="F3" s="591"/>
    </row>
    <row r="4" spans="1:6" ht="24" customHeight="1">
      <c r="A4" s="139" t="s">
        <v>503</v>
      </c>
      <c r="B4" s="928">
        <v>0.05</v>
      </c>
      <c r="C4" s="964">
        <v>0.25</v>
      </c>
      <c r="D4" s="928">
        <v>0.5</v>
      </c>
      <c r="E4" s="964">
        <v>0.25</v>
      </c>
      <c r="F4" s="928">
        <v>0.05</v>
      </c>
    </row>
    <row r="5" spans="1:6" ht="73.5" customHeight="1">
      <c r="A5" s="165"/>
      <c r="B5" s="965" t="s">
        <v>2012</v>
      </c>
      <c r="C5" s="966" t="s">
        <v>2012</v>
      </c>
      <c r="D5" s="965" t="s">
        <v>2013</v>
      </c>
      <c r="E5" s="966" t="s">
        <v>2014</v>
      </c>
      <c r="F5" s="965" t="s">
        <v>2014</v>
      </c>
    </row>
    <row r="6" spans="1:6" ht="16" customHeight="1">
      <c r="A6" s="167"/>
      <c r="B6" s="168"/>
      <c r="C6" s="147"/>
      <c r="D6" s="168"/>
      <c r="E6" s="147"/>
      <c r="F6" s="146"/>
    </row>
    <row r="7" spans="1:6" ht="30" customHeight="1" thickBot="1">
      <c r="A7" s="689" t="s">
        <v>510</v>
      </c>
      <c r="B7" s="330">
        <v>201.6</v>
      </c>
      <c r="C7" s="381">
        <v>229</v>
      </c>
      <c r="D7" s="330">
        <v>251</v>
      </c>
      <c r="E7" s="381">
        <v>280.5</v>
      </c>
      <c r="F7" s="330">
        <v>329.52</v>
      </c>
    </row>
    <row r="8" spans="1:6" ht="20" customHeight="1" thickBot="1">
      <c r="A8" s="681" t="s">
        <v>511</v>
      </c>
      <c r="B8" s="153">
        <v>199.94</v>
      </c>
      <c r="C8" s="228">
        <v>227.95</v>
      </c>
      <c r="D8" s="153">
        <v>250.45</v>
      </c>
      <c r="E8" s="228">
        <v>273.625</v>
      </c>
      <c r="F8" s="153">
        <v>313.08</v>
      </c>
    </row>
    <row r="9" spans="1:6" ht="20" customHeight="1" thickBot="1">
      <c r="A9" s="681" t="s">
        <v>512</v>
      </c>
      <c r="B9" s="153">
        <v>168.45</v>
      </c>
      <c r="C9" s="228">
        <v>185.6</v>
      </c>
      <c r="D9" s="153">
        <v>201.45</v>
      </c>
      <c r="E9" s="228">
        <v>217.15</v>
      </c>
      <c r="F9" s="153">
        <v>240.9</v>
      </c>
    </row>
    <row r="10" spans="1:6" ht="20" customHeight="1" thickBot="1">
      <c r="A10" s="681" t="s">
        <v>513</v>
      </c>
      <c r="B10" s="153">
        <v>156.4</v>
      </c>
      <c r="C10" s="228">
        <v>166.4</v>
      </c>
      <c r="D10" s="153">
        <v>186.3</v>
      </c>
      <c r="E10" s="228">
        <v>201.47499999999999</v>
      </c>
      <c r="F10" s="153">
        <v>217</v>
      </c>
    </row>
    <row r="11" spans="1:6" ht="20" customHeight="1" thickBot="1">
      <c r="A11" s="681" t="s">
        <v>514</v>
      </c>
      <c r="B11" s="153">
        <v>177.9</v>
      </c>
      <c r="C11" s="228">
        <v>186.45</v>
      </c>
      <c r="D11" s="153">
        <v>205</v>
      </c>
      <c r="E11" s="228">
        <v>226.65</v>
      </c>
      <c r="F11" s="153">
        <v>248.06</v>
      </c>
    </row>
    <row r="12" spans="1:6" ht="20" customHeight="1" thickBot="1">
      <c r="A12" s="681" t="s">
        <v>515</v>
      </c>
      <c r="B12" s="153">
        <v>152.88999999999999</v>
      </c>
      <c r="C12" s="228">
        <v>164.875</v>
      </c>
      <c r="D12" s="153">
        <v>181.85</v>
      </c>
      <c r="E12" s="228">
        <v>192.77500000000001</v>
      </c>
      <c r="F12" s="153">
        <v>201.70500000000001</v>
      </c>
    </row>
    <row r="13" spans="1:6" ht="20" customHeight="1" thickBot="1">
      <c r="A13" s="681" t="s">
        <v>516</v>
      </c>
      <c r="B13" s="153">
        <v>149.6</v>
      </c>
      <c r="C13" s="228">
        <v>159.80000000000001</v>
      </c>
      <c r="D13" s="153">
        <v>174.7</v>
      </c>
      <c r="E13" s="228">
        <v>187.125</v>
      </c>
      <c r="F13" s="153">
        <v>210.31</v>
      </c>
    </row>
    <row r="14" spans="1:6" ht="20" customHeight="1" thickBot="1">
      <c r="A14" s="681" t="s">
        <v>517</v>
      </c>
      <c r="B14" s="153">
        <v>176.18</v>
      </c>
      <c r="C14" s="228">
        <v>184.8</v>
      </c>
      <c r="D14" s="153">
        <v>200.1</v>
      </c>
      <c r="E14" s="228">
        <v>221</v>
      </c>
      <c r="F14" s="153">
        <v>233.56</v>
      </c>
    </row>
    <row r="15" spans="1:6" ht="20" customHeight="1" thickBot="1">
      <c r="A15" s="681" t="s">
        <v>518</v>
      </c>
      <c r="B15" s="153">
        <v>175.9</v>
      </c>
      <c r="C15" s="228">
        <v>181.6</v>
      </c>
      <c r="D15" s="153">
        <v>196.5</v>
      </c>
      <c r="E15" s="228">
        <v>213.35</v>
      </c>
      <c r="F15" s="153">
        <v>233.24</v>
      </c>
    </row>
    <row r="16" spans="1:6" ht="20" customHeight="1" thickBot="1">
      <c r="A16" s="681" t="s">
        <v>519</v>
      </c>
      <c r="B16" s="153">
        <v>199.21</v>
      </c>
      <c r="C16" s="228">
        <v>216</v>
      </c>
      <c r="D16" s="153">
        <v>239.6</v>
      </c>
      <c r="E16" s="228">
        <v>262.32499999999999</v>
      </c>
      <c r="F16" s="153">
        <v>295.18</v>
      </c>
    </row>
    <row r="17" spans="1:6" ht="20" customHeight="1" thickBot="1">
      <c r="A17" s="681" t="s">
        <v>520</v>
      </c>
      <c r="B17" s="153">
        <v>196.63</v>
      </c>
      <c r="C17" s="228">
        <v>213.07499999999999</v>
      </c>
      <c r="D17" s="153">
        <v>227.2</v>
      </c>
      <c r="E17" s="228">
        <v>238.72499999999999</v>
      </c>
      <c r="F17" s="153">
        <v>277.04500000000002</v>
      </c>
    </row>
    <row r="18" spans="1:6" ht="20" customHeight="1" thickBot="1">
      <c r="A18" s="681" t="s">
        <v>521</v>
      </c>
      <c r="B18" s="153">
        <v>287.7</v>
      </c>
      <c r="C18" s="228">
        <v>318.42500000000001</v>
      </c>
      <c r="D18" s="153">
        <v>334.45</v>
      </c>
      <c r="E18" s="228">
        <v>361.3</v>
      </c>
      <c r="F18" s="153">
        <v>401.47</v>
      </c>
    </row>
    <row r="19" spans="1:6" ht="20" customHeight="1" thickBot="1">
      <c r="A19" s="681" t="s">
        <v>522</v>
      </c>
      <c r="B19" s="153">
        <v>205.5</v>
      </c>
      <c r="C19" s="228">
        <v>232.97499999999999</v>
      </c>
      <c r="D19" s="153">
        <v>254.75</v>
      </c>
      <c r="E19" s="228">
        <v>272.05</v>
      </c>
      <c r="F19" s="153">
        <v>299.45</v>
      </c>
    </row>
    <row r="20" spans="1:6" ht="20" customHeight="1" thickBot="1">
      <c r="A20" s="681" t="s">
        <v>523</v>
      </c>
      <c r="B20" s="153">
        <v>201.55</v>
      </c>
      <c r="C20" s="228">
        <v>218.9</v>
      </c>
      <c r="D20" s="153">
        <v>234.75</v>
      </c>
      <c r="E20" s="228">
        <v>262.10000000000002</v>
      </c>
      <c r="F20" s="153">
        <v>287.18</v>
      </c>
    </row>
    <row r="21" spans="1:6" ht="20" customHeight="1" thickBot="1">
      <c r="A21" s="681" t="s">
        <v>2047</v>
      </c>
      <c r="B21" s="153">
        <v>154.38</v>
      </c>
      <c r="C21" s="228">
        <v>171</v>
      </c>
      <c r="D21" s="153">
        <v>186.3</v>
      </c>
      <c r="E21" s="228">
        <v>197.8</v>
      </c>
      <c r="F21" s="153">
        <v>211.88</v>
      </c>
    </row>
    <row r="22" spans="1:6" ht="20" customHeight="1" thickBot="1">
      <c r="A22" s="681" t="s">
        <v>2048</v>
      </c>
      <c r="B22" s="153">
        <v>140.755</v>
      </c>
      <c r="C22" s="228">
        <v>153.625</v>
      </c>
      <c r="D22" s="153">
        <v>168.3</v>
      </c>
      <c r="E22" s="228">
        <v>179.85</v>
      </c>
      <c r="F22" s="153">
        <v>199.22499999999999</v>
      </c>
    </row>
    <row r="23" spans="1:6" ht="20" customHeight="1" thickBot="1">
      <c r="A23" s="681" t="s">
        <v>2049</v>
      </c>
      <c r="B23" s="153">
        <v>171.01</v>
      </c>
      <c r="C23" s="228">
        <v>186.1</v>
      </c>
      <c r="D23" s="153">
        <v>201.5</v>
      </c>
      <c r="E23" s="228">
        <v>223.8</v>
      </c>
      <c r="F23" s="153">
        <v>249.84</v>
      </c>
    </row>
    <row r="24" spans="1:6" ht="20" customHeight="1" thickBot="1">
      <c r="A24" s="681" t="s">
        <v>2050</v>
      </c>
      <c r="B24" s="153">
        <v>171.405</v>
      </c>
      <c r="C24" s="228">
        <v>188</v>
      </c>
      <c r="D24" s="153">
        <v>206.1</v>
      </c>
      <c r="E24" s="228">
        <v>223.5</v>
      </c>
      <c r="F24" s="153">
        <v>247.79</v>
      </c>
    </row>
    <row r="25" spans="1:6" ht="20" customHeight="1" thickBot="1">
      <c r="A25" s="681" t="s">
        <v>2051</v>
      </c>
      <c r="B25" s="153">
        <v>189.125</v>
      </c>
      <c r="C25" s="228">
        <v>203.7</v>
      </c>
      <c r="D25" s="153">
        <v>220</v>
      </c>
      <c r="E25" s="228">
        <v>241.95</v>
      </c>
      <c r="F25" s="153">
        <v>269.43</v>
      </c>
    </row>
    <row r="26" spans="1:6" ht="20" customHeight="1" thickBot="1">
      <c r="A26" s="681" t="s">
        <v>2052</v>
      </c>
      <c r="B26" s="153">
        <v>192.92</v>
      </c>
      <c r="C26" s="228">
        <v>220</v>
      </c>
      <c r="D26" s="153">
        <v>234.4</v>
      </c>
      <c r="E26" s="228">
        <v>253</v>
      </c>
      <c r="F26" s="153">
        <v>271.48</v>
      </c>
    </row>
    <row r="27" spans="1:6" ht="20" customHeight="1" thickBot="1">
      <c r="A27" s="681" t="s">
        <v>2053</v>
      </c>
      <c r="B27" s="153">
        <v>246.25</v>
      </c>
      <c r="C27" s="228">
        <v>272.8</v>
      </c>
      <c r="D27" s="153">
        <v>292.75</v>
      </c>
      <c r="E27" s="228">
        <v>311.7</v>
      </c>
      <c r="F27" s="153">
        <v>353.375</v>
      </c>
    </row>
    <row r="28" spans="1:6" ht="20" customHeight="1" thickBot="1">
      <c r="A28" s="681" t="s">
        <v>2054</v>
      </c>
      <c r="B28" s="153">
        <v>268.10000000000002</v>
      </c>
      <c r="C28" s="228">
        <v>296.75</v>
      </c>
      <c r="D28" s="153">
        <v>315.39999999999998</v>
      </c>
      <c r="E28" s="228">
        <v>338.2</v>
      </c>
      <c r="F28" s="153">
        <v>376.29</v>
      </c>
    </row>
    <row r="29" spans="1:6" ht="20" customHeight="1" thickBot="1">
      <c r="A29" s="681" t="s">
        <v>2055</v>
      </c>
      <c r="B29" s="153">
        <v>150</v>
      </c>
      <c r="C29" s="228">
        <v>184.8</v>
      </c>
      <c r="D29" s="153">
        <v>201</v>
      </c>
      <c r="E29" s="228">
        <v>219</v>
      </c>
      <c r="F29" s="153">
        <v>259.72000000000003</v>
      </c>
    </row>
    <row r="30" spans="1:6" ht="20" customHeight="1" thickBot="1">
      <c r="A30" s="681" t="s">
        <v>2056</v>
      </c>
      <c r="B30" s="153">
        <v>269.63</v>
      </c>
      <c r="C30" s="228">
        <v>287.2</v>
      </c>
      <c r="D30" s="153">
        <v>320.45</v>
      </c>
      <c r="E30" s="228">
        <v>343.42500000000001</v>
      </c>
      <c r="F30" s="153">
        <v>373.20499999999998</v>
      </c>
    </row>
    <row r="31" spans="1:6" ht="20" customHeight="1" thickBot="1">
      <c r="A31" s="681" t="s">
        <v>2057</v>
      </c>
      <c r="B31" s="153">
        <v>317.35000000000002</v>
      </c>
      <c r="C31" s="228">
        <v>352.6</v>
      </c>
      <c r="D31" s="153">
        <v>379.2</v>
      </c>
      <c r="E31" s="228">
        <v>412.85</v>
      </c>
      <c r="F31" s="153">
        <v>438.4</v>
      </c>
    </row>
    <row r="32" spans="1:6" ht="20" customHeight="1" thickBot="1">
      <c r="A32" s="681" t="s">
        <v>2058</v>
      </c>
      <c r="B32" s="153">
        <v>253.25</v>
      </c>
      <c r="C32" s="228">
        <v>271.2</v>
      </c>
      <c r="D32" s="153">
        <v>288.2</v>
      </c>
      <c r="E32" s="228">
        <v>302.5</v>
      </c>
      <c r="F32" s="153">
        <v>326.27499999999998</v>
      </c>
    </row>
    <row r="33" spans="1:7" ht="30" customHeight="1" thickBot="1">
      <c r="A33" s="187" t="s">
        <v>2059</v>
      </c>
      <c r="B33" s="392">
        <v>166.04</v>
      </c>
      <c r="C33" s="393">
        <v>196.7</v>
      </c>
      <c r="D33" s="392">
        <v>226.2</v>
      </c>
      <c r="E33" s="393">
        <v>271.2</v>
      </c>
      <c r="F33" s="392">
        <v>345.8</v>
      </c>
      <c r="G33" s="4"/>
    </row>
    <row r="34" spans="1:7" ht="20" customHeight="1">
      <c r="A34" s="155" t="s">
        <v>1674</v>
      </c>
      <c r="B34" s="967"/>
      <c r="C34" s="967"/>
      <c r="D34" s="967"/>
      <c r="E34" s="967"/>
      <c r="F34" s="967"/>
      <c r="G34" s="968"/>
    </row>
    <row r="35" spans="1:7" ht="12.75" customHeight="1">
      <c r="A35" s="4"/>
      <c r="B35" s="968"/>
      <c r="C35" s="968"/>
      <c r="D35" s="968"/>
      <c r="E35" s="968"/>
      <c r="F35" s="968"/>
      <c r="G35" s="968"/>
    </row>
    <row r="36" spans="1:7" ht="20" customHeight="1">
      <c r="A36" s="4" t="s">
        <v>2242</v>
      </c>
      <c r="B36" s="968"/>
      <c r="C36" s="968"/>
      <c r="D36" s="968"/>
      <c r="E36" s="968"/>
      <c r="F36" s="968"/>
      <c r="G36" s="968"/>
    </row>
    <row r="37" spans="1:7" ht="14.25" customHeight="1">
      <c r="A37" s="4"/>
      <c r="B37" s="968"/>
      <c r="C37" s="968"/>
      <c r="D37" s="968"/>
      <c r="E37" s="968"/>
      <c r="F37" s="968"/>
      <c r="G37" s="968"/>
    </row>
    <row r="38" spans="1:7" ht="12.75" customHeight="1">
      <c r="A38" s="4" t="s">
        <v>2230</v>
      </c>
      <c r="B38" s="968"/>
      <c r="C38" s="968"/>
      <c r="D38" s="968"/>
      <c r="E38" s="968"/>
      <c r="F38" s="968"/>
      <c r="G38" s="968"/>
    </row>
    <row r="39" spans="1:7">
      <c r="A39" s="2" t="s">
        <v>2015</v>
      </c>
      <c r="B39" s="394"/>
      <c r="C39" s="394"/>
      <c r="D39" s="394"/>
      <c r="E39" s="394"/>
      <c r="F39" s="394"/>
      <c r="G39" s="394"/>
    </row>
    <row r="40" spans="1:7">
      <c r="B40" s="394"/>
      <c r="C40" s="394"/>
      <c r="D40" s="394"/>
      <c r="E40" s="394"/>
      <c r="F40" s="394"/>
      <c r="G40" s="394"/>
    </row>
    <row r="41" spans="1:7">
      <c r="B41" s="394"/>
      <c r="C41" s="394"/>
      <c r="D41" s="394"/>
      <c r="E41" s="394"/>
      <c r="F41" s="394"/>
      <c r="G41" s="394"/>
    </row>
    <row r="42" spans="1:7">
      <c r="A42" s="2" t="s">
        <v>104</v>
      </c>
      <c r="B42" s="394"/>
      <c r="C42" s="394"/>
      <c r="D42" s="394"/>
      <c r="E42" s="394"/>
      <c r="F42" s="394"/>
      <c r="G42" s="394"/>
    </row>
  </sheetData>
  <phoneticPr fontId="0" type="noConversion"/>
  <pageMargins left="0.67" right="0.54" top="0.76" bottom="0.47244094488188981" header="0.49" footer="0.51181102362204722"/>
  <pageSetup paperSize="9" scale="89" orientation="portrait" horizontalDpi="4294967292" verticalDpi="4294967292"/>
  <headerFooter alignWithMargins="0">
    <oddHeader>&amp;L&amp;"Arial,Bold"Prämientarife in der OKP</oddHead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5C6C5-C544-7149-A208-F36DB5CBA7E4}">
  <sheetPr>
    <pageSetUpPr fitToPage="1"/>
  </sheetPr>
  <dimension ref="A1:F42"/>
  <sheetViews>
    <sheetView zoomScale="75" workbookViewId="0">
      <selection sqref="A1:G42"/>
    </sheetView>
  </sheetViews>
  <sheetFormatPr baseColWidth="10" defaultColWidth="11.3984375" defaultRowHeight="13"/>
  <cols>
    <col min="1" max="1" width="11.19921875" style="2" customWidth="1"/>
    <col min="2" max="2" width="15.19921875" style="2" customWidth="1"/>
    <col min="3" max="3" width="14.19921875" style="2" customWidth="1"/>
    <col min="4" max="4" width="15.59765625" style="2" customWidth="1"/>
    <col min="5" max="5" width="15.19921875" style="2" customWidth="1"/>
    <col min="6" max="6" width="14.19921875" style="2" customWidth="1"/>
    <col min="7" max="7" width="15.59765625" style="2" customWidth="1"/>
    <col min="8" max="16384" width="11.3984375" style="2"/>
  </cols>
  <sheetData>
    <row r="1" spans="1:6" s="1" customFormat="1" ht="14" customHeight="1">
      <c r="A1" s="591"/>
      <c r="B1" s="591"/>
      <c r="C1" s="591"/>
      <c r="D1" s="591"/>
      <c r="E1" s="591"/>
      <c r="F1" s="591"/>
    </row>
    <row r="2" spans="1:6" s="1" customFormat="1" ht="18.75" customHeight="1">
      <c r="A2" s="592" t="s">
        <v>2018</v>
      </c>
      <c r="B2" s="591"/>
      <c r="C2" s="591"/>
      <c r="D2" s="591"/>
      <c r="E2" s="591"/>
      <c r="F2" s="591"/>
    </row>
    <row r="3" spans="1:6" s="1" customFormat="1" ht="22.5" customHeight="1">
      <c r="A3" s="592" t="s">
        <v>1413</v>
      </c>
      <c r="B3" s="591"/>
      <c r="C3" s="591"/>
      <c r="D3" s="591"/>
      <c r="E3" s="591"/>
      <c r="F3" s="591"/>
    </row>
    <row r="4" spans="1:6" ht="24" customHeight="1">
      <c r="A4" s="139" t="s">
        <v>503</v>
      </c>
      <c r="B4" s="928">
        <v>0.05</v>
      </c>
      <c r="C4" s="964">
        <v>0.25</v>
      </c>
      <c r="D4" s="928">
        <v>0.5</v>
      </c>
      <c r="E4" s="964">
        <v>0.25</v>
      </c>
      <c r="F4" s="928">
        <v>0.05</v>
      </c>
    </row>
    <row r="5" spans="1:6" ht="73.5" customHeight="1">
      <c r="A5" s="165"/>
      <c r="B5" s="965" t="s">
        <v>2012</v>
      </c>
      <c r="C5" s="966" t="s">
        <v>2012</v>
      </c>
      <c r="D5" s="965" t="s">
        <v>2013</v>
      </c>
      <c r="E5" s="966" t="s">
        <v>2014</v>
      </c>
      <c r="F5" s="965" t="s">
        <v>2014</v>
      </c>
    </row>
    <row r="6" spans="1:6" ht="16" customHeight="1">
      <c r="A6" s="167"/>
      <c r="B6" s="168"/>
      <c r="C6" s="147"/>
      <c r="D6" s="168"/>
      <c r="E6" s="147"/>
      <c r="F6" s="146"/>
    </row>
    <row r="7" spans="1:6" ht="30" customHeight="1" thickBot="1">
      <c r="A7" s="689" t="s">
        <v>510</v>
      </c>
      <c r="B7" s="330">
        <v>53.2</v>
      </c>
      <c r="C7" s="381">
        <v>66.5</v>
      </c>
      <c r="D7" s="330">
        <v>72.3</v>
      </c>
      <c r="E7" s="381">
        <v>81.25</v>
      </c>
      <c r="F7" s="330">
        <v>94</v>
      </c>
    </row>
    <row r="8" spans="1:6" ht="20" customHeight="1" thickBot="1">
      <c r="A8" s="681" t="s">
        <v>511</v>
      </c>
      <c r="B8" s="153">
        <v>53.395000000000003</v>
      </c>
      <c r="C8" s="228">
        <v>66</v>
      </c>
      <c r="D8" s="153">
        <v>71.5</v>
      </c>
      <c r="E8" s="228">
        <v>78</v>
      </c>
      <c r="F8" s="153">
        <v>91.63</v>
      </c>
    </row>
    <row r="9" spans="1:6" ht="20" customHeight="1" thickBot="1">
      <c r="A9" s="681" t="s">
        <v>512</v>
      </c>
      <c r="B9" s="153">
        <v>38.479999999999997</v>
      </c>
      <c r="C9" s="228">
        <v>53.65</v>
      </c>
      <c r="D9" s="153">
        <v>58.8</v>
      </c>
      <c r="E9" s="228">
        <v>62.6</v>
      </c>
      <c r="F9" s="153">
        <v>73.400000000000006</v>
      </c>
    </row>
    <row r="10" spans="1:6" ht="20" customHeight="1" thickBot="1">
      <c r="A10" s="681" t="s">
        <v>513</v>
      </c>
      <c r="B10" s="153">
        <v>41.2</v>
      </c>
      <c r="C10" s="228">
        <v>52</v>
      </c>
      <c r="D10" s="153">
        <v>52.8</v>
      </c>
      <c r="E10" s="228">
        <v>56.825000000000003</v>
      </c>
      <c r="F10" s="153">
        <v>63.075000000000003</v>
      </c>
    </row>
    <row r="11" spans="1:6" ht="20" customHeight="1" thickBot="1">
      <c r="A11" s="681" t="s">
        <v>514</v>
      </c>
      <c r="B11" s="153">
        <v>45.16</v>
      </c>
      <c r="C11" s="228">
        <v>57.5</v>
      </c>
      <c r="D11" s="153">
        <v>58.8</v>
      </c>
      <c r="E11" s="228">
        <v>61.5</v>
      </c>
      <c r="F11" s="153">
        <v>75.19</v>
      </c>
    </row>
    <row r="12" spans="1:6" ht="20" customHeight="1" thickBot="1">
      <c r="A12" s="681" t="s">
        <v>515</v>
      </c>
      <c r="B12" s="153">
        <v>39.799999999999997</v>
      </c>
      <c r="C12" s="228">
        <v>50.4</v>
      </c>
      <c r="D12" s="153">
        <v>51.8</v>
      </c>
      <c r="E12" s="228">
        <v>55</v>
      </c>
      <c r="F12" s="153">
        <v>60.77</v>
      </c>
    </row>
    <row r="13" spans="1:6" ht="20" customHeight="1" thickBot="1">
      <c r="A13" s="681" t="s">
        <v>516</v>
      </c>
      <c r="B13" s="153">
        <v>38.840000000000003</v>
      </c>
      <c r="C13" s="228">
        <v>49.8</v>
      </c>
      <c r="D13" s="153">
        <v>50.8</v>
      </c>
      <c r="E13" s="228">
        <v>53.6</v>
      </c>
      <c r="F13" s="153">
        <v>61.22</v>
      </c>
    </row>
    <row r="14" spans="1:6" ht="20" customHeight="1" thickBot="1">
      <c r="A14" s="681" t="s">
        <v>517</v>
      </c>
      <c r="B14" s="153">
        <v>46.2</v>
      </c>
      <c r="C14" s="228">
        <v>54.8</v>
      </c>
      <c r="D14" s="153">
        <v>57.8</v>
      </c>
      <c r="E14" s="228">
        <v>62</v>
      </c>
      <c r="F14" s="153">
        <v>67.974999999999994</v>
      </c>
    </row>
    <row r="15" spans="1:6" ht="20" customHeight="1" thickBot="1">
      <c r="A15" s="681" t="s">
        <v>518</v>
      </c>
      <c r="B15" s="153">
        <v>44.2</v>
      </c>
      <c r="C15" s="228">
        <v>56.8</v>
      </c>
      <c r="D15" s="153">
        <v>56.9</v>
      </c>
      <c r="E15" s="228">
        <v>60.237499999999997</v>
      </c>
      <c r="F15" s="153">
        <v>68.974999999999994</v>
      </c>
    </row>
    <row r="16" spans="1:6" ht="20" customHeight="1" thickBot="1">
      <c r="A16" s="681" t="s">
        <v>519</v>
      </c>
      <c r="B16" s="153">
        <v>54.95</v>
      </c>
      <c r="C16" s="228">
        <v>66.8</v>
      </c>
      <c r="D16" s="153">
        <v>70.400000000000006</v>
      </c>
      <c r="E16" s="228">
        <v>74.05</v>
      </c>
      <c r="F16" s="153">
        <v>92.665000000000006</v>
      </c>
    </row>
    <row r="17" spans="1:6" ht="20" customHeight="1" thickBot="1">
      <c r="A17" s="681" t="s">
        <v>520</v>
      </c>
      <c r="B17" s="153">
        <v>50.35</v>
      </c>
      <c r="C17" s="228">
        <v>63.8</v>
      </c>
      <c r="D17" s="153">
        <v>65</v>
      </c>
      <c r="E17" s="228">
        <v>70.724999999999994</v>
      </c>
      <c r="F17" s="153">
        <v>77</v>
      </c>
    </row>
    <row r="18" spans="1:6" ht="20" customHeight="1" thickBot="1">
      <c r="A18" s="681" t="s">
        <v>521</v>
      </c>
      <c r="B18" s="153">
        <v>79.36</v>
      </c>
      <c r="C18" s="228">
        <v>86.8</v>
      </c>
      <c r="D18" s="153">
        <v>96</v>
      </c>
      <c r="E18" s="228">
        <v>103.3</v>
      </c>
      <c r="F18" s="153">
        <v>115.05</v>
      </c>
    </row>
    <row r="19" spans="1:6" ht="20" customHeight="1" thickBot="1">
      <c r="A19" s="681" t="s">
        <v>522</v>
      </c>
      <c r="B19" s="153">
        <v>58.4</v>
      </c>
      <c r="C19" s="228">
        <v>69.8</v>
      </c>
      <c r="D19" s="153">
        <v>74.5</v>
      </c>
      <c r="E19" s="228">
        <v>78.25</v>
      </c>
      <c r="F19" s="153">
        <v>87.075000000000003</v>
      </c>
    </row>
    <row r="20" spans="1:6" ht="20" customHeight="1" thickBot="1">
      <c r="A20" s="681" t="s">
        <v>523</v>
      </c>
      <c r="B20" s="153">
        <v>53.755000000000003</v>
      </c>
      <c r="C20" s="228">
        <v>62.8</v>
      </c>
      <c r="D20" s="153">
        <v>67.8</v>
      </c>
      <c r="E20" s="228">
        <v>72.625</v>
      </c>
      <c r="F20" s="153">
        <v>81.2</v>
      </c>
    </row>
    <row r="21" spans="1:6" ht="20" customHeight="1" thickBot="1">
      <c r="A21" s="681" t="s">
        <v>2047</v>
      </c>
      <c r="B21" s="153">
        <v>42</v>
      </c>
      <c r="C21" s="228">
        <v>51.8</v>
      </c>
      <c r="D21" s="153">
        <v>51.8</v>
      </c>
      <c r="E21" s="228">
        <v>56.7</v>
      </c>
      <c r="F21" s="153">
        <v>62.56</v>
      </c>
    </row>
    <row r="22" spans="1:6" ht="20" customHeight="1" thickBot="1">
      <c r="A22" s="681" t="s">
        <v>2048</v>
      </c>
      <c r="B22" s="153">
        <v>37.4</v>
      </c>
      <c r="C22" s="228">
        <v>47</v>
      </c>
      <c r="D22" s="153">
        <v>50.8</v>
      </c>
      <c r="E22" s="228">
        <v>51.7</v>
      </c>
      <c r="F22" s="153">
        <v>57.774999999999999</v>
      </c>
    </row>
    <row r="23" spans="1:6" ht="20" customHeight="1" thickBot="1">
      <c r="A23" s="681" t="s">
        <v>2049</v>
      </c>
      <c r="B23" s="153">
        <v>46</v>
      </c>
      <c r="C23" s="228">
        <v>55.524999999999999</v>
      </c>
      <c r="D23" s="153">
        <v>59</v>
      </c>
      <c r="E23" s="228">
        <v>62.45</v>
      </c>
      <c r="F23" s="153">
        <v>74.23</v>
      </c>
    </row>
    <row r="24" spans="1:6" ht="20" customHeight="1" thickBot="1">
      <c r="A24" s="681" t="s">
        <v>2050</v>
      </c>
      <c r="B24" s="153">
        <v>47.4</v>
      </c>
      <c r="C24" s="228">
        <v>56</v>
      </c>
      <c r="D24" s="153">
        <v>59</v>
      </c>
      <c r="E24" s="228">
        <v>62.4</v>
      </c>
      <c r="F24" s="153">
        <v>74.599999999999994</v>
      </c>
    </row>
    <row r="25" spans="1:6" ht="20" customHeight="1" thickBot="1">
      <c r="A25" s="681" t="s">
        <v>2051</v>
      </c>
      <c r="B25" s="153">
        <v>48.12</v>
      </c>
      <c r="C25" s="228">
        <v>61.5</v>
      </c>
      <c r="D25" s="153">
        <v>62.8</v>
      </c>
      <c r="E25" s="228">
        <v>67.7</v>
      </c>
      <c r="F25" s="153">
        <v>75.239999999999995</v>
      </c>
    </row>
    <row r="26" spans="1:6" ht="20" customHeight="1" thickBot="1">
      <c r="A26" s="681" t="s">
        <v>2052</v>
      </c>
      <c r="B26" s="153">
        <v>53</v>
      </c>
      <c r="C26" s="228">
        <v>61.8</v>
      </c>
      <c r="D26" s="153">
        <v>65.099999999999994</v>
      </c>
      <c r="E26" s="228">
        <v>71</v>
      </c>
      <c r="F26" s="153">
        <v>78.02</v>
      </c>
    </row>
    <row r="27" spans="1:6" ht="20" customHeight="1" thickBot="1">
      <c r="A27" s="681" t="s">
        <v>2053</v>
      </c>
      <c r="B27" s="153">
        <v>68.2</v>
      </c>
      <c r="C27" s="228">
        <v>80.8</v>
      </c>
      <c r="D27" s="153">
        <v>84.8</v>
      </c>
      <c r="E27" s="228">
        <v>88.85</v>
      </c>
      <c r="F27" s="153">
        <v>99.935000000000002</v>
      </c>
    </row>
    <row r="28" spans="1:6" ht="20" customHeight="1" thickBot="1">
      <c r="A28" s="681" t="s">
        <v>2054</v>
      </c>
      <c r="B28" s="153">
        <v>77.8</v>
      </c>
      <c r="C28" s="228">
        <v>88.85</v>
      </c>
      <c r="D28" s="153">
        <v>94.8</v>
      </c>
      <c r="E28" s="228">
        <v>100.25</v>
      </c>
      <c r="F28" s="153">
        <v>110</v>
      </c>
    </row>
    <row r="29" spans="1:6" ht="20" customHeight="1" thickBot="1">
      <c r="A29" s="681" t="s">
        <v>2055</v>
      </c>
      <c r="B29" s="153">
        <v>46.4</v>
      </c>
      <c r="C29" s="228">
        <v>57.3</v>
      </c>
      <c r="D29" s="153">
        <v>61.8</v>
      </c>
      <c r="E29" s="228">
        <v>65.8</v>
      </c>
      <c r="F29" s="153">
        <v>73.25</v>
      </c>
    </row>
    <row r="30" spans="1:6" ht="20" customHeight="1" thickBot="1">
      <c r="A30" s="681" t="s">
        <v>2056</v>
      </c>
      <c r="B30" s="153">
        <v>71.8</v>
      </c>
      <c r="C30" s="228">
        <v>82.8</v>
      </c>
      <c r="D30" s="153">
        <v>83.65</v>
      </c>
      <c r="E30" s="228">
        <v>93.65</v>
      </c>
      <c r="F30" s="153">
        <v>107.89</v>
      </c>
    </row>
    <row r="31" spans="1:6" ht="20" customHeight="1" thickBot="1">
      <c r="A31" s="681" t="s">
        <v>2057</v>
      </c>
      <c r="B31" s="153">
        <v>90</v>
      </c>
      <c r="C31" s="228">
        <v>102.8</v>
      </c>
      <c r="D31" s="153">
        <v>103.9</v>
      </c>
      <c r="E31" s="228">
        <v>114.3</v>
      </c>
      <c r="F31" s="153">
        <v>128.03</v>
      </c>
    </row>
    <row r="32" spans="1:6" ht="20" customHeight="1" thickBot="1">
      <c r="A32" s="681" t="s">
        <v>2058</v>
      </c>
      <c r="B32" s="153">
        <v>67.8</v>
      </c>
      <c r="C32" s="228">
        <v>75.8</v>
      </c>
      <c r="D32" s="153">
        <v>78.05</v>
      </c>
      <c r="E32" s="228">
        <v>88.2</v>
      </c>
      <c r="F32" s="153">
        <v>98.95</v>
      </c>
    </row>
    <row r="33" spans="1:6" ht="30" customHeight="1" thickBot="1">
      <c r="A33" s="187" t="s">
        <v>2059</v>
      </c>
      <c r="B33" s="392">
        <v>46.2</v>
      </c>
      <c r="C33" s="393">
        <v>57</v>
      </c>
      <c r="D33" s="392">
        <v>65.5</v>
      </c>
      <c r="E33" s="393">
        <v>78</v>
      </c>
      <c r="F33" s="392">
        <v>100.8</v>
      </c>
    </row>
    <row r="34" spans="1:6" ht="20" customHeight="1">
      <c r="A34" s="155" t="s">
        <v>1674</v>
      </c>
      <c r="B34" s="967"/>
      <c r="C34" s="967"/>
      <c r="D34" s="967"/>
      <c r="E34" s="967"/>
      <c r="F34" s="967"/>
    </row>
    <row r="35" spans="1:6" ht="15.75" customHeight="1">
      <c r="A35" s="4"/>
      <c r="B35" s="968"/>
      <c r="C35" s="968"/>
      <c r="D35" s="968"/>
      <c r="E35" s="968"/>
      <c r="F35" s="968"/>
    </row>
    <row r="36" spans="1:6" ht="20.25" customHeight="1">
      <c r="A36" s="4" t="s">
        <v>2242</v>
      </c>
      <c r="B36" s="968"/>
      <c r="C36" s="968"/>
      <c r="D36" s="968"/>
      <c r="E36" s="968"/>
      <c r="F36" s="968"/>
    </row>
    <row r="37" spans="1:6" ht="13.5" customHeight="1">
      <c r="A37" s="4"/>
      <c r="B37" s="968"/>
      <c r="C37" s="968"/>
      <c r="D37" s="968"/>
      <c r="E37" s="968"/>
      <c r="F37" s="968"/>
    </row>
    <row r="38" spans="1:6" ht="12.75" customHeight="1">
      <c r="A38" s="4" t="s">
        <v>2230</v>
      </c>
      <c r="B38" s="968"/>
      <c r="C38" s="968"/>
      <c r="D38" s="968"/>
      <c r="E38" s="968"/>
      <c r="F38" s="968"/>
    </row>
    <row r="39" spans="1:6">
      <c r="A39" s="2" t="s">
        <v>2015</v>
      </c>
      <c r="B39" s="394"/>
      <c r="C39" s="394"/>
      <c r="D39" s="394"/>
      <c r="E39" s="394"/>
      <c r="F39" s="394"/>
    </row>
    <row r="40" spans="1:6">
      <c r="B40" s="394"/>
      <c r="C40" s="394"/>
      <c r="D40" s="394"/>
      <c r="E40" s="394"/>
      <c r="F40" s="394"/>
    </row>
    <row r="41" spans="1:6">
      <c r="B41" s="394"/>
      <c r="C41" s="394"/>
      <c r="D41" s="394"/>
      <c r="E41" s="394"/>
      <c r="F41" s="394"/>
    </row>
    <row r="42" spans="1:6">
      <c r="A42" s="2" t="s">
        <v>104</v>
      </c>
      <c r="B42" s="394"/>
      <c r="C42" s="394"/>
      <c r="D42" s="394"/>
      <c r="E42" s="394"/>
      <c r="F42" s="394"/>
    </row>
  </sheetData>
  <phoneticPr fontId="0" type="noConversion"/>
  <pageMargins left="0.65" right="0.54" top="0.9" bottom="0.47244094488188981" header="0.57999999999999996" footer="0.51181102362204722"/>
  <pageSetup paperSize="9" scale="88" orientation="portrait" horizontalDpi="4294967292" verticalDpi="4294967292"/>
  <headerFooter alignWithMargins="0">
    <oddHeader>&amp;L&amp;"Arial,Bold"Prämientarife in der OKP</oddHead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BFFB-2527-EC45-8B5D-8824F147C178}">
  <sheetPr>
    <pageSetUpPr fitToPage="1"/>
  </sheetPr>
  <dimension ref="A1:J40"/>
  <sheetViews>
    <sheetView topLeftCell="A19" zoomScale="75" workbookViewId="0">
      <selection activeCell="A38" sqref="A38"/>
    </sheetView>
  </sheetViews>
  <sheetFormatPr baseColWidth="10" defaultColWidth="11.3984375" defaultRowHeight="13"/>
  <cols>
    <col min="1" max="1" width="12.3984375" style="2" customWidth="1"/>
    <col min="2" max="11" width="10.3984375" style="2" customWidth="1"/>
    <col min="12" max="16384" width="11.3984375" style="2"/>
  </cols>
  <sheetData>
    <row r="1" spans="1:10" s="1" customFormat="1" ht="14" customHeight="1"/>
    <row r="2" spans="1:10" s="1" customFormat="1" ht="39.75" customHeight="1">
      <c r="A2" s="1715" t="s">
        <v>2009</v>
      </c>
      <c r="B2" s="1716"/>
      <c r="C2" s="1716"/>
      <c r="D2" s="1716"/>
      <c r="E2" s="1716"/>
      <c r="F2" s="1716"/>
      <c r="G2" s="1716"/>
      <c r="H2" s="1716"/>
      <c r="I2" s="1716"/>
      <c r="J2" s="178">
        <v>2004</v>
      </c>
    </row>
    <row r="3" spans="1:10" ht="24" customHeight="1">
      <c r="A3" s="139" t="s">
        <v>503</v>
      </c>
      <c r="B3" s="164">
        <v>1996</v>
      </c>
      <c r="C3" s="141">
        <v>1997</v>
      </c>
      <c r="D3" s="164">
        <v>1998</v>
      </c>
      <c r="E3" s="141">
        <v>1999</v>
      </c>
      <c r="F3" s="164">
        <v>2000</v>
      </c>
      <c r="G3" s="141">
        <v>2001</v>
      </c>
      <c r="H3" s="164">
        <v>2002</v>
      </c>
      <c r="I3" s="141">
        <v>2003</v>
      </c>
      <c r="J3" s="164">
        <v>2004</v>
      </c>
    </row>
    <row r="4" spans="1:10" ht="15" customHeight="1">
      <c r="A4" s="165"/>
      <c r="B4" s="166"/>
      <c r="C4" s="144"/>
      <c r="D4" s="166"/>
      <c r="E4" s="144"/>
      <c r="F4" s="143"/>
      <c r="G4" s="197"/>
      <c r="H4" s="166"/>
      <c r="I4" s="144"/>
      <c r="J4" s="166"/>
    </row>
    <row r="5" spans="1:10" ht="16" customHeight="1">
      <c r="A5" s="167"/>
      <c r="B5" s="168"/>
      <c r="C5" s="147"/>
      <c r="D5" s="168"/>
      <c r="E5" s="147"/>
      <c r="F5" s="146"/>
      <c r="G5" s="200"/>
      <c r="H5" s="168"/>
      <c r="I5" s="147"/>
      <c r="J5" s="168"/>
    </row>
    <row r="6" spans="1:10" ht="30" customHeight="1" thickBot="1">
      <c r="A6" s="689" t="s">
        <v>510</v>
      </c>
      <c r="B6" s="330" t="s">
        <v>1300</v>
      </c>
      <c r="C6" s="381">
        <v>1688.02</v>
      </c>
      <c r="D6" s="330">
        <v>1799.51</v>
      </c>
      <c r="E6" s="381">
        <v>1859.45</v>
      </c>
      <c r="F6" s="330">
        <v>1932.17</v>
      </c>
      <c r="G6" s="381">
        <v>2000.67</v>
      </c>
      <c r="H6" s="330">
        <v>2175.9</v>
      </c>
      <c r="I6" s="225">
        <v>2366.81</v>
      </c>
      <c r="J6" s="149">
        <v>2495.12</v>
      </c>
    </row>
    <row r="7" spans="1:10" ht="20" customHeight="1" thickBot="1">
      <c r="A7" s="681" t="s">
        <v>511</v>
      </c>
      <c r="B7" s="153" t="s">
        <v>1300</v>
      </c>
      <c r="C7" s="228">
        <v>1610.77</v>
      </c>
      <c r="D7" s="153">
        <v>1713.16</v>
      </c>
      <c r="E7" s="228">
        <v>1780.25</v>
      </c>
      <c r="F7" s="153">
        <v>1812.27</v>
      </c>
      <c r="G7" s="228">
        <v>1870.42</v>
      </c>
      <c r="H7" s="153">
        <v>2082.84</v>
      </c>
      <c r="I7" s="225">
        <v>2276.4499999999998</v>
      </c>
      <c r="J7" s="149">
        <v>2416.31</v>
      </c>
    </row>
    <row r="8" spans="1:10" ht="20" customHeight="1" thickBot="1">
      <c r="A8" s="681" t="s">
        <v>512</v>
      </c>
      <c r="B8" s="153" t="s">
        <v>1300</v>
      </c>
      <c r="C8" s="228">
        <v>1310.87</v>
      </c>
      <c r="D8" s="153">
        <v>1376.77</v>
      </c>
      <c r="E8" s="228">
        <v>1372.72</v>
      </c>
      <c r="F8" s="153">
        <v>1445.98</v>
      </c>
      <c r="G8" s="228">
        <v>1524.97</v>
      </c>
      <c r="H8" s="153">
        <v>1680.73</v>
      </c>
      <c r="I8" s="225">
        <v>1833.21</v>
      </c>
      <c r="J8" s="149">
        <v>1964.57</v>
      </c>
    </row>
    <row r="9" spans="1:10" ht="20" customHeight="1" thickBot="1">
      <c r="A9" s="681" t="s">
        <v>513</v>
      </c>
      <c r="B9" s="153" t="s">
        <v>1300</v>
      </c>
      <c r="C9" s="228">
        <v>1327.83</v>
      </c>
      <c r="D9" s="153">
        <v>1370.87</v>
      </c>
      <c r="E9" s="228">
        <v>1354.37</v>
      </c>
      <c r="F9" s="153">
        <v>1389.03</v>
      </c>
      <c r="G9" s="228">
        <v>1438.94</v>
      </c>
      <c r="H9" s="153">
        <v>1573.5</v>
      </c>
      <c r="I9" s="225">
        <v>1729.88</v>
      </c>
      <c r="J9" s="149">
        <v>1826.57</v>
      </c>
    </row>
    <row r="10" spans="1:10" ht="20" customHeight="1" thickBot="1">
      <c r="A10" s="681" t="s">
        <v>514</v>
      </c>
      <c r="B10" s="153" t="s">
        <v>1300</v>
      </c>
      <c r="C10" s="228">
        <v>1378.39</v>
      </c>
      <c r="D10" s="153">
        <v>1421.61</v>
      </c>
      <c r="E10" s="228">
        <v>1399.03</v>
      </c>
      <c r="F10" s="153">
        <v>1426.25</v>
      </c>
      <c r="G10" s="228">
        <v>1495.42</v>
      </c>
      <c r="H10" s="153">
        <v>1667.21</v>
      </c>
      <c r="I10" s="225">
        <v>1832.71</v>
      </c>
      <c r="J10" s="149">
        <v>1957.54</v>
      </c>
    </row>
    <row r="11" spans="1:10" ht="20" customHeight="1" thickBot="1">
      <c r="A11" s="681" t="s">
        <v>515</v>
      </c>
      <c r="B11" s="153" t="s">
        <v>1300</v>
      </c>
      <c r="C11" s="228">
        <v>1311.57</v>
      </c>
      <c r="D11" s="153">
        <v>1338.4</v>
      </c>
      <c r="E11" s="228">
        <v>1334.71</v>
      </c>
      <c r="F11" s="153">
        <v>1366.66</v>
      </c>
      <c r="G11" s="228">
        <v>1424.17</v>
      </c>
      <c r="H11" s="153">
        <v>1534.16</v>
      </c>
      <c r="I11" s="225">
        <v>1624.62</v>
      </c>
      <c r="J11" s="149">
        <v>1734.01</v>
      </c>
    </row>
    <row r="12" spans="1:10" ht="20" customHeight="1" thickBot="1">
      <c r="A12" s="681" t="s">
        <v>516</v>
      </c>
      <c r="B12" s="153" t="s">
        <v>1300</v>
      </c>
      <c r="C12" s="228">
        <v>1279.67</v>
      </c>
      <c r="D12" s="153">
        <v>1306.6500000000001</v>
      </c>
      <c r="E12" s="228">
        <v>1290.04</v>
      </c>
      <c r="F12" s="153">
        <v>1317.38</v>
      </c>
      <c r="G12" s="228">
        <v>1362.46</v>
      </c>
      <c r="H12" s="153">
        <v>1471.56</v>
      </c>
      <c r="I12" s="225">
        <v>1597.44</v>
      </c>
      <c r="J12" s="149">
        <v>1703.3</v>
      </c>
    </row>
    <row r="13" spans="1:10" ht="20" customHeight="1" thickBot="1">
      <c r="A13" s="681" t="s">
        <v>517</v>
      </c>
      <c r="B13" s="153" t="s">
        <v>1300</v>
      </c>
      <c r="C13" s="228">
        <v>1314.66</v>
      </c>
      <c r="D13" s="153">
        <v>1401.63</v>
      </c>
      <c r="E13" s="228">
        <v>1415.91</v>
      </c>
      <c r="F13" s="153">
        <v>1452.85</v>
      </c>
      <c r="G13" s="228">
        <v>1515.31</v>
      </c>
      <c r="H13" s="153">
        <v>1686.02</v>
      </c>
      <c r="I13" s="225">
        <v>1873.67</v>
      </c>
      <c r="J13" s="149">
        <v>1994.02</v>
      </c>
    </row>
    <row r="14" spans="1:10" ht="20" customHeight="1" thickBot="1">
      <c r="A14" s="681" t="s">
        <v>518</v>
      </c>
      <c r="B14" s="153" t="s">
        <v>1300</v>
      </c>
      <c r="C14" s="228">
        <v>1391.21</v>
      </c>
      <c r="D14" s="153">
        <v>1395.83</v>
      </c>
      <c r="E14" s="228">
        <v>1376.28</v>
      </c>
      <c r="F14" s="153">
        <v>1416.79</v>
      </c>
      <c r="G14" s="228">
        <v>1476.5</v>
      </c>
      <c r="H14" s="153">
        <v>1628.62</v>
      </c>
      <c r="I14" s="225">
        <v>1804.72</v>
      </c>
      <c r="J14" s="149">
        <v>1965.66</v>
      </c>
    </row>
    <row r="15" spans="1:10" ht="20" customHeight="1" thickBot="1">
      <c r="A15" s="681" t="s">
        <v>519</v>
      </c>
      <c r="B15" s="153" t="s">
        <v>1300</v>
      </c>
      <c r="C15" s="228">
        <v>1662.52</v>
      </c>
      <c r="D15" s="153">
        <v>1691.51</v>
      </c>
      <c r="E15" s="228">
        <v>1708.26</v>
      </c>
      <c r="F15" s="153">
        <v>1792.77</v>
      </c>
      <c r="G15" s="228">
        <v>1884.13</v>
      </c>
      <c r="H15" s="153">
        <v>2032.77</v>
      </c>
      <c r="I15" s="225">
        <v>2145.92</v>
      </c>
      <c r="J15" s="149">
        <v>2232.06</v>
      </c>
    </row>
    <row r="16" spans="1:10" ht="20" customHeight="1" thickBot="1">
      <c r="A16" s="681" t="s">
        <v>520</v>
      </c>
      <c r="B16" s="153" t="s">
        <v>1300</v>
      </c>
      <c r="C16" s="228">
        <v>1528.63</v>
      </c>
      <c r="D16" s="153">
        <v>1671.86</v>
      </c>
      <c r="E16" s="228">
        <v>1674.73</v>
      </c>
      <c r="F16" s="153">
        <v>1732.84</v>
      </c>
      <c r="G16" s="228">
        <v>1798.83</v>
      </c>
      <c r="H16" s="153">
        <v>1932.71</v>
      </c>
      <c r="I16" s="225">
        <v>2101.9899999999998</v>
      </c>
      <c r="J16" s="149">
        <v>2241.66</v>
      </c>
    </row>
    <row r="17" spans="1:10" ht="20" customHeight="1" thickBot="1">
      <c r="A17" s="681" t="s">
        <v>521</v>
      </c>
      <c r="B17" s="153" t="s">
        <v>1300</v>
      </c>
      <c r="C17" s="228">
        <v>2134.35</v>
      </c>
      <c r="D17" s="153">
        <v>2306.19</v>
      </c>
      <c r="E17" s="228">
        <v>2446.3200000000002</v>
      </c>
      <c r="F17" s="153">
        <v>2556.6999999999998</v>
      </c>
      <c r="G17" s="228">
        <v>2691.54</v>
      </c>
      <c r="H17" s="153">
        <v>2885.13</v>
      </c>
      <c r="I17" s="225">
        <v>3131.64</v>
      </c>
      <c r="J17" s="149">
        <v>3389.7</v>
      </c>
    </row>
    <row r="18" spans="1:10" ht="20" customHeight="1" thickBot="1">
      <c r="A18" s="681" t="s">
        <v>522</v>
      </c>
      <c r="B18" s="153" t="s">
        <v>1300</v>
      </c>
      <c r="C18" s="228">
        <v>1756.37</v>
      </c>
      <c r="D18" s="153">
        <v>1850.43</v>
      </c>
      <c r="E18" s="228">
        <v>1846.14</v>
      </c>
      <c r="F18" s="153">
        <v>1899.24</v>
      </c>
      <c r="G18" s="228">
        <v>1967.11</v>
      </c>
      <c r="H18" s="153">
        <v>2139.59</v>
      </c>
      <c r="I18" s="225">
        <v>2334.69</v>
      </c>
      <c r="J18" s="149">
        <v>2504.48</v>
      </c>
    </row>
    <row r="19" spans="1:10" ht="20" customHeight="1" thickBot="1">
      <c r="A19" s="681" t="s">
        <v>523</v>
      </c>
      <c r="B19" s="153" t="s">
        <v>1300</v>
      </c>
      <c r="C19" s="228">
        <v>1505.08</v>
      </c>
      <c r="D19" s="153">
        <v>1601.39</v>
      </c>
      <c r="E19" s="228">
        <v>1633.62</v>
      </c>
      <c r="F19" s="153">
        <v>1686.78</v>
      </c>
      <c r="G19" s="228">
        <v>1766.11</v>
      </c>
      <c r="H19" s="153">
        <v>1981.87</v>
      </c>
      <c r="I19" s="225">
        <v>2190.31</v>
      </c>
      <c r="J19" s="149">
        <v>2327.5</v>
      </c>
    </row>
    <row r="20" spans="1:10" ht="20" customHeight="1" thickBot="1">
      <c r="A20" s="681" t="s">
        <v>2047</v>
      </c>
      <c r="B20" s="153" t="s">
        <v>1300</v>
      </c>
      <c r="C20" s="228">
        <v>1258.0999999999999</v>
      </c>
      <c r="D20" s="153">
        <v>1328.57</v>
      </c>
      <c r="E20" s="228">
        <v>1316.4</v>
      </c>
      <c r="F20" s="153">
        <v>1345.5</v>
      </c>
      <c r="G20" s="228">
        <v>1414.62</v>
      </c>
      <c r="H20" s="153">
        <v>1544.03</v>
      </c>
      <c r="I20" s="225">
        <v>1703.59</v>
      </c>
      <c r="J20" s="149">
        <v>1786.16</v>
      </c>
    </row>
    <row r="21" spans="1:10" ht="20" customHeight="1" thickBot="1">
      <c r="A21" s="681" t="s">
        <v>2048</v>
      </c>
      <c r="B21" s="153" t="s">
        <v>1300</v>
      </c>
      <c r="C21" s="228">
        <v>1115.75</v>
      </c>
      <c r="D21" s="153">
        <v>1159.99</v>
      </c>
      <c r="E21" s="228">
        <v>1141.01</v>
      </c>
      <c r="F21" s="153">
        <v>1157.06</v>
      </c>
      <c r="G21" s="228">
        <v>1243.0999999999999</v>
      </c>
      <c r="H21" s="153">
        <v>1360.38</v>
      </c>
      <c r="I21" s="225">
        <v>1486.23</v>
      </c>
      <c r="J21" s="149">
        <v>1572.95</v>
      </c>
    </row>
    <row r="22" spans="1:10" ht="20" customHeight="1" thickBot="1">
      <c r="A22" s="681" t="s">
        <v>2049</v>
      </c>
      <c r="B22" s="153" t="s">
        <v>1300</v>
      </c>
      <c r="C22" s="228">
        <v>1298.1600000000001</v>
      </c>
      <c r="D22" s="153">
        <v>1383.71</v>
      </c>
      <c r="E22" s="228">
        <v>1410.02</v>
      </c>
      <c r="F22" s="153">
        <v>1446.47</v>
      </c>
      <c r="G22" s="228">
        <v>1514.53</v>
      </c>
      <c r="H22" s="153">
        <v>1649.28</v>
      </c>
      <c r="I22" s="225">
        <v>1789.76</v>
      </c>
      <c r="J22" s="149">
        <v>1926.47</v>
      </c>
    </row>
    <row r="23" spans="1:10" ht="20" customHeight="1" thickBot="1">
      <c r="A23" s="681" t="s">
        <v>2050</v>
      </c>
      <c r="B23" s="153" t="s">
        <v>1300</v>
      </c>
      <c r="C23" s="228">
        <v>1279.6500000000001</v>
      </c>
      <c r="D23" s="153">
        <v>1344.95</v>
      </c>
      <c r="E23" s="228">
        <v>1380.23</v>
      </c>
      <c r="F23" s="153">
        <v>1377.12</v>
      </c>
      <c r="G23" s="228">
        <v>1519.27</v>
      </c>
      <c r="H23" s="153">
        <v>1713.63</v>
      </c>
      <c r="I23" s="225">
        <v>1922.61</v>
      </c>
      <c r="J23" s="149">
        <v>2061.46</v>
      </c>
    </row>
    <row r="24" spans="1:10" ht="20" customHeight="1" thickBot="1">
      <c r="A24" s="681" t="s">
        <v>2051</v>
      </c>
      <c r="B24" s="153" t="s">
        <v>1300</v>
      </c>
      <c r="C24" s="228">
        <v>1297.99</v>
      </c>
      <c r="D24" s="153">
        <v>1393.43</v>
      </c>
      <c r="E24" s="228">
        <v>1471.71</v>
      </c>
      <c r="F24" s="153">
        <v>1544.48</v>
      </c>
      <c r="G24" s="228">
        <v>1656.78</v>
      </c>
      <c r="H24" s="153">
        <v>1837.97</v>
      </c>
      <c r="I24" s="225">
        <v>2013.78</v>
      </c>
      <c r="J24" s="149">
        <v>2145.9699999999998</v>
      </c>
    </row>
    <row r="25" spans="1:10" ht="20" customHeight="1" thickBot="1">
      <c r="A25" s="681" t="s">
        <v>2052</v>
      </c>
      <c r="B25" s="153" t="s">
        <v>1300</v>
      </c>
      <c r="C25" s="228">
        <v>1343.68</v>
      </c>
      <c r="D25" s="153">
        <v>1452.32</v>
      </c>
      <c r="E25" s="228">
        <v>1507.06</v>
      </c>
      <c r="F25" s="153">
        <v>1558.7</v>
      </c>
      <c r="G25" s="228">
        <v>1679.14</v>
      </c>
      <c r="H25" s="153">
        <v>1869.09</v>
      </c>
      <c r="I25" s="225">
        <v>2058.1999999999998</v>
      </c>
      <c r="J25" s="149">
        <v>2194.13</v>
      </c>
    </row>
    <row r="26" spans="1:10" ht="20" customHeight="1" thickBot="1">
      <c r="A26" s="681" t="s">
        <v>2053</v>
      </c>
      <c r="B26" s="153" t="s">
        <v>1300</v>
      </c>
      <c r="C26" s="228">
        <v>2095.4899999999998</v>
      </c>
      <c r="D26" s="153">
        <v>2211.92</v>
      </c>
      <c r="E26" s="228">
        <v>2198.02</v>
      </c>
      <c r="F26" s="153">
        <v>2220.3000000000002</v>
      </c>
      <c r="G26" s="228">
        <v>2271.73</v>
      </c>
      <c r="H26" s="153">
        <v>2467.0700000000002</v>
      </c>
      <c r="I26" s="225">
        <v>2676.85</v>
      </c>
      <c r="J26" s="149">
        <v>2936.03</v>
      </c>
    </row>
    <row r="27" spans="1:10" ht="20" customHeight="1" thickBot="1">
      <c r="A27" s="681" t="s">
        <v>2054</v>
      </c>
      <c r="B27" s="153" t="s">
        <v>1300</v>
      </c>
      <c r="C27" s="228">
        <v>2197.46</v>
      </c>
      <c r="D27" s="153">
        <v>2269.8000000000002</v>
      </c>
      <c r="E27" s="228">
        <v>2319.29</v>
      </c>
      <c r="F27" s="153">
        <v>2317.16</v>
      </c>
      <c r="G27" s="228">
        <v>2400.63</v>
      </c>
      <c r="H27" s="153">
        <v>2581.7199999999998</v>
      </c>
      <c r="I27" s="225">
        <v>2789.21</v>
      </c>
      <c r="J27" s="149">
        <v>2938.15</v>
      </c>
    </row>
    <row r="28" spans="1:10" ht="20" customHeight="1" thickBot="1">
      <c r="A28" s="681" t="s">
        <v>2055</v>
      </c>
      <c r="B28" s="153" t="s">
        <v>1300</v>
      </c>
      <c r="C28" s="228">
        <v>1574.86</v>
      </c>
      <c r="D28" s="153">
        <v>1544.82</v>
      </c>
      <c r="E28" s="228">
        <v>1554.32</v>
      </c>
      <c r="F28" s="153">
        <v>1580.24</v>
      </c>
      <c r="G28" s="228">
        <v>1621.59</v>
      </c>
      <c r="H28" s="153">
        <v>1747.44</v>
      </c>
      <c r="I28" s="225">
        <v>1911.96</v>
      </c>
      <c r="J28" s="149">
        <v>2070.33</v>
      </c>
    </row>
    <row r="29" spans="1:10" ht="20" customHeight="1" thickBot="1">
      <c r="A29" s="681" t="s">
        <v>2056</v>
      </c>
      <c r="B29" s="153" t="s">
        <v>1300</v>
      </c>
      <c r="C29" s="228">
        <v>1872.33</v>
      </c>
      <c r="D29" s="153">
        <v>2074.35</v>
      </c>
      <c r="E29" s="228">
        <v>2121.75</v>
      </c>
      <c r="F29" s="153">
        <v>2169.7199999999998</v>
      </c>
      <c r="G29" s="228">
        <v>2241.9899999999998</v>
      </c>
      <c r="H29" s="153">
        <v>2442.38</v>
      </c>
      <c r="I29" s="225">
        <v>2628.36</v>
      </c>
      <c r="J29" s="149">
        <v>2856.16</v>
      </c>
    </row>
    <row r="30" spans="1:10" ht="20" customHeight="1" thickBot="1">
      <c r="A30" s="681" t="s">
        <v>2057</v>
      </c>
      <c r="B30" s="153" t="s">
        <v>1300</v>
      </c>
      <c r="C30" s="228">
        <v>2490.64</v>
      </c>
      <c r="D30" s="153">
        <v>2600.92</v>
      </c>
      <c r="E30" s="228">
        <v>2618.6</v>
      </c>
      <c r="F30" s="153">
        <v>2755.39</v>
      </c>
      <c r="G30" s="228">
        <v>2906.95</v>
      </c>
      <c r="H30" s="153">
        <v>3137.29</v>
      </c>
      <c r="I30" s="225">
        <v>3318.18</v>
      </c>
      <c r="J30" s="149">
        <v>3499.12</v>
      </c>
    </row>
    <row r="31" spans="1:10" ht="20" customHeight="1" thickBot="1">
      <c r="A31" s="681" t="s">
        <v>2058</v>
      </c>
      <c r="B31" s="153" t="s">
        <v>1300</v>
      </c>
      <c r="C31" s="228">
        <v>1764.15</v>
      </c>
      <c r="D31" s="153">
        <v>1924.67</v>
      </c>
      <c r="E31" s="228">
        <v>1920.33</v>
      </c>
      <c r="F31" s="153">
        <v>2008.3</v>
      </c>
      <c r="G31" s="228">
        <v>2165.84</v>
      </c>
      <c r="H31" s="153">
        <v>2325.96</v>
      </c>
      <c r="I31" s="225">
        <v>2455.4699999999998</v>
      </c>
      <c r="J31" s="149">
        <v>2614.3200000000002</v>
      </c>
    </row>
    <row r="32" spans="1:10" ht="30" customHeight="1" thickBot="1">
      <c r="A32" s="187" t="s">
        <v>2059</v>
      </c>
      <c r="B32" s="392">
        <v>1547.05</v>
      </c>
      <c r="C32" s="393">
        <v>1668.01</v>
      </c>
      <c r="D32" s="392">
        <v>1762.91</v>
      </c>
      <c r="E32" s="393">
        <v>1801.28</v>
      </c>
      <c r="F32" s="392">
        <v>1853.38</v>
      </c>
      <c r="G32" s="393">
        <v>1931.93</v>
      </c>
      <c r="H32" s="392">
        <v>2106.41</v>
      </c>
      <c r="I32" s="227">
        <v>2296.0300000000002</v>
      </c>
      <c r="J32" s="483">
        <v>2443.67</v>
      </c>
    </row>
    <row r="33" spans="1:9" ht="20" customHeight="1">
      <c r="A33" s="155" t="s">
        <v>1674</v>
      </c>
      <c r="B33" s="489"/>
      <c r="C33" s="489"/>
      <c r="D33" s="489"/>
      <c r="E33" s="489"/>
      <c r="F33" s="489"/>
      <c r="G33" s="489"/>
      <c r="H33" s="489"/>
      <c r="I33" s="490"/>
    </row>
    <row r="34" spans="1:9" ht="15.75" customHeight="1">
      <c r="A34" s="4"/>
      <c r="B34" s="491"/>
      <c r="C34" s="491"/>
      <c r="D34" s="491"/>
      <c r="E34" s="491"/>
      <c r="F34" s="491"/>
      <c r="G34" s="491"/>
      <c r="H34" s="491"/>
      <c r="I34" s="492"/>
    </row>
    <row r="35" spans="1:9" ht="14.25" customHeight="1">
      <c r="A35" s="4" t="s">
        <v>2008</v>
      </c>
      <c r="B35" s="491"/>
      <c r="C35" s="491"/>
      <c r="D35" s="491"/>
      <c r="E35" s="491"/>
      <c r="F35" s="491"/>
      <c r="G35" s="491"/>
      <c r="H35" s="491"/>
      <c r="I35" s="492"/>
    </row>
    <row r="36" spans="1:9" ht="13.5" customHeight="1">
      <c r="A36" s="4"/>
      <c r="B36" s="491"/>
      <c r="C36" s="491"/>
      <c r="D36" s="491"/>
      <c r="E36" s="491"/>
      <c r="F36" s="491"/>
      <c r="G36" s="491"/>
      <c r="H36" s="491"/>
      <c r="I36" s="492"/>
    </row>
    <row r="37" spans="1:9" ht="12.75" customHeight="1">
      <c r="A37" s="4" t="s">
        <v>2004</v>
      </c>
      <c r="B37" s="491"/>
      <c r="C37" s="491"/>
      <c r="D37" s="491"/>
      <c r="E37" s="491"/>
      <c r="F37" s="491"/>
      <c r="G37" s="491"/>
      <c r="H37" s="491"/>
      <c r="I37" s="492"/>
    </row>
    <row r="39" spans="1:9">
      <c r="A39" s="4"/>
    </row>
    <row r="40" spans="1:9">
      <c r="A40" s="4" t="s">
        <v>104</v>
      </c>
    </row>
  </sheetData>
  <mergeCells count="1">
    <mergeCell ref="A2:I2"/>
  </mergeCells>
  <phoneticPr fontId="0" type="noConversion"/>
  <pageMargins left="0.51" right="0.49" top="0.99" bottom="0.49" header="0.56000000000000005" footer="0.4921259845"/>
  <pageSetup paperSize="9" scale="80" orientation="portrait" horizontalDpi="4294967292" verticalDpi="4294967292"/>
  <headerFooter alignWithMargins="0">
    <oddHeader>&amp;L&amp;"Arial,Bold"Prämientarife in der OKP</oddHead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177D3-9EEF-C248-BD6D-4C7295F89584}">
  <sheetPr>
    <pageSetUpPr fitToPage="1"/>
  </sheetPr>
  <dimension ref="A1:F43"/>
  <sheetViews>
    <sheetView zoomScale="75" workbookViewId="0">
      <selection activeCell="A3" sqref="A3"/>
    </sheetView>
  </sheetViews>
  <sheetFormatPr baseColWidth="10" defaultColWidth="11.3984375" defaultRowHeight="13"/>
  <cols>
    <col min="1" max="1" width="15.19921875" style="2" customWidth="1"/>
    <col min="2" max="6" width="15.796875" style="2" customWidth="1"/>
    <col min="7" max="16384" width="11.3984375" style="2"/>
  </cols>
  <sheetData>
    <row r="1" spans="1:6" s="1" customFormat="1" ht="14" customHeight="1">
      <c r="A1" s="591"/>
      <c r="B1" s="591"/>
      <c r="C1" s="591"/>
      <c r="D1" s="591"/>
      <c r="E1" s="591"/>
      <c r="F1" s="591"/>
    </row>
    <row r="2" spans="1:6" s="1" customFormat="1" ht="23.25" customHeight="1">
      <c r="A2" s="592" t="s">
        <v>1412</v>
      </c>
      <c r="B2" s="591"/>
      <c r="C2" s="591"/>
      <c r="D2" s="591"/>
      <c r="E2" s="591"/>
      <c r="F2" s="591"/>
    </row>
    <row r="3" spans="1:6" s="1" customFormat="1" ht="27.75" customHeight="1">
      <c r="A3" s="592" t="s">
        <v>1415</v>
      </c>
      <c r="B3" s="591"/>
      <c r="C3" s="591"/>
      <c r="D3" s="591"/>
      <c r="E3" s="591"/>
      <c r="F3" s="591"/>
    </row>
    <row r="4" spans="1:6" ht="24" customHeight="1">
      <c r="A4" s="139" t="s">
        <v>503</v>
      </c>
      <c r="B4" s="928" t="s">
        <v>1403</v>
      </c>
      <c r="C4" s="964" t="s">
        <v>1404</v>
      </c>
      <c r="D4" s="928" t="s">
        <v>1405</v>
      </c>
      <c r="E4" s="964" t="s">
        <v>1406</v>
      </c>
      <c r="F4" s="928" t="s">
        <v>652</v>
      </c>
    </row>
    <row r="5" spans="1:6" ht="24.75" customHeight="1">
      <c r="A5" s="165"/>
      <c r="B5" s="965"/>
      <c r="C5" s="966"/>
      <c r="D5" s="965"/>
      <c r="E5" s="966"/>
      <c r="F5" s="965"/>
    </row>
    <row r="6" spans="1:6" ht="16" customHeight="1">
      <c r="A6" s="167"/>
      <c r="B6" s="168"/>
      <c r="C6" s="147"/>
      <c r="D6" s="168"/>
      <c r="E6" s="147"/>
      <c r="F6" s="146"/>
    </row>
    <row r="7" spans="1:6" ht="30" customHeight="1" thickBot="1">
      <c r="A7" s="689" t="s">
        <v>510</v>
      </c>
      <c r="B7" s="149">
        <v>348.38448451084804</v>
      </c>
      <c r="C7" s="225">
        <v>297.02075490043103</v>
      </c>
      <c r="D7" s="149">
        <v>277.56947807892305</v>
      </c>
      <c r="E7" s="225" t="s">
        <v>106</v>
      </c>
      <c r="F7" s="319">
        <v>305.71078128208603</v>
      </c>
    </row>
    <row r="8" spans="1:6" ht="20" customHeight="1" thickBot="1">
      <c r="A8" s="681" t="s">
        <v>511</v>
      </c>
      <c r="B8" s="153">
        <v>348.30064664824704</v>
      </c>
      <c r="C8" s="228">
        <v>303.094634281759</v>
      </c>
      <c r="D8" s="153">
        <v>285.68334514703503</v>
      </c>
      <c r="E8" s="228" t="s">
        <v>106</v>
      </c>
      <c r="F8" s="173">
        <v>313.47175498303255</v>
      </c>
    </row>
    <row r="9" spans="1:6" ht="20" customHeight="1" thickBot="1">
      <c r="A9" s="681" t="s">
        <v>512</v>
      </c>
      <c r="B9" s="153">
        <v>265.841259516261</v>
      </c>
      <c r="C9" s="228">
        <v>244.86789636947202</v>
      </c>
      <c r="D9" s="153">
        <v>235.38531128635199</v>
      </c>
      <c r="E9" s="228" t="s">
        <v>106</v>
      </c>
      <c r="F9" s="173">
        <v>251.06721873350054</v>
      </c>
    </row>
    <row r="10" spans="1:6" ht="20" customHeight="1" thickBot="1">
      <c r="A10" s="681" t="s">
        <v>513</v>
      </c>
      <c r="B10" s="153" t="s">
        <v>106</v>
      </c>
      <c r="C10" s="228" t="s">
        <v>106</v>
      </c>
      <c r="D10" s="153" t="s">
        <v>106</v>
      </c>
      <c r="E10" s="228">
        <v>225.763604607818</v>
      </c>
      <c r="F10" s="173">
        <v>225.76360460781848</v>
      </c>
    </row>
    <row r="11" spans="1:6" ht="20" customHeight="1" thickBot="1">
      <c r="A11" s="681" t="s">
        <v>514</v>
      </c>
      <c r="B11" s="153" t="s">
        <v>106</v>
      </c>
      <c r="C11" s="228" t="s">
        <v>106</v>
      </c>
      <c r="D11" s="153" t="s">
        <v>106</v>
      </c>
      <c r="E11" s="228">
        <v>247.78103833154401</v>
      </c>
      <c r="F11" s="173">
        <v>247.78103833154384</v>
      </c>
    </row>
    <row r="12" spans="1:6" ht="20" customHeight="1" thickBot="1">
      <c r="A12" s="681" t="s">
        <v>515</v>
      </c>
      <c r="B12" s="153" t="s">
        <v>106</v>
      </c>
      <c r="C12" s="228" t="s">
        <v>106</v>
      </c>
      <c r="D12" s="153" t="s">
        <v>106</v>
      </c>
      <c r="E12" s="228">
        <v>218.25594161856299</v>
      </c>
      <c r="F12" s="173">
        <v>218.25594161856341</v>
      </c>
    </row>
    <row r="13" spans="1:6" ht="20" customHeight="1" thickBot="1">
      <c r="A13" s="681" t="s">
        <v>516</v>
      </c>
      <c r="B13" s="153" t="s">
        <v>106</v>
      </c>
      <c r="C13" s="228" t="s">
        <v>106</v>
      </c>
      <c r="D13" s="153" t="s">
        <v>106</v>
      </c>
      <c r="E13" s="228">
        <v>210.91047225881201</v>
      </c>
      <c r="F13" s="173">
        <v>210.91047225881189</v>
      </c>
    </row>
    <row r="14" spans="1:6" ht="20" customHeight="1" thickBot="1">
      <c r="A14" s="681" t="s">
        <v>517</v>
      </c>
      <c r="B14" s="153" t="s">
        <v>106</v>
      </c>
      <c r="C14" s="228" t="s">
        <v>106</v>
      </c>
      <c r="D14" s="153" t="s">
        <v>106</v>
      </c>
      <c r="E14" s="228">
        <v>248.81582208755302</v>
      </c>
      <c r="F14" s="173">
        <v>248.81582208755259</v>
      </c>
    </row>
    <row r="15" spans="1:6" ht="20" customHeight="1" thickBot="1">
      <c r="A15" s="681" t="s">
        <v>518</v>
      </c>
      <c r="B15" s="153" t="s">
        <v>106</v>
      </c>
      <c r="C15" s="228" t="s">
        <v>106</v>
      </c>
      <c r="D15" s="153" t="s">
        <v>106</v>
      </c>
      <c r="E15" s="228">
        <v>246.64040001928399</v>
      </c>
      <c r="F15" s="173">
        <v>246.64040001928436</v>
      </c>
    </row>
    <row r="16" spans="1:6" ht="20" customHeight="1" thickBot="1">
      <c r="A16" s="681" t="s">
        <v>519</v>
      </c>
      <c r="B16" s="153">
        <v>299.13819695783405</v>
      </c>
      <c r="C16" s="228">
        <v>271.17128981094504</v>
      </c>
      <c r="D16" s="153" t="s">
        <v>106</v>
      </c>
      <c r="E16" s="228" t="s">
        <v>106</v>
      </c>
      <c r="F16" s="173">
        <v>280.85977558782912</v>
      </c>
    </row>
    <row r="17" spans="1:6" ht="20" customHeight="1" thickBot="1">
      <c r="A17" s="681" t="s">
        <v>520</v>
      </c>
      <c r="B17" s="153" t="s">
        <v>106</v>
      </c>
      <c r="C17" s="228" t="s">
        <v>106</v>
      </c>
      <c r="D17" s="153" t="s">
        <v>106</v>
      </c>
      <c r="E17" s="228">
        <v>271.93447315719908</v>
      </c>
      <c r="F17" s="173">
        <v>271.93447315719851</v>
      </c>
    </row>
    <row r="18" spans="1:6" ht="20" customHeight="1" thickBot="1">
      <c r="A18" s="681" t="s">
        <v>521</v>
      </c>
      <c r="B18" s="153" t="s">
        <v>106</v>
      </c>
      <c r="C18" s="228" t="s">
        <v>106</v>
      </c>
      <c r="D18" s="153" t="s">
        <v>106</v>
      </c>
      <c r="E18" s="228">
        <v>403.98271803947603</v>
      </c>
      <c r="F18" s="173">
        <v>403.98271803947608</v>
      </c>
    </row>
    <row r="19" spans="1:6" ht="20" customHeight="1" thickBot="1">
      <c r="A19" s="681" t="s">
        <v>522</v>
      </c>
      <c r="B19" s="153">
        <v>314.695118105701</v>
      </c>
      <c r="C19" s="228">
        <v>291.51337284377803</v>
      </c>
      <c r="D19" s="153" t="s">
        <v>106</v>
      </c>
      <c r="E19" s="228" t="s">
        <v>106</v>
      </c>
      <c r="F19" s="173">
        <v>308.53389458370998</v>
      </c>
    </row>
    <row r="20" spans="1:6" ht="20" customHeight="1" thickBot="1">
      <c r="A20" s="681" t="s">
        <v>523</v>
      </c>
      <c r="B20" s="153">
        <v>297.69511277267003</v>
      </c>
      <c r="C20" s="228">
        <v>277.04203978095603</v>
      </c>
      <c r="D20" s="153" t="s">
        <v>106</v>
      </c>
      <c r="E20" s="228" t="s">
        <v>106</v>
      </c>
      <c r="F20" s="173">
        <v>289.43933399936861</v>
      </c>
    </row>
    <row r="21" spans="1:6" ht="20" customHeight="1" thickBot="1">
      <c r="A21" s="681" t="s">
        <v>2047</v>
      </c>
      <c r="B21" s="153" t="s">
        <v>106</v>
      </c>
      <c r="C21" s="228" t="s">
        <v>106</v>
      </c>
      <c r="D21" s="153" t="s">
        <v>106</v>
      </c>
      <c r="E21" s="228">
        <v>226.808790063201</v>
      </c>
      <c r="F21" s="173">
        <v>226.80879006320112</v>
      </c>
    </row>
    <row r="22" spans="1:6" ht="20" customHeight="1" thickBot="1">
      <c r="A22" s="681" t="s">
        <v>2048</v>
      </c>
      <c r="B22" s="153" t="s">
        <v>106</v>
      </c>
      <c r="C22" s="228" t="s">
        <v>106</v>
      </c>
      <c r="D22" s="153" t="s">
        <v>106</v>
      </c>
      <c r="E22" s="228">
        <v>207.40256939397099</v>
      </c>
      <c r="F22" s="173">
        <v>207.40256939397082</v>
      </c>
    </row>
    <row r="23" spans="1:6" ht="20" customHeight="1" thickBot="1">
      <c r="A23" s="681" t="s">
        <v>2049</v>
      </c>
      <c r="B23" s="153">
        <v>268.58277753719904</v>
      </c>
      <c r="C23" s="228">
        <v>249.47559302589201</v>
      </c>
      <c r="D23" s="153">
        <v>242.196526433364</v>
      </c>
      <c r="E23" s="228" t="s">
        <v>106</v>
      </c>
      <c r="F23" s="173">
        <v>253.37984855202521</v>
      </c>
    </row>
    <row r="24" spans="1:6" ht="20" customHeight="1" thickBot="1">
      <c r="A24" s="681" t="s">
        <v>2050</v>
      </c>
      <c r="B24" s="153">
        <v>262.45457329664998</v>
      </c>
      <c r="C24" s="228">
        <v>250.18084587052999</v>
      </c>
      <c r="D24" s="153">
        <v>231.938427052175</v>
      </c>
      <c r="E24" s="228" t="s">
        <v>106</v>
      </c>
      <c r="F24" s="173">
        <v>249.20225944656201</v>
      </c>
    </row>
    <row r="25" spans="1:6" ht="20" customHeight="1" thickBot="1">
      <c r="A25" s="681" t="s">
        <v>2051</v>
      </c>
      <c r="B25" s="153" t="s">
        <v>106</v>
      </c>
      <c r="C25" s="228" t="s">
        <v>106</v>
      </c>
      <c r="D25" s="153" t="s">
        <v>106</v>
      </c>
      <c r="E25" s="228">
        <v>268.488720330153</v>
      </c>
      <c r="F25" s="173">
        <v>268.48872033015317</v>
      </c>
    </row>
    <row r="26" spans="1:6" ht="20" customHeight="1" thickBot="1">
      <c r="A26" s="681" t="s">
        <v>2052</v>
      </c>
      <c r="B26" s="153" t="s">
        <v>106</v>
      </c>
      <c r="C26" s="228" t="s">
        <v>106</v>
      </c>
      <c r="D26" s="153" t="s">
        <v>106</v>
      </c>
      <c r="E26" s="228">
        <v>285.10260514050799</v>
      </c>
      <c r="F26" s="173">
        <v>285.10260514050844</v>
      </c>
    </row>
    <row r="27" spans="1:6" ht="20" customHeight="1" thickBot="1">
      <c r="A27" s="681" t="s">
        <v>2053</v>
      </c>
      <c r="B27" s="153">
        <v>365.48082548857406</v>
      </c>
      <c r="C27" s="228">
        <v>341.70896860765606</v>
      </c>
      <c r="D27" s="153" t="s">
        <v>106</v>
      </c>
      <c r="E27" s="228" t="s">
        <v>106</v>
      </c>
      <c r="F27" s="173">
        <v>361.87697362979037</v>
      </c>
    </row>
    <row r="28" spans="1:6" ht="20" customHeight="1" thickBot="1">
      <c r="A28" s="681" t="s">
        <v>2054</v>
      </c>
      <c r="B28" s="153">
        <v>393.43919072098197</v>
      </c>
      <c r="C28" s="228">
        <v>364.88704400431698</v>
      </c>
      <c r="D28" s="153">
        <v>350.29099264795803</v>
      </c>
      <c r="E28" s="228" t="s">
        <v>106</v>
      </c>
      <c r="F28" s="173">
        <v>370.26507690894886</v>
      </c>
    </row>
    <row r="29" spans="1:6" ht="20" customHeight="1" thickBot="1">
      <c r="A29" s="681" t="s">
        <v>2055</v>
      </c>
      <c r="B29" s="153">
        <v>260.15888339249398</v>
      </c>
      <c r="C29" s="228">
        <v>226.36794882509503</v>
      </c>
      <c r="D29" s="153" t="s">
        <v>106</v>
      </c>
      <c r="E29" s="228" t="s">
        <v>106</v>
      </c>
      <c r="F29" s="173">
        <v>250.48571078817801</v>
      </c>
    </row>
    <row r="30" spans="1:6" ht="20" customHeight="1" thickBot="1">
      <c r="A30" s="681" t="s">
        <v>2056</v>
      </c>
      <c r="B30" s="153" t="s">
        <v>106</v>
      </c>
      <c r="C30" s="228" t="s">
        <v>106</v>
      </c>
      <c r="D30" s="153" t="s">
        <v>106</v>
      </c>
      <c r="E30" s="228">
        <v>361.99430207464502</v>
      </c>
      <c r="F30" s="173">
        <v>361.99430207464491</v>
      </c>
    </row>
    <row r="31" spans="1:6" ht="20" customHeight="1" thickBot="1">
      <c r="A31" s="681" t="s">
        <v>2057</v>
      </c>
      <c r="B31" s="153" t="s">
        <v>106</v>
      </c>
      <c r="C31" s="228" t="s">
        <v>106</v>
      </c>
      <c r="D31" s="153" t="s">
        <v>106</v>
      </c>
      <c r="E31" s="228">
        <v>425.56637864631602</v>
      </c>
      <c r="F31" s="173">
        <v>425.56637864631631</v>
      </c>
    </row>
    <row r="32" spans="1:6" ht="20" customHeight="1" thickBot="1">
      <c r="A32" s="681" t="s">
        <v>2058</v>
      </c>
      <c r="B32" s="153" t="s">
        <v>106</v>
      </c>
      <c r="C32" s="228" t="s">
        <v>106</v>
      </c>
      <c r="D32" s="153" t="s">
        <v>106</v>
      </c>
      <c r="E32" s="228">
        <v>333.63017255883403</v>
      </c>
      <c r="F32" s="173">
        <v>333.63017255883432</v>
      </c>
    </row>
    <row r="33" spans="1:6" s="205" customFormat="1" ht="30" customHeight="1" thickBot="1">
      <c r="A33" s="187" t="s">
        <v>2059</v>
      </c>
      <c r="B33" s="218" t="s">
        <v>1300</v>
      </c>
      <c r="C33" s="229" t="s">
        <v>1300</v>
      </c>
      <c r="D33" s="218" t="s">
        <v>1300</v>
      </c>
      <c r="E33" s="229" t="s">
        <v>1300</v>
      </c>
      <c r="F33" s="218">
        <v>306.40836181971781</v>
      </c>
    </row>
    <row r="34" spans="1:6" ht="20" customHeight="1">
      <c r="A34" s="155" t="s">
        <v>1674</v>
      </c>
      <c r="B34" s="967"/>
      <c r="C34" s="967"/>
      <c r="D34" s="967"/>
      <c r="E34" s="967"/>
      <c r="F34" s="967"/>
    </row>
    <row r="35" spans="1:6" ht="12.75" customHeight="1">
      <c r="A35" s="4"/>
      <c r="B35" s="968"/>
      <c r="C35" s="968"/>
      <c r="D35" s="968"/>
      <c r="E35" s="968"/>
      <c r="F35" s="968"/>
    </row>
    <row r="36" spans="1:6" ht="15.75" customHeight="1">
      <c r="A36" s="4" t="s">
        <v>2242</v>
      </c>
      <c r="B36" s="968"/>
      <c r="C36" s="968"/>
      <c r="D36" s="968"/>
      <c r="E36" s="968"/>
      <c r="F36" s="968"/>
    </row>
    <row r="37" spans="1:6" ht="13.5" customHeight="1">
      <c r="A37" s="4"/>
      <c r="B37" s="968"/>
      <c r="C37" s="968"/>
      <c r="D37" s="968"/>
      <c r="E37" s="968"/>
      <c r="F37" s="968"/>
    </row>
    <row r="38" spans="1:6" ht="12.75" customHeight="1">
      <c r="A38" s="4" t="s">
        <v>2230</v>
      </c>
      <c r="B38" s="968"/>
      <c r="C38" s="968"/>
      <c r="D38" s="968"/>
      <c r="E38" s="968"/>
      <c r="F38" s="968"/>
    </row>
    <row r="39" spans="1:6">
      <c r="A39" s="2" t="s">
        <v>1408</v>
      </c>
      <c r="B39" s="394"/>
      <c r="C39" s="394"/>
      <c r="D39" s="394"/>
      <c r="E39" s="394"/>
      <c r="F39" s="394"/>
    </row>
    <row r="40" spans="1:6">
      <c r="A40" s="2" t="s">
        <v>1409</v>
      </c>
      <c r="B40" s="394"/>
      <c r="C40" s="394"/>
      <c r="D40" s="394"/>
      <c r="E40" s="394"/>
      <c r="F40" s="394"/>
    </row>
    <row r="41" spans="1:6">
      <c r="B41" s="394"/>
      <c r="C41" s="394"/>
      <c r="D41" s="394"/>
      <c r="E41" s="394"/>
      <c r="F41" s="394"/>
    </row>
    <row r="42" spans="1:6">
      <c r="B42" s="394"/>
      <c r="C42" s="394"/>
      <c r="D42" s="394"/>
      <c r="E42" s="394"/>
      <c r="F42" s="394"/>
    </row>
    <row r="43" spans="1:6">
      <c r="A43" s="2" t="s">
        <v>104</v>
      </c>
    </row>
  </sheetData>
  <phoneticPr fontId="0" type="noConversion"/>
  <pageMargins left="0.57999999999999996" right="0.62" top="0.96" bottom="0.47244094488188981" header="0.44" footer="0.51181102362204722"/>
  <pageSetup paperSize="9" scale="91" orientation="portrait" horizontalDpi="4294967292" verticalDpi="4294967292"/>
  <headerFooter alignWithMargins="0">
    <oddHeader>&amp;L&amp;"Arial,Bold"Prämientarife in der OKP</oddHead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B9A30-CD13-E14D-A33A-484B340A7911}">
  <sheetPr>
    <pageSetUpPr fitToPage="1"/>
  </sheetPr>
  <dimension ref="A1:F43"/>
  <sheetViews>
    <sheetView zoomScale="75" workbookViewId="0">
      <selection activeCell="A40" sqref="A40"/>
    </sheetView>
  </sheetViews>
  <sheetFormatPr baseColWidth="10" defaultColWidth="11.3984375" defaultRowHeight="13"/>
  <cols>
    <col min="1" max="6" width="16" style="2" customWidth="1"/>
    <col min="7" max="16384" width="11.3984375" style="2"/>
  </cols>
  <sheetData>
    <row r="1" spans="1:6" s="1" customFormat="1" ht="14" customHeight="1">
      <c r="A1" s="591"/>
      <c r="B1" s="591"/>
      <c r="C1" s="591"/>
      <c r="D1" s="591"/>
      <c r="E1" s="591"/>
      <c r="F1" s="591"/>
    </row>
    <row r="2" spans="1:6" s="1" customFormat="1" ht="21" customHeight="1">
      <c r="A2" s="592" t="s">
        <v>1411</v>
      </c>
      <c r="B2" s="591"/>
      <c r="C2" s="591"/>
      <c r="D2" s="591"/>
      <c r="E2" s="591"/>
      <c r="F2" s="591"/>
    </row>
    <row r="3" spans="1:6" s="1" customFormat="1" ht="27" customHeight="1">
      <c r="A3" s="592" t="s">
        <v>1414</v>
      </c>
      <c r="B3" s="591"/>
      <c r="C3" s="591"/>
      <c r="D3" s="591"/>
      <c r="E3" s="591"/>
      <c r="F3" s="591"/>
    </row>
    <row r="4" spans="1:6" ht="24" customHeight="1">
      <c r="A4" s="139" t="s">
        <v>503</v>
      </c>
      <c r="B4" s="928" t="s">
        <v>1403</v>
      </c>
      <c r="C4" s="964" t="s">
        <v>1404</v>
      </c>
      <c r="D4" s="928" t="s">
        <v>1405</v>
      </c>
      <c r="E4" s="964" t="s">
        <v>1406</v>
      </c>
      <c r="F4" s="928" t="s">
        <v>652</v>
      </c>
    </row>
    <row r="5" spans="1:6" ht="24.75" customHeight="1">
      <c r="A5" s="165"/>
      <c r="B5" s="965"/>
      <c r="C5" s="966"/>
      <c r="D5" s="965"/>
      <c r="E5" s="966"/>
      <c r="F5" s="965"/>
    </row>
    <row r="6" spans="1:6" ht="16" customHeight="1">
      <c r="A6" s="167"/>
      <c r="B6" s="168"/>
      <c r="C6" s="147"/>
      <c r="D6" s="168"/>
      <c r="E6" s="147"/>
      <c r="F6" s="146"/>
    </row>
    <row r="7" spans="1:6" ht="30" customHeight="1" thickBot="1">
      <c r="A7" s="689" t="s">
        <v>510</v>
      </c>
      <c r="B7" s="149">
        <v>277.47976439497108</v>
      </c>
      <c r="C7" s="225">
        <v>231.929804636651</v>
      </c>
      <c r="D7" s="149">
        <v>214.84304719982001</v>
      </c>
      <c r="E7" s="225" t="s">
        <v>106</v>
      </c>
      <c r="F7" s="319">
        <v>237.4402416911102</v>
      </c>
    </row>
    <row r="8" spans="1:6" ht="20" customHeight="1" thickBot="1">
      <c r="A8" s="681" t="s">
        <v>511</v>
      </c>
      <c r="B8" s="153">
        <v>273.63941949090804</v>
      </c>
      <c r="C8" s="228">
        <v>236.05794301298801</v>
      </c>
      <c r="D8" s="153">
        <v>218.95955188655103</v>
      </c>
      <c r="E8" s="228" t="s">
        <v>106</v>
      </c>
      <c r="F8" s="173">
        <v>242.4325024681834</v>
      </c>
    </row>
    <row r="9" spans="1:6" ht="20" customHeight="1" thickBot="1">
      <c r="A9" s="681" t="s">
        <v>512</v>
      </c>
      <c r="B9" s="153">
        <v>209.15283422570201</v>
      </c>
      <c r="C9" s="228">
        <v>192.97000703836</v>
      </c>
      <c r="D9" s="153">
        <v>185.773065430413</v>
      </c>
      <c r="E9" s="228" t="s">
        <v>106</v>
      </c>
      <c r="F9" s="173">
        <v>196.61909388560909</v>
      </c>
    </row>
    <row r="10" spans="1:6" ht="20" customHeight="1" thickBot="1">
      <c r="A10" s="681" t="s">
        <v>513</v>
      </c>
      <c r="B10" s="153" t="s">
        <v>106</v>
      </c>
      <c r="C10" s="228" t="s">
        <v>106</v>
      </c>
      <c r="D10" s="153" t="s">
        <v>106</v>
      </c>
      <c r="E10" s="228">
        <v>179.94842991435402</v>
      </c>
      <c r="F10" s="173">
        <v>179.94842991435394</v>
      </c>
    </row>
    <row r="11" spans="1:6" ht="20" customHeight="1" thickBot="1">
      <c r="A11" s="681" t="s">
        <v>514</v>
      </c>
      <c r="B11" s="153" t="s">
        <v>106</v>
      </c>
      <c r="C11" s="228" t="s">
        <v>106</v>
      </c>
      <c r="D11" s="153" t="s">
        <v>106</v>
      </c>
      <c r="E11" s="228">
        <v>194.89345074367901</v>
      </c>
      <c r="F11" s="173">
        <v>194.8934507436793</v>
      </c>
    </row>
    <row r="12" spans="1:6" ht="20" customHeight="1" thickBot="1">
      <c r="A12" s="681" t="s">
        <v>515</v>
      </c>
      <c r="B12" s="153" t="s">
        <v>106</v>
      </c>
      <c r="C12" s="228" t="s">
        <v>106</v>
      </c>
      <c r="D12" s="153" t="s">
        <v>106</v>
      </c>
      <c r="E12" s="228">
        <v>173.243531863008</v>
      </c>
      <c r="F12" s="173">
        <v>173.24353186300817</v>
      </c>
    </row>
    <row r="13" spans="1:6" ht="20" customHeight="1" thickBot="1">
      <c r="A13" s="681" t="s">
        <v>516</v>
      </c>
      <c r="B13" s="153" t="s">
        <v>106</v>
      </c>
      <c r="C13" s="228" t="s">
        <v>106</v>
      </c>
      <c r="D13" s="153" t="s">
        <v>106</v>
      </c>
      <c r="E13" s="228">
        <v>166.28225401488803</v>
      </c>
      <c r="F13" s="173">
        <v>166.28225401488783</v>
      </c>
    </row>
    <row r="14" spans="1:6" ht="20" customHeight="1" thickBot="1">
      <c r="A14" s="681" t="s">
        <v>517</v>
      </c>
      <c r="B14" s="153" t="s">
        <v>106</v>
      </c>
      <c r="C14" s="228" t="s">
        <v>106</v>
      </c>
      <c r="D14" s="153" t="s">
        <v>106</v>
      </c>
      <c r="E14" s="228">
        <v>197.61385567374299</v>
      </c>
      <c r="F14" s="173">
        <v>197.61385567374325</v>
      </c>
    </row>
    <row r="15" spans="1:6" ht="20" customHeight="1" thickBot="1">
      <c r="A15" s="681" t="s">
        <v>518</v>
      </c>
      <c r="B15" s="153" t="s">
        <v>106</v>
      </c>
      <c r="C15" s="228" t="s">
        <v>106</v>
      </c>
      <c r="D15" s="153" t="s">
        <v>106</v>
      </c>
      <c r="E15" s="228">
        <v>195.886961116218</v>
      </c>
      <c r="F15" s="173">
        <v>195.88696111621792</v>
      </c>
    </row>
    <row r="16" spans="1:6" ht="20" customHeight="1" thickBot="1">
      <c r="A16" s="681" t="s">
        <v>519</v>
      </c>
      <c r="B16" s="153">
        <v>247.40712126756901</v>
      </c>
      <c r="C16" s="228">
        <v>221.68994411243102</v>
      </c>
      <c r="D16" s="153" t="s">
        <v>106</v>
      </c>
      <c r="E16" s="228" t="s">
        <v>106</v>
      </c>
      <c r="F16" s="173">
        <v>230.82170096311799</v>
      </c>
    </row>
    <row r="17" spans="1:6" ht="20" customHeight="1" thickBot="1">
      <c r="A17" s="681" t="s">
        <v>520</v>
      </c>
      <c r="B17" s="153" t="s">
        <v>106</v>
      </c>
      <c r="C17" s="228" t="s">
        <v>106</v>
      </c>
      <c r="D17" s="153" t="s">
        <v>106</v>
      </c>
      <c r="E17" s="228">
        <v>212.734665983881</v>
      </c>
      <c r="F17" s="173">
        <v>212.7346659838806</v>
      </c>
    </row>
    <row r="18" spans="1:6" ht="20" customHeight="1" thickBot="1">
      <c r="A18" s="681" t="s">
        <v>521</v>
      </c>
      <c r="B18" s="153" t="s">
        <v>106</v>
      </c>
      <c r="C18" s="228" t="s">
        <v>106</v>
      </c>
      <c r="D18" s="153" t="s">
        <v>106</v>
      </c>
      <c r="E18" s="228">
        <v>321.40687412838503</v>
      </c>
      <c r="F18" s="173">
        <v>321.40687412838491</v>
      </c>
    </row>
    <row r="19" spans="1:6" ht="20" customHeight="1" thickBot="1">
      <c r="A19" s="681" t="s">
        <v>522</v>
      </c>
      <c r="B19" s="153">
        <v>245.41151915019202</v>
      </c>
      <c r="C19" s="228">
        <v>226.36555444589999</v>
      </c>
      <c r="D19" s="153" t="s">
        <v>106</v>
      </c>
      <c r="E19" s="228" t="s">
        <v>106</v>
      </c>
      <c r="F19" s="173">
        <v>239.86079260948537</v>
      </c>
    </row>
    <row r="20" spans="1:6" ht="20" customHeight="1" thickBot="1">
      <c r="A20" s="681" t="s">
        <v>523</v>
      </c>
      <c r="B20" s="153">
        <v>228.15095602754801</v>
      </c>
      <c r="C20" s="228">
        <v>211.61001081245502</v>
      </c>
      <c r="D20" s="153" t="s">
        <v>106</v>
      </c>
      <c r="E20" s="228" t="s">
        <v>106</v>
      </c>
      <c r="F20" s="173">
        <v>221.75786437511638</v>
      </c>
    </row>
    <row r="21" spans="1:6" ht="20" customHeight="1" thickBot="1">
      <c r="A21" s="681" t="s">
        <v>2047</v>
      </c>
      <c r="B21" s="153" t="s">
        <v>106</v>
      </c>
      <c r="C21" s="228" t="s">
        <v>106</v>
      </c>
      <c r="D21" s="153" t="s">
        <v>106</v>
      </c>
      <c r="E21" s="228">
        <v>176.077694246991</v>
      </c>
      <c r="F21" s="173">
        <v>176.07769424699086</v>
      </c>
    </row>
    <row r="22" spans="1:6" ht="20" customHeight="1" thickBot="1">
      <c r="A22" s="681" t="s">
        <v>2048</v>
      </c>
      <c r="B22" s="153" t="s">
        <v>106</v>
      </c>
      <c r="C22" s="228" t="s">
        <v>106</v>
      </c>
      <c r="D22" s="153" t="s">
        <v>106</v>
      </c>
      <c r="E22" s="228">
        <v>160.59743631142501</v>
      </c>
      <c r="F22" s="173">
        <v>160.5974363114253</v>
      </c>
    </row>
    <row r="23" spans="1:6" ht="20" customHeight="1" thickBot="1">
      <c r="A23" s="681" t="s">
        <v>2049</v>
      </c>
      <c r="B23" s="153">
        <v>207.41831139480303</v>
      </c>
      <c r="C23" s="228">
        <v>193.98233390466001</v>
      </c>
      <c r="D23" s="153">
        <v>187.03836116073302</v>
      </c>
      <c r="E23" s="228" t="s">
        <v>106</v>
      </c>
      <c r="F23" s="173">
        <v>196.13982445853085</v>
      </c>
    </row>
    <row r="24" spans="1:6" ht="20" customHeight="1" thickBot="1">
      <c r="A24" s="681" t="s">
        <v>2050</v>
      </c>
      <c r="B24" s="153">
        <v>208.01628007610799</v>
      </c>
      <c r="C24" s="228">
        <v>199.488817404321</v>
      </c>
      <c r="D24" s="153">
        <v>184.15934630457301</v>
      </c>
      <c r="E24" s="228" t="s">
        <v>106</v>
      </c>
      <c r="F24" s="173">
        <v>198.13803420396442</v>
      </c>
    </row>
    <row r="25" spans="1:6" ht="20" customHeight="1" thickBot="1">
      <c r="A25" s="681" t="s">
        <v>2051</v>
      </c>
      <c r="B25" s="153" t="s">
        <v>106</v>
      </c>
      <c r="C25" s="228" t="s">
        <v>106</v>
      </c>
      <c r="D25" s="153" t="s">
        <v>106</v>
      </c>
      <c r="E25" s="228">
        <v>211.55035937553401</v>
      </c>
      <c r="F25" s="173">
        <v>211.55035937553356</v>
      </c>
    </row>
    <row r="26" spans="1:6" ht="20" customHeight="1" thickBot="1">
      <c r="A26" s="681" t="s">
        <v>2052</v>
      </c>
      <c r="B26" s="153" t="s">
        <v>106</v>
      </c>
      <c r="C26" s="228" t="s">
        <v>106</v>
      </c>
      <c r="D26" s="153" t="s">
        <v>106</v>
      </c>
      <c r="E26" s="228">
        <v>225.02986477824902</v>
      </c>
      <c r="F26" s="173">
        <v>225.02986477824896</v>
      </c>
    </row>
    <row r="27" spans="1:6" ht="20" customHeight="1" thickBot="1">
      <c r="A27" s="681" t="s">
        <v>2053</v>
      </c>
      <c r="B27" s="153">
        <v>292.24060503945503</v>
      </c>
      <c r="C27" s="228">
        <v>274.00440526544708</v>
      </c>
      <c r="D27" s="153" t="s">
        <v>106</v>
      </c>
      <c r="E27" s="228" t="s">
        <v>106</v>
      </c>
      <c r="F27" s="173">
        <v>289.34051282230178</v>
      </c>
    </row>
    <row r="28" spans="1:6" ht="20" customHeight="1" thickBot="1">
      <c r="A28" s="681" t="s">
        <v>2054</v>
      </c>
      <c r="B28" s="153">
        <v>329.91651670329009</v>
      </c>
      <c r="C28" s="228">
        <v>308.19175374157004</v>
      </c>
      <c r="D28" s="153">
        <v>298.46403312697004</v>
      </c>
      <c r="E28" s="228" t="s">
        <v>106</v>
      </c>
      <c r="F28" s="173">
        <v>312.82699152011577</v>
      </c>
    </row>
    <row r="29" spans="1:6" ht="20" customHeight="1" thickBot="1">
      <c r="A29" s="681" t="s">
        <v>2055</v>
      </c>
      <c r="B29" s="153">
        <v>216.25198088468201</v>
      </c>
      <c r="C29" s="228">
        <v>177.20554539929299</v>
      </c>
      <c r="D29" s="153" t="s">
        <v>106</v>
      </c>
      <c r="E29" s="228" t="s">
        <v>106</v>
      </c>
      <c r="F29" s="173">
        <v>204.97707751793763</v>
      </c>
    </row>
    <row r="30" spans="1:6" ht="20" customHeight="1" thickBot="1">
      <c r="A30" s="681" t="s">
        <v>2056</v>
      </c>
      <c r="B30" s="153" t="s">
        <v>106</v>
      </c>
      <c r="C30" s="228" t="s">
        <v>106</v>
      </c>
      <c r="D30" s="153" t="s">
        <v>106</v>
      </c>
      <c r="E30" s="228">
        <v>303.86497009979701</v>
      </c>
      <c r="F30" s="173">
        <v>303.86497009979729</v>
      </c>
    </row>
    <row r="31" spans="1:6" ht="20" customHeight="1" thickBot="1">
      <c r="A31" s="681" t="s">
        <v>2057</v>
      </c>
      <c r="B31" s="153" t="s">
        <v>106</v>
      </c>
      <c r="C31" s="228" t="s">
        <v>106</v>
      </c>
      <c r="D31" s="153" t="s">
        <v>106</v>
      </c>
      <c r="E31" s="228">
        <v>355.97149218709507</v>
      </c>
      <c r="F31" s="173">
        <v>355.97149218709495</v>
      </c>
    </row>
    <row r="32" spans="1:6" ht="20" customHeight="1" thickBot="1">
      <c r="A32" s="681" t="s">
        <v>2058</v>
      </c>
      <c r="B32" s="153" t="s">
        <v>106</v>
      </c>
      <c r="C32" s="228" t="s">
        <v>106</v>
      </c>
      <c r="D32" s="153" t="s">
        <v>106</v>
      </c>
      <c r="E32" s="228">
        <v>282.33360723970901</v>
      </c>
      <c r="F32" s="173">
        <v>282.33360723970895</v>
      </c>
    </row>
    <row r="33" spans="1:6" s="205" customFormat="1" ht="30" customHeight="1" thickBot="1">
      <c r="A33" s="187" t="s">
        <v>2059</v>
      </c>
      <c r="B33" s="218" t="s">
        <v>1300</v>
      </c>
      <c r="C33" s="229" t="s">
        <v>1300</v>
      </c>
      <c r="D33" s="218" t="s">
        <v>1300</v>
      </c>
      <c r="E33" s="229" t="s">
        <v>1300</v>
      </c>
      <c r="F33" s="218">
        <v>241.17388660184943</v>
      </c>
    </row>
    <row r="34" spans="1:6" ht="20" customHeight="1">
      <c r="A34" s="155" t="s">
        <v>1674</v>
      </c>
      <c r="B34" s="967"/>
      <c r="C34" s="967"/>
      <c r="D34" s="967"/>
      <c r="E34" s="967"/>
      <c r="F34" s="967"/>
    </row>
    <row r="35" spans="1:6" ht="12.75" customHeight="1">
      <c r="A35" s="4"/>
      <c r="B35" s="968"/>
      <c r="C35" s="968"/>
      <c r="D35" s="968"/>
      <c r="E35" s="968"/>
      <c r="F35" s="968"/>
    </row>
    <row r="36" spans="1:6" ht="15.75" customHeight="1">
      <c r="A36" s="4" t="s">
        <v>2242</v>
      </c>
      <c r="B36" s="968"/>
      <c r="C36" s="968"/>
      <c r="D36" s="968"/>
      <c r="E36" s="968"/>
      <c r="F36" s="968"/>
    </row>
    <row r="37" spans="1:6" ht="13.5" customHeight="1">
      <c r="A37" s="4"/>
      <c r="B37" s="968"/>
      <c r="C37" s="968"/>
      <c r="D37" s="968"/>
      <c r="E37" s="968"/>
      <c r="F37" s="968"/>
    </row>
    <row r="38" spans="1:6" ht="12.75" customHeight="1">
      <c r="A38" s="4" t="s">
        <v>2230</v>
      </c>
      <c r="B38" s="968"/>
      <c r="C38" s="968"/>
      <c r="D38" s="968"/>
      <c r="E38" s="968"/>
      <c r="F38" s="968"/>
    </row>
    <row r="39" spans="1:6">
      <c r="A39" s="2" t="s">
        <v>1408</v>
      </c>
      <c r="B39" s="394"/>
      <c r="C39" s="394"/>
      <c r="D39" s="394"/>
      <c r="E39" s="394"/>
      <c r="F39" s="394"/>
    </row>
    <row r="40" spans="1:6">
      <c r="A40" s="2" t="s">
        <v>1409</v>
      </c>
      <c r="B40" s="394"/>
      <c r="C40" s="394"/>
      <c r="D40" s="394"/>
      <c r="E40" s="394"/>
      <c r="F40" s="394"/>
    </row>
    <row r="41" spans="1:6">
      <c r="B41" s="394"/>
      <c r="C41" s="394"/>
      <c r="D41" s="394"/>
      <c r="E41" s="394"/>
      <c r="F41" s="394"/>
    </row>
    <row r="42" spans="1:6">
      <c r="B42" s="394"/>
      <c r="C42" s="394"/>
      <c r="D42" s="394"/>
      <c r="E42" s="394"/>
      <c r="F42" s="394"/>
    </row>
    <row r="43" spans="1:6">
      <c r="A43" s="2" t="s">
        <v>104</v>
      </c>
    </row>
  </sheetData>
  <phoneticPr fontId="0" type="noConversion"/>
  <pageMargins left="0.56000000000000005" right="0.54" top="1.01" bottom="0.47244094488188981" header="0.63" footer="0.51181102362204722"/>
  <pageSetup paperSize="9" scale="91" orientation="portrait" horizontalDpi="4294967292" verticalDpi="4294967292"/>
  <headerFooter alignWithMargins="0">
    <oddHeader>&amp;L&amp;"Arial,Bold"Prämientarife in der OKP</oddHead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BB2DF-A082-9B4C-8FAB-19FDB649DE90}">
  <sheetPr>
    <pageSetUpPr fitToPage="1"/>
  </sheetPr>
  <dimension ref="A1:F43"/>
  <sheetViews>
    <sheetView zoomScale="75" workbookViewId="0">
      <selection activeCell="I7" sqref="I7"/>
    </sheetView>
  </sheetViews>
  <sheetFormatPr baseColWidth="10" defaultColWidth="11.3984375" defaultRowHeight="13"/>
  <cols>
    <col min="1" max="6" width="16" style="2" customWidth="1"/>
    <col min="7" max="16384" width="11.3984375" style="2"/>
  </cols>
  <sheetData>
    <row r="1" spans="1:6" s="1" customFormat="1" ht="14" customHeight="1">
      <c r="A1" s="591"/>
      <c r="B1" s="591"/>
      <c r="C1" s="591"/>
      <c r="D1" s="591"/>
      <c r="E1" s="591"/>
      <c r="F1" s="591"/>
    </row>
    <row r="2" spans="1:6" s="1" customFormat="1" ht="18.75" customHeight="1">
      <c r="A2" s="592" t="s">
        <v>1410</v>
      </c>
      <c r="B2" s="591"/>
      <c r="C2" s="591"/>
      <c r="D2" s="591"/>
      <c r="E2" s="591"/>
      <c r="F2" s="591"/>
    </row>
    <row r="3" spans="1:6" s="1" customFormat="1" ht="24" customHeight="1">
      <c r="A3" s="592" t="s">
        <v>1413</v>
      </c>
      <c r="B3" s="591"/>
      <c r="C3" s="591"/>
      <c r="D3" s="591"/>
      <c r="E3" s="591"/>
      <c r="F3" s="591"/>
    </row>
    <row r="4" spans="1:6" ht="24" customHeight="1">
      <c r="A4" s="139" t="s">
        <v>503</v>
      </c>
      <c r="B4" s="928" t="s">
        <v>1403</v>
      </c>
      <c r="C4" s="964" t="s">
        <v>1404</v>
      </c>
      <c r="D4" s="928" t="s">
        <v>1405</v>
      </c>
      <c r="E4" s="964" t="s">
        <v>1406</v>
      </c>
      <c r="F4" s="928" t="s">
        <v>652</v>
      </c>
    </row>
    <row r="5" spans="1:6" ht="24.75" customHeight="1">
      <c r="A5" s="165"/>
      <c r="B5" s="965"/>
      <c r="C5" s="966"/>
      <c r="D5" s="965"/>
      <c r="E5" s="966"/>
      <c r="F5" s="965"/>
    </row>
    <row r="6" spans="1:6" ht="16" customHeight="1">
      <c r="A6" s="167"/>
      <c r="B6" s="168"/>
      <c r="C6" s="147"/>
      <c r="D6" s="168"/>
      <c r="E6" s="147"/>
      <c r="F6" s="146"/>
    </row>
    <row r="7" spans="1:6" ht="30" customHeight="1" thickBot="1">
      <c r="A7" s="689" t="s">
        <v>510</v>
      </c>
      <c r="B7" s="149">
        <v>84.414437369864189</v>
      </c>
      <c r="C7" s="225">
        <v>72.68541439962199</v>
      </c>
      <c r="D7" s="149">
        <v>67.408187312118102</v>
      </c>
      <c r="E7" s="225" t="s">
        <v>106</v>
      </c>
      <c r="F7" s="319">
        <v>73.365637516402629</v>
      </c>
    </row>
    <row r="8" spans="1:6" ht="20" customHeight="1" thickBot="1">
      <c r="A8" s="681" t="s">
        <v>511</v>
      </c>
      <c r="B8" s="153">
        <v>83.738369213235188</v>
      </c>
      <c r="C8" s="228">
        <v>73.047322105966586</v>
      </c>
      <c r="D8" s="153">
        <v>68.541093552232695</v>
      </c>
      <c r="E8" s="228" t="s">
        <v>106</v>
      </c>
      <c r="F8" s="173">
        <v>74.674152677321516</v>
      </c>
    </row>
    <row r="9" spans="1:6" ht="20" customHeight="1" thickBot="1">
      <c r="A9" s="681" t="s">
        <v>512</v>
      </c>
      <c r="B9" s="153">
        <v>65.417423760315998</v>
      </c>
      <c r="C9" s="228">
        <v>60.322484363423499</v>
      </c>
      <c r="D9" s="153">
        <v>57.826545137285294</v>
      </c>
      <c r="E9" s="228" t="s">
        <v>106</v>
      </c>
      <c r="F9" s="173">
        <v>61.099794685380274</v>
      </c>
    </row>
    <row r="10" spans="1:6" ht="20" customHeight="1" thickBot="1">
      <c r="A10" s="681" t="s">
        <v>513</v>
      </c>
      <c r="B10" s="153" t="s">
        <v>106</v>
      </c>
      <c r="C10" s="228" t="s">
        <v>106</v>
      </c>
      <c r="D10" s="153" t="s">
        <v>106</v>
      </c>
      <c r="E10" s="228">
        <v>55.562223652082295</v>
      </c>
      <c r="F10" s="173">
        <v>55.562223652082302</v>
      </c>
    </row>
    <row r="11" spans="1:6" ht="20" customHeight="1" thickBot="1">
      <c r="A11" s="681" t="s">
        <v>514</v>
      </c>
      <c r="B11" s="153" t="s">
        <v>106</v>
      </c>
      <c r="C11" s="228" t="s">
        <v>106</v>
      </c>
      <c r="D11" s="153" t="s">
        <v>106</v>
      </c>
      <c r="E11" s="228">
        <v>60.316237552065793</v>
      </c>
      <c r="F11" s="173">
        <v>60.316237552065772</v>
      </c>
    </row>
    <row r="12" spans="1:6" ht="20" customHeight="1" thickBot="1">
      <c r="A12" s="681" t="s">
        <v>515</v>
      </c>
      <c r="B12" s="153" t="s">
        <v>106</v>
      </c>
      <c r="C12" s="228" t="s">
        <v>106</v>
      </c>
      <c r="D12" s="153" t="s">
        <v>106</v>
      </c>
      <c r="E12" s="228">
        <v>53.633141808293992</v>
      </c>
      <c r="F12" s="173">
        <v>53.63314180829402</v>
      </c>
    </row>
    <row r="13" spans="1:6" ht="20" customHeight="1" thickBot="1">
      <c r="A13" s="681" t="s">
        <v>516</v>
      </c>
      <c r="B13" s="153" t="s">
        <v>106</v>
      </c>
      <c r="C13" s="228" t="s">
        <v>106</v>
      </c>
      <c r="D13" s="153" t="s">
        <v>106</v>
      </c>
      <c r="E13" s="228">
        <v>52.383284318552896</v>
      </c>
      <c r="F13" s="173">
        <v>52.383284318552882</v>
      </c>
    </row>
    <row r="14" spans="1:6" ht="20" customHeight="1" thickBot="1">
      <c r="A14" s="681" t="s">
        <v>517</v>
      </c>
      <c r="B14" s="153" t="s">
        <v>106</v>
      </c>
      <c r="C14" s="228" t="s">
        <v>106</v>
      </c>
      <c r="D14" s="153" t="s">
        <v>106</v>
      </c>
      <c r="E14" s="228">
        <v>60.588983829050299</v>
      </c>
      <c r="F14" s="173">
        <v>60.588983829050342</v>
      </c>
    </row>
    <row r="15" spans="1:6" ht="20" customHeight="1" thickBot="1">
      <c r="A15" s="681" t="s">
        <v>518</v>
      </c>
      <c r="B15" s="153" t="s">
        <v>106</v>
      </c>
      <c r="C15" s="228" t="s">
        <v>106</v>
      </c>
      <c r="D15" s="153" t="s">
        <v>106</v>
      </c>
      <c r="E15" s="228">
        <v>60.683553543266392</v>
      </c>
      <c r="F15" s="173">
        <v>60.683553543266456</v>
      </c>
    </row>
    <row r="16" spans="1:6" ht="20" customHeight="1" thickBot="1">
      <c r="A16" s="681" t="s">
        <v>519</v>
      </c>
      <c r="B16" s="153">
        <v>73.676555169934488</v>
      </c>
      <c r="C16" s="228">
        <v>66.5362003598553</v>
      </c>
      <c r="D16" s="153" t="s">
        <v>106</v>
      </c>
      <c r="E16" s="228" t="s">
        <v>106</v>
      </c>
      <c r="F16" s="173">
        <v>68.94849155811535</v>
      </c>
    </row>
    <row r="17" spans="1:6" ht="20" customHeight="1" thickBot="1">
      <c r="A17" s="681" t="s">
        <v>520</v>
      </c>
      <c r="B17" s="153" t="s">
        <v>106</v>
      </c>
      <c r="C17" s="228" t="s">
        <v>106</v>
      </c>
      <c r="D17" s="153" t="s">
        <v>106</v>
      </c>
      <c r="E17" s="228">
        <v>67.0608735397348</v>
      </c>
      <c r="F17" s="173">
        <v>67.060873539734828</v>
      </c>
    </row>
    <row r="18" spans="1:6" ht="20" customHeight="1" thickBot="1">
      <c r="A18" s="681" t="s">
        <v>521</v>
      </c>
      <c r="B18" s="153" t="s">
        <v>106</v>
      </c>
      <c r="C18" s="228" t="s">
        <v>106</v>
      </c>
      <c r="D18" s="153" t="s">
        <v>106</v>
      </c>
      <c r="E18" s="228">
        <v>99.047784400346288</v>
      </c>
      <c r="F18" s="173">
        <v>99.047784400346274</v>
      </c>
    </row>
    <row r="19" spans="1:6" ht="20" customHeight="1" thickBot="1">
      <c r="A19" s="681" t="s">
        <v>522</v>
      </c>
      <c r="B19" s="153">
        <v>77.749629744183409</v>
      </c>
      <c r="C19" s="228">
        <v>71.751148092979605</v>
      </c>
      <c r="D19" s="153" t="s">
        <v>106</v>
      </c>
      <c r="E19" s="228" t="s">
        <v>106</v>
      </c>
      <c r="F19" s="173">
        <v>75.883841871704192</v>
      </c>
    </row>
    <row r="20" spans="1:6" ht="20" customHeight="1" thickBot="1">
      <c r="A20" s="681" t="s">
        <v>523</v>
      </c>
      <c r="B20" s="153">
        <v>72.2324977410765</v>
      </c>
      <c r="C20" s="228">
        <v>67.309171864651404</v>
      </c>
      <c r="D20" s="153" t="s">
        <v>106</v>
      </c>
      <c r="E20" s="228" t="s">
        <v>106</v>
      </c>
      <c r="F20" s="173">
        <v>69.959268567702509</v>
      </c>
    </row>
    <row r="21" spans="1:6" ht="20" customHeight="1" thickBot="1">
      <c r="A21" s="681" t="s">
        <v>2047</v>
      </c>
      <c r="B21" s="153" t="s">
        <v>106</v>
      </c>
      <c r="C21" s="228" t="s">
        <v>106</v>
      </c>
      <c r="D21" s="153" t="s">
        <v>106</v>
      </c>
      <c r="E21" s="228">
        <v>55.341946435058098</v>
      </c>
      <c r="F21" s="173">
        <v>55.341946435058126</v>
      </c>
    </row>
    <row r="22" spans="1:6" ht="20" customHeight="1" thickBot="1">
      <c r="A22" s="681" t="s">
        <v>2048</v>
      </c>
      <c r="B22" s="153" t="s">
        <v>106</v>
      </c>
      <c r="C22" s="228" t="s">
        <v>106</v>
      </c>
      <c r="D22" s="153" t="s">
        <v>106</v>
      </c>
      <c r="E22" s="228">
        <v>50.819024006504293</v>
      </c>
      <c r="F22" s="173">
        <v>50.819024006504293</v>
      </c>
    </row>
    <row r="23" spans="1:6" ht="20" customHeight="1" thickBot="1">
      <c r="A23" s="681" t="s">
        <v>2049</v>
      </c>
      <c r="B23" s="153">
        <v>65.480689011433199</v>
      </c>
      <c r="C23" s="228">
        <v>60.618534519266994</v>
      </c>
      <c r="D23" s="153">
        <v>58.868398171545898</v>
      </c>
      <c r="E23" s="228" t="s">
        <v>106</v>
      </c>
      <c r="F23" s="173">
        <v>61.394593356672509</v>
      </c>
    </row>
    <row r="24" spans="1:6" ht="20" customHeight="1" thickBot="1">
      <c r="A24" s="681" t="s">
        <v>2050</v>
      </c>
      <c r="B24" s="153">
        <v>65.016038534543398</v>
      </c>
      <c r="C24" s="228">
        <v>62.2445719811369</v>
      </c>
      <c r="D24" s="153">
        <v>57.164168996178297</v>
      </c>
      <c r="E24" s="228" t="s">
        <v>106</v>
      </c>
      <c r="F24" s="173">
        <v>61.631082357271531</v>
      </c>
    </row>
    <row r="25" spans="1:6" ht="20" customHeight="1" thickBot="1">
      <c r="A25" s="681" t="s">
        <v>2051</v>
      </c>
      <c r="B25" s="153" t="s">
        <v>106</v>
      </c>
      <c r="C25" s="228" t="s">
        <v>106</v>
      </c>
      <c r="D25" s="153" t="s">
        <v>106</v>
      </c>
      <c r="E25" s="228">
        <v>65.1893475024374</v>
      </c>
      <c r="F25" s="173">
        <v>65.189347502437428</v>
      </c>
    </row>
    <row r="26" spans="1:6" ht="20" customHeight="1" thickBot="1">
      <c r="A26" s="681" t="s">
        <v>2052</v>
      </c>
      <c r="B26" s="153" t="s">
        <v>106</v>
      </c>
      <c r="C26" s="228" t="s">
        <v>106</v>
      </c>
      <c r="D26" s="153" t="s">
        <v>106</v>
      </c>
      <c r="E26" s="228">
        <v>69.667799980942803</v>
      </c>
      <c r="F26" s="173">
        <v>69.667862463289453</v>
      </c>
    </row>
    <row r="27" spans="1:6" ht="20" customHeight="1" thickBot="1">
      <c r="A27" s="681" t="s">
        <v>2053</v>
      </c>
      <c r="B27" s="153">
        <v>87.481448655542309</v>
      </c>
      <c r="C27" s="228">
        <v>82.336155996623987</v>
      </c>
      <c r="D27" s="153" t="s">
        <v>106</v>
      </c>
      <c r="E27" s="228" t="s">
        <v>106</v>
      </c>
      <c r="F27" s="173">
        <v>86.657805051429548</v>
      </c>
    </row>
    <row r="28" spans="1:6" ht="20" customHeight="1" thickBot="1">
      <c r="A28" s="681" t="s">
        <v>2054</v>
      </c>
      <c r="B28" s="153">
        <v>100.279511669409</v>
      </c>
      <c r="C28" s="228">
        <v>94.120101833256186</v>
      </c>
      <c r="D28" s="153">
        <v>91.073010288415503</v>
      </c>
      <c r="E28" s="228" t="s">
        <v>106</v>
      </c>
      <c r="F28" s="173">
        <v>95.032337902904914</v>
      </c>
    </row>
    <row r="29" spans="1:6" ht="20" customHeight="1" thickBot="1">
      <c r="A29" s="681" t="s">
        <v>2055</v>
      </c>
      <c r="B29" s="153">
        <v>65.755877510270196</v>
      </c>
      <c r="C29" s="228">
        <v>56.089044745055695</v>
      </c>
      <c r="D29" s="153" t="s">
        <v>106</v>
      </c>
      <c r="E29" s="228" t="s">
        <v>106</v>
      </c>
      <c r="F29" s="173">
        <v>63.180482034828493</v>
      </c>
    </row>
    <row r="30" spans="1:6" ht="20" customHeight="1" thickBot="1">
      <c r="A30" s="681" t="s">
        <v>2056</v>
      </c>
      <c r="B30" s="153" t="s">
        <v>106</v>
      </c>
      <c r="C30" s="228" t="s">
        <v>106</v>
      </c>
      <c r="D30" s="153" t="s">
        <v>106</v>
      </c>
      <c r="E30" s="228">
        <v>85.817761101754797</v>
      </c>
      <c r="F30" s="173">
        <v>85.817761101754826</v>
      </c>
    </row>
    <row r="31" spans="1:6" ht="20" customHeight="1" thickBot="1">
      <c r="A31" s="681" t="s">
        <v>2057</v>
      </c>
      <c r="B31" s="153" t="s">
        <v>106</v>
      </c>
      <c r="C31" s="228" t="s">
        <v>106</v>
      </c>
      <c r="D31" s="153" t="s">
        <v>106</v>
      </c>
      <c r="E31" s="228">
        <v>106.964631900886</v>
      </c>
      <c r="F31" s="173">
        <v>106.96463190088616</v>
      </c>
    </row>
    <row r="32" spans="1:6" ht="20" customHeight="1" thickBot="1">
      <c r="A32" s="681" t="s">
        <v>2058</v>
      </c>
      <c r="B32" s="153" t="s">
        <v>106</v>
      </c>
      <c r="C32" s="228" t="s">
        <v>106</v>
      </c>
      <c r="D32" s="153" t="s">
        <v>106</v>
      </c>
      <c r="E32" s="228">
        <v>81.868790572789791</v>
      </c>
      <c r="F32" s="173">
        <v>81.868790572789777</v>
      </c>
    </row>
    <row r="33" spans="1:6" s="205" customFormat="1" ht="30" customHeight="1" thickBot="1">
      <c r="A33" s="187" t="s">
        <v>2059</v>
      </c>
      <c r="B33" s="218" t="s">
        <v>1300</v>
      </c>
      <c r="C33" s="229" t="s">
        <v>1300</v>
      </c>
      <c r="D33" s="218" t="s">
        <v>1300</v>
      </c>
      <c r="E33" s="229" t="s">
        <v>1300</v>
      </c>
      <c r="F33" s="218">
        <v>74.466353915536445</v>
      </c>
    </row>
    <row r="34" spans="1:6" ht="20" customHeight="1">
      <c r="A34" s="155" t="s">
        <v>1674</v>
      </c>
      <c r="B34" s="967"/>
      <c r="C34" s="967"/>
      <c r="D34" s="967"/>
      <c r="E34" s="967"/>
      <c r="F34" s="967"/>
    </row>
    <row r="35" spans="1:6" ht="12.75" customHeight="1">
      <c r="A35" s="4"/>
      <c r="B35" s="968"/>
      <c r="C35" s="968"/>
      <c r="D35" s="968"/>
      <c r="E35" s="968"/>
      <c r="F35" s="968"/>
    </row>
    <row r="36" spans="1:6" ht="15.75" customHeight="1">
      <c r="A36" s="4" t="s">
        <v>1407</v>
      </c>
      <c r="B36" s="968"/>
      <c r="C36" s="968"/>
      <c r="D36" s="968"/>
      <c r="E36" s="968"/>
      <c r="F36" s="968"/>
    </row>
    <row r="37" spans="1:6" ht="13.5" customHeight="1">
      <c r="A37" s="4"/>
      <c r="B37" s="968"/>
      <c r="C37" s="968"/>
      <c r="D37" s="968"/>
      <c r="E37" s="968"/>
      <c r="F37" s="968"/>
    </row>
    <row r="38" spans="1:6" ht="12.75" customHeight="1">
      <c r="A38" s="4" t="s">
        <v>2230</v>
      </c>
      <c r="B38" s="968"/>
      <c r="C38" s="968"/>
      <c r="D38" s="968"/>
      <c r="E38" s="968"/>
      <c r="F38" s="968"/>
    </row>
    <row r="39" spans="1:6">
      <c r="A39" s="2" t="s">
        <v>1408</v>
      </c>
      <c r="B39" s="394"/>
      <c r="C39" s="394"/>
      <c r="D39" s="394"/>
      <c r="E39" s="394"/>
      <c r="F39" s="394"/>
    </row>
    <row r="40" spans="1:6">
      <c r="A40" s="2" t="s">
        <v>1409</v>
      </c>
      <c r="B40" s="394"/>
      <c r="C40" s="394"/>
      <c r="D40" s="394"/>
      <c r="E40" s="394"/>
      <c r="F40" s="394"/>
    </row>
    <row r="41" spans="1:6">
      <c r="B41" s="394"/>
      <c r="C41" s="394"/>
      <c r="D41" s="394"/>
      <c r="E41" s="394"/>
      <c r="F41" s="394"/>
    </row>
    <row r="42" spans="1:6">
      <c r="B42" s="394"/>
      <c r="C42" s="394"/>
      <c r="D42" s="394"/>
      <c r="E42" s="394"/>
      <c r="F42" s="394"/>
    </row>
    <row r="43" spans="1:6">
      <c r="A43" s="2" t="s">
        <v>104</v>
      </c>
    </row>
  </sheetData>
  <phoneticPr fontId="0" type="noConversion"/>
  <pageMargins left="0.62" right="0.54" top="0.9" bottom="0.47244094488188981" header="0.53" footer="0.51181102362204722"/>
  <pageSetup paperSize="9" scale="93" orientation="portrait" horizontalDpi="4294967292" verticalDpi="4294967292"/>
  <headerFooter alignWithMargins="0">
    <oddHeader>&amp;L&amp;"Arial,Bold"Prämientarife in der OKP</oddHead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D877A-F949-8A49-BBC1-4A72EB0EC749}">
  <sheetPr>
    <pageSetUpPr fitToPage="1"/>
  </sheetPr>
  <dimension ref="A1:B18"/>
  <sheetViews>
    <sheetView workbookViewId="0">
      <selection activeCell="B16" sqref="B16"/>
    </sheetView>
  </sheetViews>
  <sheetFormatPr baseColWidth="10" defaultColWidth="11.3984375" defaultRowHeight="13"/>
  <cols>
    <col min="1" max="1" width="5.59765625" style="673" customWidth="1"/>
    <col min="2" max="16384" width="11.3984375" style="673"/>
  </cols>
  <sheetData>
    <row r="1" spans="1:2" ht="16">
      <c r="A1" s="672" t="s">
        <v>158</v>
      </c>
    </row>
    <row r="2" spans="1:2" ht="16">
      <c r="A2" s="672"/>
    </row>
    <row r="3" spans="1:2">
      <c r="A3" s="673">
        <v>4.01</v>
      </c>
      <c r="B3" s="674" t="s">
        <v>159</v>
      </c>
    </row>
    <row r="4" spans="1:2">
      <c r="A4" s="673">
        <v>4.0199999999999996</v>
      </c>
      <c r="B4" s="674" t="s">
        <v>160</v>
      </c>
    </row>
    <row r="5" spans="1:2">
      <c r="A5" s="673">
        <v>4.03</v>
      </c>
      <c r="B5" s="674" t="s">
        <v>161</v>
      </c>
    </row>
    <row r="6" spans="1:2">
      <c r="A6" s="673">
        <v>4.04</v>
      </c>
      <c r="B6" s="674" t="s">
        <v>162</v>
      </c>
    </row>
    <row r="7" spans="1:2">
      <c r="A7" s="673">
        <v>4.05</v>
      </c>
      <c r="B7" s="674" t="s">
        <v>163</v>
      </c>
    </row>
    <row r="8" spans="1:2">
      <c r="A8" s="673">
        <v>4.0599999999999996</v>
      </c>
      <c r="B8" s="674" t="s">
        <v>164</v>
      </c>
    </row>
    <row r="9" spans="1:2">
      <c r="A9" s="673">
        <v>4.07</v>
      </c>
      <c r="B9" s="674" t="s">
        <v>165</v>
      </c>
    </row>
    <row r="10" spans="1:2">
      <c r="A10" s="673">
        <v>4.08</v>
      </c>
      <c r="B10" s="674" t="s">
        <v>166</v>
      </c>
    </row>
    <row r="11" spans="1:2">
      <c r="A11" s="673">
        <v>4.09</v>
      </c>
      <c r="B11" s="674" t="s">
        <v>167</v>
      </c>
    </row>
    <row r="12" spans="1:2">
      <c r="A12" s="675">
        <v>4.0999999999999996</v>
      </c>
      <c r="B12" s="674" t="s">
        <v>168</v>
      </c>
    </row>
    <row r="13" spans="1:2">
      <c r="A13" s="673">
        <v>4.1100000000000003</v>
      </c>
      <c r="B13" s="676" t="s">
        <v>169</v>
      </c>
    </row>
    <row r="14" spans="1:2">
      <c r="A14" s="675">
        <v>4.12</v>
      </c>
      <c r="B14" s="676" t="s">
        <v>170</v>
      </c>
    </row>
    <row r="15" spans="1:2">
      <c r="A15" s="673">
        <v>4.13</v>
      </c>
      <c r="B15" s="676" t="s">
        <v>171</v>
      </c>
    </row>
    <row r="18" spans="1:1">
      <c r="A18" s="677" t="s">
        <v>104</v>
      </c>
    </row>
  </sheetData>
  <phoneticPr fontId="39" type="noConversion"/>
  <pageMargins left="0.46" right="0.35" top="0.78" bottom="0.984251969" header="0.38" footer="0.4921259845"/>
  <pageSetup paperSize="9" orientation="portrait"/>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14F26-8799-6F40-95EF-1F994215D9AD}">
  <sheetPr>
    <pageSetUpPr fitToPage="1"/>
  </sheetPr>
  <dimension ref="A1:H36"/>
  <sheetViews>
    <sheetView topLeftCell="A8" zoomScale="75" workbookViewId="0">
      <selection activeCell="K16" sqref="K16"/>
    </sheetView>
  </sheetViews>
  <sheetFormatPr baseColWidth="10" defaultColWidth="11.3984375" defaultRowHeight="13"/>
  <cols>
    <col min="1" max="1" width="16.796875" style="2" customWidth="1"/>
    <col min="2" max="2" width="12.796875" style="2" customWidth="1"/>
    <col min="3" max="3" width="11.3984375" style="2"/>
    <col min="4" max="4" width="11.796875" style="2" customWidth="1"/>
    <col min="5" max="5" width="12.796875" style="2" customWidth="1"/>
    <col min="6" max="6" width="11.3984375" style="2"/>
    <col min="7" max="7" width="12.796875" style="2" customWidth="1"/>
    <col min="8" max="8" width="13.19921875" style="2" customWidth="1"/>
    <col min="9" max="16384" width="11.3984375" style="2"/>
  </cols>
  <sheetData>
    <row r="1" spans="1:8" s="1" customFormat="1" ht="14" customHeight="1"/>
    <row r="2" spans="1:8" s="1" customFormat="1" ht="37.5" customHeight="1">
      <c r="A2" s="1715" t="s">
        <v>357</v>
      </c>
      <c r="B2" s="1716"/>
      <c r="C2" s="1716"/>
      <c r="D2" s="1716"/>
      <c r="E2" s="1716"/>
      <c r="F2" s="1716"/>
      <c r="G2" s="1716"/>
      <c r="H2" s="370">
        <v>2004</v>
      </c>
    </row>
    <row r="3" spans="1:8" ht="24" customHeight="1">
      <c r="A3" s="139" t="s">
        <v>1267</v>
      </c>
      <c r="B3" s="164" t="s">
        <v>1519</v>
      </c>
      <c r="C3" s="141" t="s">
        <v>451</v>
      </c>
      <c r="D3" s="164" t="s">
        <v>358</v>
      </c>
      <c r="E3" s="141" t="s">
        <v>359</v>
      </c>
      <c r="F3" s="164" t="s">
        <v>451</v>
      </c>
      <c r="G3" s="141" t="s">
        <v>360</v>
      </c>
      <c r="H3" s="164" t="s">
        <v>360</v>
      </c>
    </row>
    <row r="4" spans="1:8" ht="15" customHeight="1">
      <c r="A4" s="165"/>
      <c r="B4" s="166" t="s">
        <v>358</v>
      </c>
      <c r="C4" s="144" t="s">
        <v>486</v>
      </c>
      <c r="D4" s="166" t="s">
        <v>361</v>
      </c>
      <c r="E4" s="144" t="s">
        <v>362</v>
      </c>
      <c r="F4" s="166" t="s">
        <v>486</v>
      </c>
      <c r="G4" s="144" t="s">
        <v>363</v>
      </c>
      <c r="H4" s="166" t="s">
        <v>364</v>
      </c>
    </row>
    <row r="5" spans="1:8" ht="15" customHeight="1">
      <c r="A5" s="165"/>
      <c r="B5" s="166" t="s">
        <v>365</v>
      </c>
      <c r="C5" s="144" t="s">
        <v>454</v>
      </c>
      <c r="D5" s="166" t="s">
        <v>1222</v>
      </c>
      <c r="E5" s="144" t="s">
        <v>185</v>
      </c>
      <c r="F5" s="166" t="s">
        <v>454</v>
      </c>
      <c r="G5" s="706" t="s">
        <v>884</v>
      </c>
      <c r="H5" s="363" t="s">
        <v>884</v>
      </c>
    </row>
    <row r="6" spans="1:8" ht="15" customHeight="1">
      <c r="A6" s="167"/>
      <c r="B6" s="168"/>
      <c r="C6" s="147"/>
      <c r="D6" s="168"/>
      <c r="E6" s="144"/>
      <c r="F6" s="168"/>
      <c r="G6" s="147"/>
      <c r="H6" s="168"/>
    </row>
    <row r="7" spans="1:8" ht="30" customHeight="1" thickBot="1">
      <c r="A7" s="522">
        <v>1996</v>
      </c>
      <c r="B7" s="330">
        <v>1656431</v>
      </c>
      <c r="C7" s="626" t="s">
        <v>2115</v>
      </c>
      <c r="D7" s="523">
        <v>0.23300000000000001</v>
      </c>
      <c r="E7" s="381">
        <v>821972</v>
      </c>
      <c r="F7" s="523" t="s">
        <v>2115</v>
      </c>
      <c r="G7" s="381">
        <v>1508.6632014229194</v>
      </c>
      <c r="H7" s="330">
        <v>901.63486133741753</v>
      </c>
    </row>
    <row r="8" spans="1:8" ht="22.5" customHeight="1" thickBot="1">
      <c r="A8" s="522">
        <v>1997</v>
      </c>
      <c r="B8" s="153">
        <v>1955994</v>
      </c>
      <c r="C8" s="154">
        <v>0.1808484627491275</v>
      </c>
      <c r="D8" s="544">
        <v>0.27500000000000002</v>
      </c>
      <c r="E8" s="228">
        <v>988940</v>
      </c>
      <c r="F8" s="544">
        <v>0.203131006895612</v>
      </c>
      <c r="G8" s="228">
        <v>2016.5343367646167</v>
      </c>
      <c r="H8" s="153">
        <v>1019.5488672255641</v>
      </c>
    </row>
    <row r="9" spans="1:8" ht="22.5" customHeight="1" thickBot="1">
      <c r="A9" s="522">
        <v>1998</v>
      </c>
      <c r="B9" s="153">
        <v>2240522</v>
      </c>
      <c r="C9" s="154">
        <v>0.14546465888954668</v>
      </c>
      <c r="D9" s="544">
        <v>0.314</v>
      </c>
      <c r="E9" s="228">
        <v>1178551</v>
      </c>
      <c r="F9" s="544">
        <v>0.19173155095354621</v>
      </c>
      <c r="G9" s="228">
        <v>2075.8295126812504</v>
      </c>
      <c r="H9" s="153">
        <v>1091.9200739827595</v>
      </c>
    </row>
    <row r="10" spans="1:8" ht="22.5" customHeight="1" thickBot="1">
      <c r="A10" s="522">
        <v>1999</v>
      </c>
      <c r="B10" s="153">
        <v>2334267</v>
      </c>
      <c r="C10" s="154">
        <v>4.1840696052080718E-2</v>
      </c>
      <c r="D10" s="544">
        <v>0.32570843248350928</v>
      </c>
      <c r="E10" s="228">
        <v>1230090</v>
      </c>
      <c r="F10" s="544">
        <v>4.3730818606916459E-2</v>
      </c>
      <c r="G10" s="228">
        <v>2186.5653545675523</v>
      </c>
      <c r="H10" s="153">
        <v>1152.2555804455958</v>
      </c>
    </row>
    <row r="11" spans="1:8" ht="22.5" customHeight="1" thickBot="1">
      <c r="A11" s="522">
        <v>2000</v>
      </c>
      <c r="B11" s="153">
        <v>2337717</v>
      </c>
      <c r="C11" s="154">
        <v>1.4779800254212565E-3</v>
      </c>
      <c r="D11" s="544">
        <v>0.32427568045795824</v>
      </c>
      <c r="E11" s="228">
        <v>1242695</v>
      </c>
      <c r="F11" s="544">
        <v>1.0247217683258949E-2</v>
      </c>
      <c r="G11" s="228">
        <v>2048</v>
      </c>
      <c r="H11" s="153">
        <v>1088.8085894058177</v>
      </c>
    </row>
    <row r="12" spans="1:8" s="412" customFormat="1" ht="22.5" customHeight="1" thickBot="1">
      <c r="A12" s="724">
        <v>2001</v>
      </c>
      <c r="B12" s="317">
        <v>2376421</v>
      </c>
      <c r="C12" s="725">
        <v>1.6556323969068969E-2</v>
      </c>
      <c r="D12" s="481">
        <v>0.32731543251630535</v>
      </c>
      <c r="E12" s="318">
        <v>1268943</v>
      </c>
      <c r="F12" s="481">
        <v>2.1121836009640339E-2</v>
      </c>
      <c r="G12" s="318">
        <v>2094.0647990098846</v>
      </c>
      <c r="H12" s="317">
        <v>1118.1520446082575</v>
      </c>
    </row>
    <row r="13" spans="1:8" s="412" customFormat="1" ht="22.5" customHeight="1" thickBot="1">
      <c r="A13" s="724">
        <v>2002</v>
      </c>
      <c r="B13" s="317">
        <v>2433822</v>
      </c>
      <c r="C13" s="725">
        <v>2.415439015224996E-2</v>
      </c>
      <c r="D13" s="481">
        <v>0.33123274136234532</v>
      </c>
      <c r="E13" s="318">
        <v>1289405</v>
      </c>
      <c r="F13" s="481">
        <v>1.6125231787401009E-2</v>
      </c>
      <c r="G13" s="318">
        <v>2242.922441746387</v>
      </c>
      <c r="H13" s="317">
        <v>1188.2690726766377</v>
      </c>
    </row>
    <row r="14" spans="1:8" s="412" customFormat="1" ht="22.5" customHeight="1" thickBot="1">
      <c r="A14" s="724">
        <v>2003</v>
      </c>
      <c r="B14" s="317">
        <v>2427518.2400000002</v>
      </c>
      <c r="C14" s="725">
        <v>-2.5900661593164071E-3</v>
      </c>
      <c r="D14" s="481">
        <v>0.32781924661963846</v>
      </c>
      <c r="E14" s="318">
        <v>1287365.05</v>
      </c>
      <c r="F14" s="481">
        <v>-1.5820863111279649E-3</v>
      </c>
      <c r="G14" s="318">
        <v>2381.2207531966164</v>
      </c>
      <c r="H14" s="317">
        <v>1262.8124985787954</v>
      </c>
    </row>
    <row r="15" spans="1:8" ht="27.75" customHeight="1" thickBot="1">
      <c r="A15" s="488">
        <v>2004</v>
      </c>
      <c r="B15" s="392">
        <v>2361377</v>
      </c>
      <c r="C15" s="726">
        <v>-2.7246444088510832E-2</v>
      </c>
      <c r="D15" s="634">
        <v>0.31678850545846371</v>
      </c>
      <c r="E15" s="393">
        <v>1245875</v>
      </c>
      <c r="F15" s="727">
        <v>-3.2228659617565387E-2</v>
      </c>
      <c r="G15" s="393">
        <v>2544.2606213303907</v>
      </c>
      <c r="H15" s="226">
        <v>1342.3653663095729</v>
      </c>
    </row>
    <row r="16" spans="1:8" ht="16.5" customHeight="1">
      <c r="A16" s="692" t="s">
        <v>366</v>
      </c>
      <c r="B16" s="155"/>
      <c r="C16" s="155"/>
      <c r="D16" s="155"/>
      <c r="E16" s="155"/>
      <c r="F16" s="155"/>
      <c r="G16" s="155"/>
      <c r="H16" s="155"/>
    </row>
    <row r="17" spans="1:8" ht="10.5" customHeight="1">
      <c r="A17" s="688"/>
      <c r="B17" s="4"/>
      <c r="C17" s="4"/>
      <c r="D17" s="4"/>
      <c r="E17" s="4"/>
      <c r="F17" s="4"/>
      <c r="G17" s="4"/>
      <c r="H17" s="4"/>
    </row>
    <row r="18" spans="1:8" ht="16.5" customHeight="1">
      <c r="A18" s="688" t="s">
        <v>367</v>
      </c>
      <c r="B18" s="4"/>
      <c r="C18" s="4"/>
      <c r="D18" s="4"/>
      <c r="E18" s="4"/>
      <c r="F18" s="4"/>
      <c r="G18" s="4"/>
      <c r="H18" s="4"/>
    </row>
    <row r="19" spans="1:8" ht="12.75" customHeight="1">
      <c r="A19" s="688"/>
      <c r="B19" s="4"/>
      <c r="C19" s="4"/>
      <c r="D19" s="4"/>
      <c r="E19" s="4"/>
      <c r="F19" s="4"/>
      <c r="G19" s="4"/>
      <c r="H19" s="4"/>
    </row>
    <row r="20" spans="1:8">
      <c r="A20" s="4" t="s">
        <v>368</v>
      </c>
      <c r="B20" s="4"/>
      <c r="C20" s="4"/>
      <c r="D20" s="4"/>
      <c r="E20" s="4"/>
      <c r="F20" s="4"/>
      <c r="G20" s="4"/>
      <c r="H20" s="4"/>
    </row>
    <row r="21" spans="1:8" ht="15" customHeight="1">
      <c r="A21" s="619" t="s">
        <v>369</v>
      </c>
    </row>
    <row r="22" spans="1:8" ht="15" customHeight="1"/>
    <row r="23" spans="1:8" ht="15" customHeight="1">
      <c r="A23" s="728"/>
    </row>
    <row r="24" spans="1:8" ht="15" customHeight="1">
      <c r="A24" s="160" t="s">
        <v>104</v>
      </c>
    </row>
    <row r="25" spans="1:8" ht="30" customHeight="1"/>
    <row r="26" spans="1:8" ht="30" customHeight="1"/>
    <row r="27" spans="1:8" ht="30" customHeight="1"/>
    <row r="28" spans="1:8" ht="30" customHeight="1"/>
    <row r="29" spans="1:8" ht="30" customHeight="1"/>
    <row r="30" spans="1:8" ht="30" customHeight="1"/>
    <row r="31" spans="1:8" ht="30" customHeight="1"/>
    <row r="32" spans="1:8" ht="30" customHeight="1"/>
    <row r="33" ht="30" customHeight="1"/>
    <row r="34" ht="30" customHeight="1"/>
    <row r="35" ht="30" customHeight="1"/>
    <row r="36" ht="30" customHeight="1"/>
  </sheetData>
  <mergeCells count="1">
    <mergeCell ref="A2:G2"/>
  </mergeCells>
  <phoneticPr fontId="0" type="noConversion"/>
  <pageMargins left="0.57999999999999996" right="0.66" top="0.83" bottom="0.76" header="0.47" footer="0.47"/>
  <pageSetup paperSize="9" scale="88" orientation="portrait" horizontalDpi="4294967292" verticalDpi="4294967292"/>
  <headerFooter alignWithMargins="0">
    <oddHeader>&amp;L&amp;"Arial,Bold"Prämienverbilligung in der OKP</oddHead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54C8F-CBA7-D84E-AD09-5F04CB156596}">
  <sheetPr>
    <pageSetUpPr fitToPage="1"/>
  </sheetPr>
  <dimension ref="A1:H42"/>
  <sheetViews>
    <sheetView topLeftCell="A21" zoomScale="75" workbookViewId="0">
      <selection activeCell="G7" sqref="G7"/>
    </sheetView>
  </sheetViews>
  <sheetFormatPr baseColWidth="10" defaultColWidth="11.3984375" defaultRowHeight="13"/>
  <cols>
    <col min="1" max="3" width="13.19921875" style="2" customWidth="1"/>
    <col min="4" max="4" width="13.796875" style="2" customWidth="1"/>
    <col min="5" max="5" width="13.19921875" style="2" customWidth="1"/>
    <col min="6" max="6" width="15.19921875" style="162" customWidth="1"/>
    <col min="7" max="7" width="15.3984375" style="162" customWidth="1"/>
    <col min="8" max="16384" width="11.3984375" style="2"/>
  </cols>
  <sheetData>
    <row r="1" spans="1:8" s="1" customFormat="1" ht="14" customHeight="1">
      <c r="F1" s="193"/>
      <c r="G1" s="193"/>
    </row>
    <row r="2" spans="1:8" s="1" customFormat="1" ht="28" customHeight="1">
      <c r="A2" s="178" t="s">
        <v>238</v>
      </c>
      <c r="F2" s="193"/>
      <c r="G2" s="370">
        <v>2004</v>
      </c>
    </row>
    <row r="3" spans="1:8" ht="24" customHeight="1">
      <c r="A3" s="139" t="s">
        <v>503</v>
      </c>
      <c r="B3" s="1733" t="s">
        <v>247</v>
      </c>
      <c r="C3" s="1720"/>
      <c r="D3" s="1720"/>
      <c r="E3" s="139"/>
      <c r="F3" s="164"/>
      <c r="G3" s="694"/>
    </row>
    <row r="4" spans="1:8" ht="15" customHeight="1">
      <c r="A4" s="165"/>
      <c r="B4" s="166" t="s">
        <v>239</v>
      </c>
      <c r="C4" s="197" t="s">
        <v>240</v>
      </c>
      <c r="D4" s="143" t="s">
        <v>652</v>
      </c>
      <c r="E4" s="197" t="s">
        <v>451</v>
      </c>
      <c r="F4" s="143" t="s">
        <v>241</v>
      </c>
      <c r="G4" s="197" t="s">
        <v>241</v>
      </c>
    </row>
    <row r="5" spans="1:8" ht="15" customHeight="1">
      <c r="A5" s="165"/>
      <c r="B5" s="166" t="s">
        <v>1263</v>
      </c>
      <c r="C5" s="144" t="s">
        <v>1263</v>
      </c>
      <c r="D5" s="166" t="s">
        <v>1263</v>
      </c>
      <c r="E5" s="144" t="s">
        <v>486</v>
      </c>
      <c r="F5" s="143" t="s">
        <v>242</v>
      </c>
      <c r="G5" s="197" t="s">
        <v>243</v>
      </c>
    </row>
    <row r="6" spans="1:8" ht="15" customHeight="1">
      <c r="A6" s="165"/>
      <c r="B6" s="166"/>
      <c r="C6" s="144"/>
      <c r="D6" s="166"/>
      <c r="E6" s="144" t="s">
        <v>454</v>
      </c>
      <c r="F6" s="143" t="s">
        <v>244</v>
      </c>
      <c r="G6" s="197" t="s">
        <v>245</v>
      </c>
    </row>
    <row r="7" spans="1:8" ht="16" customHeight="1">
      <c r="A7" s="167"/>
      <c r="B7" s="168"/>
      <c r="C7" s="147"/>
      <c r="D7" s="168"/>
      <c r="E7" s="147"/>
      <c r="F7" s="143" t="s">
        <v>245</v>
      </c>
      <c r="G7" s="200"/>
      <c r="H7" s="162"/>
    </row>
    <row r="8" spans="1:8" ht="30" customHeight="1" thickBot="1">
      <c r="A8" s="689" t="s">
        <v>510</v>
      </c>
      <c r="B8" s="182">
        <v>176638</v>
      </c>
      <c r="C8" s="183">
        <v>211103</v>
      </c>
      <c r="D8" s="182">
        <v>387741</v>
      </c>
      <c r="E8" s="466">
        <v>-1.2811471256934668E-2</v>
      </c>
      <c r="F8" s="330">
        <v>42394</v>
      </c>
      <c r="G8" s="381">
        <v>43325</v>
      </c>
      <c r="H8" s="9"/>
    </row>
    <row r="9" spans="1:8" ht="20" customHeight="1" thickBot="1">
      <c r="A9" s="681" t="s">
        <v>511</v>
      </c>
      <c r="B9" s="182">
        <v>135047</v>
      </c>
      <c r="C9" s="183">
        <v>155163</v>
      </c>
      <c r="D9" s="182">
        <v>290210</v>
      </c>
      <c r="E9" s="466">
        <v>-7.9286617019653824E-2</v>
      </c>
      <c r="F9" s="330">
        <v>30146</v>
      </c>
      <c r="G9" s="381">
        <v>25542</v>
      </c>
      <c r="H9" s="9"/>
    </row>
    <row r="10" spans="1:8" ht="20" customHeight="1" thickBot="1">
      <c r="A10" s="681" t="s">
        <v>512</v>
      </c>
      <c r="B10" s="182">
        <v>66686</v>
      </c>
      <c r="C10" s="183">
        <v>73805</v>
      </c>
      <c r="D10" s="182">
        <v>140491</v>
      </c>
      <c r="E10" s="466">
        <v>-8.7442271342552599E-2</v>
      </c>
      <c r="F10" s="330">
        <v>15863</v>
      </c>
      <c r="G10" s="381">
        <v>8942</v>
      </c>
      <c r="H10" s="9"/>
    </row>
    <row r="11" spans="1:8" ht="20" customHeight="1" thickBot="1">
      <c r="A11" s="681" t="s">
        <v>513</v>
      </c>
      <c r="B11" s="182">
        <v>7366</v>
      </c>
      <c r="C11" s="183">
        <v>7618</v>
      </c>
      <c r="D11" s="182">
        <v>14984</v>
      </c>
      <c r="E11" s="466">
        <v>8.383363471971067E-2</v>
      </c>
      <c r="F11" s="330">
        <v>993</v>
      </c>
      <c r="G11" s="381">
        <v>260</v>
      </c>
      <c r="H11" s="9"/>
    </row>
    <row r="12" spans="1:8" ht="20" customHeight="1" thickBot="1">
      <c r="A12" s="681" t="s">
        <v>514</v>
      </c>
      <c r="B12" s="182">
        <v>22946</v>
      </c>
      <c r="C12" s="183">
        <v>23802</v>
      </c>
      <c r="D12" s="182">
        <v>46748</v>
      </c>
      <c r="E12" s="466">
        <v>-0.16013007312121594</v>
      </c>
      <c r="F12" s="330">
        <v>3308</v>
      </c>
      <c r="G12" s="381">
        <v>1768</v>
      </c>
      <c r="H12" s="9"/>
    </row>
    <row r="13" spans="1:8" ht="20" customHeight="1" thickBot="1">
      <c r="A13" s="681" t="s">
        <v>515</v>
      </c>
      <c r="B13" s="182">
        <v>8777</v>
      </c>
      <c r="C13" s="183">
        <v>9609</v>
      </c>
      <c r="D13" s="182">
        <v>18386</v>
      </c>
      <c r="E13" s="466">
        <v>5.5938433264415346E-2</v>
      </c>
      <c r="F13" s="330">
        <v>897</v>
      </c>
      <c r="G13" s="381">
        <v>323</v>
      </c>
      <c r="H13" s="9"/>
    </row>
    <row r="14" spans="1:8" ht="20" customHeight="1" thickBot="1">
      <c r="A14" s="681" t="s">
        <v>516</v>
      </c>
      <c r="B14" s="182">
        <v>6134</v>
      </c>
      <c r="C14" s="183">
        <v>6402</v>
      </c>
      <c r="D14" s="182">
        <v>12536</v>
      </c>
      <c r="E14" s="466">
        <v>-7.7896285399043766E-2</v>
      </c>
      <c r="F14" s="330">
        <v>737</v>
      </c>
      <c r="G14" s="381">
        <v>541</v>
      </c>
      <c r="H14" s="9"/>
    </row>
    <row r="15" spans="1:8" ht="20" customHeight="1" thickBot="1">
      <c r="A15" s="681" t="s">
        <v>517</v>
      </c>
      <c r="B15" s="182">
        <v>6456</v>
      </c>
      <c r="C15" s="183">
        <v>6895</v>
      </c>
      <c r="D15" s="182">
        <v>13351</v>
      </c>
      <c r="E15" s="466">
        <v>-3.0710033396253812E-2</v>
      </c>
      <c r="F15" s="330">
        <v>975</v>
      </c>
      <c r="G15" s="381">
        <v>981</v>
      </c>
      <c r="H15" s="9"/>
    </row>
    <row r="16" spans="1:8" ht="20" customHeight="1" thickBot="1">
      <c r="A16" s="681" t="s">
        <v>518</v>
      </c>
      <c r="B16" s="182">
        <v>16695</v>
      </c>
      <c r="C16" s="183">
        <v>17818</v>
      </c>
      <c r="D16" s="182">
        <v>34513</v>
      </c>
      <c r="E16" s="466">
        <v>0.13611824346566595</v>
      </c>
      <c r="F16" s="330">
        <v>5</v>
      </c>
      <c r="G16" s="381">
        <v>2011</v>
      </c>
      <c r="H16" s="9"/>
    </row>
    <row r="17" spans="1:8" ht="20" customHeight="1" thickBot="1">
      <c r="A17" s="681" t="s">
        <v>519</v>
      </c>
      <c r="B17" s="182">
        <v>43844</v>
      </c>
      <c r="C17" s="183">
        <v>48085</v>
      </c>
      <c r="D17" s="182">
        <v>91929</v>
      </c>
      <c r="E17" s="466">
        <v>-1.7905026440895252E-2</v>
      </c>
      <c r="F17" s="330">
        <v>9323</v>
      </c>
      <c r="G17" s="381">
        <v>6236</v>
      </c>
      <c r="H17" s="9"/>
    </row>
    <row r="18" spans="1:8" ht="20" customHeight="1" thickBot="1">
      <c r="A18" s="681" t="s">
        <v>520</v>
      </c>
      <c r="B18" s="182">
        <v>27271</v>
      </c>
      <c r="C18" s="183">
        <v>30266</v>
      </c>
      <c r="D18" s="182">
        <v>57537</v>
      </c>
      <c r="E18" s="466">
        <v>-0.19241781994778653</v>
      </c>
      <c r="F18" s="330" t="s">
        <v>1300</v>
      </c>
      <c r="G18" s="381">
        <v>5698</v>
      </c>
      <c r="H18" s="9"/>
    </row>
    <row r="19" spans="1:8" ht="20" customHeight="1" thickBot="1">
      <c r="A19" s="681" t="s">
        <v>521</v>
      </c>
      <c r="B19" s="182">
        <v>24262</v>
      </c>
      <c r="C19" s="183">
        <v>27973</v>
      </c>
      <c r="D19" s="182">
        <v>52235</v>
      </c>
      <c r="E19" s="466">
        <v>-0.13106763815417374</v>
      </c>
      <c r="F19" s="330">
        <v>10900</v>
      </c>
      <c r="G19" s="381">
        <v>12206</v>
      </c>
      <c r="H19" s="9"/>
    </row>
    <row r="20" spans="1:8" ht="20" customHeight="1" thickBot="1">
      <c r="A20" s="681" t="s">
        <v>522</v>
      </c>
      <c r="B20" s="182">
        <v>48603</v>
      </c>
      <c r="C20" s="183">
        <v>50943</v>
      </c>
      <c r="D20" s="182">
        <v>99546</v>
      </c>
      <c r="E20" s="466">
        <v>7.3932227892073835E-2</v>
      </c>
      <c r="F20" s="330" t="s">
        <v>1300</v>
      </c>
      <c r="G20" s="381" t="s">
        <v>1300</v>
      </c>
      <c r="H20" s="9"/>
    </row>
    <row r="21" spans="1:8" ht="20" customHeight="1" thickBot="1">
      <c r="A21" s="681" t="s">
        <v>523</v>
      </c>
      <c r="B21" s="182">
        <v>11791</v>
      </c>
      <c r="C21" s="183">
        <v>12246</v>
      </c>
      <c r="D21" s="182">
        <v>24037</v>
      </c>
      <c r="E21" s="466">
        <v>-7.0926097711811992E-2</v>
      </c>
      <c r="F21" s="330" t="s">
        <v>1300</v>
      </c>
      <c r="G21" s="381">
        <v>1856</v>
      </c>
      <c r="H21" s="9"/>
    </row>
    <row r="22" spans="1:8" ht="20" customHeight="1" thickBot="1">
      <c r="A22" s="681" t="s">
        <v>2047</v>
      </c>
      <c r="B22" s="182">
        <v>6160</v>
      </c>
      <c r="C22" s="183">
        <v>6451</v>
      </c>
      <c r="D22" s="182">
        <v>12611</v>
      </c>
      <c r="E22" s="466">
        <v>3.5045961917268546E-2</v>
      </c>
      <c r="F22" s="330" t="s">
        <v>1300</v>
      </c>
      <c r="G22" s="381" t="s">
        <v>1300</v>
      </c>
      <c r="H22" s="9"/>
    </row>
    <row r="23" spans="1:8" ht="20" customHeight="1" thickBot="1">
      <c r="A23" s="681" t="s">
        <v>2048</v>
      </c>
      <c r="B23" s="182">
        <v>3494</v>
      </c>
      <c r="C23" s="183">
        <v>3295</v>
      </c>
      <c r="D23" s="182">
        <v>6789</v>
      </c>
      <c r="E23" s="466">
        <v>-6.2681209443600713E-2</v>
      </c>
      <c r="F23" s="330">
        <v>265</v>
      </c>
      <c r="G23" s="381">
        <v>85</v>
      </c>
      <c r="H23" s="9"/>
    </row>
    <row r="24" spans="1:8" ht="20" customHeight="1" thickBot="1">
      <c r="A24" s="681" t="s">
        <v>2049</v>
      </c>
      <c r="B24" s="182">
        <v>75044</v>
      </c>
      <c r="C24" s="183">
        <v>86109</v>
      </c>
      <c r="D24" s="182">
        <v>161153</v>
      </c>
      <c r="E24" s="466">
        <v>2.0491777326063693E-2</v>
      </c>
      <c r="F24" s="330">
        <v>16434</v>
      </c>
      <c r="G24" s="381">
        <v>16811</v>
      </c>
      <c r="H24" s="9"/>
    </row>
    <row r="25" spans="1:8" ht="20" customHeight="1" thickBot="1">
      <c r="A25" s="681" t="s">
        <v>2050</v>
      </c>
      <c r="B25" s="182">
        <v>28562</v>
      </c>
      <c r="C25" s="183">
        <v>32104</v>
      </c>
      <c r="D25" s="182">
        <v>60666</v>
      </c>
      <c r="E25" s="466">
        <v>-5.865375663346057E-2</v>
      </c>
      <c r="F25" s="330">
        <v>4535</v>
      </c>
      <c r="G25" s="381">
        <v>2405</v>
      </c>
      <c r="H25" s="9"/>
    </row>
    <row r="26" spans="1:8" ht="20" customHeight="1" thickBot="1">
      <c r="A26" s="681" t="s">
        <v>2051</v>
      </c>
      <c r="B26" s="182">
        <v>76637</v>
      </c>
      <c r="C26" s="183">
        <v>83814</v>
      </c>
      <c r="D26" s="182">
        <v>160451</v>
      </c>
      <c r="E26" s="466">
        <v>2.7649326860261059E-2</v>
      </c>
      <c r="F26" s="330">
        <v>14500</v>
      </c>
      <c r="G26" s="381" t="s">
        <v>1300</v>
      </c>
      <c r="H26" s="9"/>
    </row>
    <row r="27" spans="1:8" ht="20" customHeight="1" thickBot="1">
      <c r="A27" s="681" t="s">
        <v>2052</v>
      </c>
      <c r="B27" s="182">
        <v>49627</v>
      </c>
      <c r="C27" s="183">
        <v>52833</v>
      </c>
      <c r="D27" s="182">
        <v>102460</v>
      </c>
      <c r="E27" s="466">
        <v>0.14221374981884663</v>
      </c>
      <c r="F27" s="330">
        <v>5597</v>
      </c>
      <c r="G27" s="381">
        <v>3517</v>
      </c>
      <c r="H27" s="9"/>
    </row>
    <row r="28" spans="1:8" ht="20" customHeight="1" thickBot="1">
      <c r="A28" s="681" t="s">
        <v>2053</v>
      </c>
      <c r="B28" s="182">
        <v>41575</v>
      </c>
      <c r="C28" s="183">
        <v>54921</v>
      </c>
      <c r="D28" s="182">
        <v>96496</v>
      </c>
      <c r="E28" s="466">
        <v>3.6855564867943183E-2</v>
      </c>
      <c r="F28" s="330">
        <v>20643</v>
      </c>
      <c r="G28" s="381" t="s">
        <v>1300</v>
      </c>
      <c r="H28" s="9"/>
    </row>
    <row r="29" spans="1:8" ht="20" customHeight="1" thickBot="1">
      <c r="A29" s="681" t="s">
        <v>2054</v>
      </c>
      <c r="B29" s="182">
        <v>69717</v>
      </c>
      <c r="C29" s="183">
        <v>85562</v>
      </c>
      <c r="D29" s="182">
        <v>155279</v>
      </c>
      <c r="E29" s="466">
        <v>2.6291961057759036E-2</v>
      </c>
      <c r="F29" s="330">
        <v>29002</v>
      </c>
      <c r="G29" s="381">
        <v>16928</v>
      </c>
      <c r="H29" s="9"/>
    </row>
    <row r="30" spans="1:8" ht="20" customHeight="1" thickBot="1">
      <c r="A30" s="681" t="s">
        <v>2055</v>
      </c>
      <c r="B30" s="182">
        <v>42219.830000726208</v>
      </c>
      <c r="C30" s="183">
        <v>49132.169999273792</v>
      </c>
      <c r="D30" s="182">
        <v>91352</v>
      </c>
      <c r="E30" s="466">
        <v>1.7271522588835315E-2</v>
      </c>
      <c r="F30" s="330">
        <v>6939</v>
      </c>
      <c r="G30" s="381">
        <v>3899</v>
      </c>
      <c r="H30" s="9"/>
    </row>
    <row r="31" spans="1:8" ht="20" customHeight="1" thickBot="1">
      <c r="A31" s="681" t="s">
        <v>2056</v>
      </c>
      <c r="B31" s="182">
        <v>23951</v>
      </c>
      <c r="C31" s="183">
        <v>29406</v>
      </c>
      <c r="D31" s="182">
        <v>53357</v>
      </c>
      <c r="E31" s="466">
        <v>-5.7479995053964776E-2</v>
      </c>
      <c r="F31" s="330">
        <v>9163</v>
      </c>
      <c r="G31" s="381">
        <v>6721</v>
      </c>
      <c r="H31" s="9"/>
    </row>
    <row r="32" spans="1:8" ht="20" customHeight="1" thickBot="1">
      <c r="A32" s="681" t="s">
        <v>2057</v>
      </c>
      <c r="B32" s="182">
        <v>70576</v>
      </c>
      <c r="C32" s="183">
        <v>81188</v>
      </c>
      <c r="D32" s="182">
        <v>151764</v>
      </c>
      <c r="E32" s="466">
        <v>-0.12494162010690008</v>
      </c>
      <c r="F32" s="330">
        <v>25857</v>
      </c>
      <c r="G32" s="381">
        <v>16111</v>
      </c>
      <c r="H32" s="9"/>
    </row>
    <row r="33" spans="1:8" ht="20" customHeight="1" thickBot="1">
      <c r="A33" s="681" t="s">
        <v>2058</v>
      </c>
      <c r="B33" s="182">
        <v>10773</v>
      </c>
      <c r="C33" s="183">
        <v>13982</v>
      </c>
      <c r="D33" s="182">
        <v>24755</v>
      </c>
      <c r="E33" s="466">
        <v>-3.2138249208273059E-2</v>
      </c>
      <c r="F33" s="330">
        <v>4126</v>
      </c>
      <c r="G33" s="381">
        <v>1262</v>
      </c>
      <c r="H33" s="9"/>
    </row>
    <row r="34" spans="1:8" ht="30" customHeight="1" thickBot="1">
      <c r="A34" s="695" t="s">
        <v>2059</v>
      </c>
      <c r="B34" s="188">
        <v>1100851.830000726</v>
      </c>
      <c r="C34" s="189">
        <v>1260525.1699992737</v>
      </c>
      <c r="D34" s="188">
        <v>2361377</v>
      </c>
      <c r="E34" s="693">
        <v>-2.7246444088510832E-2</v>
      </c>
      <c r="F34" s="696" t="s">
        <v>1300</v>
      </c>
      <c r="G34" s="697" t="s">
        <v>1300</v>
      </c>
      <c r="H34" s="9"/>
    </row>
    <row r="35" spans="1:8" ht="20" customHeight="1">
      <c r="A35" s="692" t="s">
        <v>248</v>
      </c>
      <c r="B35" s="489"/>
      <c r="C35" s="489"/>
      <c r="D35" s="489"/>
      <c r="E35" s="489"/>
      <c r="F35" s="489"/>
      <c r="G35" s="489"/>
    </row>
    <row r="36" spans="1:8" ht="14.25" customHeight="1">
      <c r="A36" s="688"/>
      <c r="B36" s="491"/>
      <c r="C36" s="491"/>
      <c r="D36" s="491"/>
      <c r="E36" s="491"/>
      <c r="F36" s="491"/>
      <c r="G36" s="491"/>
    </row>
    <row r="37" spans="1:8" ht="20" customHeight="1">
      <c r="A37" s="688" t="s">
        <v>237</v>
      </c>
      <c r="B37" s="491"/>
      <c r="C37" s="491"/>
      <c r="D37" s="491"/>
      <c r="E37" s="491"/>
      <c r="F37" s="491"/>
      <c r="G37" s="491"/>
    </row>
    <row r="38" spans="1:8" ht="15.75" customHeight="1">
      <c r="A38" s="688"/>
      <c r="B38" s="491"/>
      <c r="C38" s="491"/>
      <c r="D38" s="491"/>
      <c r="E38" s="491"/>
      <c r="F38" s="491"/>
      <c r="G38" s="491"/>
    </row>
    <row r="39" spans="1:8" ht="11.25" customHeight="1">
      <c r="A39" s="4" t="s">
        <v>246</v>
      </c>
      <c r="B39" s="491"/>
      <c r="C39" s="491"/>
      <c r="D39" s="491"/>
      <c r="E39" s="491"/>
      <c r="F39" s="491"/>
      <c r="G39" s="491"/>
    </row>
    <row r="41" spans="1:8">
      <c r="E41" s="9"/>
    </row>
    <row r="42" spans="1:8">
      <c r="A42" s="2" t="s">
        <v>104</v>
      </c>
    </row>
  </sheetData>
  <mergeCells count="1">
    <mergeCell ref="B3:D3"/>
  </mergeCells>
  <phoneticPr fontId="0" type="noConversion"/>
  <pageMargins left="0.56000000000000005" right="0.5" top="0.76" bottom="0.49" header="0.42" footer="0.4921259845"/>
  <pageSetup paperSize="9" scale="95" orientation="portrait" horizontalDpi="1200" verticalDpi="1200"/>
  <headerFooter alignWithMargins="0">
    <oddHeader>&amp;L&amp;"Arial,Bold"Prämienverbilligung in der OKP</oddHead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E8D01-F730-864B-9270-833A7C5A5DE9}">
  <sheetPr>
    <pageSetUpPr fitToPage="1"/>
  </sheetPr>
  <dimension ref="A1:I35"/>
  <sheetViews>
    <sheetView zoomScale="75" workbookViewId="0">
      <selection activeCell="H3" sqref="H3"/>
    </sheetView>
  </sheetViews>
  <sheetFormatPr baseColWidth="10" defaultColWidth="11.3984375" defaultRowHeight="13"/>
  <cols>
    <col min="1" max="5" width="17.796875" style="2" customWidth="1"/>
    <col min="6" max="6" width="15.796875" style="2" customWidth="1"/>
    <col min="7" max="16384" width="11.3984375" style="2"/>
  </cols>
  <sheetData>
    <row r="1" spans="1:9" s="1" customFormat="1" ht="14" customHeight="1"/>
    <row r="2" spans="1:9" s="1" customFormat="1" ht="28" customHeight="1">
      <c r="A2" s="178" t="s">
        <v>218</v>
      </c>
      <c r="E2" s="370">
        <v>2004</v>
      </c>
    </row>
    <row r="3" spans="1:9" ht="27" customHeight="1">
      <c r="A3" s="139" t="s">
        <v>219</v>
      </c>
      <c r="B3" s="164" t="s">
        <v>1517</v>
      </c>
      <c r="C3" s="141" t="s">
        <v>1518</v>
      </c>
      <c r="D3" s="164" t="s">
        <v>652</v>
      </c>
      <c r="E3" s="141" t="s">
        <v>1509</v>
      </c>
    </row>
    <row r="4" spans="1:9" ht="15" customHeight="1">
      <c r="A4" s="142"/>
      <c r="B4" s="166"/>
      <c r="C4" s="144"/>
      <c r="D4" s="166"/>
      <c r="E4" s="144" t="s">
        <v>529</v>
      </c>
    </row>
    <row r="5" spans="1:9" ht="15" customHeight="1">
      <c r="A5" s="142"/>
      <c r="B5" s="166"/>
      <c r="C5" s="144"/>
      <c r="D5" s="166"/>
      <c r="E5" s="144" t="s">
        <v>220</v>
      </c>
    </row>
    <row r="6" spans="1:9" ht="24" customHeight="1">
      <c r="A6" s="145"/>
      <c r="B6" s="168"/>
      <c r="C6" s="147"/>
      <c r="D6" s="168"/>
      <c r="E6" s="147"/>
    </row>
    <row r="7" spans="1:9" ht="30" customHeight="1" thickBot="1">
      <c r="A7" s="148" t="s">
        <v>2090</v>
      </c>
      <c r="B7" s="182">
        <v>93380.974665728354</v>
      </c>
      <c r="C7" s="183">
        <v>89233.025334271646</v>
      </c>
      <c r="D7" s="182">
        <v>182614</v>
      </c>
      <c r="E7" s="466">
        <v>7.733369131654963E-2</v>
      </c>
      <c r="G7" s="185"/>
      <c r="H7" s="185"/>
      <c r="I7" s="185"/>
    </row>
    <row r="8" spans="1:9" ht="20" customHeight="1" thickBot="1">
      <c r="A8" s="152" t="s">
        <v>2091</v>
      </c>
      <c r="B8" s="176">
        <v>103827.39131106988</v>
      </c>
      <c r="C8" s="222">
        <v>98586.608688930122</v>
      </c>
      <c r="D8" s="176">
        <v>202414</v>
      </c>
      <c r="E8" s="466">
        <v>8.5718629426813256E-2</v>
      </c>
      <c r="G8" s="185"/>
      <c r="H8" s="185"/>
      <c r="I8" s="185"/>
    </row>
    <row r="9" spans="1:9" ht="20" customHeight="1" thickBot="1">
      <c r="A9" s="152" t="s">
        <v>2092</v>
      </c>
      <c r="B9" s="176">
        <v>100839.39230034998</v>
      </c>
      <c r="C9" s="222">
        <v>96424.60769965002</v>
      </c>
      <c r="D9" s="176">
        <v>197264</v>
      </c>
      <c r="E9" s="466">
        <v>8.3537698554699225E-2</v>
      </c>
      <c r="G9" s="185"/>
      <c r="H9" s="185"/>
      <c r="I9" s="185"/>
    </row>
    <row r="10" spans="1:9" ht="20" customHeight="1" thickBot="1">
      <c r="A10" s="152" t="s">
        <v>2093</v>
      </c>
      <c r="B10" s="176">
        <v>50294.022199798186</v>
      </c>
      <c r="C10" s="222">
        <v>48307.977800201814</v>
      </c>
      <c r="D10" s="176">
        <v>98602</v>
      </c>
      <c r="E10" s="466">
        <v>4.1756144825667398E-2</v>
      </c>
      <c r="G10" s="185"/>
      <c r="H10" s="185"/>
      <c r="I10" s="185"/>
    </row>
    <row r="11" spans="1:9" ht="20" customHeight="1" thickBot="1">
      <c r="A11" s="152" t="s">
        <v>2094</v>
      </c>
      <c r="B11" s="176">
        <v>45114.68822328114</v>
      </c>
      <c r="C11" s="222">
        <v>43724.31177671886</v>
      </c>
      <c r="D11" s="176">
        <v>88839</v>
      </c>
      <c r="E11" s="466">
        <v>3.7621692766551043E-2</v>
      </c>
      <c r="G11" s="185"/>
      <c r="H11" s="185"/>
      <c r="I11" s="185"/>
    </row>
    <row r="12" spans="1:9" ht="20" customHeight="1" thickBot="1">
      <c r="A12" s="152" t="s">
        <v>221</v>
      </c>
      <c r="B12" s="176">
        <v>92760.841186976235</v>
      </c>
      <c r="C12" s="222">
        <v>98135.158813023765</v>
      </c>
      <c r="D12" s="176">
        <v>190896</v>
      </c>
      <c r="E12" s="466">
        <v>8.0840966944287163E-2</v>
      </c>
      <c r="G12" s="185"/>
      <c r="H12" s="185"/>
      <c r="I12" s="185"/>
    </row>
    <row r="13" spans="1:9" ht="20" customHeight="1" thickBot="1">
      <c r="A13" s="152" t="s">
        <v>222</v>
      </c>
      <c r="B13" s="176">
        <v>69142.016891212552</v>
      </c>
      <c r="C13" s="222">
        <v>83102.983108787448</v>
      </c>
      <c r="D13" s="176">
        <v>152245</v>
      </c>
      <c r="E13" s="466">
        <v>6.4472974878640732E-2</v>
      </c>
      <c r="G13" s="185"/>
      <c r="H13" s="185"/>
      <c r="I13" s="185"/>
    </row>
    <row r="14" spans="1:9" ht="20" customHeight="1" thickBot="1">
      <c r="A14" s="152" t="s">
        <v>223</v>
      </c>
      <c r="B14" s="176">
        <v>71176.243926525785</v>
      </c>
      <c r="C14" s="222">
        <v>94544.756073474229</v>
      </c>
      <c r="D14" s="176">
        <v>165721</v>
      </c>
      <c r="E14" s="466">
        <v>7.0179814574292884E-2</v>
      </c>
      <c r="G14" s="185"/>
      <c r="H14" s="185"/>
      <c r="I14" s="185"/>
    </row>
    <row r="15" spans="1:9" ht="20" customHeight="1" thickBot="1">
      <c r="A15" s="152" t="s">
        <v>224</v>
      </c>
      <c r="B15" s="176">
        <v>91463.537067545301</v>
      </c>
      <c r="C15" s="222">
        <v>111527.4629324547</v>
      </c>
      <c r="D15" s="176">
        <v>202991</v>
      </c>
      <c r="E15" s="466">
        <v>8.5962978380834568E-2</v>
      </c>
      <c r="G15" s="185"/>
      <c r="H15" s="185"/>
      <c r="I15" s="185"/>
    </row>
    <row r="16" spans="1:9" ht="20" customHeight="1" thickBot="1">
      <c r="A16" s="152" t="s">
        <v>225</v>
      </c>
      <c r="B16" s="176">
        <v>86893.233436319948</v>
      </c>
      <c r="C16" s="222">
        <v>93980.766563680052</v>
      </c>
      <c r="D16" s="176">
        <v>180874</v>
      </c>
      <c r="E16" s="466">
        <v>7.6596833118980995E-2</v>
      </c>
      <c r="G16" s="185"/>
      <c r="H16" s="185"/>
      <c r="I16" s="185"/>
    </row>
    <row r="17" spans="1:9" ht="20" customHeight="1" thickBot="1">
      <c r="A17" s="152" t="s">
        <v>226</v>
      </c>
      <c r="B17" s="176">
        <v>63813.90517241379</v>
      </c>
      <c r="C17" s="222">
        <v>61750.09482758621</v>
      </c>
      <c r="D17" s="176">
        <v>125564</v>
      </c>
      <c r="E17" s="466">
        <v>5.3174059034199112E-2</v>
      </c>
      <c r="G17" s="185"/>
      <c r="H17" s="185"/>
      <c r="I17" s="185"/>
    </row>
    <row r="18" spans="1:9" ht="20" customHeight="1" thickBot="1">
      <c r="A18" s="152" t="s">
        <v>227</v>
      </c>
      <c r="B18" s="176">
        <v>44165.066896212491</v>
      </c>
      <c r="C18" s="222">
        <v>43693.933103787509</v>
      </c>
      <c r="D18" s="176">
        <v>87859</v>
      </c>
      <c r="E18" s="466">
        <v>3.7206680678265269E-2</v>
      </c>
      <c r="G18" s="185"/>
      <c r="H18" s="185"/>
      <c r="I18" s="185"/>
    </row>
    <row r="19" spans="1:9" ht="20" customHeight="1" thickBot="1">
      <c r="A19" s="152" t="s">
        <v>228</v>
      </c>
      <c r="B19" s="176">
        <v>34890.544361763023</v>
      </c>
      <c r="C19" s="222">
        <v>38839.455638236977</v>
      </c>
      <c r="D19" s="176">
        <v>73730</v>
      </c>
      <c r="E19" s="466">
        <v>3.1223307417663507E-2</v>
      </c>
      <c r="G19" s="185"/>
      <c r="H19" s="185"/>
      <c r="I19" s="185"/>
    </row>
    <row r="20" spans="1:9" ht="20" customHeight="1" thickBot="1">
      <c r="A20" s="152" t="s">
        <v>229</v>
      </c>
      <c r="B20" s="176">
        <v>28963.21584529008</v>
      </c>
      <c r="C20" s="222">
        <v>38075.784154709916</v>
      </c>
      <c r="D20" s="176">
        <v>67039</v>
      </c>
      <c r="E20" s="466">
        <v>2.8389791210806238E-2</v>
      </c>
      <c r="G20" s="185"/>
      <c r="H20" s="185"/>
      <c r="I20" s="185"/>
    </row>
    <row r="21" spans="1:9" ht="20" customHeight="1" thickBot="1">
      <c r="A21" s="152" t="s">
        <v>230</v>
      </c>
      <c r="B21" s="176">
        <v>29406.568389057749</v>
      </c>
      <c r="C21" s="222">
        <v>39698.431610942251</v>
      </c>
      <c r="D21" s="176">
        <v>69105</v>
      </c>
      <c r="E21" s="466">
        <v>2.9264704449988292E-2</v>
      </c>
      <c r="G21" s="185"/>
      <c r="H21" s="185"/>
      <c r="I21" s="185"/>
    </row>
    <row r="22" spans="1:9" ht="20" customHeight="1" thickBot="1">
      <c r="A22" s="152" t="s">
        <v>231</v>
      </c>
      <c r="B22" s="176">
        <v>27501.701598579042</v>
      </c>
      <c r="C22" s="222">
        <v>42300.298401420958</v>
      </c>
      <c r="D22" s="176">
        <v>69802</v>
      </c>
      <c r="E22" s="466">
        <v>2.955987121073848E-2</v>
      </c>
      <c r="G22" s="185"/>
      <c r="H22" s="185"/>
      <c r="I22" s="185"/>
    </row>
    <row r="23" spans="1:9" ht="20" customHeight="1" thickBot="1">
      <c r="A23" s="152" t="s">
        <v>232</v>
      </c>
      <c r="B23" s="176">
        <v>22230.954690491384</v>
      </c>
      <c r="C23" s="222">
        <v>41264.045309508612</v>
      </c>
      <c r="D23" s="176">
        <v>63495</v>
      </c>
      <c r="E23" s="466">
        <v>2.6888971985413596E-2</v>
      </c>
      <c r="G23" s="185"/>
      <c r="H23" s="185"/>
      <c r="I23" s="185"/>
    </row>
    <row r="24" spans="1:9" ht="20" customHeight="1" thickBot="1">
      <c r="A24" s="152" t="s">
        <v>233</v>
      </c>
      <c r="B24" s="176">
        <v>16739.404432132964</v>
      </c>
      <c r="C24" s="222">
        <v>36888.595567867036</v>
      </c>
      <c r="D24" s="176">
        <v>53628</v>
      </c>
      <c r="E24" s="466">
        <v>2.271047782713222E-2</v>
      </c>
      <c r="G24" s="185"/>
      <c r="H24" s="185"/>
      <c r="I24" s="185"/>
    </row>
    <row r="25" spans="1:9" ht="20" customHeight="1" thickBot="1">
      <c r="A25" s="152" t="s">
        <v>234</v>
      </c>
      <c r="B25" s="176">
        <v>8529.6756756756768</v>
      </c>
      <c r="C25" s="222">
        <v>24106.324324324323</v>
      </c>
      <c r="D25" s="176">
        <v>32636</v>
      </c>
      <c r="E25" s="466">
        <v>1.3820749503361809E-2</v>
      </c>
      <c r="G25" s="185"/>
      <c r="H25" s="185"/>
      <c r="I25" s="185"/>
    </row>
    <row r="26" spans="1:9" ht="20" customHeight="1" thickBot="1">
      <c r="A26" s="152" t="s">
        <v>2096</v>
      </c>
      <c r="B26" s="176">
        <v>3331.7931937172775</v>
      </c>
      <c r="C26" s="222">
        <v>13458.206806282722</v>
      </c>
      <c r="D26" s="176">
        <v>16790</v>
      </c>
      <c r="E26" s="466">
        <v>7.1102581248144621E-3</v>
      </c>
      <c r="G26" s="185"/>
      <c r="H26" s="185"/>
      <c r="I26" s="185"/>
    </row>
    <row r="27" spans="1:9" ht="20" customHeight="1" thickBot="1">
      <c r="A27" s="152" t="s">
        <v>235</v>
      </c>
      <c r="B27" s="176">
        <v>1040.6585365853657</v>
      </c>
      <c r="C27" s="222">
        <v>4466.3414634146338</v>
      </c>
      <c r="D27" s="176">
        <v>5507</v>
      </c>
      <c r="E27" s="466">
        <v>2.3321138471324148E-3</v>
      </c>
      <c r="G27" s="185"/>
      <c r="H27" s="185"/>
      <c r="I27" s="185"/>
    </row>
    <row r="28" spans="1:9" ht="20" customHeight="1" thickBot="1">
      <c r="A28" s="152" t="s">
        <v>236</v>
      </c>
      <c r="B28" s="176">
        <v>15346</v>
      </c>
      <c r="C28" s="222">
        <v>18416</v>
      </c>
      <c r="D28" s="176">
        <v>33762</v>
      </c>
      <c r="E28" s="466">
        <v>1.4297589923167712E-2</v>
      </c>
      <c r="G28" s="185"/>
      <c r="H28" s="185"/>
      <c r="I28" s="185"/>
    </row>
    <row r="29" spans="1:9" ht="30" customHeight="1" thickBot="1">
      <c r="A29" s="187" t="s">
        <v>652</v>
      </c>
      <c r="B29" s="392">
        <v>1100851.8300007265</v>
      </c>
      <c r="C29" s="393">
        <v>1260525.1699992737</v>
      </c>
      <c r="D29" s="392">
        <v>2361377</v>
      </c>
      <c r="E29" s="693">
        <v>1</v>
      </c>
      <c r="G29" s="185"/>
      <c r="H29" s="185"/>
      <c r="I29" s="185"/>
    </row>
    <row r="30" spans="1:9" ht="20" customHeight="1">
      <c r="A30" s="692" t="s">
        <v>248</v>
      </c>
      <c r="B30" s="155"/>
      <c r="C30" s="155"/>
      <c r="D30" s="155"/>
      <c r="E30" s="155"/>
    </row>
    <row r="32" spans="1:9">
      <c r="A32" s="688" t="s">
        <v>237</v>
      </c>
    </row>
    <row r="35" spans="1:1">
      <c r="A35" s="2" t="s">
        <v>104</v>
      </c>
    </row>
  </sheetData>
  <phoneticPr fontId="0" type="noConversion"/>
  <pageMargins left="0.74" right="0.88" top="0.85" bottom="0.49" header="0.49" footer="0.4921259845"/>
  <pageSetup paperSize="9" scale="82" orientation="portrait" horizontalDpi="1200" verticalDpi="1200"/>
  <headerFooter alignWithMargins="0">
    <oddHeader>&amp;L&amp;"Arial,Bold"Prämienverbilligung in der OKP</oddHead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8D3B1-43C5-934D-9DFD-831576669E42}">
  <sheetPr>
    <pageSetUpPr fitToPage="1"/>
  </sheetPr>
  <dimension ref="A1:K43"/>
  <sheetViews>
    <sheetView zoomScale="75" workbookViewId="0">
      <selection activeCell="L8" sqref="L8"/>
    </sheetView>
  </sheetViews>
  <sheetFormatPr baseColWidth="10" defaultColWidth="11.3984375" defaultRowHeight="13"/>
  <cols>
    <col min="1" max="1" width="11.796875" style="2" customWidth="1"/>
    <col min="2" max="6" width="11.3984375" style="2"/>
    <col min="7" max="7" width="13.19921875" style="2" customWidth="1"/>
    <col min="8" max="8" width="12.3984375" style="2" customWidth="1"/>
    <col min="9" max="9" width="13.19921875" style="2" customWidth="1"/>
    <col min="10" max="16384" width="11.3984375" style="2"/>
  </cols>
  <sheetData>
    <row r="1" spans="1:11" s="1" customFormat="1" ht="14" customHeight="1"/>
    <row r="2" spans="1:11" s="1" customFormat="1" ht="27" customHeight="1">
      <c r="A2" s="178" t="s">
        <v>216</v>
      </c>
      <c r="I2" s="370">
        <v>2004</v>
      </c>
    </row>
    <row r="3" spans="1:11" ht="24" customHeight="1">
      <c r="A3" s="139" t="s">
        <v>503</v>
      </c>
      <c r="B3" s="1733" t="s">
        <v>201</v>
      </c>
      <c r="C3" s="1720"/>
      <c r="D3" s="1720"/>
      <c r="E3" s="1720"/>
      <c r="F3" s="1720"/>
      <c r="G3" s="359" t="s">
        <v>185</v>
      </c>
      <c r="H3" s="164"/>
      <c r="I3" s="141" t="s">
        <v>202</v>
      </c>
    </row>
    <row r="4" spans="1:11" ht="15" customHeight="1">
      <c r="A4" s="165"/>
      <c r="B4" s="166" t="s">
        <v>203</v>
      </c>
      <c r="C4" s="197" t="s">
        <v>204</v>
      </c>
      <c r="D4" s="143" t="s">
        <v>205</v>
      </c>
      <c r="E4" s="197" t="s">
        <v>206</v>
      </c>
      <c r="F4" s="143" t="s">
        <v>207</v>
      </c>
      <c r="G4" s="520" t="s">
        <v>652</v>
      </c>
      <c r="H4" s="179" t="s">
        <v>451</v>
      </c>
      <c r="I4" s="197" t="s">
        <v>208</v>
      </c>
    </row>
    <row r="5" spans="1:11" ht="15" customHeight="1">
      <c r="A5" s="165"/>
      <c r="B5" s="166"/>
      <c r="C5" s="144" t="s">
        <v>209</v>
      </c>
      <c r="D5" s="166" t="s">
        <v>209</v>
      </c>
      <c r="E5" s="144" t="s">
        <v>209</v>
      </c>
      <c r="F5" s="143" t="s">
        <v>210</v>
      </c>
      <c r="G5" s="520"/>
      <c r="H5" s="179" t="s">
        <v>453</v>
      </c>
      <c r="I5" s="197" t="s">
        <v>211</v>
      </c>
    </row>
    <row r="6" spans="1:11" ht="15" customHeight="1">
      <c r="A6" s="165"/>
      <c r="B6" s="166"/>
      <c r="C6" s="144"/>
      <c r="D6" s="166"/>
      <c r="E6" s="144"/>
      <c r="F6" s="143" t="s">
        <v>212</v>
      </c>
      <c r="G6" s="520"/>
      <c r="H6" s="179" t="s">
        <v>454</v>
      </c>
      <c r="I6" s="197" t="s">
        <v>217</v>
      </c>
    </row>
    <row r="7" spans="1:11" ht="13.5" customHeight="1">
      <c r="A7" s="167"/>
      <c r="B7" s="168"/>
      <c r="C7" s="147"/>
      <c r="D7" s="168"/>
      <c r="E7" s="147"/>
      <c r="F7" s="146"/>
      <c r="G7" s="521"/>
      <c r="H7" s="168"/>
      <c r="I7" s="200"/>
    </row>
    <row r="8" spans="1:11" ht="30" customHeight="1" thickBot="1">
      <c r="A8" s="689" t="s">
        <v>510</v>
      </c>
      <c r="B8" s="182">
        <v>188460</v>
      </c>
      <c r="C8" s="183">
        <v>32745</v>
      </c>
      <c r="D8" s="182">
        <v>14244</v>
      </c>
      <c r="E8" s="183">
        <v>13374</v>
      </c>
      <c r="F8" s="182">
        <v>7059</v>
      </c>
      <c r="G8" s="690">
        <v>255882</v>
      </c>
      <c r="H8" s="184">
        <v>-4.4741510784649385E-3</v>
      </c>
      <c r="I8" s="201">
        <v>17779</v>
      </c>
      <c r="K8" s="185"/>
    </row>
    <row r="9" spans="1:11" ht="20" customHeight="1" thickBot="1">
      <c r="A9" s="681" t="s">
        <v>511</v>
      </c>
      <c r="B9" s="176">
        <v>84226</v>
      </c>
      <c r="C9" s="222">
        <v>25149</v>
      </c>
      <c r="D9" s="176">
        <v>12299</v>
      </c>
      <c r="E9" s="222">
        <v>17096</v>
      </c>
      <c r="F9" s="176">
        <v>10179</v>
      </c>
      <c r="G9" s="691">
        <v>148949</v>
      </c>
      <c r="H9" s="184">
        <v>-0.20243228995569301</v>
      </c>
      <c r="I9" s="222">
        <v>13104</v>
      </c>
      <c r="K9" s="185"/>
    </row>
    <row r="10" spans="1:11" ht="20" customHeight="1" thickBot="1">
      <c r="A10" s="681" t="s">
        <v>512</v>
      </c>
      <c r="B10" s="176">
        <v>28974</v>
      </c>
      <c r="C10" s="222">
        <v>10765</v>
      </c>
      <c r="D10" s="176">
        <v>5856</v>
      </c>
      <c r="E10" s="222">
        <v>9381</v>
      </c>
      <c r="F10" s="176">
        <v>6417</v>
      </c>
      <c r="G10" s="691">
        <v>61393</v>
      </c>
      <c r="H10" s="184">
        <v>-5.3147025709835129E-2</v>
      </c>
      <c r="I10" s="222">
        <v>2292</v>
      </c>
      <c r="K10" s="185"/>
    </row>
    <row r="11" spans="1:11" ht="20" customHeight="1" thickBot="1">
      <c r="A11" s="681" t="s">
        <v>513</v>
      </c>
      <c r="B11" s="176">
        <v>2447</v>
      </c>
      <c r="C11" s="222">
        <v>1448</v>
      </c>
      <c r="D11" s="176">
        <v>578</v>
      </c>
      <c r="E11" s="222">
        <v>1064</v>
      </c>
      <c r="F11" s="176">
        <v>677</v>
      </c>
      <c r="G11" s="691">
        <v>6214</v>
      </c>
      <c r="H11" s="184">
        <v>0.11362007168458782</v>
      </c>
      <c r="I11" s="222">
        <v>256</v>
      </c>
      <c r="K11" s="185"/>
    </row>
    <row r="12" spans="1:11" ht="20" customHeight="1" thickBot="1">
      <c r="A12" s="681" t="s">
        <v>514</v>
      </c>
      <c r="B12" s="176">
        <v>11845</v>
      </c>
      <c r="C12" s="222">
        <v>2684</v>
      </c>
      <c r="D12" s="176">
        <v>1815</v>
      </c>
      <c r="E12" s="222">
        <v>3112</v>
      </c>
      <c r="F12" s="176">
        <v>2091</v>
      </c>
      <c r="G12" s="691">
        <v>21547</v>
      </c>
      <c r="H12" s="184">
        <v>-9.8263234986398829E-2</v>
      </c>
      <c r="I12" s="222">
        <v>1317</v>
      </c>
      <c r="K12" s="185"/>
    </row>
    <row r="13" spans="1:11" ht="20" customHeight="1" thickBot="1">
      <c r="A13" s="681" t="s">
        <v>515</v>
      </c>
      <c r="B13" s="176">
        <v>4195</v>
      </c>
      <c r="C13" s="222">
        <v>1689</v>
      </c>
      <c r="D13" s="176">
        <v>767</v>
      </c>
      <c r="E13" s="222">
        <v>1152</v>
      </c>
      <c r="F13" s="176">
        <v>588</v>
      </c>
      <c r="G13" s="691">
        <v>8391</v>
      </c>
      <c r="H13" s="184">
        <v>7.6597382602001537E-2</v>
      </c>
      <c r="I13" s="222">
        <v>394</v>
      </c>
      <c r="K13" s="185"/>
    </row>
    <row r="14" spans="1:11" ht="20" customHeight="1" thickBot="1">
      <c r="A14" s="681" t="s">
        <v>516</v>
      </c>
      <c r="B14" s="176">
        <v>3650</v>
      </c>
      <c r="C14" s="222">
        <v>990</v>
      </c>
      <c r="D14" s="176">
        <v>409</v>
      </c>
      <c r="E14" s="222">
        <v>698</v>
      </c>
      <c r="F14" s="176">
        <v>401</v>
      </c>
      <c r="G14" s="691">
        <v>6148</v>
      </c>
      <c r="H14" s="184">
        <v>-9.3081575453606721E-2</v>
      </c>
      <c r="I14" s="222">
        <v>292</v>
      </c>
      <c r="K14" s="185"/>
    </row>
    <row r="15" spans="1:11" ht="20" customHeight="1" thickBot="1">
      <c r="A15" s="681" t="s">
        <v>517</v>
      </c>
      <c r="B15" s="176">
        <v>4648</v>
      </c>
      <c r="C15" s="222">
        <v>907</v>
      </c>
      <c r="D15" s="176">
        <v>480</v>
      </c>
      <c r="E15" s="222">
        <v>614</v>
      </c>
      <c r="F15" s="176">
        <v>375</v>
      </c>
      <c r="G15" s="691">
        <v>7024</v>
      </c>
      <c r="H15" s="184">
        <v>-9.6823968111096823E-2</v>
      </c>
      <c r="I15" s="222">
        <v>373</v>
      </c>
      <c r="K15" s="185"/>
    </row>
    <row r="16" spans="1:11" ht="20" customHeight="1" thickBot="1">
      <c r="A16" s="681" t="s">
        <v>518</v>
      </c>
      <c r="B16" s="176">
        <v>10114</v>
      </c>
      <c r="C16" s="222">
        <v>2556</v>
      </c>
      <c r="D16" s="176">
        <v>1566</v>
      </c>
      <c r="E16" s="222">
        <v>2311</v>
      </c>
      <c r="F16" s="176">
        <v>1024</v>
      </c>
      <c r="G16" s="691">
        <v>17571</v>
      </c>
      <c r="H16" s="184">
        <v>0.14693211488250651</v>
      </c>
      <c r="I16" s="222">
        <v>876</v>
      </c>
      <c r="K16" s="185"/>
    </row>
    <row r="17" spans="1:11" ht="20" customHeight="1" thickBot="1">
      <c r="A17" s="681" t="s">
        <v>213</v>
      </c>
      <c r="B17" s="176">
        <v>18241</v>
      </c>
      <c r="C17" s="222">
        <v>6534</v>
      </c>
      <c r="D17" s="176">
        <v>3926</v>
      </c>
      <c r="E17" s="222">
        <v>5504</v>
      </c>
      <c r="F17" s="176">
        <v>3408</v>
      </c>
      <c r="G17" s="691">
        <v>37613</v>
      </c>
      <c r="H17" s="184">
        <v>-1.234146469553344E-2</v>
      </c>
      <c r="I17" s="222">
        <v>4178</v>
      </c>
      <c r="K17" s="185"/>
    </row>
    <row r="18" spans="1:11" ht="20" customHeight="1" thickBot="1">
      <c r="A18" s="681" t="s">
        <v>214</v>
      </c>
      <c r="B18" s="176">
        <v>10688</v>
      </c>
      <c r="C18" s="222">
        <v>4292</v>
      </c>
      <c r="D18" s="176">
        <v>2705</v>
      </c>
      <c r="E18" s="222">
        <v>4056</v>
      </c>
      <c r="F18" s="176">
        <v>2622</v>
      </c>
      <c r="G18" s="691">
        <v>24363</v>
      </c>
      <c r="H18" s="184">
        <v>-7.8276331719128331E-2</v>
      </c>
      <c r="I18" s="222">
        <v>3025</v>
      </c>
      <c r="K18" s="185"/>
    </row>
    <row r="19" spans="1:11" ht="20" customHeight="1" thickBot="1">
      <c r="A19" s="681" t="s">
        <v>521</v>
      </c>
      <c r="B19" s="176">
        <v>20778</v>
      </c>
      <c r="C19" s="222">
        <v>4673</v>
      </c>
      <c r="D19" s="176">
        <v>2470</v>
      </c>
      <c r="E19" s="222">
        <v>2272</v>
      </c>
      <c r="F19" s="176">
        <v>1070</v>
      </c>
      <c r="G19" s="691">
        <v>31263</v>
      </c>
      <c r="H19" s="184">
        <v>-0.15149952503731851</v>
      </c>
      <c r="I19" s="222">
        <v>2401</v>
      </c>
      <c r="K19" s="185"/>
    </row>
    <row r="20" spans="1:11" ht="20" customHeight="1" thickBot="1">
      <c r="A20" s="681" t="s">
        <v>522</v>
      </c>
      <c r="B20" s="153">
        <v>20882</v>
      </c>
      <c r="C20" s="228">
        <v>9886</v>
      </c>
      <c r="D20" s="176">
        <v>5079</v>
      </c>
      <c r="E20" s="222">
        <v>7227</v>
      </c>
      <c r="F20" s="153">
        <v>2819</v>
      </c>
      <c r="G20" s="524">
        <v>45893</v>
      </c>
      <c r="H20" s="184">
        <v>8.4812669897175272E-2</v>
      </c>
      <c r="I20" s="228">
        <v>3417</v>
      </c>
      <c r="K20" s="185"/>
    </row>
    <row r="21" spans="1:11" ht="20" customHeight="1" thickBot="1">
      <c r="A21" s="681" t="s">
        <v>523</v>
      </c>
      <c r="B21" s="176">
        <v>6427</v>
      </c>
      <c r="C21" s="222">
        <v>1986</v>
      </c>
      <c r="D21" s="176">
        <v>1021</v>
      </c>
      <c r="E21" s="222">
        <v>1593</v>
      </c>
      <c r="F21" s="176">
        <v>794</v>
      </c>
      <c r="G21" s="691">
        <v>11821</v>
      </c>
      <c r="H21" s="184">
        <v>1.8349414197105444E-2</v>
      </c>
      <c r="I21" s="222">
        <v>896</v>
      </c>
      <c r="K21" s="185"/>
    </row>
    <row r="22" spans="1:11" ht="20" customHeight="1" thickBot="1">
      <c r="A22" s="681" t="s">
        <v>2047</v>
      </c>
      <c r="B22" s="176">
        <v>1728</v>
      </c>
      <c r="C22" s="222">
        <v>604</v>
      </c>
      <c r="D22" s="176">
        <v>505</v>
      </c>
      <c r="E22" s="222">
        <v>921</v>
      </c>
      <c r="F22" s="176">
        <v>819</v>
      </c>
      <c r="G22" s="691">
        <v>4577</v>
      </c>
      <c r="H22" s="184">
        <v>0.17660668380462724</v>
      </c>
      <c r="I22" s="222">
        <v>603</v>
      </c>
      <c r="K22" s="185"/>
    </row>
    <row r="23" spans="1:11" ht="20" customHeight="1" thickBot="1">
      <c r="A23" s="681" t="s">
        <v>2048</v>
      </c>
      <c r="B23" s="176">
        <v>575</v>
      </c>
      <c r="C23" s="222">
        <v>383</v>
      </c>
      <c r="D23" s="176">
        <v>234</v>
      </c>
      <c r="E23" s="222">
        <v>462</v>
      </c>
      <c r="F23" s="176">
        <v>482</v>
      </c>
      <c r="G23" s="691">
        <v>2136</v>
      </c>
      <c r="H23" s="184">
        <v>-5.1930758988015982E-2</v>
      </c>
      <c r="I23" s="222">
        <v>117</v>
      </c>
      <c r="K23" s="185"/>
    </row>
    <row r="24" spans="1:11" ht="20" customHeight="1" thickBot="1">
      <c r="A24" s="681" t="s">
        <v>2049</v>
      </c>
      <c r="B24" s="176">
        <v>29227</v>
      </c>
      <c r="C24" s="222">
        <v>14237</v>
      </c>
      <c r="D24" s="176">
        <v>6148</v>
      </c>
      <c r="E24" s="222">
        <v>10433</v>
      </c>
      <c r="F24" s="176">
        <v>7883</v>
      </c>
      <c r="G24" s="691">
        <v>67928</v>
      </c>
      <c r="H24" s="184">
        <v>4.6108356177041301E-2</v>
      </c>
      <c r="I24" s="222">
        <v>7096</v>
      </c>
      <c r="K24" s="185"/>
    </row>
    <row r="25" spans="1:11" ht="20" customHeight="1" thickBot="1">
      <c r="A25" s="681" t="s">
        <v>2050</v>
      </c>
      <c r="B25" s="176">
        <v>16289</v>
      </c>
      <c r="C25" s="222">
        <v>4773</v>
      </c>
      <c r="D25" s="176">
        <v>2577</v>
      </c>
      <c r="E25" s="222">
        <v>4043</v>
      </c>
      <c r="F25" s="176">
        <v>2088</v>
      </c>
      <c r="G25" s="691">
        <v>29770</v>
      </c>
      <c r="H25" s="184">
        <v>8.5545507584597433E-2</v>
      </c>
      <c r="I25" s="222">
        <v>2320</v>
      </c>
      <c r="K25" s="185"/>
    </row>
    <row r="26" spans="1:11" ht="20" customHeight="1" thickBot="1">
      <c r="A26" s="681" t="s">
        <v>2051</v>
      </c>
      <c r="B26" s="176">
        <v>21468</v>
      </c>
      <c r="C26" s="222">
        <v>10451</v>
      </c>
      <c r="D26" s="176">
        <v>7871</v>
      </c>
      <c r="E26" s="222">
        <v>12276</v>
      </c>
      <c r="F26" s="176">
        <v>6731</v>
      </c>
      <c r="G26" s="691">
        <v>58797</v>
      </c>
      <c r="H26" s="184">
        <v>2.9305183551284072E-2</v>
      </c>
      <c r="I26" s="222">
        <v>5110</v>
      </c>
      <c r="K26" s="185"/>
    </row>
    <row r="27" spans="1:11" ht="20" customHeight="1" thickBot="1">
      <c r="A27" s="681" t="s">
        <v>2052</v>
      </c>
      <c r="B27" s="176">
        <v>35879</v>
      </c>
      <c r="C27" s="222">
        <v>12974</v>
      </c>
      <c r="D27" s="176">
        <v>4748</v>
      </c>
      <c r="E27" s="222">
        <v>2656</v>
      </c>
      <c r="F27" s="176">
        <v>1711</v>
      </c>
      <c r="G27" s="691">
        <v>57968</v>
      </c>
      <c r="H27" s="184">
        <v>4.3396871681336283E-2</v>
      </c>
      <c r="I27" s="222">
        <v>2987</v>
      </c>
      <c r="K27" s="185"/>
    </row>
    <row r="28" spans="1:11" ht="20" customHeight="1" thickBot="1">
      <c r="A28" s="681" t="s">
        <v>2053</v>
      </c>
      <c r="B28" s="176">
        <v>36852</v>
      </c>
      <c r="C28" s="222">
        <v>11887</v>
      </c>
      <c r="D28" s="176">
        <v>3850</v>
      </c>
      <c r="E28" s="222">
        <v>5310</v>
      </c>
      <c r="F28" s="176">
        <v>2346</v>
      </c>
      <c r="G28" s="691">
        <v>60245</v>
      </c>
      <c r="H28" s="184">
        <v>4.7866696815264467E-2</v>
      </c>
      <c r="I28" s="222">
        <v>4414</v>
      </c>
      <c r="K28" s="185"/>
    </row>
    <row r="29" spans="1:11" ht="20" customHeight="1" thickBot="1">
      <c r="A29" s="681" t="s">
        <v>2054</v>
      </c>
      <c r="B29" s="176">
        <v>45800</v>
      </c>
      <c r="C29" s="222">
        <v>14183</v>
      </c>
      <c r="D29" s="176">
        <v>7707</v>
      </c>
      <c r="E29" s="222">
        <v>8508</v>
      </c>
      <c r="F29" s="176">
        <v>4496</v>
      </c>
      <c r="G29" s="691">
        <v>80694</v>
      </c>
      <c r="H29" s="184">
        <v>2.7700301837771748E-2</v>
      </c>
      <c r="I29" s="222">
        <v>8719</v>
      </c>
      <c r="K29" s="185"/>
    </row>
    <row r="30" spans="1:11" ht="20" customHeight="1" thickBot="1">
      <c r="A30" s="681" t="s">
        <v>2055</v>
      </c>
      <c r="B30" s="176">
        <v>32514</v>
      </c>
      <c r="C30" s="222">
        <v>5885</v>
      </c>
      <c r="D30" s="176">
        <v>3304</v>
      </c>
      <c r="E30" s="222">
        <v>5262</v>
      </c>
      <c r="F30" s="176">
        <v>3038</v>
      </c>
      <c r="G30" s="691">
        <v>50003</v>
      </c>
      <c r="H30" s="184">
        <v>2.7599671187833949E-2</v>
      </c>
      <c r="I30" s="222">
        <v>3803</v>
      </c>
      <c r="K30" s="185"/>
    </row>
    <row r="31" spans="1:11" ht="20" customHeight="1" thickBot="1">
      <c r="A31" s="681" t="s">
        <v>2056</v>
      </c>
      <c r="B31" s="176">
        <v>19117</v>
      </c>
      <c r="C31" s="222">
        <v>5174</v>
      </c>
      <c r="D31" s="176">
        <v>2334</v>
      </c>
      <c r="E31" s="222">
        <v>2582</v>
      </c>
      <c r="F31" s="176">
        <v>1238</v>
      </c>
      <c r="G31" s="691">
        <v>30445</v>
      </c>
      <c r="H31" s="184">
        <v>-4.5491597692500628E-2</v>
      </c>
      <c r="I31" s="222">
        <v>2437</v>
      </c>
      <c r="K31" s="185"/>
    </row>
    <row r="32" spans="1:11" ht="20" customHeight="1" thickBot="1">
      <c r="A32" s="681" t="s">
        <v>2057</v>
      </c>
      <c r="B32" s="176">
        <v>69624</v>
      </c>
      <c r="C32" s="222">
        <v>18709</v>
      </c>
      <c r="D32" s="176">
        <v>8609</v>
      </c>
      <c r="E32" s="222">
        <v>6207</v>
      </c>
      <c r="F32" s="176">
        <v>2685</v>
      </c>
      <c r="G32" s="691">
        <v>105834</v>
      </c>
      <c r="H32" s="184">
        <v>-7.9071710131307593E-2</v>
      </c>
      <c r="I32" s="222">
        <v>10794</v>
      </c>
      <c r="K32" s="185"/>
    </row>
    <row r="33" spans="1:11" ht="20" customHeight="1" thickBot="1">
      <c r="A33" s="681" t="s">
        <v>2058</v>
      </c>
      <c r="B33" s="176">
        <v>8695</v>
      </c>
      <c r="C33" s="222">
        <v>2012</v>
      </c>
      <c r="D33" s="176">
        <v>759</v>
      </c>
      <c r="E33" s="222">
        <v>998</v>
      </c>
      <c r="F33" s="176">
        <v>942</v>
      </c>
      <c r="G33" s="691">
        <v>13406</v>
      </c>
      <c r="H33" s="184">
        <v>-1.8019337825959568E-2</v>
      </c>
      <c r="I33" s="222">
        <v>1252</v>
      </c>
      <c r="J33" s="10"/>
      <c r="K33" s="185"/>
    </row>
    <row r="34" spans="1:11" ht="30" customHeight="1" thickBot="1">
      <c r="A34" s="458" t="s">
        <v>2059</v>
      </c>
      <c r="B34" s="457">
        <v>733343</v>
      </c>
      <c r="C34" s="458">
        <v>207576</v>
      </c>
      <c r="D34" s="457">
        <v>101861</v>
      </c>
      <c r="E34" s="458">
        <v>129112</v>
      </c>
      <c r="F34" s="457">
        <v>73983</v>
      </c>
      <c r="G34" s="458">
        <v>1245875</v>
      </c>
      <c r="H34" s="190">
        <v>-3.2228659617565387E-2</v>
      </c>
      <c r="I34" s="458">
        <v>100252</v>
      </c>
      <c r="K34" s="185"/>
    </row>
    <row r="35" spans="1:11" ht="19.5" customHeight="1">
      <c r="A35" s="692" t="s">
        <v>248</v>
      </c>
      <c r="B35" s="489"/>
      <c r="C35" s="489"/>
      <c r="D35" s="489"/>
      <c r="E35" s="489"/>
      <c r="F35" s="489"/>
      <c r="G35" s="489"/>
      <c r="H35" s="489"/>
      <c r="I35" s="489"/>
    </row>
    <row r="36" spans="1:11" ht="13.5" customHeight="1">
      <c r="A36" s="688"/>
      <c r="B36" s="491"/>
      <c r="C36" s="491"/>
      <c r="D36" s="491"/>
      <c r="E36" s="491"/>
      <c r="F36" s="491"/>
      <c r="G36" s="491"/>
      <c r="H36" s="491"/>
      <c r="I36" s="491"/>
    </row>
    <row r="37" spans="1:11" ht="15.75" customHeight="1">
      <c r="A37" s="688" t="s">
        <v>198</v>
      </c>
      <c r="B37" s="491"/>
      <c r="C37" s="491"/>
      <c r="D37" s="491"/>
      <c r="E37" s="491"/>
      <c r="F37" s="491"/>
      <c r="G37" s="491"/>
      <c r="H37" s="491"/>
      <c r="I37" s="491"/>
    </row>
    <row r="38" spans="1:11" ht="13.5" customHeight="1">
      <c r="A38" s="688"/>
      <c r="B38" s="491"/>
      <c r="C38" s="491"/>
      <c r="D38" s="491"/>
      <c r="E38" s="491"/>
      <c r="F38" s="491"/>
      <c r="G38" s="491"/>
      <c r="H38" s="491"/>
      <c r="I38" s="491"/>
    </row>
    <row r="39" spans="1:11" ht="11.25" customHeight="1">
      <c r="A39" s="4" t="s">
        <v>199</v>
      </c>
      <c r="B39" s="491"/>
      <c r="C39" s="491"/>
      <c r="D39" s="491"/>
      <c r="E39" s="491"/>
      <c r="F39" s="491"/>
      <c r="G39" s="491"/>
      <c r="H39" s="491"/>
      <c r="I39" s="491"/>
    </row>
    <row r="40" spans="1:11">
      <c r="A40" s="394" t="s">
        <v>215</v>
      </c>
    </row>
    <row r="43" spans="1:11">
      <c r="A43" s="2" t="s">
        <v>104</v>
      </c>
    </row>
  </sheetData>
  <mergeCells count="1">
    <mergeCell ref="B3:F3"/>
  </mergeCells>
  <phoneticPr fontId="0" type="noConversion"/>
  <pageMargins left="0.65" right="0.72" top="0.92" bottom="0.49" header="0.52" footer="0.4921259845"/>
  <pageSetup paperSize="9" scale="83" orientation="portrait" horizontalDpi="1200" verticalDpi="1200"/>
  <headerFooter alignWithMargins="0">
    <oddHeader>&amp;L&amp;"Arial,Bold"Prämienverbilligung in der OKP</oddHead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77A75-B741-344D-8036-B42457655AD4}">
  <sheetPr>
    <pageSetUpPr fitToPage="1"/>
  </sheetPr>
  <dimension ref="A1:I42"/>
  <sheetViews>
    <sheetView topLeftCell="A17" zoomScale="75" workbookViewId="0">
      <selection activeCell="H33" sqref="H33"/>
    </sheetView>
  </sheetViews>
  <sheetFormatPr baseColWidth="10" defaultColWidth="11.3984375" defaultRowHeight="13"/>
  <cols>
    <col min="1" max="8" width="12.19921875" style="2" customWidth="1"/>
    <col min="9" max="9" width="13" style="2" customWidth="1"/>
    <col min="10" max="16384" width="11.3984375" style="2"/>
  </cols>
  <sheetData>
    <row r="1" spans="1:9" s="1" customFormat="1" ht="14" customHeight="1"/>
    <row r="2" spans="1:9" s="1" customFormat="1" ht="28" customHeight="1">
      <c r="A2" s="178" t="s">
        <v>200</v>
      </c>
      <c r="I2" s="370">
        <v>2004</v>
      </c>
    </row>
    <row r="3" spans="1:9" ht="24" customHeight="1">
      <c r="A3" s="139" t="s">
        <v>503</v>
      </c>
      <c r="B3" s="163" t="s">
        <v>184</v>
      </c>
      <c r="C3" s="141"/>
      <c r="D3" s="164"/>
      <c r="E3" s="139"/>
      <c r="F3" s="163"/>
      <c r="G3" s="141"/>
      <c r="H3" s="163"/>
      <c r="I3" s="359" t="s">
        <v>185</v>
      </c>
    </row>
    <row r="4" spans="1:9" ht="15" customHeight="1">
      <c r="A4" s="165"/>
      <c r="B4" s="166" t="s">
        <v>186</v>
      </c>
      <c r="C4" s="197" t="s">
        <v>187</v>
      </c>
      <c r="D4" s="143" t="s">
        <v>188</v>
      </c>
      <c r="E4" s="197" t="s">
        <v>189</v>
      </c>
      <c r="F4" s="143" t="s">
        <v>190</v>
      </c>
      <c r="G4" s="197" t="s">
        <v>1171</v>
      </c>
      <c r="H4" s="143" t="s">
        <v>191</v>
      </c>
      <c r="I4" s="361" t="s">
        <v>652</v>
      </c>
    </row>
    <row r="5" spans="1:9" ht="15" customHeight="1">
      <c r="A5" s="165"/>
      <c r="B5" s="166" t="s">
        <v>543</v>
      </c>
      <c r="C5" s="144" t="s">
        <v>192</v>
      </c>
      <c r="D5" s="166" t="s">
        <v>193</v>
      </c>
      <c r="E5" s="144" t="s">
        <v>194</v>
      </c>
      <c r="F5" s="143" t="s">
        <v>195</v>
      </c>
      <c r="G5" s="197" t="s">
        <v>195</v>
      </c>
      <c r="H5" s="143" t="s">
        <v>196</v>
      </c>
      <c r="I5" s="361"/>
    </row>
    <row r="6" spans="1:9" ht="15" customHeight="1">
      <c r="A6" s="165"/>
      <c r="B6" s="166"/>
      <c r="C6" s="144"/>
      <c r="D6" s="166"/>
      <c r="E6" s="144"/>
      <c r="F6" s="143"/>
      <c r="G6" s="197"/>
      <c r="H6" s="143" t="s">
        <v>197</v>
      </c>
      <c r="I6" s="361"/>
    </row>
    <row r="7" spans="1:9" ht="16" customHeight="1">
      <c r="A7" s="167"/>
      <c r="B7" s="168"/>
      <c r="C7" s="147"/>
      <c r="D7" s="168"/>
      <c r="E7" s="147"/>
      <c r="F7" s="146"/>
      <c r="G7" s="200"/>
      <c r="H7" s="146"/>
      <c r="I7" s="364"/>
    </row>
    <row r="8" spans="1:9" ht="30" customHeight="1" thickBot="1">
      <c r="A8" s="689" t="s">
        <v>510</v>
      </c>
      <c r="B8" s="182">
        <v>29359</v>
      </c>
      <c r="C8" s="183">
        <v>103590</v>
      </c>
      <c r="D8" s="182">
        <v>57761</v>
      </c>
      <c r="E8" s="183">
        <v>35308</v>
      </c>
      <c r="F8" s="182">
        <v>21215</v>
      </c>
      <c r="G8" s="183">
        <v>8104</v>
      </c>
      <c r="H8" s="182">
        <v>545</v>
      </c>
      <c r="I8" s="690">
        <v>255882</v>
      </c>
    </row>
    <row r="9" spans="1:9" ht="20" customHeight="1" thickBot="1">
      <c r="A9" s="681" t="s">
        <v>511</v>
      </c>
      <c r="B9" s="176">
        <v>27369</v>
      </c>
      <c r="C9" s="222">
        <v>37613</v>
      </c>
      <c r="D9" s="176">
        <v>45863</v>
      </c>
      <c r="E9" s="222">
        <v>17143</v>
      </c>
      <c r="F9" s="176">
        <v>12649</v>
      </c>
      <c r="G9" s="222">
        <v>8312</v>
      </c>
      <c r="H9" s="176">
        <v>0</v>
      </c>
      <c r="I9" s="691">
        <v>148949</v>
      </c>
    </row>
    <row r="10" spans="1:9" ht="20" customHeight="1" thickBot="1">
      <c r="A10" s="681" t="s">
        <v>512</v>
      </c>
      <c r="B10" s="176">
        <v>7657</v>
      </c>
      <c r="C10" s="222">
        <v>8853</v>
      </c>
      <c r="D10" s="176">
        <v>17882</v>
      </c>
      <c r="E10" s="222">
        <v>18307</v>
      </c>
      <c r="F10" s="176">
        <v>3855</v>
      </c>
      <c r="G10" s="222">
        <v>4839</v>
      </c>
      <c r="H10" s="176">
        <v>0</v>
      </c>
      <c r="I10" s="691">
        <v>61393</v>
      </c>
    </row>
    <row r="11" spans="1:9" ht="20" customHeight="1" thickBot="1">
      <c r="A11" s="681" t="s">
        <v>513</v>
      </c>
      <c r="B11" s="176">
        <v>943</v>
      </c>
      <c r="C11" s="222">
        <v>964</v>
      </c>
      <c r="D11" s="176">
        <v>1500</v>
      </c>
      <c r="E11" s="222">
        <v>1937</v>
      </c>
      <c r="F11" s="176">
        <v>416</v>
      </c>
      <c r="G11" s="222">
        <v>454</v>
      </c>
      <c r="H11" s="176">
        <v>0</v>
      </c>
      <c r="I11" s="691">
        <v>6214</v>
      </c>
    </row>
    <row r="12" spans="1:9" ht="20" customHeight="1" thickBot="1">
      <c r="A12" s="681" t="s">
        <v>514</v>
      </c>
      <c r="B12" s="176">
        <v>1743</v>
      </c>
      <c r="C12" s="222">
        <v>2220</v>
      </c>
      <c r="D12" s="176">
        <v>6411</v>
      </c>
      <c r="E12" s="222">
        <v>3444</v>
      </c>
      <c r="F12" s="176">
        <v>2526</v>
      </c>
      <c r="G12" s="222">
        <v>1279</v>
      </c>
      <c r="H12" s="176">
        <v>3924</v>
      </c>
      <c r="I12" s="691">
        <v>21547</v>
      </c>
    </row>
    <row r="13" spans="1:9" ht="20" customHeight="1" thickBot="1">
      <c r="A13" s="681" t="s">
        <v>515</v>
      </c>
      <c r="B13" s="176">
        <v>1425</v>
      </c>
      <c r="C13" s="222">
        <v>1875</v>
      </c>
      <c r="D13" s="176">
        <v>3311</v>
      </c>
      <c r="E13" s="222">
        <v>1139</v>
      </c>
      <c r="F13" s="176">
        <v>472</v>
      </c>
      <c r="G13" s="222">
        <v>169</v>
      </c>
      <c r="H13" s="176">
        <v>0</v>
      </c>
      <c r="I13" s="691">
        <v>8391</v>
      </c>
    </row>
    <row r="14" spans="1:9" ht="20" customHeight="1" thickBot="1">
      <c r="A14" s="681" t="s">
        <v>516</v>
      </c>
      <c r="B14" s="176">
        <v>1481</v>
      </c>
      <c r="C14" s="222">
        <v>1862</v>
      </c>
      <c r="D14" s="176">
        <v>2368</v>
      </c>
      <c r="E14" s="222">
        <v>309</v>
      </c>
      <c r="F14" s="176">
        <v>83</v>
      </c>
      <c r="G14" s="222">
        <v>45</v>
      </c>
      <c r="H14" s="176">
        <v>0</v>
      </c>
      <c r="I14" s="691">
        <v>6148</v>
      </c>
    </row>
    <row r="15" spans="1:9" ht="20" customHeight="1" thickBot="1">
      <c r="A15" s="681" t="s">
        <v>517</v>
      </c>
      <c r="B15" s="176">
        <v>713</v>
      </c>
      <c r="C15" s="222">
        <v>1187</v>
      </c>
      <c r="D15" s="176">
        <v>3674</v>
      </c>
      <c r="E15" s="222">
        <v>862</v>
      </c>
      <c r="F15" s="176">
        <v>287</v>
      </c>
      <c r="G15" s="222">
        <v>301</v>
      </c>
      <c r="H15" s="176">
        <v>0</v>
      </c>
      <c r="I15" s="691">
        <v>7024</v>
      </c>
    </row>
    <row r="16" spans="1:9" ht="20" customHeight="1" thickBot="1">
      <c r="A16" s="681" t="s">
        <v>518</v>
      </c>
      <c r="B16" s="176">
        <v>3167</v>
      </c>
      <c r="C16" s="222">
        <v>3119</v>
      </c>
      <c r="D16" s="176">
        <v>7502</v>
      </c>
      <c r="E16" s="222">
        <v>2384</v>
      </c>
      <c r="F16" s="176">
        <v>819</v>
      </c>
      <c r="G16" s="222">
        <v>580</v>
      </c>
      <c r="H16" s="176">
        <v>0</v>
      </c>
      <c r="I16" s="691">
        <v>17571</v>
      </c>
    </row>
    <row r="17" spans="1:9" ht="20" customHeight="1" thickBot="1">
      <c r="A17" s="681" t="s">
        <v>519</v>
      </c>
      <c r="B17" s="176">
        <v>1273</v>
      </c>
      <c r="C17" s="222">
        <v>5354</v>
      </c>
      <c r="D17" s="176">
        <v>16495</v>
      </c>
      <c r="E17" s="222">
        <v>8001</v>
      </c>
      <c r="F17" s="176">
        <v>3020</v>
      </c>
      <c r="G17" s="222">
        <v>3470</v>
      </c>
      <c r="H17" s="176">
        <v>0</v>
      </c>
      <c r="I17" s="691">
        <v>37613</v>
      </c>
    </row>
    <row r="18" spans="1:9" ht="20" customHeight="1" thickBot="1">
      <c r="A18" s="681" t="s">
        <v>520</v>
      </c>
      <c r="B18" s="176">
        <v>2452</v>
      </c>
      <c r="C18" s="222">
        <v>4635</v>
      </c>
      <c r="D18" s="176">
        <v>8865</v>
      </c>
      <c r="E18" s="222">
        <v>4651</v>
      </c>
      <c r="F18" s="176">
        <v>2152</v>
      </c>
      <c r="G18" s="222">
        <v>1608</v>
      </c>
      <c r="H18" s="176">
        <v>0</v>
      </c>
      <c r="I18" s="691">
        <v>24363</v>
      </c>
    </row>
    <row r="19" spans="1:9" ht="20" customHeight="1" thickBot="1">
      <c r="A19" s="681" t="s">
        <v>521</v>
      </c>
      <c r="B19" s="176">
        <v>2453</v>
      </c>
      <c r="C19" s="222">
        <v>2708</v>
      </c>
      <c r="D19" s="176">
        <v>4502</v>
      </c>
      <c r="E19" s="222">
        <v>6057</v>
      </c>
      <c r="F19" s="176">
        <v>10551</v>
      </c>
      <c r="G19" s="222">
        <v>4992</v>
      </c>
      <c r="H19" s="176">
        <v>0</v>
      </c>
      <c r="I19" s="691">
        <v>31263</v>
      </c>
    </row>
    <row r="20" spans="1:9" ht="20" customHeight="1" thickBot="1">
      <c r="A20" s="681" t="s">
        <v>522</v>
      </c>
      <c r="B20" s="153">
        <v>8469</v>
      </c>
      <c r="C20" s="228">
        <v>10117</v>
      </c>
      <c r="D20" s="176">
        <v>19635</v>
      </c>
      <c r="E20" s="222">
        <v>5023</v>
      </c>
      <c r="F20" s="153">
        <v>1868</v>
      </c>
      <c r="G20" s="228">
        <v>781</v>
      </c>
      <c r="H20" s="176">
        <v>0</v>
      </c>
      <c r="I20" s="691">
        <v>45893</v>
      </c>
    </row>
    <row r="21" spans="1:9" ht="20" customHeight="1" thickBot="1">
      <c r="A21" s="681" t="s">
        <v>523</v>
      </c>
      <c r="B21" s="176">
        <v>1511</v>
      </c>
      <c r="C21" s="222">
        <v>1599</v>
      </c>
      <c r="D21" s="176">
        <v>5868</v>
      </c>
      <c r="E21" s="222">
        <v>1433</v>
      </c>
      <c r="F21" s="176">
        <v>786</v>
      </c>
      <c r="G21" s="222">
        <v>624</v>
      </c>
      <c r="H21" s="176">
        <v>0</v>
      </c>
      <c r="I21" s="691">
        <v>11821</v>
      </c>
    </row>
    <row r="22" spans="1:9" ht="20" customHeight="1" thickBot="1">
      <c r="A22" s="681" t="s">
        <v>2047</v>
      </c>
      <c r="B22" s="176">
        <v>307</v>
      </c>
      <c r="C22" s="222">
        <v>324</v>
      </c>
      <c r="D22" s="176">
        <v>611</v>
      </c>
      <c r="E22" s="222">
        <v>1614</v>
      </c>
      <c r="F22" s="176">
        <v>481</v>
      </c>
      <c r="G22" s="222">
        <v>1240</v>
      </c>
      <c r="H22" s="176">
        <v>0</v>
      </c>
      <c r="I22" s="691">
        <v>4577</v>
      </c>
    </row>
    <row r="23" spans="1:9" ht="20" customHeight="1" thickBot="1">
      <c r="A23" s="681" t="s">
        <v>2048</v>
      </c>
      <c r="B23" s="176">
        <v>581</v>
      </c>
      <c r="C23" s="222">
        <v>439</v>
      </c>
      <c r="D23" s="176">
        <v>618</v>
      </c>
      <c r="E23" s="222">
        <v>197</v>
      </c>
      <c r="F23" s="176">
        <v>51</v>
      </c>
      <c r="G23" s="222">
        <v>250</v>
      </c>
      <c r="H23" s="176">
        <v>0</v>
      </c>
      <c r="I23" s="691">
        <v>2136</v>
      </c>
    </row>
    <row r="24" spans="1:9" ht="20" customHeight="1" thickBot="1">
      <c r="A24" s="681" t="s">
        <v>2049</v>
      </c>
      <c r="B24" s="176">
        <v>13410</v>
      </c>
      <c r="C24" s="222">
        <v>10799</v>
      </c>
      <c r="D24" s="176">
        <v>32907</v>
      </c>
      <c r="E24" s="222">
        <v>6022</v>
      </c>
      <c r="F24" s="176">
        <v>2646</v>
      </c>
      <c r="G24" s="222">
        <v>2144</v>
      </c>
      <c r="H24" s="176">
        <v>0</v>
      </c>
      <c r="I24" s="691">
        <v>67928</v>
      </c>
    </row>
    <row r="25" spans="1:9" ht="20" customHeight="1" thickBot="1">
      <c r="A25" s="681" t="s">
        <v>2050</v>
      </c>
      <c r="B25" s="176">
        <v>4224</v>
      </c>
      <c r="C25" s="222">
        <v>5706</v>
      </c>
      <c r="D25" s="176">
        <v>8294</v>
      </c>
      <c r="E25" s="222">
        <v>8167</v>
      </c>
      <c r="F25" s="176">
        <v>1691</v>
      </c>
      <c r="G25" s="222">
        <v>1688</v>
      </c>
      <c r="H25" s="176">
        <v>0</v>
      </c>
      <c r="I25" s="691">
        <v>29770</v>
      </c>
    </row>
    <row r="26" spans="1:9" ht="20" customHeight="1" thickBot="1">
      <c r="A26" s="681" t="s">
        <v>2051</v>
      </c>
      <c r="B26" s="176">
        <v>6165</v>
      </c>
      <c r="C26" s="222">
        <v>8266</v>
      </c>
      <c r="D26" s="176">
        <v>16948</v>
      </c>
      <c r="E26" s="222">
        <v>17059</v>
      </c>
      <c r="F26" s="176">
        <v>5200</v>
      </c>
      <c r="G26" s="222">
        <v>5159</v>
      </c>
      <c r="H26" s="176">
        <v>0</v>
      </c>
      <c r="I26" s="691">
        <v>58797</v>
      </c>
    </row>
    <row r="27" spans="1:9" ht="20" customHeight="1" thickBot="1">
      <c r="A27" s="681" t="s">
        <v>2052</v>
      </c>
      <c r="B27" s="176">
        <v>6253</v>
      </c>
      <c r="C27" s="222">
        <v>14965</v>
      </c>
      <c r="D27" s="176">
        <v>28365</v>
      </c>
      <c r="E27" s="222">
        <v>5962</v>
      </c>
      <c r="F27" s="176">
        <v>1877</v>
      </c>
      <c r="G27" s="222">
        <v>546</v>
      </c>
      <c r="H27" s="176">
        <v>0</v>
      </c>
      <c r="I27" s="691">
        <v>57968</v>
      </c>
    </row>
    <row r="28" spans="1:9" ht="20" customHeight="1" thickBot="1">
      <c r="A28" s="681" t="s">
        <v>2053</v>
      </c>
      <c r="B28" s="176">
        <v>3288</v>
      </c>
      <c r="C28" s="222">
        <v>5636</v>
      </c>
      <c r="D28" s="176">
        <v>14864</v>
      </c>
      <c r="E28" s="222">
        <v>23160</v>
      </c>
      <c r="F28" s="176">
        <v>3831</v>
      </c>
      <c r="G28" s="222">
        <v>9466</v>
      </c>
      <c r="H28" s="176">
        <v>0</v>
      </c>
      <c r="I28" s="691">
        <v>60245</v>
      </c>
    </row>
    <row r="29" spans="1:9" ht="20" customHeight="1" thickBot="1">
      <c r="A29" s="681" t="s">
        <v>2054</v>
      </c>
      <c r="B29" s="176">
        <v>6529</v>
      </c>
      <c r="C29" s="222">
        <v>5695</v>
      </c>
      <c r="D29" s="176">
        <v>11947</v>
      </c>
      <c r="E29" s="222">
        <v>12784</v>
      </c>
      <c r="F29" s="176">
        <v>26465</v>
      </c>
      <c r="G29" s="222">
        <v>17274</v>
      </c>
      <c r="H29" s="176">
        <v>0</v>
      </c>
      <c r="I29" s="691">
        <v>80694</v>
      </c>
    </row>
    <row r="30" spans="1:9" ht="20" customHeight="1" thickBot="1">
      <c r="A30" s="681" t="s">
        <v>2055</v>
      </c>
      <c r="B30" s="176">
        <v>2601</v>
      </c>
      <c r="C30" s="222">
        <v>5599</v>
      </c>
      <c r="D30" s="176">
        <v>24288</v>
      </c>
      <c r="E30" s="222">
        <v>9589</v>
      </c>
      <c r="F30" s="176">
        <v>2936</v>
      </c>
      <c r="G30" s="222">
        <v>4990</v>
      </c>
      <c r="H30" s="176">
        <v>0</v>
      </c>
      <c r="I30" s="691">
        <v>50003</v>
      </c>
    </row>
    <row r="31" spans="1:9" ht="20" customHeight="1" thickBot="1">
      <c r="A31" s="681" t="s">
        <v>2056</v>
      </c>
      <c r="B31" s="176">
        <v>6521</v>
      </c>
      <c r="C31" s="222">
        <v>4167</v>
      </c>
      <c r="D31" s="176">
        <v>5047</v>
      </c>
      <c r="E31" s="222">
        <v>3933</v>
      </c>
      <c r="F31" s="176">
        <v>7439</v>
      </c>
      <c r="G31" s="222">
        <v>3338</v>
      </c>
      <c r="H31" s="176">
        <v>0</v>
      </c>
      <c r="I31" s="691">
        <v>30445</v>
      </c>
    </row>
    <row r="32" spans="1:9" ht="20" customHeight="1" thickBot="1">
      <c r="A32" s="681" t="s">
        <v>2057</v>
      </c>
      <c r="B32" s="176">
        <v>15840</v>
      </c>
      <c r="C32" s="222">
        <v>39295</v>
      </c>
      <c r="D32" s="176">
        <v>13438</v>
      </c>
      <c r="E32" s="222">
        <v>8395</v>
      </c>
      <c r="F32" s="176">
        <v>15278</v>
      </c>
      <c r="G32" s="222">
        <v>13318</v>
      </c>
      <c r="H32" s="176">
        <v>270</v>
      </c>
      <c r="I32" s="691">
        <v>105834</v>
      </c>
    </row>
    <row r="33" spans="1:9" ht="20" customHeight="1" thickBot="1">
      <c r="A33" s="681" t="s">
        <v>2058</v>
      </c>
      <c r="B33" s="176">
        <v>2524</v>
      </c>
      <c r="C33" s="222">
        <v>2290</v>
      </c>
      <c r="D33" s="176">
        <v>3579</v>
      </c>
      <c r="E33" s="222">
        <v>1263</v>
      </c>
      <c r="F33" s="176">
        <v>2809</v>
      </c>
      <c r="G33" s="222">
        <v>941</v>
      </c>
      <c r="H33" s="176">
        <v>0</v>
      </c>
      <c r="I33" s="691">
        <v>13406</v>
      </c>
    </row>
    <row r="34" spans="1:9" ht="30" customHeight="1" thickBot="1">
      <c r="A34" s="458" t="s">
        <v>2059</v>
      </c>
      <c r="B34" s="457">
        <v>158258</v>
      </c>
      <c r="C34" s="458">
        <v>288877</v>
      </c>
      <c r="D34" s="457">
        <v>362543</v>
      </c>
      <c r="E34" s="458">
        <v>204143</v>
      </c>
      <c r="F34" s="457">
        <v>131403</v>
      </c>
      <c r="G34" s="458">
        <v>95912</v>
      </c>
      <c r="H34" s="457">
        <v>4739</v>
      </c>
      <c r="I34" s="458">
        <v>1245875</v>
      </c>
    </row>
    <row r="35" spans="1:9" ht="20" customHeight="1">
      <c r="A35" s="692" t="s">
        <v>248</v>
      </c>
      <c r="B35" s="489"/>
      <c r="C35" s="489"/>
      <c r="D35" s="489"/>
      <c r="E35" s="489"/>
      <c r="F35" s="489"/>
      <c r="G35" s="489"/>
      <c r="H35" s="489"/>
      <c r="I35" s="489"/>
    </row>
    <row r="36" spans="1:9" ht="14.25" customHeight="1">
      <c r="A36" s="688"/>
      <c r="B36" s="491"/>
      <c r="C36" s="491"/>
      <c r="D36" s="491"/>
      <c r="E36" s="491"/>
      <c r="F36" s="491"/>
      <c r="G36" s="491"/>
      <c r="H36" s="491"/>
      <c r="I36" s="491"/>
    </row>
    <row r="37" spans="1:9" ht="20" customHeight="1">
      <c r="A37" s="688" t="s">
        <v>198</v>
      </c>
      <c r="B37" s="491"/>
      <c r="C37" s="491"/>
      <c r="D37" s="491"/>
      <c r="E37" s="491"/>
      <c r="F37" s="491"/>
      <c r="G37" s="491"/>
      <c r="H37" s="491"/>
      <c r="I37" s="491"/>
    </row>
    <row r="38" spans="1:9" ht="13.5" customHeight="1">
      <c r="A38" s="688"/>
      <c r="B38" s="491"/>
      <c r="C38" s="491"/>
      <c r="D38" s="491"/>
      <c r="E38" s="491"/>
      <c r="F38" s="491"/>
      <c r="G38" s="491"/>
      <c r="H38" s="491"/>
      <c r="I38" s="491"/>
    </row>
    <row r="39" spans="1:9" ht="11.25" customHeight="1">
      <c r="A39" s="4" t="s">
        <v>199</v>
      </c>
      <c r="B39" s="491"/>
      <c r="C39" s="491"/>
      <c r="D39" s="491"/>
      <c r="E39" s="491"/>
      <c r="F39" s="491"/>
      <c r="G39" s="491"/>
      <c r="H39" s="491"/>
      <c r="I39" s="491"/>
    </row>
    <row r="40" spans="1:9" ht="11.25" customHeight="1">
      <c r="A40" s="4"/>
      <c r="B40" s="491"/>
      <c r="C40" s="491"/>
      <c r="D40" s="491"/>
      <c r="E40" s="491"/>
      <c r="F40" s="491"/>
      <c r="G40" s="491"/>
      <c r="H40" s="491"/>
      <c r="I40" s="491"/>
    </row>
    <row r="41" spans="1:9" ht="11.25" customHeight="1">
      <c r="A41" s="4"/>
      <c r="B41" s="491"/>
      <c r="C41" s="491"/>
      <c r="D41" s="491"/>
      <c r="E41" s="491"/>
      <c r="F41" s="491"/>
      <c r="G41" s="491"/>
      <c r="H41" s="491"/>
      <c r="I41" s="491"/>
    </row>
    <row r="42" spans="1:9">
      <c r="A42" s="619" t="s">
        <v>104</v>
      </c>
    </row>
  </sheetData>
  <phoneticPr fontId="0" type="noConversion"/>
  <pageMargins left="0.6" right="0.69" top="0.83" bottom="0.49" header="0.51" footer="0.4921259845"/>
  <pageSetup paperSize="9" scale="81" orientation="portrait" horizontalDpi="4294967292" verticalDpi="4294967292"/>
  <headerFooter alignWithMargins="0">
    <oddHeader>&amp;L&amp;"Arial,Bold"Prämienverbilligung in der OKP</oddHead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009A3-8D14-654E-AFE9-329D8CC7ADBE}">
  <sheetPr>
    <pageSetUpPr fitToPage="1"/>
  </sheetPr>
  <dimension ref="A1:I42"/>
  <sheetViews>
    <sheetView zoomScale="75" workbookViewId="0">
      <selection activeCell="J12" sqref="J12"/>
    </sheetView>
  </sheetViews>
  <sheetFormatPr baseColWidth="10" defaultColWidth="11.3984375" defaultRowHeight="13"/>
  <cols>
    <col min="1" max="9" width="13.3984375" style="2" customWidth="1"/>
    <col min="10" max="10" width="16.19921875" style="2" customWidth="1"/>
    <col min="11" max="16384" width="11.3984375" style="2"/>
  </cols>
  <sheetData>
    <row r="1" spans="1:9" s="1" customFormat="1" ht="14" customHeight="1"/>
    <row r="2" spans="1:9" s="1" customFormat="1" ht="28" customHeight="1">
      <c r="A2" s="178" t="s">
        <v>183</v>
      </c>
      <c r="I2" s="370">
        <v>2004</v>
      </c>
    </row>
    <row r="3" spans="1:9" ht="24" customHeight="1">
      <c r="A3" s="139" t="s">
        <v>503</v>
      </c>
      <c r="B3" s="163"/>
      <c r="C3" s="141"/>
      <c r="D3" s="163" t="s">
        <v>172</v>
      </c>
      <c r="E3" s="139"/>
      <c r="F3" s="163"/>
      <c r="G3" s="141"/>
      <c r="H3" s="163"/>
      <c r="I3" s="141"/>
    </row>
    <row r="4" spans="1:9" ht="15" customHeight="1">
      <c r="A4" s="165"/>
      <c r="B4" s="390" t="s">
        <v>173</v>
      </c>
      <c r="C4" s="197"/>
      <c r="D4" s="143"/>
      <c r="E4" s="197"/>
      <c r="F4" s="678" t="s">
        <v>174</v>
      </c>
      <c r="G4" s="197"/>
      <c r="H4" s="143"/>
      <c r="I4" s="144"/>
    </row>
    <row r="5" spans="1:9" ht="15" customHeight="1">
      <c r="A5" s="165"/>
      <c r="B5" s="166" t="s">
        <v>175</v>
      </c>
      <c r="C5" s="144" t="s">
        <v>176</v>
      </c>
      <c r="D5" s="166" t="s">
        <v>177</v>
      </c>
      <c r="E5" s="144" t="s">
        <v>178</v>
      </c>
      <c r="F5" s="143" t="s">
        <v>175</v>
      </c>
      <c r="G5" s="197" t="s">
        <v>176</v>
      </c>
      <c r="H5" s="143" t="s">
        <v>177</v>
      </c>
      <c r="I5" s="144" t="s">
        <v>178</v>
      </c>
    </row>
    <row r="6" spans="1:9" ht="31" customHeight="1">
      <c r="A6" s="167"/>
      <c r="B6" s="168" t="s">
        <v>504</v>
      </c>
      <c r="C6" s="147"/>
      <c r="D6" s="168"/>
      <c r="E6" s="147"/>
      <c r="F6" s="146" t="s">
        <v>504</v>
      </c>
      <c r="G6" s="200"/>
      <c r="H6" s="146"/>
      <c r="I6" s="147"/>
    </row>
    <row r="7" spans="1:9" ht="30" customHeight="1" thickBot="1">
      <c r="A7" s="679" t="s">
        <v>510</v>
      </c>
      <c r="B7" s="175">
        <v>36000</v>
      </c>
      <c r="C7" s="201">
        <v>47500</v>
      </c>
      <c r="D7" s="175">
        <v>47500</v>
      </c>
      <c r="E7" s="201">
        <v>47500</v>
      </c>
      <c r="F7" s="680">
        <v>47500</v>
      </c>
      <c r="G7" s="201">
        <v>47500</v>
      </c>
      <c r="H7" s="175">
        <v>47500</v>
      </c>
      <c r="I7" s="201">
        <v>47500</v>
      </c>
    </row>
    <row r="8" spans="1:9" ht="20" customHeight="1" thickBot="1">
      <c r="A8" s="681" t="s">
        <v>511</v>
      </c>
      <c r="B8" s="176">
        <v>35200</v>
      </c>
      <c r="C8" s="222">
        <v>47200</v>
      </c>
      <c r="D8" s="176">
        <v>55700</v>
      </c>
      <c r="E8" s="222">
        <v>64200</v>
      </c>
      <c r="F8" s="682">
        <v>49000</v>
      </c>
      <c r="G8" s="222">
        <v>57500</v>
      </c>
      <c r="H8" s="176">
        <v>66000</v>
      </c>
      <c r="I8" s="222">
        <v>74500</v>
      </c>
    </row>
    <row r="9" spans="1:9" ht="20" customHeight="1" thickBot="1">
      <c r="A9" s="681" t="s">
        <v>512</v>
      </c>
      <c r="B9" s="176">
        <v>29600</v>
      </c>
      <c r="C9" s="222">
        <v>37300</v>
      </c>
      <c r="D9" s="176">
        <v>45000</v>
      </c>
      <c r="E9" s="222">
        <v>52700</v>
      </c>
      <c r="F9" s="682">
        <v>59800</v>
      </c>
      <c r="G9" s="222">
        <v>67500</v>
      </c>
      <c r="H9" s="176">
        <v>75200</v>
      </c>
      <c r="I9" s="222">
        <v>82900</v>
      </c>
    </row>
    <row r="10" spans="1:9" ht="20" customHeight="1" thickBot="1">
      <c r="A10" s="681" t="s">
        <v>513</v>
      </c>
      <c r="B10" s="176">
        <v>26600</v>
      </c>
      <c r="C10" s="222">
        <v>33800</v>
      </c>
      <c r="D10" s="176">
        <v>41100</v>
      </c>
      <c r="E10" s="222">
        <v>48300</v>
      </c>
      <c r="F10" s="682">
        <v>53800</v>
      </c>
      <c r="G10" s="222">
        <v>60000</v>
      </c>
      <c r="H10" s="176">
        <v>60000</v>
      </c>
      <c r="I10" s="222">
        <v>60000</v>
      </c>
    </row>
    <row r="11" spans="1:9" ht="20" customHeight="1" thickBot="1">
      <c r="A11" s="681" t="s">
        <v>514</v>
      </c>
      <c r="B11" s="176">
        <v>27000</v>
      </c>
      <c r="C11" s="222">
        <v>47544</v>
      </c>
      <c r="D11" s="176">
        <v>66000</v>
      </c>
      <c r="E11" s="222">
        <v>70000</v>
      </c>
      <c r="F11" s="682">
        <v>54000</v>
      </c>
      <c r="G11" s="222">
        <v>68000</v>
      </c>
      <c r="H11" s="176">
        <v>88282</v>
      </c>
      <c r="I11" s="222">
        <v>102322</v>
      </c>
    </row>
    <row r="12" spans="1:9" ht="20" customHeight="1" thickBot="1">
      <c r="A12" s="681" t="s">
        <v>515</v>
      </c>
      <c r="B12" s="176">
        <v>35000</v>
      </c>
      <c r="C12" s="222">
        <v>44600</v>
      </c>
      <c r="D12" s="176">
        <v>54200</v>
      </c>
      <c r="E12" s="222">
        <v>63800</v>
      </c>
      <c r="F12" s="682">
        <v>71500</v>
      </c>
      <c r="G12" s="222">
        <v>81100</v>
      </c>
      <c r="H12" s="176">
        <v>90700</v>
      </c>
      <c r="I12" s="222">
        <v>100300</v>
      </c>
    </row>
    <row r="13" spans="1:9" ht="20" customHeight="1" thickBot="1">
      <c r="A13" s="681" t="s">
        <v>516</v>
      </c>
      <c r="B13" s="176">
        <v>29700</v>
      </c>
      <c r="C13" s="222">
        <v>37550</v>
      </c>
      <c r="D13" s="176">
        <v>45400</v>
      </c>
      <c r="E13" s="222">
        <v>53250</v>
      </c>
      <c r="F13" s="682">
        <v>59400</v>
      </c>
      <c r="G13" s="222">
        <v>67250</v>
      </c>
      <c r="H13" s="176">
        <v>75100</v>
      </c>
      <c r="I13" s="222">
        <v>82950</v>
      </c>
    </row>
    <row r="14" spans="1:9" ht="20" customHeight="1" thickBot="1">
      <c r="A14" s="681" t="s">
        <v>517</v>
      </c>
      <c r="B14" s="176">
        <v>40001</v>
      </c>
      <c r="C14" s="222">
        <v>53857</v>
      </c>
      <c r="D14" s="176">
        <v>61600</v>
      </c>
      <c r="E14" s="222">
        <v>75001</v>
      </c>
      <c r="F14" s="682">
        <v>60267</v>
      </c>
      <c r="G14" s="222">
        <v>73134</v>
      </c>
      <c r="H14" s="176">
        <v>80001</v>
      </c>
      <c r="I14" s="222">
        <v>90480</v>
      </c>
    </row>
    <row r="15" spans="1:9" ht="20" customHeight="1" thickBot="1">
      <c r="A15" s="681" t="s">
        <v>518</v>
      </c>
      <c r="B15" s="176">
        <v>34100</v>
      </c>
      <c r="C15" s="222">
        <v>51100</v>
      </c>
      <c r="D15" s="176">
        <v>68100</v>
      </c>
      <c r="E15" s="222">
        <v>85200</v>
      </c>
      <c r="F15" s="682">
        <v>38800</v>
      </c>
      <c r="G15" s="222">
        <v>85800</v>
      </c>
      <c r="H15" s="176">
        <v>102900</v>
      </c>
      <c r="I15" s="222">
        <v>119900</v>
      </c>
    </row>
    <row r="16" spans="1:9" ht="20" customHeight="1" thickBot="1">
      <c r="A16" s="681" t="s">
        <v>519</v>
      </c>
      <c r="B16" s="176">
        <v>36800</v>
      </c>
      <c r="C16" s="222">
        <v>55200</v>
      </c>
      <c r="D16" s="176">
        <v>65200</v>
      </c>
      <c r="E16" s="222">
        <v>75200</v>
      </c>
      <c r="F16" s="682">
        <v>54600</v>
      </c>
      <c r="G16" s="222">
        <v>64600</v>
      </c>
      <c r="H16" s="176">
        <v>74600</v>
      </c>
      <c r="I16" s="222">
        <v>84600</v>
      </c>
    </row>
    <row r="17" spans="1:9" ht="20" customHeight="1" thickBot="1">
      <c r="A17" s="681" t="s">
        <v>520</v>
      </c>
      <c r="B17" s="176">
        <v>30900</v>
      </c>
      <c r="C17" s="222">
        <v>39100</v>
      </c>
      <c r="D17" s="176">
        <v>47300</v>
      </c>
      <c r="E17" s="222">
        <v>55500</v>
      </c>
      <c r="F17" s="682">
        <v>47900</v>
      </c>
      <c r="G17" s="222">
        <v>55100</v>
      </c>
      <c r="H17" s="176">
        <v>62300</v>
      </c>
      <c r="I17" s="222">
        <v>69500</v>
      </c>
    </row>
    <row r="18" spans="1:9" ht="20" customHeight="1" thickBot="1">
      <c r="A18" s="681" t="s">
        <v>521</v>
      </c>
      <c r="B18" s="176">
        <v>39000</v>
      </c>
      <c r="C18" s="222">
        <v>74000</v>
      </c>
      <c r="D18" s="176">
        <v>82000</v>
      </c>
      <c r="E18" s="222">
        <v>88000</v>
      </c>
      <c r="F18" s="682">
        <v>64000</v>
      </c>
      <c r="G18" s="222">
        <v>74000</v>
      </c>
      <c r="H18" s="176">
        <v>82000</v>
      </c>
      <c r="I18" s="222">
        <v>88000</v>
      </c>
    </row>
    <row r="19" spans="1:9" ht="20" customHeight="1" thickBot="1">
      <c r="A19" s="681" t="s">
        <v>522</v>
      </c>
      <c r="B19" s="153">
        <v>56672</v>
      </c>
      <c r="C19" s="228">
        <v>81632</v>
      </c>
      <c r="D19" s="176">
        <v>106592</v>
      </c>
      <c r="E19" s="222">
        <v>131552</v>
      </c>
      <c r="F19" s="683">
        <v>63376</v>
      </c>
      <c r="G19" s="228">
        <v>75856</v>
      </c>
      <c r="H19" s="153">
        <v>88336</v>
      </c>
      <c r="I19" s="222">
        <v>100816</v>
      </c>
    </row>
    <row r="20" spans="1:9" ht="20" customHeight="1" thickBot="1">
      <c r="A20" s="681" t="s">
        <v>523</v>
      </c>
      <c r="B20" s="176">
        <v>27000</v>
      </c>
      <c r="C20" s="222">
        <v>33250</v>
      </c>
      <c r="D20" s="176">
        <v>39500</v>
      </c>
      <c r="E20" s="222">
        <v>45750</v>
      </c>
      <c r="F20" s="682">
        <v>48100</v>
      </c>
      <c r="G20" s="222">
        <v>54350</v>
      </c>
      <c r="H20" s="176">
        <v>60600</v>
      </c>
      <c r="I20" s="222">
        <v>66850</v>
      </c>
    </row>
    <row r="21" spans="1:9" ht="20" customHeight="1" thickBot="1">
      <c r="A21" s="681" t="s">
        <v>2047</v>
      </c>
      <c r="B21" s="176">
        <v>26761</v>
      </c>
      <c r="C21" s="222">
        <v>34716</v>
      </c>
      <c r="D21" s="176">
        <v>42692</v>
      </c>
      <c r="E21" s="222">
        <v>50638</v>
      </c>
      <c r="F21" s="682">
        <v>44911</v>
      </c>
      <c r="G21" s="222">
        <v>52857</v>
      </c>
      <c r="H21" s="176">
        <v>60803</v>
      </c>
      <c r="I21" s="222">
        <v>60100</v>
      </c>
    </row>
    <row r="22" spans="1:9" ht="20" customHeight="1" thickBot="1">
      <c r="A22" s="681" t="s">
        <v>2048</v>
      </c>
      <c r="B22" s="176">
        <v>29500</v>
      </c>
      <c r="C22" s="222">
        <v>37000</v>
      </c>
      <c r="D22" s="176">
        <v>44500</v>
      </c>
      <c r="E22" s="222">
        <v>52000</v>
      </c>
      <c r="F22" s="682">
        <v>58900</v>
      </c>
      <c r="G22" s="222">
        <v>66400</v>
      </c>
      <c r="H22" s="176">
        <v>74000</v>
      </c>
      <c r="I22" s="222">
        <v>81500</v>
      </c>
    </row>
    <row r="23" spans="1:9" ht="20" customHeight="1" thickBot="1">
      <c r="A23" s="681" t="s">
        <v>2049</v>
      </c>
      <c r="B23" s="176">
        <v>26250</v>
      </c>
      <c r="C23" s="222">
        <v>37478</v>
      </c>
      <c r="D23" s="176">
        <v>51622</v>
      </c>
      <c r="E23" s="222">
        <v>65767</v>
      </c>
      <c r="F23" s="682">
        <v>52500</v>
      </c>
      <c r="G23" s="222">
        <v>60811</v>
      </c>
      <c r="H23" s="176">
        <v>74956</v>
      </c>
      <c r="I23" s="222">
        <v>89100</v>
      </c>
    </row>
    <row r="24" spans="1:9" ht="20" customHeight="1" thickBot="1">
      <c r="A24" s="681" t="s">
        <v>2050</v>
      </c>
      <c r="B24" s="176">
        <v>31600</v>
      </c>
      <c r="C24" s="222">
        <v>39800</v>
      </c>
      <c r="D24" s="176">
        <v>43300</v>
      </c>
      <c r="E24" s="222">
        <v>50100</v>
      </c>
      <c r="F24" s="682">
        <v>51700</v>
      </c>
      <c r="G24" s="222">
        <v>58500</v>
      </c>
      <c r="H24" s="176">
        <v>60100</v>
      </c>
      <c r="I24" s="222">
        <v>66000</v>
      </c>
    </row>
    <row r="25" spans="1:9" ht="20" customHeight="1" thickBot="1">
      <c r="A25" s="681" t="s">
        <v>2051</v>
      </c>
      <c r="B25" s="176">
        <v>26500</v>
      </c>
      <c r="C25" s="222">
        <v>35400</v>
      </c>
      <c r="D25" s="176">
        <v>44300</v>
      </c>
      <c r="E25" s="222">
        <v>53200</v>
      </c>
      <c r="F25" s="682">
        <v>54300</v>
      </c>
      <c r="G25" s="222">
        <v>63200</v>
      </c>
      <c r="H25" s="176">
        <v>72100</v>
      </c>
      <c r="I25" s="222">
        <v>81000</v>
      </c>
    </row>
    <row r="26" spans="1:9" ht="20" customHeight="1" thickBot="1">
      <c r="A26" s="681" t="s">
        <v>2052</v>
      </c>
      <c r="B26" s="176">
        <v>29800</v>
      </c>
      <c r="C26" s="222">
        <v>29800</v>
      </c>
      <c r="D26" s="176">
        <v>29800</v>
      </c>
      <c r="E26" s="222">
        <v>29800</v>
      </c>
      <c r="F26" s="682">
        <v>34800</v>
      </c>
      <c r="G26" s="222">
        <v>34800</v>
      </c>
      <c r="H26" s="176">
        <v>34800</v>
      </c>
      <c r="I26" s="222">
        <v>34800</v>
      </c>
    </row>
    <row r="27" spans="1:9" ht="20" customHeight="1" thickBot="1">
      <c r="A27" s="681" t="s">
        <v>2053</v>
      </c>
      <c r="B27" s="176">
        <v>22000</v>
      </c>
      <c r="C27" s="222">
        <v>34000</v>
      </c>
      <c r="D27" s="176">
        <v>39000</v>
      </c>
      <c r="E27" s="222">
        <v>65000</v>
      </c>
      <c r="F27" s="682">
        <v>34000</v>
      </c>
      <c r="G27" s="222">
        <v>34000</v>
      </c>
      <c r="H27" s="176">
        <v>39000</v>
      </c>
      <c r="I27" s="222">
        <v>65000</v>
      </c>
    </row>
    <row r="28" spans="1:9" ht="20" customHeight="1" thickBot="1">
      <c r="A28" s="681" t="s">
        <v>2054</v>
      </c>
      <c r="B28" s="176">
        <v>30000</v>
      </c>
      <c r="C28" s="222">
        <v>52000</v>
      </c>
      <c r="D28" s="176">
        <v>59000</v>
      </c>
      <c r="E28" s="222">
        <v>66000</v>
      </c>
      <c r="F28" s="682">
        <v>45000</v>
      </c>
      <c r="G28" s="222">
        <v>52000</v>
      </c>
      <c r="H28" s="176">
        <v>59000</v>
      </c>
      <c r="I28" s="222">
        <v>66000</v>
      </c>
    </row>
    <row r="29" spans="1:9" ht="20" customHeight="1" thickBot="1">
      <c r="A29" s="681" t="s">
        <v>2055</v>
      </c>
      <c r="B29" s="176">
        <v>29500</v>
      </c>
      <c r="C29" s="222">
        <v>50825</v>
      </c>
      <c r="D29" s="176">
        <v>61825</v>
      </c>
      <c r="E29" s="222">
        <v>72825</v>
      </c>
      <c r="F29" s="682">
        <v>44250</v>
      </c>
      <c r="G29" s="222">
        <v>55250</v>
      </c>
      <c r="H29" s="176">
        <v>66250</v>
      </c>
      <c r="I29" s="222">
        <v>77250</v>
      </c>
    </row>
    <row r="30" spans="1:9" ht="20" customHeight="1" thickBot="1">
      <c r="A30" s="681" t="s">
        <v>2056</v>
      </c>
      <c r="B30" s="176">
        <v>36000</v>
      </c>
      <c r="C30" s="222">
        <v>46000</v>
      </c>
      <c r="D30" s="176">
        <v>56000</v>
      </c>
      <c r="E30" s="222">
        <v>66000</v>
      </c>
      <c r="F30" s="682">
        <v>53100</v>
      </c>
      <c r="G30" s="222">
        <v>63100</v>
      </c>
      <c r="H30" s="176">
        <v>73100</v>
      </c>
      <c r="I30" s="222">
        <v>83100</v>
      </c>
    </row>
    <row r="31" spans="1:9" ht="20" customHeight="1" thickBot="1">
      <c r="A31" s="681" t="s">
        <v>2057</v>
      </c>
      <c r="B31" s="176">
        <v>35000</v>
      </c>
      <c r="C31" s="222">
        <v>56000</v>
      </c>
      <c r="D31" s="176">
        <v>62000</v>
      </c>
      <c r="E31" s="222">
        <v>68000</v>
      </c>
      <c r="F31" s="682">
        <v>50000</v>
      </c>
      <c r="G31" s="222">
        <v>56000</v>
      </c>
      <c r="H31" s="176">
        <v>62000</v>
      </c>
      <c r="I31" s="222">
        <v>68000</v>
      </c>
    </row>
    <row r="32" spans="1:9" ht="23.25" customHeight="1" thickBot="1">
      <c r="A32" s="684" t="s">
        <v>2058</v>
      </c>
      <c r="B32" s="685">
        <v>33000</v>
      </c>
      <c r="C32" s="686">
        <v>47000</v>
      </c>
      <c r="D32" s="685">
        <v>51000</v>
      </c>
      <c r="E32" s="686">
        <v>57000</v>
      </c>
      <c r="F32" s="687">
        <v>38000</v>
      </c>
      <c r="G32" s="686">
        <v>47000</v>
      </c>
      <c r="H32" s="685">
        <v>51000</v>
      </c>
      <c r="I32" s="686">
        <v>57000</v>
      </c>
    </row>
    <row r="33" spans="1:9" ht="17.25" customHeight="1">
      <c r="A33" s="688" t="s">
        <v>248</v>
      </c>
      <c r="B33" s="491"/>
      <c r="C33" s="491"/>
      <c r="D33" s="491"/>
      <c r="E33" s="491"/>
      <c r="F33" s="491"/>
      <c r="G33" s="491"/>
      <c r="H33" s="491"/>
      <c r="I33" s="491"/>
    </row>
    <row r="34" spans="1:9" ht="12" customHeight="1">
      <c r="A34" s="688"/>
      <c r="B34" s="491"/>
      <c r="C34" s="491"/>
      <c r="D34" s="491"/>
      <c r="E34" s="491"/>
      <c r="F34" s="491"/>
      <c r="G34" s="491"/>
      <c r="H34" s="491"/>
      <c r="I34" s="491"/>
    </row>
    <row r="35" spans="1:9" ht="17.25" customHeight="1">
      <c r="A35" s="688" t="s">
        <v>179</v>
      </c>
      <c r="B35" s="491"/>
      <c r="C35" s="491"/>
      <c r="D35" s="491"/>
      <c r="E35" s="491"/>
      <c r="F35" s="491"/>
      <c r="G35" s="491"/>
      <c r="H35" s="491"/>
      <c r="I35" s="491"/>
    </row>
    <row r="36" spans="1:9" ht="12" customHeight="1">
      <c r="A36" s="688"/>
      <c r="B36" s="491"/>
      <c r="C36" s="491"/>
      <c r="D36" s="491"/>
      <c r="E36" s="491"/>
      <c r="F36" s="491"/>
      <c r="G36" s="491"/>
      <c r="H36" s="491"/>
      <c r="I36" s="491"/>
    </row>
    <row r="37" spans="1:9" ht="12" customHeight="1">
      <c r="A37" s="688" t="s">
        <v>180</v>
      </c>
      <c r="B37" s="491"/>
      <c r="C37" s="491"/>
      <c r="D37" s="491"/>
      <c r="E37" s="491"/>
      <c r="F37" s="491"/>
      <c r="G37" s="491"/>
      <c r="H37" s="491"/>
      <c r="I37" s="491"/>
    </row>
    <row r="38" spans="1:9" ht="14.25" customHeight="1">
      <c r="A38" s="4" t="s">
        <v>181</v>
      </c>
      <c r="B38" s="491"/>
      <c r="C38" s="491"/>
      <c r="D38" s="491"/>
      <c r="E38" s="491"/>
      <c r="F38" s="491"/>
      <c r="G38" s="491"/>
      <c r="H38" s="491"/>
      <c r="I38" s="491"/>
    </row>
    <row r="39" spans="1:9">
      <c r="A39" s="619" t="s">
        <v>182</v>
      </c>
    </row>
    <row r="40" spans="1:9">
      <c r="A40" s="619"/>
    </row>
    <row r="42" spans="1:9">
      <c r="A42" s="2" t="s">
        <v>104</v>
      </c>
    </row>
  </sheetData>
  <phoneticPr fontId="0" type="noConversion"/>
  <pageMargins left="0.57999999999999996" right="0.59" top="0.78" bottom="0.49" header="0.4" footer="0.4921259845"/>
  <pageSetup paperSize="9" scale="76" orientation="portrait" horizontalDpi="4294967292" verticalDpi="4294967292"/>
  <headerFooter alignWithMargins="0">
    <oddHeader>&amp;L&amp;"Arial,Bold"Prämienverbilligung in der OKP</oddHead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3092-28A5-D846-AE16-6A5AEAE5B08C}">
  <sheetPr>
    <pageSetUpPr fitToPage="1"/>
  </sheetPr>
  <dimension ref="A1:L34"/>
  <sheetViews>
    <sheetView topLeftCell="A19" zoomScale="75" workbookViewId="0">
      <selection activeCell="A22" sqref="A22"/>
    </sheetView>
  </sheetViews>
  <sheetFormatPr baseColWidth="10" defaultColWidth="11.3984375" defaultRowHeight="13"/>
  <cols>
    <col min="1" max="3" width="12.3984375" style="2" customWidth="1"/>
    <col min="4" max="4" width="12.796875" style="2" customWidth="1"/>
    <col min="5" max="5" width="13.19921875" style="2" customWidth="1"/>
    <col min="6" max="6" width="12.3984375" style="2" customWidth="1"/>
    <col min="7" max="7" width="13.19921875" style="2" customWidth="1"/>
    <col min="8" max="8" width="12.3984375" style="487" customWidth="1"/>
    <col min="9" max="16384" width="11.3984375" style="2"/>
  </cols>
  <sheetData>
    <row r="1" spans="1:12" s="1" customFormat="1" ht="14" customHeight="1">
      <c r="H1" s="474"/>
    </row>
    <row r="2" spans="1:12" s="1" customFormat="1" ht="28" customHeight="1">
      <c r="A2" s="21" t="s">
        <v>1993</v>
      </c>
      <c r="B2" s="21"/>
      <c r="H2" s="370">
        <v>2004</v>
      </c>
    </row>
    <row r="3" spans="1:12" ht="24" customHeight="1">
      <c r="A3" s="139" t="s">
        <v>1250</v>
      </c>
      <c r="B3" s="164" t="s">
        <v>1994</v>
      </c>
      <c r="C3" s="141" t="s">
        <v>451</v>
      </c>
      <c r="D3" s="164" t="s">
        <v>1995</v>
      </c>
      <c r="E3" s="141" t="s">
        <v>405</v>
      </c>
      <c r="F3" s="164" t="s">
        <v>451</v>
      </c>
      <c r="G3" s="141" t="s">
        <v>1996</v>
      </c>
      <c r="H3" s="475" t="s">
        <v>451</v>
      </c>
    </row>
    <row r="4" spans="1:12" ht="15" customHeight="1">
      <c r="A4" s="165"/>
      <c r="B4" s="166" t="s">
        <v>1780</v>
      </c>
      <c r="C4" s="144" t="s">
        <v>486</v>
      </c>
      <c r="D4" s="166" t="s">
        <v>1781</v>
      </c>
      <c r="E4" s="144" t="s">
        <v>1997</v>
      </c>
      <c r="F4" s="166" t="s">
        <v>486</v>
      </c>
      <c r="G4" s="144" t="s">
        <v>1998</v>
      </c>
      <c r="H4" s="476" t="s">
        <v>486</v>
      </c>
    </row>
    <row r="5" spans="1:12" ht="15" customHeight="1">
      <c r="A5" s="165"/>
      <c r="B5" s="166" t="s">
        <v>587</v>
      </c>
      <c r="C5" s="144" t="s">
        <v>454</v>
      </c>
      <c r="D5" s="166" t="s">
        <v>1999</v>
      </c>
      <c r="E5" s="144" t="s">
        <v>1782</v>
      </c>
      <c r="F5" s="166" t="s">
        <v>454</v>
      </c>
      <c r="G5" s="144" t="s">
        <v>1783</v>
      </c>
      <c r="H5" s="476" t="s">
        <v>454</v>
      </c>
    </row>
    <row r="6" spans="1:12" ht="24" customHeight="1">
      <c r="A6" s="167"/>
      <c r="B6" s="168"/>
      <c r="C6" s="147"/>
      <c r="D6" s="168" t="s">
        <v>2000</v>
      </c>
      <c r="E6" s="147" t="s">
        <v>587</v>
      </c>
      <c r="F6" s="168"/>
      <c r="G6" s="147" t="s">
        <v>587</v>
      </c>
      <c r="H6" s="477"/>
    </row>
    <row r="7" spans="1:12" ht="30" customHeight="1" thickBot="1">
      <c r="A7" s="522">
        <v>1996</v>
      </c>
      <c r="B7" s="756">
        <v>2470.5</v>
      </c>
      <c r="C7" s="757" t="s">
        <v>1300</v>
      </c>
      <c r="D7" s="523">
        <v>0.26510074357417535</v>
      </c>
      <c r="E7" s="757">
        <v>1815.5686129999999</v>
      </c>
      <c r="F7" s="758" t="s">
        <v>1300</v>
      </c>
      <c r="G7" s="757">
        <v>1493.4959349999999</v>
      </c>
      <c r="H7" s="523" t="s">
        <v>1300</v>
      </c>
      <c r="J7" s="10"/>
      <c r="K7" s="10"/>
      <c r="L7" s="10"/>
    </row>
    <row r="8" spans="1:12" ht="20" customHeight="1" thickBot="1">
      <c r="A8" s="171">
        <v>1997</v>
      </c>
      <c r="B8" s="759">
        <v>2716.0039999999999</v>
      </c>
      <c r="C8" s="154">
        <v>9.9374215745800409E-2</v>
      </c>
      <c r="D8" s="544">
        <v>0.23152856917736497</v>
      </c>
      <c r="E8" s="508">
        <v>2087.17148</v>
      </c>
      <c r="F8" s="544">
        <v>0.14959658646621474</v>
      </c>
      <c r="G8" s="508">
        <v>1994.2314670000001</v>
      </c>
      <c r="H8" s="544">
        <v>0.33527746561961697</v>
      </c>
    </row>
    <row r="9" spans="1:12" ht="20" customHeight="1" thickBot="1">
      <c r="A9" s="171">
        <v>1998</v>
      </c>
      <c r="B9" s="759">
        <v>2972.5</v>
      </c>
      <c r="C9" s="154">
        <v>9.4438741621882774E-2</v>
      </c>
      <c r="D9" s="544">
        <v>0.23858957510513035</v>
      </c>
      <c r="E9" s="508">
        <v>2263.292488</v>
      </c>
      <c r="F9" s="544">
        <v>8.4382624852654686E-2</v>
      </c>
      <c r="G9" s="508">
        <v>2446.4709480000001</v>
      </c>
      <c r="H9" s="544">
        <v>0.22677381662236104</v>
      </c>
    </row>
    <row r="10" spans="1:12" ht="20" customHeight="1" thickBot="1">
      <c r="A10" s="171">
        <v>1999</v>
      </c>
      <c r="B10" s="759">
        <v>3270</v>
      </c>
      <c r="C10" s="154">
        <v>0.10008410428931876</v>
      </c>
      <c r="D10" s="544">
        <v>0.24261539724770631</v>
      </c>
      <c r="E10" s="508">
        <v>2476.6476510000002</v>
      </c>
      <c r="F10" s="544">
        <v>9.4267605327730042E-2</v>
      </c>
      <c r="G10" s="508">
        <v>2689.6721769999999</v>
      </c>
      <c r="H10" s="544">
        <v>9.9408999399243941E-2</v>
      </c>
    </row>
    <row r="11" spans="1:12" ht="20" customHeight="1" thickBot="1">
      <c r="A11" s="171">
        <v>2000</v>
      </c>
      <c r="B11" s="759">
        <v>3319.5</v>
      </c>
      <c r="C11" s="154">
        <v>1.5137614678899083E-2</v>
      </c>
      <c r="D11" s="544">
        <v>0.23698356288597677</v>
      </c>
      <c r="E11" s="508">
        <v>2532.833063</v>
      </c>
      <c r="F11" s="544">
        <v>2.2686074047438172E-2</v>
      </c>
      <c r="G11" s="508">
        <v>2545.3263492000001</v>
      </c>
      <c r="H11" s="544">
        <v>-5.3666699248456337E-2</v>
      </c>
    </row>
    <row r="12" spans="1:12" s="219" customFormat="1" ht="20" customHeight="1" thickBot="1">
      <c r="A12" s="171">
        <v>2001</v>
      </c>
      <c r="B12" s="759">
        <v>3369</v>
      </c>
      <c r="C12" s="154">
        <v>1.4911884319927699E-2</v>
      </c>
      <c r="D12" s="544">
        <v>0.20699731491831064</v>
      </c>
      <c r="E12" s="508">
        <v>2671.6260460402113</v>
      </c>
      <c r="F12" s="544">
        <v>5.4797524980118008E-2</v>
      </c>
      <c r="G12" s="508">
        <v>2657.2</v>
      </c>
      <c r="H12" s="544">
        <v>4.3952576389727702E-2</v>
      </c>
    </row>
    <row r="13" spans="1:12" ht="20" customHeight="1" thickBot="1">
      <c r="A13" s="171">
        <v>2002</v>
      </c>
      <c r="B13" s="759">
        <v>3420</v>
      </c>
      <c r="C13" s="154">
        <v>1.5138023152270703E-2</v>
      </c>
      <c r="D13" s="544">
        <v>0.16712682076023389</v>
      </c>
      <c r="E13" s="508">
        <v>2848.426273</v>
      </c>
      <c r="F13" s="544">
        <v>6.6177011270658809E-2</v>
      </c>
      <c r="G13" s="508">
        <v>2892</v>
      </c>
      <c r="H13" s="544">
        <v>8.83636911034172E-2</v>
      </c>
    </row>
    <row r="14" spans="1:12" s="219" customFormat="1" ht="21.75" customHeight="1" thickBot="1">
      <c r="A14" s="171">
        <v>2003</v>
      </c>
      <c r="B14" s="759">
        <v>3471</v>
      </c>
      <c r="C14" s="154">
        <v>1.4912280701754385E-2</v>
      </c>
      <c r="D14" s="544">
        <v>0.14690290982425813</v>
      </c>
      <c r="E14" s="508">
        <v>2961.1</v>
      </c>
      <c r="F14" s="544">
        <v>3.9556483546028531E-2</v>
      </c>
      <c r="G14" s="508">
        <v>3065.5</v>
      </c>
      <c r="H14" s="544">
        <v>5.9993084370677734E-2</v>
      </c>
    </row>
    <row r="15" spans="1:12" ht="20" customHeight="1" thickBot="1">
      <c r="A15" s="172">
        <v>2004</v>
      </c>
      <c r="B15" s="760">
        <v>3523.5</v>
      </c>
      <c r="C15" s="174">
        <v>1.512532411408816E-2</v>
      </c>
      <c r="D15" s="668">
        <v>0.14139350078047386</v>
      </c>
      <c r="E15" s="761">
        <v>3025.3</v>
      </c>
      <c r="F15" s="668">
        <v>2.1681132011752483E-2</v>
      </c>
      <c r="G15" s="761">
        <v>3169.5</v>
      </c>
      <c r="H15" s="668">
        <v>3.3925950089708043E-2</v>
      </c>
    </row>
    <row r="16" spans="1:12" s="219" customFormat="1" ht="21.75" customHeight="1" thickBot="1">
      <c r="A16" s="171">
        <v>2005</v>
      </c>
      <c r="B16" s="759">
        <v>3576</v>
      </c>
      <c r="C16" s="154">
        <v>1.489995742869306E-2</v>
      </c>
      <c r="D16" s="544">
        <v>0.12762863534675617</v>
      </c>
      <c r="E16" s="508">
        <v>3119.6</v>
      </c>
      <c r="F16" s="544">
        <v>3.117046243347758E-2</v>
      </c>
      <c r="G16" s="508" t="s">
        <v>1300</v>
      </c>
      <c r="H16" s="544" t="s">
        <v>1300</v>
      </c>
    </row>
    <row r="17" spans="1:8" s="219" customFormat="1" ht="21.75" customHeight="1" thickBot="1">
      <c r="A17" s="171">
        <v>2006</v>
      </c>
      <c r="B17" s="759">
        <v>3780</v>
      </c>
      <c r="C17" s="154">
        <v>5.7046979865771813E-2</v>
      </c>
      <c r="D17" s="544" t="s">
        <v>1300</v>
      </c>
      <c r="E17" s="508" t="s">
        <v>1300</v>
      </c>
      <c r="F17" s="544" t="s">
        <v>1300</v>
      </c>
      <c r="G17" s="508" t="s">
        <v>1300</v>
      </c>
      <c r="H17" s="544" t="s">
        <v>1300</v>
      </c>
    </row>
    <row r="18" spans="1:8" ht="20" customHeight="1" thickBot="1">
      <c r="A18" s="171">
        <v>2007</v>
      </c>
      <c r="B18" s="759">
        <v>3987</v>
      </c>
      <c r="C18" s="154">
        <v>5.4761904761904762E-2</v>
      </c>
      <c r="D18" s="544" t="s">
        <v>1300</v>
      </c>
      <c r="E18" s="508" t="s">
        <v>1300</v>
      </c>
      <c r="F18" s="544" t="s">
        <v>1300</v>
      </c>
      <c r="G18" s="508" t="s">
        <v>1300</v>
      </c>
      <c r="H18" s="544" t="s">
        <v>1300</v>
      </c>
    </row>
    <row r="19" spans="1:8" s="219" customFormat="1" ht="21.75" customHeight="1" thickBot="1">
      <c r="A19" s="171">
        <v>2008</v>
      </c>
      <c r="B19" s="759">
        <v>4045.5</v>
      </c>
      <c r="C19" s="154">
        <v>1.4672686230248307E-2</v>
      </c>
      <c r="D19" s="544" t="s">
        <v>1300</v>
      </c>
      <c r="E19" s="508" t="s">
        <v>1300</v>
      </c>
      <c r="F19" s="544" t="s">
        <v>1300</v>
      </c>
      <c r="G19" s="508" t="s">
        <v>1300</v>
      </c>
      <c r="H19" s="544" t="s">
        <v>1300</v>
      </c>
    </row>
    <row r="20" spans="1:8" ht="21.75" customHeight="1" thickBot="1">
      <c r="A20" s="368">
        <v>2009</v>
      </c>
      <c r="B20" s="762">
        <v>4107</v>
      </c>
      <c r="C20" s="725">
        <v>1.5202076381164257E-2</v>
      </c>
      <c r="D20" s="763" t="s">
        <v>1300</v>
      </c>
      <c r="E20" s="513" t="s">
        <v>1300</v>
      </c>
      <c r="F20" s="764" t="s">
        <v>1300</v>
      </c>
      <c r="G20" s="513" t="s">
        <v>1300</v>
      </c>
      <c r="H20" s="763" t="s">
        <v>1300</v>
      </c>
    </row>
    <row r="21" spans="1:8" ht="20" customHeight="1">
      <c r="A21" s="765" t="s">
        <v>2001</v>
      </c>
      <c r="B21" s="155"/>
      <c r="C21" s="155"/>
      <c r="D21" s="155"/>
      <c r="E21" s="155"/>
      <c r="F21" s="155"/>
      <c r="G21" s="155"/>
      <c r="H21" s="564"/>
    </row>
    <row r="22" spans="1:8" ht="13.5" customHeight="1">
      <c r="A22" s="755"/>
      <c r="B22" s="4"/>
      <c r="C22" s="4"/>
      <c r="D22" s="4"/>
      <c r="E22" s="4"/>
      <c r="F22" s="4"/>
      <c r="G22" s="4"/>
      <c r="H22" s="565"/>
    </row>
    <row r="23" spans="1:8" ht="20" customHeight="1">
      <c r="A23" s="688" t="s">
        <v>2002</v>
      </c>
      <c r="B23" s="4"/>
      <c r="C23" s="4"/>
      <c r="D23" s="4"/>
      <c r="E23" s="4"/>
      <c r="F23" s="4"/>
      <c r="G23" s="4"/>
      <c r="H23" s="565"/>
    </row>
    <row r="24" spans="1:8" ht="12.75" customHeight="1">
      <c r="A24" s="755"/>
      <c r="B24" s="4"/>
      <c r="C24" s="4"/>
      <c r="D24" s="4"/>
      <c r="E24" s="4"/>
      <c r="F24" s="4"/>
      <c r="G24" s="4"/>
      <c r="H24" s="565"/>
    </row>
    <row r="25" spans="1:8" ht="14.25" customHeight="1">
      <c r="A25" s="755" t="s">
        <v>1773</v>
      </c>
      <c r="B25" s="4"/>
      <c r="C25" s="4"/>
      <c r="D25" s="4"/>
      <c r="E25" s="4"/>
      <c r="F25" s="4"/>
      <c r="G25" s="4"/>
      <c r="H25" s="565"/>
    </row>
    <row r="26" spans="1:8" ht="14.25" customHeight="1">
      <c r="A26" s="755" t="s">
        <v>1774</v>
      </c>
      <c r="B26" s="4"/>
      <c r="C26" s="4"/>
      <c r="D26" s="4"/>
      <c r="E26" s="4"/>
      <c r="F26" s="4"/>
      <c r="G26" s="4"/>
      <c r="H26" s="565"/>
    </row>
    <row r="27" spans="1:8" ht="12" customHeight="1">
      <c r="A27" s="619" t="s">
        <v>1775</v>
      </c>
    </row>
    <row r="28" spans="1:8" ht="12" customHeight="1">
      <c r="A28" s="619" t="s">
        <v>1776</v>
      </c>
    </row>
    <row r="29" spans="1:8">
      <c r="A29" s="619" t="s">
        <v>1777</v>
      </c>
      <c r="B29" s="619"/>
    </row>
    <row r="30" spans="1:8">
      <c r="A30" s="619" t="s">
        <v>1778</v>
      </c>
    </row>
    <row r="31" spans="1:8">
      <c r="A31" s="619" t="s">
        <v>1779</v>
      </c>
    </row>
    <row r="34" spans="1:1">
      <c r="A34" s="2" t="s">
        <v>104</v>
      </c>
    </row>
  </sheetData>
  <phoneticPr fontId="0" type="noConversion"/>
  <pageMargins left="0.6" right="0.7" top="0.81" bottom="0.49" header="0.49" footer="0.4921259845"/>
  <pageSetup paperSize="9" scale="89" orientation="portrait" horizontalDpi="4294967292" verticalDpi="4294967292"/>
  <headerFooter alignWithMargins="0">
    <oddHeader>&amp;L&amp;"Arial,Bold"Prämienverbilligung in der OKP</oddHead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328EE-FD4D-CC4F-AE34-C3D4F6E11E67}">
  <sheetPr>
    <pageSetUpPr fitToPage="1"/>
  </sheetPr>
  <dimension ref="A1:M49"/>
  <sheetViews>
    <sheetView topLeftCell="A27" zoomScale="75" workbookViewId="0">
      <selection activeCell="A39" sqref="A39"/>
    </sheetView>
  </sheetViews>
  <sheetFormatPr baseColWidth="10" defaultColWidth="11.3984375" defaultRowHeight="13"/>
  <cols>
    <col min="1" max="1" width="9.796875" style="2" customWidth="1"/>
    <col min="2" max="3" width="11" style="2" customWidth="1"/>
    <col min="4" max="4" width="11.19921875" style="23" customWidth="1"/>
    <col min="5" max="5" width="15.3984375" style="2" customWidth="1"/>
    <col min="6" max="6" width="14.796875" style="2" customWidth="1"/>
    <col min="7" max="7" width="11" style="2" customWidth="1"/>
    <col min="8" max="8" width="15" style="219" customWidth="1"/>
    <col min="9" max="9" width="10.19921875" style="2" customWidth="1"/>
    <col min="10" max="16384" width="11.3984375" style="2"/>
  </cols>
  <sheetData>
    <row r="1" spans="1:10" s="1" customFormat="1" ht="14" customHeight="1">
      <c r="D1" s="209"/>
      <c r="H1" s="20"/>
    </row>
    <row r="2" spans="1:10" s="1" customFormat="1" ht="28" customHeight="1">
      <c r="A2" s="178" t="s">
        <v>1988</v>
      </c>
      <c r="D2" s="209"/>
      <c r="H2" s="20"/>
      <c r="I2" s="370">
        <v>2004</v>
      </c>
    </row>
    <row r="3" spans="1:10" ht="24" customHeight="1">
      <c r="A3" s="139" t="s">
        <v>503</v>
      </c>
      <c r="B3" s="164" t="s">
        <v>1972</v>
      </c>
      <c r="C3" s="141" t="s">
        <v>1973</v>
      </c>
      <c r="D3" s="360" t="s">
        <v>833</v>
      </c>
      <c r="E3" s="139" t="s">
        <v>1788</v>
      </c>
      <c r="F3" s="163"/>
      <c r="G3" s="141"/>
      <c r="H3" s="321"/>
      <c r="I3" s="141"/>
    </row>
    <row r="4" spans="1:10" ht="15" customHeight="1">
      <c r="A4" s="165"/>
      <c r="B4" s="166" t="s">
        <v>1974</v>
      </c>
      <c r="C4" s="197" t="s">
        <v>1975</v>
      </c>
      <c r="D4" s="196" t="s">
        <v>1989</v>
      </c>
      <c r="E4" s="197" t="s">
        <v>403</v>
      </c>
      <c r="F4" s="143" t="s">
        <v>404</v>
      </c>
      <c r="G4" s="195" t="s">
        <v>404</v>
      </c>
      <c r="H4" s="745" t="s">
        <v>652</v>
      </c>
      <c r="I4" s="142" t="s">
        <v>451</v>
      </c>
    </row>
    <row r="5" spans="1:10" ht="18.75" customHeight="1">
      <c r="A5" s="165"/>
      <c r="B5" s="166" t="s">
        <v>1990</v>
      </c>
      <c r="C5" s="144" t="s">
        <v>1976</v>
      </c>
      <c r="D5" s="179"/>
      <c r="E5" s="144" t="s">
        <v>1977</v>
      </c>
      <c r="F5" s="143" t="s">
        <v>1977</v>
      </c>
      <c r="G5" s="195" t="s">
        <v>1977</v>
      </c>
      <c r="H5" s="745" t="s">
        <v>1978</v>
      </c>
      <c r="I5" s="142" t="s">
        <v>453</v>
      </c>
    </row>
    <row r="6" spans="1:10" ht="15" customHeight="1">
      <c r="A6" s="165"/>
      <c r="B6" s="166">
        <v>2001</v>
      </c>
      <c r="C6" s="144" t="s">
        <v>1789</v>
      </c>
      <c r="D6" s="179"/>
      <c r="E6" s="144" t="s">
        <v>884</v>
      </c>
      <c r="F6" s="143" t="s">
        <v>884</v>
      </c>
      <c r="G6" s="195" t="s">
        <v>592</v>
      </c>
      <c r="H6" s="745" t="s">
        <v>1979</v>
      </c>
      <c r="I6" s="142" t="s">
        <v>454</v>
      </c>
    </row>
    <row r="7" spans="1:10" ht="18" customHeight="1">
      <c r="A7" s="165"/>
      <c r="B7" s="166"/>
      <c r="C7" s="144"/>
      <c r="D7" s="179"/>
      <c r="E7" s="144"/>
      <c r="F7" s="143"/>
      <c r="G7" s="195" t="s">
        <v>403</v>
      </c>
      <c r="H7" s="745" t="s">
        <v>1991</v>
      </c>
      <c r="I7" s="144"/>
    </row>
    <row r="8" spans="1:10" ht="23.25" customHeight="1">
      <c r="A8" s="167"/>
      <c r="B8" s="168"/>
      <c r="C8" s="147"/>
      <c r="D8" s="180"/>
      <c r="E8" s="147"/>
      <c r="F8" s="146"/>
      <c r="G8" s="199" t="s">
        <v>1992</v>
      </c>
      <c r="H8" s="308"/>
      <c r="I8" s="147"/>
    </row>
    <row r="9" spans="1:10" ht="30" customHeight="1" thickBot="1">
      <c r="A9" s="689" t="s">
        <v>510</v>
      </c>
      <c r="B9" s="182">
        <v>1239497.48</v>
      </c>
      <c r="C9" s="183">
        <v>157</v>
      </c>
      <c r="D9" s="747" t="s">
        <v>1300</v>
      </c>
      <c r="E9" s="183">
        <v>290685159.18251324</v>
      </c>
      <c r="F9" s="182">
        <v>307494825.08505392</v>
      </c>
      <c r="G9" s="211">
        <v>1.0578277403284506</v>
      </c>
      <c r="H9" s="746">
        <v>598179984.26756716</v>
      </c>
      <c r="I9" s="211">
        <v>2.1437893702401123E-2</v>
      </c>
      <c r="J9" s="9"/>
    </row>
    <row r="10" spans="1:10" ht="20" customHeight="1" thickBot="1">
      <c r="A10" s="681" t="s">
        <v>511</v>
      </c>
      <c r="B10" s="176">
        <v>953534.16</v>
      </c>
      <c r="C10" s="222">
        <v>58</v>
      </c>
      <c r="D10" s="748" t="s">
        <v>1300</v>
      </c>
      <c r="E10" s="222">
        <v>367941644.62459618</v>
      </c>
      <c r="F10" s="176">
        <v>92232787.37778908</v>
      </c>
      <c r="G10" s="331">
        <v>0.2506723246070513</v>
      </c>
      <c r="H10" s="177">
        <v>460174432.00238526</v>
      </c>
      <c r="I10" s="331">
        <v>1.0856494635586689E-2</v>
      </c>
      <c r="J10" s="9"/>
    </row>
    <row r="11" spans="1:10" ht="20" customHeight="1" thickBot="1">
      <c r="A11" s="681" t="s">
        <v>512</v>
      </c>
      <c r="B11" s="176">
        <v>348105</v>
      </c>
      <c r="C11" s="222">
        <v>63</v>
      </c>
      <c r="D11" s="748" t="s">
        <v>1300</v>
      </c>
      <c r="E11" s="222">
        <v>130987680.42501594</v>
      </c>
      <c r="F11" s="176">
        <v>37007371.427337542</v>
      </c>
      <c r="G11" s="331">
        <v>0.2825255879580405</v>
      </c>
      <c r="H11" s="177">
        <v>167995051.85235348</v>
      </c>
      <c r="I11" s="331">
        <v>1.7103386908451812E-2</v>
      </c>
      <c r="J11" s="9"/>
    </row>
    <row r="12" spans="1:10" ht="20" customHeight="1" thickBot="1">
      <c r="A12" s="681" t="s">
        <v>513</v>
      </c>
      <c r="B12" s="176">
        <v>34160</v>
      </c>
      <c r="C12" s="222">
        <v>51</v>
      </c>
      <c r="D12" s="748" t="s">
        <v>1300</v>
      </c>
      <c r="E12" s="222">
        <v>13653753.235425021</v>
      </c>
      <c r="F12" s="176">
        <v>2831821.4368043188</v>
      </c>
      <c r="G12" s="331">
        <v>0.20740241807337514</v>
      </c>
      <c r="H12" s="177">
        <v>16485574.67222934</v>
      </c>
      <c r="I12" s="331">
        <v>7.5697157453569197E-4</v>
      </c>
      <c r="J12" s="9"/>
    </row>
    <row r="13" spans="1:10" ht="20" customHeight="1" thickBot="1">
      <c r="A13" s="681" t="s">
        <v>514</v>
      </c>
      <c r="B13" s="176">
        <v>130266</v>
      </c>
      <c r="C13" s="222">
        <v>117</v>
      </c>
      <c r="D13" s="748" t="s">
        <v>1300</v>
      </c>
      <c r="E13" s="222">
        <v>37358401.061497904</v>
      </c>
      <c r="F13" s="176">
        <v>25507812.938871741</v>
      </c>
      <c r="G13" s="331">
        <v>0.68278652763756675</v>
      </c>
      <c r="H13" s="177">
        <v>62866214.000369646</v>
      </c>
      <c r="I13" s="331">
        <v>2.2419029731280959E-2</v>
      </c>
      <c r="J13" s="9"/>
    </row>
    <row r="14" spans="1:10" ht="20" customHeight="1" thickBot="1">
      <c r="A14" s="681" t="s">
        <v>515</v>
      </c>
      <c r="B14" s="176">
        <v>32488</v>
      </c>
      <c r="C14" s="222">
        <v>30</v>
      </c>
      <c r="D14" s="748" t="s">
        <v>1300</v>
      </c>
      <c r="E14" s="222">
        <v>14432170.778171578</v>
      </c>
      <c r="F14" s="176">
        <v>1246498.716892438</v>
      </c>
      <c r="G14" s="331">
        <v>8.6369454467497497E-2</v>
      </c>
      <c r="H14" s="177">
        <v>15678669.495064016</v>
      </c>
      <c r="I14" s="331">
        <v>1.7988797346356833E-2</v>
      </c>
      <c r="J14" s="9"/>
    </row>
    <row r="15" spans="1:10" ht="20" customHeight="1" thickBot="1">
      <c r="A15" s="681" t="s">
        <v>516</v>
      </c>
      <c r="B15" s="176">
        <v>37391</v>
      </c>
      <c r="C15" s="222">
        <v>129</v>
      </c>
      <c r="D15" s="748" t="s">
        <v>1300</v>
      </c>
      <c r="E15" s="222">
        <v>10095092.098233262</v>
      </c>
      <c r="F15" s="176">
        <v>7949759.2650374416</v>
      </c>
      <c r="G15" s="331">
        <v>0.78748754223141026</v>
      </c>
      <c r="H15" s="177">
        <v>18044851.363270704</v>
      </c>
      <c r="I15" s="331">
        <v>2.2264495867949874E-2</v>
      </c>
      <c r="J15" s="9"/>
    </row>
    <row r="16" spans="1:10" ht="20" customHeight="1" thickBot="1">
      <c r="A16" s="681" t="s">
        <v>517</v>
      </c>
      <c r="B16" s="176">
        <v>38014</v>
      </c>
      <c r="C16" s="222">
        <v>77</v>
      </c>
      <c r="D16" s="748" t="s">
        <v>1300</v>
      </c>
      <c r="E16" s="222">
        <v>13331553.621052962</v>
      </c>
      <c r="F16" s="176">
        <v>5013956.788494058</v>
      </c>
      <c r="G16" s="331">
        <v>0.37609695996542392</v>
      </c>
      <c r="H16" s="177">
        <v>18345510.40954702</v>
      </c>
      <c r="I16" s="331">
        <v>2.9013305687859425E-3</v>
      </c>
      <c r="J16" s="9"/>
    </row>
    <row r="17" spans="1:10" ht="20" customHeight="1" thickBot="1">
      <c r="A17" s="681" t="s">
        <v>518</v>
      </c>
      <c r="B17" s="176">
        <v>100241</v>
      </c>
      <c r="C17" s="222">
        <v>227</v>
      </c>
      <c r="D17" s="748" t="s">
        <v>1300</v>
      </c>
      <c r="E17" s="222">
        <v>16531323.237576038</v>
      </c>
      <c r="F17" s="176">
        <v>31844862.087919906</v>
      </c>
      <c r="G17" s="331">
        <v>1.9263347301525071</v>
      </c>
      <c r="H17" s="177">
        <v>48376185.325495943</v>
      </c>
      <c r="I17" s="331">
        <v>2.6007444113941958E-2</v>
      </c>
      <c r="J17" s="9"/>
    </row>
    <row r="18" spans="1:10" ht="20" customHeight="1" thickBot="1">
      <c r="A18" s="681" t="s">
        <v>519</v>
      </c>
      <c r="B18" s="176">
        <v>239886</v>
      </c>
      <c r="C18" s="222">
        <v>45</v>
      </c>
      <c r="D18" s="748" t="s">
        <v>1300</v>
      </c>
      <c r="E18" s="222">
        <v>98820282.031999066</v>
      </c>
      <c r="F18" s="176">
        <v>16948411.346877038</v>
      </c>
      <c r="G18" s="331">
        <v>0.17150741728695898</v>
      </c>
      <c r="H18" s="177">
        <v>115768693.3788761</v>
      </c>
      <c r="I18" s="331">
        <v>1.9691142388867489E-2</v>
      </c>
      <c r="J18" s="9"/>
    </row>
    <row r="19" spans="1:10" ht="20" customHeight="1" thickBot="1">
      <c r="A19" s="681" t="s">
        <v>520</v>
      </c>
      <c r="B19" s="176">
        <v>243143.92</v>
      </c>
      <c r="C19" s="222">
        <v>76</v>
      </c>
      <c r="D19" s="748" t="s">
        <v>1300</v>
      </c>
      <c r="E19" s="222">
        <v>85700845.657170057</v>
      </c>
      <c r="F19" s="176">
        <v>31640115.972178817</v>
      </c>
      <c r="G19" s="331">
        <v>0.36919257598401173</v>
      </c>
      <c r="H19" s="177">
        <v>117340961.62934887</v>
      </c>
      <c r="I19" s="331">
        <v>1.0715865897526822E-2</v>
      </c>
      <c r="J19" s="9"/>
    </row>
    <row r="20" spans="1:10" ht="20" customHeight="1" thickBot="1">
      <c r="A20" s="681" t="s">
        <v>521</v>
      </c>
      <c r="B20" s="176">
        <v>197612.44</v>
      </c>
      <c r="C20" s="222">
        <v>166</v>
      </c>
      <c r="D20" s="748" t="s">
        <v>1300</v>
      </c>
      <c r="E20" s="222">
        <v>44292581.614270389</v>
      </c>
      <c r="F20" s="176">
        <v>51074942.852399409</v>
      </c>
      <c r="G20" s="331">
        <v>1.15312634736883</v>
      </c>
      <c r="H20" s="177">
        <v>95367524.466669798</v>
      </c>
      <c r="I20" s="331">
        <v>5.4846617928103747E-3</v>
      </c>
      <c r="J20" s="9"/>
    </row>
    <row r="21" spans="1:10" ht="20" customHeight="1" thickBot="1">
      <c r="A21" s="681" t="s">
        <v>522</v>
      </c>
      <c r="B21" s="153">
        <v>262721.8</v>
      </c>
      <c r="C21" s="228">
        <v>116</v>
      </c>
      <c r="D21" s="748" t="s">
        <v>1300</v>
      </c>
      <c r="E21" s="222">
        <v>75724743.88859506</v>
      </c>
      <c r="F21" s="153">
        <v>51064478.942859933</v>
      </c>
      <c r="G21" s="331">
        <v>0.67434336942737128</v>
      </c>
      <c r="H21" s="173">
        <v>126789222.83145499</v>
      </c>
      <c r="I21" s="331">
        <v>1.4616357483303144E-2</v>
      </c>
      <c r="J21" s="9"/>
    </row>
    <row r="22" spans="1:10" ht="20" customHeight="1" thickBot="1">
      <c r="A22" s="681" t="s">
        <v>523</v>
      </c>
      <c r="B22" s="176">
        <v>73775.520000000004</v>
      </c>
      <c r="C22" s="222">
        <v>98</v>
      </c>
      <c r="D22" s="748" t="s">
        <v>1300</v>
      </c>
      <c r="E22" s="222">
        <v>23279571.247772489</v>
      </c>
      <c r="F22" s="176">
        <v>12324405.44843797</v>
      </c>
      <c r="G22" s="331">
        <v>0.52940860968894488</v>
      </c>
      <c r="H22" s="177">
        <v>35603976.696210459</v>
      </c>
      <c r="I22" s="331">
        <v>7.8291852455585342E-3</v>
      </c>
      <c r="J22" s="9"/>
    </row>
    <row r="23" spans="1:10" ht="20" customHeight="1" thickBot="1">
      <c r="A23" s="681" t="s">
        <v>2047</v>
      </c>
      <c r="B23" s="176">
        <v>52993.96</v>
      </c>
      <c r="C23" s="222">
        <v>61</v>
      </c>
      <c r="D23" s="748" t="s">
        <v>1300</v>
      </c>
      <c r="E23" s="222">
        <v>20142601.622725807</v>
      </c>
      <c r="F23" s="176">
        <v>5432219.3596259132</v>
      </c>
      <c r="G23" s="331">
        <v>0.26968807015956836</v>
      </c>
      <c r="H23" s="177">
        <v>25574820.98235172</v>
      </c>
      <c r="I23" s="331">
        <v>3.78808459885982E-3</v>
      </c>
      <c r="J23" s="9"/>
    </row>
    <row r="24" spans="1:10" ht="20" customHeight="1" thickBot="1">
      <c r="A24" s="681" t="s">
        <v>2048</v>
      </c>
      <c r="B24" s="176">
        <v>14724.92</v>
      </c>
      <c r="C24" s="222">
        <v>66</v>
      </c>
      <c r="D24" s="748" t="s">
        <v>1300</v>
      </c>
      <c r="E24" s="222">
        <v>5457825.3591772038</v>
      </c>
      <c r="F24" s="176">
        <v>1648403.2181823766</v>
      </c>
      <c r="G24" s="331">
        <v>0.30202564386026493</v>
      </c>
      <c r="H24" s="177">
        <v>7106228.5773595804</v>
      </c>
      <c r="I24" s="331">
        <v>1.1289702604091234E-2</v>
      </c>
      <c r="J24" s="9"/>
    </row>
    <row r="25" spans="1:10" ht="20" customHeight="1" thickBot="1">
      <c r="A25" s="681" t="s">
        <v>2049</v>
      </c>
      <c r="B25" s="176">
        <v>452644.68</v>
      </c>
      <c r="C25" s="222">
        <v>80</v>
      </c>
      <c r="D25" s="748" t="s">
        <v>1300</v>
      </c>
      <c r="E25" s="222">
        <v>156365563.58401421</v>
      </c>
      <c r="F25" s="176">
        <v>62080211.361165971</v>
      </c>
      <c r="G25" s="331">
        <v>0.39701971417645726</v>
      </c>
      <c r="H25" s="177">
        <v>218445774.94518018</v>
      </c>
      <c r="I25" s="331">
        <v>1.5298692710048245E-2</v>
      </c>
      <c r="J25" s="9"/>
    </row>
    <row r="26" spans="1:10" ht="20" customHeight="1" thickBot="1">
      <c r="A26" s="681" t="s">
        <v>2050</v>
      </c>
      <c r="B26" s="176">
        <v>189190.2</v>
      </c>
      <c r="C26" s="222">
        <v>63</v>
      </c>
      <c r="D26" s="748" t="s">
        <v>1300</v>
      </c>
      <c r="E26" s="222">
        <v>71189972.729908645</v>
      </c>
      <c r="F26" s="176">
        <v>20112988.902234316</v>
      </c>
      <c r="G26" s="331">
        <v>0.28252558795804061</v>
      </c>
      <c r="H26" s="177">
        <v>91302961.632142961</v>
      </c>
      <c r="I26" s="331">
        <v>8.8516471901776139E-3</v>
      </c>
      <c r="J26" s="9"/>
    </row>
    <row r="27" spans="1:10" ht="20" customHeight="1" thickBot="1">
      <c r="A27" s="681" t="s">
        <v>2051</v>
      </c>
      <c r="B27" s="176">
        <v>548188.84</v>
      </c>
      <c r="C27" s="222">
        <v>105</v>
      </c>
      <c r="D27" s="748" t="s">
        <v>1300</v>
      </c>
      <c r="E27" s="222">
        <v>166994200.79765308</v>
      </c>
      <c r="F27" s="176">
        <v>97561070.171397924</v>
      </c>
      <c r="G27" s="331">
        <v>0.58421831240482835</v>
      </c>
      <c r="H27" s="177">
        <v>264555270.969051</v>
      </c>
      <c r="I27" s="331">
        <v>1.8527910454531282E-2</v>
      </c>
      <c r="J27" s="9"/>
    </row>
    <row r="28" spans="1:10" ht="20" customHeight="1" thickBot="1">
      <c r="A28" s="681" t="s">
        <v>2052</v>
      </c>
      <c r="B28" s="176">
        <v>228346.16</v>
      </c>
      <c r="C28" s="222">
        <v>80</v>
      </c>
      <c r="D28" s="748" t="s">
        <v>1300</v>
      </c>
      <c r="E28" s="222">
        <v>78881907.991596147</v>
      </c>
      <c r="F28" s="176">
        <v>31317672.564517111</v>
      </c>
      <c r="G28" s="331">
        <v>0.39701971417645737</v>
      </c>
      <c r="H28" s="177">
        <v>110199580.55611326</v>
      </c>
      <c r="I28" s="331">
        <v>1.0253901204834603E-2</v>
      </c>
      <c r="J28" s="9"/>
    </row>
    <row r="29" spans="1:10" ht="20" customHeight="1" thickBot="1">
      <c r="A29" s="681" t="s">
        <v>2053</v>
      </c>
      <c r="B29" s="176">
        <v>312900.40000000002</v>
      </c>
      <c r="C29" s="222">
        <v>85</v>
      </c>
      <c r="D29" s="748" t="s">
        <v>1300</v>
      </c>
      <c r="E29" s="222">
        <v>105406480.73774353</v>
      </c>
      <c r="F29" s="176">
        <v>45598873.746168375</v>
      </c>
      <c r="G29" s="331">
        <v>0.43260028631086356</v>
      </c>
      <c r="H29" s="177">
        <v>151005354.4839119</v>
      </c>
      <c r="I29" s="331">
        <v>-3.2548878702375328E-3</v>
      </c>
      <c r="J29" s="9"/>
    </row>
    <row r="30" spans="1:10" ht="20" customHeight="1" thickBot="1">
      <c r="A30" s="681" t="s">
        <v>2054</v>
      </c>
      <c r="B30" s="176">
        <v>636788.52</v>
      </c>
      <c r="C30" s="222">
        <v>95</v>
      </c>
      <c r="D30" s="748" t="s">
        <v>1300</v>
      </c>
      <c r="E30" s="222">
        <v>203991195.34077963</v>
      </c>
      <c r="F30" s="176">
        <v>103322174.00577798</v>
      </c>
      <c r="G30" s="331">
        <v>0.50650310584813252</v>
      </c>
      <c r="H30" s="177">
        <v>307313369.34655762</v>
      </c>
      <c r="I30" s="331">
        <v>1.6742890767079244E-2</v>
      </c>
      <c r="J30" s="9"/>
    </row>
    <row r="31" spans="1:10" ht="20" customHeight="1" thickBot="1">
      <c r="A31" s="681" t="s">
        <v>2055</v>
      </c>
      <c r="B31" s="176">
        <v>274902.71999999997</v>
      </c>
      <c r="C31" s="222">
        <v>30</v>
      </c>
      <c r="D31" s="748" t="s">
        <v>1300</v>
      </c>
      <c r="E31" s="222">
        <v>122120259.86283806</v>
      </c>
      <c r="F31" s="176">
        <v>10547460.223782375</v>
      </c>
      <c r="G31" s="331">
        <v>8.6369454467497678E-2</v>
      </c>
      <c r="H31" s="177">
        <v>132667720.08662044</v>
      </c>
      <c r="I31" s="331">
        <v>1.5201758511026897E-2</v>
      </c>
      <c r="J31" s="9"/>
    </row>
    <row r="32" spans="1:10" ht="20" customHeight="1" thickBot="1">
      <c r="A32" s="681" t="s">
        <v>2056</v>
      </c>
      <c r="B32" s="176">
        <v>167875.8</v>
      </c>
      <c r="C32" s="222">
        <v>56</v>
      </c>
      <c r="D32" s="748" t="s">
        <v>1300</v>
      </c>
      <c r="E32" s="222">
        <v>65433444.688073285</v>
      </c>
      <c r="F32" s="176">
        <v>15583213.290856399</v>
      </c>
      <c r="G32" s="331">
        <v>0.23815364398348401</v>
      </c>
      <c r="H32" s="177">
        <v>81016657.978929684</v>
      </c>
      <c r="I32" s="331">
        <v>1.1699408671264511E-2</v>
      </c>
      <c r="J32" s="9"/>
    </row>
    <row r="33" spans="1:13" ht="20" customHeight="1" thickBot="1">
      <c r="A33" s="681" t="s">
        <v>2057</v>
      </c>
      <c r="B33" s="176">
        <v>423426.68</v>
      </c>
      <c r="C33" s="222">
        <v>155</v>
      </c>
      <c r="D33" s="748" t="s">
        <v>1300</v>
      </c>
      <c r="E33" s="222">
        <v>100305426.83236024</v>
      </c>
      <c r="F33" s="176">
        <v>104039776.66161394</v>
      </c>
      <c r="G33" s="331">
        <v>1.0372297885287394</v>
      </c>
      <c r="H33" s="177">
        <v>204345203.49397418</v>
      </c>
      <c r="I33" s="331">
        <v>2.3602439399668551E-2</v>
      </c>
    </row>
    <row r="34" spans="1:13" ht="20" customHeight="1" thickBot="1">
      <c r="A34" s="681" t="s">
        <v>2058</v>
      </c>
      <c r="B34" s="176">
        <v>68276.600000000006</v>
      </c>
      <c r="C34" s="222">
        <v>33</v>
      </c>
      <c r="D34" s="748" t="s">
        <v>1300</v>
      </c>
      <c r="E34" s="222">
        <v>29876317.749241214</v>
      </c>
      <c r="F34" s="176">
        <v>3073886.8077240661</v>
      </c>
      <c r="G34" s="331">
        <v>0.10288707040552664</v>
      </c>
      <c r="H34" s="177">
        <v>32950204.55696528</v>
      </c>
      <c r="I34" s="331">
        <v>1.0197677043103814E-2</v>
      </c>
      <c r="K34" s="10"/>
      <c r="L34" s="10"/>
      <c r="M34" s="10"/>
    </row>
    <row r="35" spans="1:13" s="219" customFormat="1" ht="30" customHeight="1" thickBot="1">
      <c r="A35" s="695" t="s">
        <v>2059</v>
      </c>
      <c r="B35" s="457">
        <v>7301095.7999999989</v>
      </c>
      <c r="C35" s="458">
        <v>100</v>
      </c>
      <c r="D35" s="749" t="s">
        <v>1300</v>
      </c>
      <c r="E35" s="458">
        <v>2349000000.0000005</v>
      </c>
      <c r="F35" s="457">
        <v>1174500000</v>
      </c>
      <c r="G35" s="754">
        <v>0.5</v>
      </c>
      <c r="H35" s="457">
        <v>3523500000</v>
      </c>
      <c r="I35" s="754">
        <v>1.5125324114088068E-2</v>
      </c>
    </row>
    <row r="36" spans="1:13" ht="20" customHeight="1">
      <c r="A36" s="692" t="s">
        <v>248</v>
      </c>
      <c r="B36" s="489"/>
      <c r="C36" s="489"/>
      <c r="D36" s="743"/>
      <c r="E36" s="489"/>
      <c r="F36" s="489"/>
      <c r="G36" s="489"/>
      <c r="H36" s="541"/>
      <c r="I36" s="489"/>
    </row>
    <row r="37" spans="1:13" ht="14.25" customHeight="1">
      <c r="A37" s="688"/>
      <c r="B37" s="491"/>
      <c r="C37" s="491"/>
      <c r="D37" s="744"/>
      <c r="E37" s="491"/>
      <c r="F37" s="491"/>
      <c r="G37" s="491"/>
      <c r="H37" s="542"/>
      <c r="I37" s="491"/>
    </row>
    <row r="38" spans="1:13" ht="15.75" customHeight="1">
      <c r="A38" s="688" t="s">
        <v>1980</v>
      </c>
      <c r="B38" s="491"/>
      <c r="C38" s="491"/>
      <c r="D38" s="744"/>
      <c r="E38" s="491"/>
      <c r="F38" s="491"/>
      <c r="G38" s="491"/>
      <c r="H38" s="542"/>
      <c r="I38" s="491"/>
    </row>
    <row r="39" spans="1:13" ht="13.5" customHeight="1">
      <c r="A39" s="688"/>
      <c r="B39" s="491"/>
      <c r="C39" s="491"/>
      <c r="D39" s="744"/>
      <c r="E39" s="491"/>
      <c r="F39" s="491"/>
      <c r="G39" s="491"/>
      <c r="H39" s="542"/>
      <c r="I39" s="491"/>
    </row>
    <row r="40" spans="1:13" ht="11.25" customHeight="1">
      <c r="A40" s="4" t="s">
        <v>1981</v>
      </c>
      <c r="B40" s="491"/>
      <c r="C40" s="491"/>
      <c r="D40" s="744"/>
      <c r="E40" s="491"/>
      <c r="F40" s="491"/>
      <c r="G40" s="491"/>
      <c r="H40" s="542"/>
      <c r="I40" s="491"/>
    </row>
    <row r="41" spans="1:13">
      <c r="A41" s="2" t="s">
        <v>1982</v>
      </c>
    </row>
    <row r="42" spans="1:13">
      <c r="A42" s="2" t="s">
        <v>1983</v>
      </c>
    </row>
    <row r="43" spans="1:13">
      <c r="A43" s="2" t="s">
        <v>1984</v>
      </c>
    </row>
    <row r="44" spans="1:13">
      <c r="A44" s="2" t="s">
        <v>1985</v>
      </c>
    </row>
    <row r="45" spans="1:13">
      <c r="A45" s="2" t="s">
        <v>1986</v>
      </c>
    </row>
    <row r="46" spans="1:13">
      <c r="A46" s="755" t="s">
        <v>1987</v>
      </c>
    </row>
    <row r="49" spans="1:1">
      <c r="A49" s="2" t="s">
        <v>104</v>
      </c>
    </row>
  </sheetData>
  <phoneticPr fontId="0" type="noConversion"/>
  <pageMargins left="0.56000000000000005" right="0.51" top="0.81" bottom="0.49" header="0.42" footer="0.4921259845"/>
  <pageSetup paperSize="9" scale="84" orientation="portrait" horizontalDpi="1200" verticalDpi="1200"/>
  <headerFooter alignWithMargins="0">
    <oddHeader>&amp;L&amp;"Arial,Bold"Prämienverbilligung in der OKP</oddHead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9A9A6-6D14-5D47-951A-84B56826B9BB}">
  <sheetPr>
    <pageSetUpPr fitToPage="1"/>
  </sheetPr>
  <dimension ref="A1:I47"/>
  <sheetViews>
    <sheetView zoomScale="75" workbookViewId="0">
      <selection activeCell="A42" sqref="A42"/>
    </sheetView>
  </sheetViews>
  <sheetFormatPr baseColWidth="10" defaultColWidth="11.3984375" defaultRowHeight="13"/>
  <cols>
    <col min="1" max="1" width="12.59765625" style="2" customWidth="1"/>
    <col min="2" max="2" width="12.59765625" style="23" customWidth="1"/>
    <col min="3" max="3" width="14.796875" style="219" customWidth="1"/>
    <col min="4" max="4" width="14.796875" style="9" customWidth="1"/>
    <col min="5" max="5" width="15.796875" style="2" customWidth="1"/>
    <col min="6" max="6" width="12.59765625" style="23" customWidth="1"/>
    <col min="7" max="7" width="13.19921875" style="23" customWidth="1"/>
    <col min="8" max="16384" width="11.3984375" style="2"/>
  </cols>
  <sheetData>
    <row r="1" spans="1:9" s="1" customFormat="1" ht="14" customHeight="1">
      <c r="B1" s="209"/>
      <c r="D1" s="192"/>
      <c r="E1" s="20"/>
      <c r="F1" s="192"/>
      <c r="H1" s="209"/>
      <c r="I1" s="209"/>
    </row>
    <row r="2" spans="1:9" s="1" customFormat="1" ht="28" customHeight="1">
      <c r="A2" s="178" t="s">
        <v>401</v>
      </c>
      <c r="B2" s="209"/>
      <c r="D2" s="192"/>
      <c r="E2" s="20"/>
      <c r="F2" s="209"/>
      <c r="G2" s="370">
        <v>2004</v>
      </c>
    </row>
    <row r="3" spans="1:9" ht="24" customHeight="1">
      <c r="A3" s="139" t="s">
        <v>503</v>
      </c>
      <c r="B3" s="360" t="s">
        <v>402</v>
      </c>
      <c r="C3" s="141" t="s">
        <v>403</v>
      </c>
      <c r="D3" s="371" t="s">
        <v>404</v>
      </c>
      <c r="E3" s="359" t="s">
        <v>405</v>
      </c>
      <c r="F3" s="360" t="s">
        <v>406</v>
      </c>
      <c r="G3" s="210" t="s">
        <v>451</v>
      </c>
    </row>
    <row r="4" spans="1:9" ht="15" customHeight="1">
      <c r="A4" s="165"/>
      <c r="B4" s="179" t="s">
        <v>407</v>
      </c>
      <c r="C4" s="197" t="s">
        <v>408</v>
      </c>
      <c r="D4" s="196" t="s">
        <v>408</v>
      </c>
      <c r="E4" s="520" t="s">
        <v>409</v>
      </c>
      <c r="F4" s="179" t="s">
        <v>652</v>
      </c>
      <c r="G4" s="142" t="s">
        <v>2078</v>
      </c>
    </row>
    <row r="5" spans="1:9" ht="15.75" customHeight="1">
      <c r="A5" s="165"/>
      <c r="B5" s="179" t="s">
        <v>1967</v>
      </c>
      <c r="C5" s="144" t="s">
        <v>410</v>
      </c>
      <c r="D5" s="196" t="s">
        <v>410</v>
      </c>
      <c r="E5" s="520" t="s">
        <v>410</v>
      </c>
      <c r="F5" s="179" t="s">
        <v>411</v>
      </c>
      <c r="G5" s="142" t="s">
        <v>453</v>
      </c>
    </row>
    <row r="6" spans="1:9" ht="15" customHeight="1">
      <c r="A6" s="165"/>
      <c r="B6" s="179"/>
      <c r="C6" s="144" t="s">
        <v>412</v>
      </c>
      <c r="D6" s="196" t="s">
        <v>412</v>
      </c>
      <c r="E6" s="520" t="s">
        <v>412</v>
      </c>
      <c r="F6" s="179" t="s">
        <v>413</v>
      </c>
      <c r="G6" s="142" t="s">
        <v>454</v>
      </c>
    </row>
    <row r="7" spans="1:9" ht="21" customHeight="1">
      <c r="A7" s="167"/>
      <c r="B7" s="180"/>
      <c r="C7" s="147" t="s">
        <v>1968</v>
      </c>
      <c r="D7" s="198" t="s">
        <v>1968</v>
      </c>
      <c r="E7" s="521" t="s">
        <v>1969</v>
      </c>
      <c r="F7" s="198" t="s">
        <v>1970</v>
      </c>
      <c r="G7" s="195"/>
    </row>
    <row r="8" spans="1:9" ht="30" customHeight="1" thickBot="1">
      <c r="A8" s="689" t="s">
        <v>510</v>
      </c>
      <c r="B8" s="184">
        <v>0.18500000029768171</v>
      </c>
      <c r="C8" s="183">
        <v>236908404.64721662</v>
      </c>
      <c r="D8" s="747">
        <v>250608282.35278335</v>
      </c>
      <c r="E8" s="690">
        <v>487516687</v>
      </c>
      <c r="F8" s="184">
        <v>0.81499999970231829</v>
      </c>
      <c r="G8" s="211">
        <v>4.058985427346351E-2</v>
      </c>
    </row>
    <row r="9" spans="1:9" ht="20" customHeight="1" thickBot="1">
      <c r="A9" s="681" t="s">
        <v>511</v>
      </c>
      <c r="B9" s="409">
        <v>5.1834092573699309E-12</v>
      </c>
      <c r="C9" s="222">
        <v>367941644.62268901</v>
      </c>
      <c r="D9" s="748">
        <v>92232787.377311006</v>
      </c>
      <c r="E9" s="691">
        <v>460174432</v>
      </c>
      <c r="F9" s="184">
        <v>0.99999999999481659</v>
      </c>
      <c r="G9" s="211">
        <v>1.085649463034688E-2</v>
      </c>
    </row>
    <row r="10" spans="1:9" ht="20" customHeight="1" thickBot="1">
      <c r="A10" s="681" t="s">
        <v>512</v>
      </c>
      <c r="B10" s="409">
        <v>0.16100000300082984</v>
      </c>
      <c r="C10" s="222">
        <v>109898663.48351663</v>
      </c>
      <c r="D10" s="748">
        <v>31049184.516483374</v>
      </c>
      <c r="E10" s="691">
        <v>140947848</v>
      </c>
      <c r="F10" s="184">
        <v>0.83899999699917016</v>
      </c>
      <c r="G10" s="211">
        <v>8.4214215384615487E-2</v>
      </c>
    </row>
    <row r="11" spans="1:9" ht="20" customHeight="1" thickBot="1">
      <c r="A11" s="681" t="s">
        <v>513</v>
      </c>
      <c r="B11" s="409">
        <v>0.23000003018497095</v>
      </c>
      <c r="C11" s="222">
        <v>10513389.579139121</v>
      </c>
      <c r="D11" s="748">
        <v>2180502.4208608777</v>
      </c>
      <c r="E11" s="691">
        <v>12693892</v>
      </c>
      <c r="F11" s="184">
        <v>0.76999996981502905</v>
      </c>
      <c r="G11" s="211">
        <v>0.28430472984095378</v>
      </c>
    </row>
    <row r="12" spans="1:9" ht="20" customHeight="1" thickBot="1">
      <c r="A12" s="681" t="s">
        <v>514</v>
      </c>
      <c r="B12" s="409">
        <v>0.17219446363202329</v>
      </c>
      <c r="C12" s="222">
        <v>30925491.228563264</v>
      </c>
      <c r="D12" s="748">
        <v>21115508.77143674</v>
      </c>
      <c r="E12" s="691">
        <v>52041000</v>
      </c>
      <c r="F12" s="184">
        <v>0.82780553636797671</v>
      </c>
      <c r="G12" s="211">
        <v>-5.9595405745613506E-2</v>
      </c>
    </row>
    <row r="13" spans="1:9" ht="20" customHeight="1" thickBot="1">
      <c r="A13" s="681" t="s">
        <v>515</v>
      </c>
      <c r="B13" s="409">
        <v>-3.2205282662900458E-8</v>
      </c>
      <c r="C13" s="222">
        <v>14432171.242963718</v>
      </c>
      <c r="D13" s="748">
        <v>1246498.7570362815</v>
      </c>
      <c r="E13" s="691">
        <v>15678670</v>
      </c>
      <c r="F13" s="184">
        <v>1.0000000322052827</v>
      </c>
      <c r="G13" s="211">
        <v>1.7988830130973854E-2</v>
      </c>
    </row>
    <row r="14" spans="1:9" ht="20" customHeight="1" thickBot="1">
      <c r="A14" s="681" t="s">
        <v>516</v>
      </c>
      <c r="B14" s="409">
        <v>0.45999998537899733</v>
      </c>
      <c r="C14" s="222">
        <v>5451349.8806463303</v>
      </c>
      <c r="D14" s="748">
        <v>4292870.1193536697</v>
      </c>
      <c r="E14" s="691">
        <v>9744220</v>
      </c>
      <c r="F14" s="184">
        <v>0.54000001462100267</v>
      </c>
      <c r="G14" s="211">
        <v>0.10404568543044967</v>
      </c>
    </row>
    <row r="15" spans="1:9" ht="20" customHeight="1" thickBot="1">
      <c r="A15" s="681" t="s">
        <v>517</v>
      </c>
      <c r="B15" s="409">
        <v>0.29999996111762117</v>
      </c>
      <c r="C15" s="222">
        <v>9332088.0530995913</v>
      </c>
      <c r="D15" s="748">
        <v>3509769.9469004078</v>
      </c>
      <c r="E15" s="691">
        <v>12841858</v>
      </c>
      <c r="F15" s="184">
        <v>0.70000003888237883</v>
      </c>
      <c r="G15" s="211">
        <v>2.901354947051793E-3</v>
      </c>
    </row>
    <row r="16" spans="1:9" ht="20" customHeight="1" thickBot="1">
      <c r="A16" s="681" t="s">
        <v>518</v>
      </c>
      <c r="B16" s="409">
        <v>0.29346682112228739</v>
      </c>
      <c r="C16" s="222">
        <v>11679928.358099598</v>
      </c>
      <c r="D16" s="748">
        <v>22499451.641900402</v>
      </c>
      <c r="E16" s="691">
        <v>34179380</v>
      </c>
      <c r="F16" s="184">
        <v>0.70653317887771261</v>
      </c>
      <c r="G16" s="211">
        <v>0.11524351823098944</v>
      </c>
    </row>
    <row r="17" spans="1:7" ht="20" customHeight="1" thickBot="1">
      <c r="A17" s="681" t="s">
        <v>519</v>
      </c>
      <c r="B17" s="409">
        <v>3.2726991117115745E-9</v>
      </c>
      <c r="C17" s="222">
        <v>98820281.708590016</v>
      </c>
      <c r="D17" s="748">
        <v>16948411.291409988</v>
      </c>
      <c r="E17" s="691">
        <v>115768693</v>
      </c>
      <c r="F17" s="184">
        <v>0.99999999672730089</v>
      </c>
      <c r="G17" s="211">
        <v>1.9691139051725148E-2</v>
      </c>
    </row>
    <row r="18" spans="1:7" ht="20" customHeight="1" thickBot="1">
      <c r="A18" s="681" t="s">
        <v>520</v>
      </c>
      <c r="B18" s="409">
        <v>0.31999999921559563</v>
      </c>
      <c r="C18" s="222">
        <v>58276575.114099756</v>
      </c>
      <c r="D18" s="748">
        <v>21515278.88590024</v>
      </c>
      <c r="E18" s="691">
        <v>79791854</v>
      </c>
      <c r="F18" s="184">
        <v>0.68000000078440437</v>
      </c>
      <c r="G18" s="211">
        <v>1.0715872696586581E-2</v>
      </c>
    </row>
    <row r="19" spans="1:7" ht="20" customHeight="1" thickBot="1">
      <c r="A19" s="681" t="s">
        <v>521</v>
      </c>
      <c r="B19" s="409">
        <v>-5.5923670139179649E-9</v>
      </c>
      <c r="C19" s="222">
        <v>44292581.86197076</v>
      </c>
      <c r="D19" s="748">
        <v>51074943.138029233</v>
      </c>
      <c r="E19" s="691">
        <v>95367525</v>
      </c>
      <c r="F19" s="184">
        <v>1.000000005592367</v>
      </c>
      <c r="G19" s="211">
        <v>5.4846674158497422E-3</v>
      </c>
    </row>
    <row r="20" spans="1:7" ht="20" customHeight="1" thickBot="1">
      <c r="A20" s="681" t="s">
        <v>522</v>
      </c>
      <c r="B20" s="409">
        <v>0.16396678966232625</v>
      </c>
      <c r="C20" s="222">
        <v>63308400.735180266</v>
      </c>
      <c r="D20" s="748">
        <v>42691600.264819734</v>
      </c>
      <c r="E20" s="524">
        <v>106000001</v>
      </c>
      <c r="F20" s="184">
        <v>0.83603321033767375</v>
      </c>
      <c r="G20" s="211">
        <v>6.0000009999999993E-2</v>
      </c>
    </row>
    <row r="21" spans="1:7" ht="20" customHeight="1" thickBot="1">
      <c r="A21" s="681" t="s">
        <v>523</v>
      </c>
      <c r="B21" s="409">
        <v>0.10122399323427411</v>
      </c>
      <c r="C21" s="222">
        <v>20923120.085291166</v>
      </c>
      <c r="D21" s="748">
        <v>11076879.914708834</v>
      </c>
      <c r="E21" s="691">
        <v>32000000</v>
      </c>
      <c r="F21" s="184">
        <v>0.89877600676572589</v>
      </c>
      <c r="G21" s="211">
        <v>0.10344827586206895</v>
      </c>
    </row>
    <row r="22" spans="1:7" ht="20" customHeight="1" thickBot="1">
      <c r="A22" s="681" t="s">
        <v>2047</v>
      </c>
      <c r="B22" s="409">
        <v>0.12116933230892024</v>
      </c>
      <c r="C22" s="222">
        <v>17701936.033135548</v>
      </c>
      <c r="D22" s="748">
        <v>4774000.9668644508</v>
      </c>
      <c r="E22" s="691">
        <v>22475937</v>
      </c>
      <c r="F22" s="184">
        <v>0.87883066769107976</v>
      </c>
      <c r="G22" s="211">
        <v>0.10269966912048623</v>
      </c>
    </row>
    <row r="23" spans="1:7" ht="20" customHeight="1" thickBot="1">
      <c r="A23" s="681" t="s">
        <v>2048</v>
      </c>
      <c r="B23" s="409">
        <v>0.20000012128622868</v>
      </c>
      <c r="C23" s="222">
        <v>4366259.6253827084</v>
      </c>
      <c r="D23" s="748">
        <v>1318722.3746172916</v>
      </c>
      <c r="E23" s="691">
        <v>5684982</v>
      </c>
      <c r="F23" s="184">
        <v>0.79999987871377132</v>
      </c>
      <c r="G23" s="211">
        <v>0.15575922643377105</v>
      </c>
    </row>
    <row r="24" spans="1:7" ht="20" customHeight="1" thickBot="1">
      <c r="A24" s="681" t="s">
        <v>2049</v>
      </c>
      <c r="B24" s="409">
        <v>0.45599999803236302</v>
      </c>
      <c r="C24" s="222">
        <v>85062866.897374392</v>
      </c>
      <c r="D24" s="748">
        <v>33771635.102625608</v>
      </c>
      <c r="E24" s="691">
        <v>118834502</v>
      </c>
      <c r="F24" s="184">
        <v>0.54400000196763698</v>
      </c>
      <c r="G24" s="211">
        <v>1.5298689165168078E-2</v>
      </c>
    </row>
    <row r="25" spans="1:7" ht="20" customHeight="1" thickBot="1">
      <c r="A25" s="681" t="s">
        <v>2050</v>
      </c>
      <c r="B25" s="409">
        <v>0.35365150324735528</v>
      </c>
      <c r="C25" s="222">
        <v>46013531.857838221</v>
      </c>
      <c r="D25" s="748">
        <v>13000000.142161775</v>
      </c>
      <c r="E25" s="691">
        <v>59013532</v>
      </c>
      <c r="F25" s="184">
        <v>0.64634849675264472</v>
      </c>
      <c r="G25" s="211">
        <v>-0.15584542485090103</v>
      </c>
    </row>
    <row r="26" spans="1:7" ht="20" customHeight="1" thickBot="1">
      <c r="A26" s="681" t="s">
        <v>2051</v>
      </c>
      <c r="B26" s="409">
        <v>0.45191037219227126</v>
      </c>
      <c r="C26" s="222">
        <v>91527789.361234799</v>
      </c>
      <c r="D26" s="748">
        <v>53472210.638765194</v>
      </c>
      <c r="E26" s="691">
        <v>145000000</v>
      </c>
      <c r="F26" s="184">
        <v>0.54808962780772874</v>
      </c>
      <c r="G26" s="211">
        <v>3.5714285714285809E-2</v>
      </c>
    </row>
    <row r="27" spans="1:7" ht="20" customHeight="1" thickBot="1">
      <c r="A27" s="681" t="s">
        <v>2052</v>
      </c>
      <c r="B27" s="409">
        <v>-4.0280256907720968E-9</v>
      </c>
      <c r="C27" s="222">
        <v>78881908.309334502</v>
      </c>
      <c r="D27" s="748">
        <v>31317672.690665502</v>
      </c>
      <c r="E27" s="691">
        <v>110199581</v>
      </c>
      <c r="F27" s="184">
        <v>1.0000000040280257</v>
      </c>
      <c r="G27" s="211">
        <v>1.0253905274163255E-2</v>
      </c>
    </row>
    <row r="28" spans="1:7" ht="20" customHeight="1" thickBot="1">
      <c r="A28" s="681" t="s">
        <v>2053</v>
      </c>
      <c r="B28" s="409">
        <v>-3.4176808050290219E-9</v>
      </c>
      <c r="C28" s="222">
        <v>105406481.09798923</v>
      </c>
      <c r="D28" s="748">
        <v>45598873.902010769</v>
      </c>
      <c r="E28" s="691">
        <v>151005355</v>
      </c>
      <c r="F28" s="184">
        <v>1.0000000034176808</v>
      </c>
      <c r="G28" s="211">
        <v>-3.2548844636808294E-3</v>
      </c>
    </row>
    <row r="29" spans="1:7" ht="20" customHeight="1" thickBot="1">
      <c r="A29" s="681" t="s">
        <v>2054</v>
      </c>
      <c r="B29" s="409">
        <v>1.1277010436572255E-9</v>
      </c>
      <c r="C29" s="222">
        <v>203991195.11073855</v>
      </c>
      <c r="D29" s="748">
        <v>103322173.88926145</v>
      </c>
      <c r="E29" s="691">
        <v>307313369</v>
      </c>
      <c r="F29" s="184">
        <v>0.99999999887229896</v>
      </c>
      <c r="G29" s="211">
        <v>1.6742889620497303E-2</v>
      </c>
    </row>
    <row r="30" spans="1:7" ht="20" customHeight="1" thickBot="1">
      <c r="A30" s="681" t="s">
        <v>2055</v>
      </c>
      <c r="B30" s="409">
        <v>6.5291261286404279E-10</v>
      </c>
      <c r="C30" s="222">
        <v>122120259.7831042</v>
      </c>
      <c r="D30" s="748">
        <v>10547460.216895806</v>
      </c>
      <c r="E30" s="691">
        <v>132667720</v>
      </c>
      <c r="F30" s="184">
        <v>0.99999999934708739</v>
      </c>
      <c r="G30" s="211">
        <v>1.520175784818889E-2</v>
      </c>
    </row>
    <row r="31" spans="1:7" ht="20" customHeight="1" thickBot="1">
      <c r="A31" s="681" t="s">
        <v>2056</v>
      </c>
      <c r="B31" s="409">
        <v>-2.600739623659365E-10</v>
      </c>
      <c r="C31" s="222">
        <v>65433444.705090821</v>
      </c>
      <c r="D31" s="748">
        <v>15583213.294909187</v>
      </c>
      <c r="E31" s="691">
        <v>81016658</v>
      </c>
      <c r="F31" s="184">
        <v>1.000000000260074</v>
      </c>
      <c r="G31" s="211">
        <v>1.169940893438115E-2</v>
      </c>
    </row>
    <row r="32" spans="1:7" ht="20" customHeight="1" thickBot="1">
      <c r="A32" s="681" t="s">
        <v>2057</v>
      </c>
      <c r="B32" s="409">
        <v>-2.4763282535644748E-9</v>
      </c>
      <c r="C32" s="222">
        <v>100305427.08074941</v>
      </c>
      <c r="D32" s="748">
        <v>104039776.91925058</v>
      </c>
      <c r="E32" s="691">
        <v>204345204</v>
      </c>
      <c r="F32" s="184">
        <v>1.0000000024763283</v>
      </c>
      <c r="G32" s="211">
        <v>2.3602441934444274E-2</v>
      </c>
    </row>
    <row r="33" spans="1:9" ht="20" customHeight="1" thickBot="1">
      <c r="A33" s="681" t="s">
        <v>2058</v>
      </c>
      <c r="B33" s="409">
        <v>-1.3445583313398402E-8</v>
      </c>
      <c r="C33" s="222">
        <v>29876318.150945734</v>
      </c>
      <c r="D33" s="748">
        <v>3073886.8490542672</v>
      </c>
      <c r="E33" s="691">
        <v>32950205</v>
      </c>
      <c r="F33" s="184">
        <v>1.0000000134455833</v>
      </c>
      <c r="G33" s="211">
        <v>1.0197690625800782E-2</v>
      </c>
      <c r="H33" s="10"/>
      <c r="I33" s="10"/>
    </row>
    <row r="34" spans="1:9" s="205" customFormat="1" ht="30" customHeight="1" thickBot="1">
      <c r="A34" s="695" t="s">
        <v>1971</v>
      </c>
      <c r="B34" s="751">
        <v>0.14140680999006672</v>
      </c>
      <c r="C34" s="458">
        <v>2033391508.6139841</v>
      </c>
      <c r="D34" s="749">
        <v>991861596.38601613</v>
      </c>
      <c r="E34" s="458">
        <v>3025253105</v>
      </c>
      <c r="F34" s="752">
        <v>0.85859319000993328</v>
      </c>
      <c r="G34" s="737">
        <v>2.1679329928102176E-2</v>
      </c>
      <c r="H34" s="753"/>
    </row>
    <row r="35" spans="1:9" ht="20" customHeight="1">
      <c r="A35" s="692" t="s">
        <v>248</v>
      </c>
      <c r="B35" s="743"/>
      <c r="C35" s="541"/>
      <c r="D35" s="489"/>
      <c r="E35" s="489"/>
      <c r="F35" s="744"/>
    </row>
    <row r="36" spans="1:9" ht="11.25" customHeight="1">
      <c r="A36" s="688"/>
      <c r="B36" s="744"/>
      <c r="C36" s="542"/>
      <c r="D36" s="491"/>
      <c r="E36" s="491"/>
      <c r="F36" s="744"/>
    </row>
    <row r="37" spans="1:9" ht="15.75" customHeight="1">
      <c r="A37" s="688" t="s">
        <v>414</v>
      </c>
      <c r="B37" s="744"/>
      <c r="C37" s="542"/>
      <c r="D37" s="491"/>
      <c r="E37" s="491"/>
      <c r="F37" s="744"/>
    </row>
    <row r="38" spans="1:9" ht="10.5" customHeight="1">
      <c r="A38" s="688"/>
      <c r="B38" s="744"/>
      <c r="C38" s="542"/>
      <c r="D38" s="491"/>
      <c r="E38" s="491"/>
      <c r="F38" s="744"/>
    </row>
    <row r="39" spans="1:9" ht="11.25" customHeight="1">
      <c r="A39" s="4" t="s">
        <v>415</v>
      </c>
      <c r="B39" s="744"/>
      <c r="C39" s="542"/>
      <c r="D39" s="491"/>
      <c r="E39" s="491"/>
      <c r="F39" s="744"/>
    </row>
    <row r="40" spans="1:9">
      <c r="A40" s="2" t="s">
        <v>416</v>
      </c>
    </row>
    <row r="41" spans="1:9">
      <c r="A41" s="2" t="s">
        <v>1963</v>
      </c>
    </row>
    <row r="42" spans="1:9">
      <c r="A42" s="2" t="s">
        <v>1964</v>
      </c>
    </row>
    <row r="43" spans="1:9">
      <c r="A43" s="2" t="s">
        <v>1965</v>
      </c>
    </row>
    <row r="44" spans="1:9">
      <c r="A44" s="2" t="s">
        <v>1966</v>
      </c>
    </row>
    <row r="47" spans="1:9">
      <c r="A47" s="2" t="s">
        <v>104</v>
      </c>
    </row>
  </sheetData>
  <phoneticPr fontId="0" type="noConversion"/>
  <pageMargins left="0.53" right="0.64" top="0.67" bottom="0.49" header="0.38" footer="0.4921259845"/>
  <pageSetup paperSize="9" scale="90" orientation="portrait" horizontalDpi="1200" verticalDpi="1200"/>
  <headerFooter alignWithMargins="0">
    <oddHeader>&amp;L&amp;"Arial,Bold"Prämienverbilligung in der OKP</oddHead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3E309-AD4B-4B4D-B3F3-11CE2D44B6CD}">
  <sheetPr>
    <pageSetUpPr fitToPage="1"/>
  </sheetPr>
  <dimension ref="A1:K42"/>
  <sheetViews>
    <sheetView zoomScale="75" workbookViewId="0">
      <selection activeCell="A38" sqref="A38"/>
    </sheetView>
  </sheetViews>
  <sheetFormatPr baseColWidth="10" defaultColWidth="11.3984375" defaultRowHeight="13"/>
  <cols>
    <col min="1" max="1" width="11.796875" style="2" customWidth="1"/>
    <col min="2" max="3" width="17.19921875" style="2" customWidth="1"/>
    <col min="4" max="4" width="17.19921875" style="219" customWidth="1"/>
    <col min="5" max="5" width="16" style="23" customWidth="1"/>
    <col min="6" max="6" width="13.19921875" style="23" customWidth="1"/>
    <col min="7" max="7" width="14.59765625" style="23" customWidth="1"/>
    <col min="8" max="8" width="7.3984375" style="2" customWidth="1"/>
    <col min="9" max="9" width="11.59765625" style="2" customWidth="1"/>
    <col min="10" max="16384" width="11.3984375" style="2"/>
  </cols>
  <sheetData>
    <row r="1" spans="1:9" s="1" customFormat="1" ht="14" customHeight="1">
      <c r="D1" s="20"/>
      <c r="E1" s="209"/>
      <c r="F1" s="209"/>
      <c r="G1" s="209"/>
    </row>
    <row r="2" spans="1:9" s="1" customFormat="1" ht="28" customHeight="1">
      <c r="A2" s="178" t="s">
        <v>394</v>
      </c>
      <c r="D2" s="20"/>
      <c r="E2" s="209"/>
      <c r="F2" s="209"/>
      <c r="G2" s="370">
        <v>2004</v>
      </c>
    </row>
    <row r="3" spans="1:9" ht="24" customHeight="1">
      <c r="A3" s="139" t="s">
        <v>503</v>
      </c>
      <c r="B3" s="164" t="s">
        <v>527</v>
      </c>
      <c r="C3" s="141" t="s">
        <v>527</v>
      </c>
      <c r="D3" s="321" t="s">
        <v>652</v>
      </c>
      <c r="E3" s="210" t="s">
        <v>451</v>
      </c>
      <c r="F3" s="360" t="s">
        <v>652</v>
      </c>
      <c r="G3" s="210" t="s">
        <v>652</v>
      </c>
    </row>
    <row r="4" spans="1:9" ht="15" customHeight="1">
      <c r="A4" s="165"/>
      <c r="B4" s="143" t="s">
        <v>395</v>
      </c>
      <c r="C4" s="197" t="s">
        <v>395</v>
      </c>
      <c r="D4" s="745" t="s">
        <v>527</v>
      </c>
      <c r="E4" s="142" t="s">
        <v>486</v>
      </c>
      <c r="F4" s="196" t="s">
        <v>527</v>
      </c>
      <c r="G4" s="142" t="s">
        <v>527</v>
      </c>
    </row>
    <row r="5" spans="1:9" ht="15" customHeight="1">
      <c r="A5" s="165"/>
      <c r="B5" s="166" t="s">
        <v>1786</v>
      </c>
      <c r="C5" s="144" t="s">
        <v>1787</v>
      </c>
      <c r="D5" s="745" t="s">
        <v>400</v>
      </c>
      <c r="E5" s="142" t="s">
        <v>454</v>
      </c>
      <c r="F5" s="196" t="s">
        <v>363</v>
      </c>
      <c r="G5" s="142" t="s">
        <v>364</v>
      </c>
    </row>
    <row r="6" spans="1:9" ht="15" customHeight="1">
      <c r="A6" s="165"/>
      <c r="B6" s="166" t="s">
        <v>884</v>
      </c>
      <c r="C6" s="144" t="s">
        <v>396</v>
      </c>
      <c r="D6" s="745" t="s">
        <v>884</v>
      </c>
      <c r="E6" s="142"/>
      <c r="F6" s="196" t="s">
        <v>884</v>
      </c>
      <c r="G6" s="142" t="s">
        <v>884</v>
      </c>
    </row>
    <row r="7" spans="1:9" ht="24" customHeight="1">
      <c r="A7" s="167"/>
      <c r="B7" s="168"/>
      <c r="C7" s="147" t="s">
        <v>884</v>
      </c>
      <c r="D7" s="308"/>
      <c r="E7" s="199"/>
      <c r="F7" s="198"/>
      <c r="G7" s="199"/>
    </row>
    <row r="8" spans="1:9" ht="30" customHeight="1" thickBot="1">
      <c r="A8" s="689" t="s">
        <v>510</v>
      </c>
      <c r="B8" s="182">
        <v>494255115.84999996</v>
      </c>
      <c r="C8" s="183">
        <v>1197897</v>
      </c>
      <c r="D8" s="746">
        <v>495453012.84999996</v>
      </c>
      <c r="E8" s="211">
        <v>5.8450039051110542E-2</v>
      </c>
      <c r="F8" s="747">
        <v>1936.2558243643552</v>
      </c>
      <c r="G8" s="376">
        <v>1277.793715005635</v>
      </c>
      <c r="H8" s="9"/>
      <c r="I8" s="185"/>
    </row>
    <row r="9" spans="1:9" ht="20" customHeight="1" thickBot="1">
      <c r="A9" s="681" t="s">
        <v>511</v>
      </c>
      <c r="B9" s="176">
        <v>458204413</v>
      </c>
      <c r="C9" s="222">
        <v>5196167</v>
      </c>
      <c r="D9" s="177">
        <v>463400580</v>
      </c>
      <c r="E9" s="211">
        <v>2.4518883914402212E-2</v>
      </c>
      <c r="F9" s="748">
        <v>3111.1358921510046</v>
      </c>
      <c r="G9" s="376">
        <v>1596.7767478722305</v>
      </c>
      <c r="H9" s="9"/>
      <c r="I9" s="185"/>
    </row>
    <row r="10" spans="1:9" ht="20" customHeight="1" thickBot="1">
      <c r="A10" s="681" t="s">
        <v>512</v>
      </c>
      <c r="B10" s="176">
        <v>143553332.65000001</v>
      </c>
      <c r="C10" s="222">
        <v>0</v>
      </c>
      <c r="D10" s="177">
        <v>143553332.65000001</v>
      </c>
      <c r="E10" s="211">
        <v>1.0512810569379361E-2</v>
      </c>
      <c r="F10" s="748">
        <v>2338.2687382926392</v>
      </c>
      <c r="G10" s="376">
        <v>1021.7973581937633</v>
      </c>
      <c r="H10" s="9"/>
      <c r="I10" s="185"/>
    </row>
    <row r="11" spans="1:9" ht="20" customHeight="1" thickBot="1">
      <c r="A11" s="681" t="s">
        <v>513</v>
      </c>
      <c r="B11" s="176">
        <v>12506269</v>
      </c>
      <c r="C11" s="222">
        <v>661363</v>
      </c>
      <c r="D11" s="177">
        <v>13167632</v>
      </c>
      <c r="E11" s="211">
        <v>0.13002353394700841</v>
      </c>
      <c r="F11" s="748">
        <v>2119.0267138719023</v>
      </c>
      <c r="G11" s="376">
        <v>878.77949813134012</v>
      </c>
      <c r="H11" s="9"/>
      <c r="I11" s="185"/>
    </row>
    <row r="12" spans="1:9" ht="20" customHeight="1" thickBot="1">
      <c r="A12" s="681" t="s">
        <v>514</v>
      </c>
      <c r="B12" s="176">
        <v>50328645.450000003</v>
      </c>
      <c r="C12" s="222">
        <v>1455815</v>
      </c>
      <c r="D12" s="177">
        <v>51784460.450000003</v>
      </c>
      <c r="E12" s="211">
        <v>7.4952013370322024E-3</v>
      </c>
      <c r="F12" s="748">
        <v>2403.3257738896368</v>
      </c>
      <c r="G12" s="376">
        <v>1107.7363833746899</v>
      </c>
      <c r="H12" s="9"/>
      <c r="I12" s="185"/>
    </row>
    <row r="13" spans="1:9" ht="20" customHeight="1" thickBot="1">
      <c r="A13" s="681" t="s">
        <v>515</v>
      </c>
      <c r="B13" s="176">
        <v>16039730</v>
      </c>
      <c r="C13" s="222">
        <v>5334</v>
      </c>
      <c r="D13" s="177">
        <v>16045064</v>
      </c>
      <c r="E13" s="211">
        <v>7.4832133929511657E-2</v>
      </c>
      <c r="F13" s="748">
        <v>1912.1754260517221</v>
      </c>
      <c r="G13" s="376">
        <v>872.67834221690418</v>
      </c>
      <c r="H13" s="9"/>
      <c r="I13" s="185"/>
    </row>
    <row r="14" spans="1:9" ht="20" customHeight="1" thickBot="1">
      <c r="A14" s="681" t="s">
        <v>516</v>
      </c>
      <c r="B14" s="176">
        <v>9184963</v>
      </c>
      <c r="C14" s="222">
        <v>266925</v>
      </c>
      <c r="D14" s="177">
        <v>9451888</v>
      </c>
      <c r="E14" s="211">
        <v>-1.7202589782965773E-2</v>
      </c>
      <c r="F14" s="748">
        <v>1537.3923227065713</v>
      </c>
      <c r="G14" s="376">
        <v>753.97957881301852</v>
      </c>
      <c r="H14" s="9"/>
      <c r="I14" s="185"/>
    </row>
    <row r="15" spans="1:9" ht="20" customHeight="1" thickBot="1">
      <c r="A15" s="681" t="s">
        <v>517</v>
      </c>
      <c r="B15" s="176">
        <v>17079693</v>
      </c>
      <c r="C15" s="222">
        <v>47075.7</v>
      </c>
      <c r="D15" s="177">
        <v>17126768.699999999</v>
      </c>
      <c r="E15" s="211">
        <v>-9.6161286888423476E-3</v>
      </c>
      <c r="F15" s="748">
        <v>2438.3212841685649</v>
      </c>
      <c r="G15" s="376">
        <v>1282.807931990113</v>
      </c>
      <c r="H15" s="9"/>
      <c r="I15" s="185"/>
    </row>
    <row r="16" spans="1:9" ht="20" customHeight="1" thickBot="1">
      <c r="A16" s="681" t="s">
        <v>518</v>
      </c>
      <c r="B16" s="176">
        <v>32256367</v>
      </c>
      <c r="C16" s="222">
        <v>2787159</v>
      </c>
      <c r="D16" s="177">
        <v>35043526</v>
      </c>
      <c r="E16" s="211">
        <v>0.225752969100037</v>
      </c>
      <c r="F16" s="748">
        <v>1994.3956519264698</v>
      </c>
      <c r="G16" s="376">
        <v>1015.3717729551183</v>
      </c>
      <c r="H16" s="9"/>
      <c r="I16" s="185"/>
    </row>
    <row r="17" spans="1:9" ht="20" customHeight="1" thickBot="1">
      <c r="A17" s="681" t="s">
        <v>519</v>
      </c>
      <c r="B17" s="176">
        <v>114729692.2</v>
      </c>
      <c r="C17" s="222">
        <v>0</v>
      </c>
      <c r="D17" s="177">
        <v>114729692.2</v>
      </c>
      <c r="E17" s="211">
        <v>2.2440979451715137E-2</v>
      </c>
      <c r="F17" s="748">
        <v>3050.2669874777339</v>
      </c>
      <c r="G17" s="376">
        <v>1248.0250214839714</v>
      </c>
      <c r="H17" s="9"/>
      <c r="I17" s="185"/>
    </row>
    <row r="18" spans="1:9" ht="20" customHeight="1" thickBot="1">
      <c r="A18" s="681" t="s">
        <v>520</v>
      </c>
      <c r="B18" s="176">
        <v>74348292.010000005</v>
      </c>
      <c r="C18" s="222">
        <v>5449605.2999999998</v>
      </c>
      <c r="D18" s="177">
        <v>79797897.310000002</v>
      </c>
      <c r="E18" s="211">
        <v>3.8578106287734483E-2</v>
      </c>
      <c r="F18" s="748">
        <v>3275.3723806591966</v>
      </c>
      <c r="G18" s="376">
        <v>1386.8970803135373</v>
      </c>
      <c r="H18" s="9"/>
      <c r="I18" s="185"/>
    </row>
    <row r="19" spans="1:9" ht="20" customHeight="1" thickBot="1">
      <c r="A19" s="681" t="s">
        <v>521</v>
      </c>
      <c r="B19" s="176">
        <v>117806863</v>
      </c>
      <c r="C19" s="222">
        <v>423029</v>
      </c>
      <c r="D19" s="177">
        <v>118229892</v>
      </c>
      <c r="E19" s="211">
        <v>8.0491637578372841E-2</v>
      </c>
      <c r="F19" s="748">
        <v>3781.7833221379906</v>
      </c>
      <c r="G19" s="376">
        <v>2263.4228390925623</v>
      </c>
      <c r="H19" s="9"/>
      <c r="I19" s="185"/>
    </row>
    <row r="20" spans="1:9" ht="20" customHeight="1" thickBot="1">
      <c r="A20" s="681" t="s">
        <v>522</v>
      </c>
      <c r="B20" s="176">
        <v>94463075</v>
      </c>
      <c r="C20" s="222">
        <v>4585784</v>
      </c>
      <c r="D20" s="173">
        <v>99048859</v>
      </c>
      <c r="E20" s="211">
        <v>0.10298749022945611</v>
      </c>
      <c r="F20" s="748">
        <v>2158.2563571786545</v>
      </c>
      <c r="G20" s="376">
        <v>995.00591686255598</v>
      </c>
      <c r="H20" s="9"/>
      <c r="I20" s="185"/>
    </row>
    <row r="21" spans="1:9" ht="20" customHeight="1" thickBot="1">
      <c r="A21" s="681" t="s">
        <v>523</v>
      </c>
      <c r="B21" s="176">
        <v>30460024.949999999</v>
      </c>
      <c r="C21" s="222">
        <v>1406816</v>
      </c>
      <c r="D21" s="177">
        <v>31866840.949999999</v>
      </c>
      <c r="E21" s="211">
        <v>8.9053413847659899E-2</v>
      </c>
      <c r="F21" s="748">
        <v>2695.7821630995686</v>
      </c>
      <c r="G21" s="376">
        <v>1325.741188584266</v>
      </c>
      <c r="H21" s="9"/>
      <c r="I21" s="185"/>
    </row>
    <row r="22" spans="1:9" ht="20" customHeight="1" thickBot="1">
      <c r="A22" s="681" t="s">
        <v>2047</v>
      </c>
      <c r="B22" s="176">
        <v>19403377</v>
      </c>
      <c r="C22" s="222">
        <v>1343445</v>
      </c>
      <c r="D22" s="177">
        <v>20746822</v>
      </c>
      <c r="E22" s="211">
        <v>0.12746360682870464</v>
      </c>
      <c r="F22" s="748">
        <v>4532.8429102031896</v>
      </c>
      <c r="G22" s="376">
        <v>1645.136943937832</v>
      </c>
      <c r="H22" s="9"/>
      <c r="I22" s="185"/>
    </row>
    <row r="23" spans="1:9" ht="20" customHeight="1" thickBot="1">
      <c r="A23" s="681" t="s">
        <v>2048</v>
      </c>
      <c r="B23" s="176">
        <v>4791142</v>
      </c>
      <c r="C23" s="222">
        <v>41079</v>
      </c>
      <c r="D23" s="177">
        <v>4832221</v>
      </c>
      <c r="E23" s="211">
        <v>-1.266341321459308E-3</v>
      </c>
      <c r="F23" s="748">
        <v>2262.2757490636704</v>
      </c>
      <c r="G23" s="376">
        <v>711.77213138901163</v>
      </c>
      <c r="H23" s="9"/>
      <c r="I23" s="185"/>
    </row>
    <row r="24" spans="1:9" ht="20" customHeight="1" thickBot="1">
      <c r="A24" s="681" t="s">
        <v>2049</v>
      </c>
      <c r="B24" s="176">
        <v>131180387.59</v>
      </c>
      <c r="C24" s="222">
        <v>0</v>
      </c>
      <c r="D24" s="177">
        <v>131180387.59</v>
      </c>
      <c r="E24" s="211">
        <v>0.14585981570771234</v>
      </c>
      <c r="F24" s="748">
        <v>1931.1681131492169</v>
      </c>
      <c r="G24" s="376">
        <v>814.01145240858068</v>
      </c>
      <c r="H24" s="9"/>
      <c r="I24" s="185"/>
    </row>
    <row r="25" spans="1:9" ht="20" customHeight="1" thickBot="1">
      <c r="A25" s="681" t="s">
        <v>2050</v>
      </c>
      <c r="B25" s="176">
        <v>60563568</v>
      </c>
      <c r="C25" s="222">
        <v>3012987</v>
      </c>
      <c r="D25" s="177">
        <v>63576555</v>
      </c>
      <c r="E25" s="211">
        <v>1.50354890515354E-2</v>
      </c>
      <c r="F25" s="748">
        <v>2135.5913671481358</v>
      </c>
      <c r="G25" s="376">
        <v>1047.9767085352587</v>
      </c>
      <c r="H25" s="9"/>
      <c r="I25" s="185"/>
    </row>
    <row r="26" spans="1:9" ht="20" customHeight="1" thickBot="1">
      <c r="A26" s="681" t="s">
        <v>2051</v>
      </c>
      <c r="B26" s="176">
        <v>141441695.09999999</v>
      </c>
      <c r="C26" s="222">
        <v>8024535</v>
      </c>
      <c r="D26" s="177">
        <v>149466230.09999999</v>
      </c>
      <c r="E26" s="211">
        <v>4.5212778857243577E-2</v>
      </c>
      <c r="F26" s="748">
        <v>2542.0723863462422</v>
      </c>
      <c r="G26" s="376">
        <v>931.53816492262433</v>
      </c>
      <c r="H26" s="9"/>
      <c r="I26" s="185"/>
    </row>
    <row r="27" spans="1:9" ht="20" customHeight="1" thickBot="1">
      <c r="A27" s="681" t="s">
        <v>2052</v>
      </c>
      <c r="B27" s="176">
        <v>105599871.39999999</v>
      </c>
      <c r="C27" s="222">
        <v>4280511.2</v>
      </c>
      <c r="D27" s="177">
        <v>109880382.59999999</v>
      </c>
      <c r="E27" s="211">
        <v>7.9252179850011525E-2</v>
      </c>
      <c r="F27" s="748">
        <v>1895.5351676787193</v>
      </c>
      <c r="G27" s="376">
        <v>1072.4222389225063</v>
      </c>
      <c r="H27" s="9"/>
      <c r="I27" s="185"/>
    </row>
    <row r="28" spans="1:9" ht="20" customHeight="1" thickBot="1">
      <c r="A28" s="681" t="s">
        <v>2053</v>
      </c>
      <c r="B28" s="176">
        <v>192983007.5</v>
      </c>
      <c r="C28" s="222">
        <v>2041973.5</v>
      </c>
      <c r="D28" s="177">
        <v>195024981</v>
      </c>
      <c r="E28" s="211">
        <v>8.868721876112412E-2</v>
      </c>
      <c r="F28" s="748">
        <v>3237.1977923479126</v>
      </c>
      <c r="G28" s="376">
        <v>2021.0680339081412</v>
      </c>
      <c r="H28" s="9"/>
      <c r="I28" s="185"/>
    </row>
    <row r="29" spans="1:9" ht="20" customHeight="1" thickBot="1">
      <c r="A29" s="681" t="s">
        <v>2054</v>
      </c>
      <c r="B29" s="176">
        <v>315143405.06</v>
      </c>
      <c r="C29" s="222">
        <v>0</v>
      </c>
      <c r="D29" s="177">
        <v>315143405.06</v>
      </c>
      <c r="E29" s="211">
        <v>-3.183232336672201E-2</v>
      </c>
      <c r="F29" s="748">
        <v>3905.4131045678737</v>
      </c>
      <c r="G29" s="376">
        <v>2029.5301042639378</v>
      </c>
      <c r="H29" s="9"/>
      <c r="I29" s="185"/>
    </row>
    <row r="30" spans="1:9" ht="20" customHeight="1" thickBot="1">
      <c r="A30" s="681" t="s">
        <v>2055</v>
      </c>
      <c r="B30" s="176">
        <v>122179367.40000001</v>
      </c>
      <c r="C30" s="222">
        <v>11115029.189999999</v>
      </c>
      <c r="D30" s="177">
        <v>133294396.59</v>
      </c>
      <c r="E30" s="211">
        <v>1.9596439232920714E-2</v>
      </c>
      <c r="F30" s="748">
        <v>2665.7279881207128</v>
      </c>
      <c r="G30" s="376">
        <v>1459.1294836456782</v>
      </c>
      <c r="H30" s="9"/>
      <c r="I30" s="185"/>
    </row>
    <row r="31" spans="1:9" ht="20" customHeight="1" thickBot="1">
      <c r="A31" s="681" t="s">
        <v>2056</v>
      </c>
      <c r="B31" s="176">
        <v>81417971.74999997</v>
      </c>
      <c r="C31" s="222">
        <v>0</v>
      </c>
      <c r="D31" s="177">
        <v>81417971.74999997</v>
      </c>
      <c r="E31" s="211">
        <v>2.0075410658862976E-2</v>
      </c>
      <c r="F31" s="748">
        <v>2674.2641402529143</v>
      </c>
      <c r="G31" s="376">
        <v>1525.9098478175304</v>
      </c>
      <c r="H31" s="9"/>
      <c r="I31" s="185"/>
    </row>
    <row r="32" spans="1:9" ht="20" customHeight="1" thickBot="1">
      <c r="A32" s="681" t="s">
        <v>2057</v>
      </c>
      <c r="B32" s="176">
        <v>222885007</v>
      </c>
      <c r="C32" s="222">
        <v>20732690.800000001</v>
      </c>
      <c r="D32" s="177">
        <v>243617697.80000001</v>
      </c>
      <c r="E32" s="211">
        <v>-5.9576340812476772E-2</v>
      </c>
      <c r="F32" s="748">
        <v>2301.8850067086191</v>
      </c>
      <c r="G32" s="376">
        <v>1605.2403587148467</v>
      </c>
      <c r="I32" s="185"/>
    </row>
    <row r="33" spans="1:11" ht="20" customHeight="1" thickBot="1">
      <c r="A33" s="681" t="s">
        <v>2058</v>
      </c>
      <c r="B33" s="176">
        <v>32122225.100000001</v>
      </c>
      <c r="C33" s="222">
        <v>827979.9</v>
      </c>
      <c r="D33" s="177">
        <v>32950205</v>
      </c>
      <c r="E33" s="211">
        <v>1.0197690625800853E-2</v>
      </c>
      <c r="F33" s="748">
        <v>2457.8699835894377</v>
      </c>
      <c r="G33" s="376">
        <v>1331.0525146435064</v>
      </c>
      <c r="I33" s="10"/>
      <c r="J33" s="10"/>
      <c r="K33" s="10"/>
    </row>
    <row r="34" spans="1:11" ht="30" customHeight="1" thickBot="1">
      <c r="A34" s="695" t="s">
        <v>2059</v>
      </c>
      <c r="B34" s="457">
        <v>3094927501.0099998</v>
      </c>
      <c r="C34" s="458">
        <v>74903200.590000004</v>
      </c>
      <c r="D34" s="457">
        <v>3169830701.6000004</v>
      </c>
      <c r="E34" s="212">
        <v>3.4033702453562444E-2</v>
      </c>
      <c r="F34" s="749">
        <v>2544.2606213303907</v>
      </c>
      <c r="G34" s="750">
        <v>1342.3653663095729</v>
      </c>
      <c r="I34" s="185"/>
    </row>
    <row r="35" spans="1:11" ht="20" customHeight="1">
      <c r="A35" s="692" t="s">
        <v>397</v>
      </c>
      <c r="B35" s="489"/>
      <c r="C35" s="489"/>
      <c r="D35" s="541"/>
      <c r="E35" s="743"/>
      <c r="F35" s="743"/>
      <c r="G35" s="743"/>
    </row>
    <row r="36" spans="1:11" ht="8.25" customHeight="1">
      <c r="A36" s="688"/>
      <c r="B36" s="491"/>
      <c r="C36" s="491"/>
      <c r="D36" s="542"/>
      <c r="E36" s="744"/>
      <c r="F36" s="744"/>
      <c r="G36" s="744"/>
    </row>
    <row r="37" spans="1:11" ht="14.25" customHeight="1">
      <c r="A37" s="688" t="s">
        <v>398</v>
      </c>
      <c r="B37" s="491"/>
      <c r="C37" s="491"/>
      <c r="D37" s="542"/>
      <c r="E37" s="744"/>
      <c r="F37" s="744"/>
      <c r="G37" s="744"/>
    </row>
    <row r="38" spans="1:11" ht="12.75" customHeight="1">
      <c r="A38" s="688"/>
      <c r="B38" s="491"/>
      <c r="C38" s="491"/>
      <c r="D38" s="542"/>
      <c r="E38" s="744"/>
      <c r="F38" s="744"/>
      <c r="G38" s="744"/>
    </row>
    <row r="39" spans="1:11" ht="11.25" customHeight="1">
      <c r="A39" s="4" t="s">
        <v>399</v>
      </c>
      <c r="B39" s="491"/>
      <c r="C39" s="491"/>
      <c r="D39" s="542"/>
      <c r="E39" s="744"/>
      <c r="F39" s="744"/>
      <c r="G39" s="744"/>
    </row>
    <row r="42" spans="1:11">
      <c r="A42" s="2" t="s">
        <v>104</v>
      </c>
    </row>
  </sheetData>
  <phoneticPr fontId="0" type="noConversion"/>
  <pageMargins left="0.59" right="0.56999999999999995" top="0.87" bottom="0.49" header="0.42" footer="0.4921259845"/>
  <pageSetup paperSize="9" scale="86" orientation="portrait" horizontalDpi="4294967292" verticalDpi="4294967292"/>
  <headerFooter alignWithMargins="0">
    <oddHeader>&amp;L&amp;"Arial,Bold"Prämienverbilligung in der OKP</oddHead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01CD0-5E97-704B-A875-94BE8C84A674}">
  <sheetPr>
    <pageSetUpPr fitToPage="1"/>
  </sheetPr>
  <dimension ref="A1:O41"/>
  <sheetViews>
    <sheetView zoomScale="75" workbookViewId="0">
      <selection activeCell="K9" sqref="K9"/>
    </sheetView>
  </sheetViews>
  <sheetFormatPr baseColWidth="10" defaultColWidth="11.3984375" defaultRowHeight="13"/>
  <cols>
    <col min="1" max="1" width="11.19921875" style="2" customWidth="1"/>
    <col min="2" max="8" width="10.19921875" style="2" customWidth="1"/>
    <col min="9" max="9" width="10.19921875" style="23" customWidth="1"/>
    <col min="10" max="10" width="10.19921875" style="2" customWidth="1"/>
    <col min="11" max="11" width="13.19921875" style="2" customWidth="1"/>
    <col min="12" max="16384" width="11.3984375" style="2"/>
  </cols>
  <sheetData>
    <row r="1" spans="1:12" s="1" customFormat="1" ht="14" customHeight="1">
      <c r="I1" s="209"/>
    </row>
    <row r="2" spans="1:12" s="1" customFormat="1" ht="28" customHeight="1">
      <c r="A2" s="178" t="s">
        <v>390</v>
      </c>
      <c r="I2" s="621"/>
      <c r="J2" s="621"/>
      <c r="K2" s="621">
        <v>2004</v>
      </c>
    </row>
    <row r="3" spans="1:12" ht="24" customHeight="1">
      <c r="A3" s="139"/>
      <c r="B3" s="164"/>
      <c r="C3" s="141"/>
      <c r="D3" s="164"/>
      <c r="E3" s="139"/>
      <c r="F3" s="163"/>
      <c r="G3" s="141"/>
      <c r="H3" s="164"/>
      <c r="I3" s="141"/>
      <c r="J3" s="164"/>
      <c r="K3" s="210"/>
    </row>
    <row r="4" spans="1:12" ht="15" customHeight="1">
      <c r="A4" s="165" t="s">
        <v>503</v>
      </c>
      <c r="B4" s="166">
        <v>1996</v>
      </c>
      <c r="C4" s="144">
        <v>1997</v>
      </c>
      <c r="D4" s="166">
        <v>1998</v>
      </c>
      <c r="E4" s="144">
        <v>1999</v>
      </c>
      <c r="F4" s="166">
        <v>2000</v>
      </c>
      <c r="G4" s="144">
        <v>2001</v>
      </c>
      <c r="H4" s="166">
        <v>2002</v>
      </c>
      <c r="I4" s="144">
        <v>2003</v>
      </c>
      <c r="J4" s="166">
        <v>2004</v>
      </c>
      <c r="K4" s="142" t="s">
        <v>391</v>
      </c>
    </row>
    <row r="5" spans="1:12" ht="15" customHeight="1">
      <c r="A5" s="165"/>
      <c r="B5" s="166"/>
      <c r="C5" s="144"/>
      <c r="D5" s="166"/>
      <c r="E5" s="144"/>
      <c r="F5" s="143"/>
      <c r="G5" s="195"/>
      <c r="H5" s="143"/>
      <c r="I5" s="195"/>
      <c r="J5" s="196"/>
      <c r="K5" s="142" t="s">
        <v>392</v>
      </c>
    </row>
    <row r="6" spans="1:12" ht="15" customHeight="1">
      <c r="A6" s="165"/>
      <c r="B6" s="166"/>
      <c r="C6" s="144"/>
      <c r="D6" s="166"/>
      <c r="E6" s="144"/>
      <c r="F6" s="143"/>
      <c r="G6" s="195"/>
      <c r="H6" s="143"/>
      <c r="I6" s="195"/>
      <c r="J6" s="196"/>
      <c r="K6" s="142" t="s">
        <v>393</v>
      </c>
    </row>
    <row r="7" spans="1:12" ht="15" customHeight="1">
      <c r="A7" s="165"/>
      <c r="B7" s="166"/>
      <c r="C7" s="144"/>
      <c r="D7" s="166"/>
      <c r="E7" s="144"/>
      <c r="F7" s="143"/>
      <c r="G7" s="195"/>
      <c r="H7" s="143"/>
      <c r="I7" s="195"/>
      <c r="J7" s="196"/>
      <c r="K7" s="142" t="s">
        <v>1785</v>
      </c>
    </row>
    <row r="8" spans="1:12" ht="16" customHeight="1">
      <c r="A8" s="167"/>
      <c r="B8" s="168"/>
      <c r="C8" s="147"/>
      <c r="D8" s="168"/>
      <c r="E8" s="147"/>
      <c r="F8" s="146"/>
      <c r="G8" s="199"/>
      <c r="H8" s="146"/>
      <c r="I8" s="199"/>
      <c r="J8" s="198"/>
      <c r="K8" s="199"/>
    </row>
    <row r="9" spans="1:12" ht="30" customHeight="1" thickBot="1">
      <c r="A9" s="689" t="s">
        <v>510</v>
      </c>
      <c r="B9" s="738">
        <v>208.02833699999999</v>
      </c>
      <c r="C9" s="739">
        <v>229.52549999999999</v>
      </c>
      <c r="D9" s="738">
        <v>252.184923</v>
      </c>
      <c r="E9" s="739">
        <v>278.32009199999999</v>
      </c>
      <c r="F9" s="738">
        <v>283.539986</v>
      </c>
      <c r="G9" s="739">
        <v>374.5</v>
      </c>
      <c r="H9" s="738">
        <v>462.54706099999999</v>
      </c>
      <c r="I9" s="739">
        <v>468.50032700000003</v>
      </c>
      <c r="J9" s="738">
        <v>487.51668699999999</v>
      </c>
      <c r="K9" s="211">
        <v>0.11232929067469333</v>
      </c>
      <c r="L9" s="9"/>
    </row>
    <row r="10" spans="1:12" ht="20" customHeight="1" thickBot="1">
      <c r="A10" s="681" t="s">
        <v>511</v>
      </c>
      <c r="B10" s="738">
        <v>302.45588199999997</v>
      </c>
      <c r="C10" s="739">
        <v>366.411</v>
      </c>
      <c r="D10" s="738">
        <v>401.072923</v>
      </c>
      <c r="E10" s="739">
        <v>440.72847000000002</v>
      </c>
      <c r="F10" s="738">
        <v>450.38905799999998</v>
      </c>
      <c r="G10" s="739">
        <v>445.1136643925189</v>
      </c>
      <c r="H10" s="738">
        <v>449.552413</v>
      </c>
      <c r="I10" s="739">
        <v>455.23220600000002</v>
      </c>
      <c r="J10" s="738">
        <v>460.17443200000002</v>
      </c>
      <c r="K10" s="211">
        <v>5.3859115234798249E-2</v>
      </c>
      <c r="L10" s="9"/>
    </row>
    <row r="11" spans="1:12" ht="20" customHeight="1" thickBot="1">
      <c r="A11" s="681" t="s">
        <v>512</v>
      </c>
      <c r="B11" s="738">
        <v>59.121053000000003</v>
      </c>
      <c r="C11" s="739">
        <v>62.993000000000002</v>
      </c>
      <c r="D11" s="738">
        <v>68.385987</v>
      </c>
      <c r="E11" s="739">
        <v>75.359249000000005</v>
      </c>
      <c r="F11" s="738">
        <v>76.206051000000002</v>
      </c>
      <c r="G11" s="739">
        <v>90.4</v>
      </c>
      <c r="H11" s="738">
        <v>109.296161</v>
      </c>
      <c r="I11" s="739">
        <v>130</v>
      </c>
      <c r="J11" s="738">
        <v>140.94784799999999</v>
      </c>
      <c r="K11" s="211">
        <v>0.11471677337907482</v>
      </c>
      <c r="L11" s="9"/>
    </row>
    <row r="12" spans="1:12" ht="20" customHeight="1" thickBot="1">
      <c r="A12" s="681" t="s">
        <v>513</v>
      </c>
      <c r="B12" s="738">
        <v>12.372119</v>
      </c>
      <c r="C12" s="739">
        <v>13.022</v>
      </c>
      <c r="D12" s="738">
        <v>10.546873</v>
      </c>
      <c r="E12" s="739">
        <v>9.482208</v>
      </c>
      <c r="F12" s="738">
        <v>9.4232610000000001</v>
      </c>
      <c r="G12" s="739">
        <v>9.3591941299035799</v>
      </c>
      <c r="H12" s="738">
        <v>9.7607149999999994</v>
      </c>
      <c r="I12" s="739">
        <v>9.8838629999999998</v>
      </c>
      <c r="J12" s="738">
        <v>12.693892</v>
      </c>
      <c r="K12" s="211">
        <v>3.2145881952319044E-3</v>
      </c>
      <c r="L12" s="9"/>
    </row>
    <row r="13" spans="1:12" ht="20" customHeight="1" thickBot="1">
      <c r="A13" s="681" t="s">
        <v>514</v>
      </c>
      <c r="B13" s="738">
        <v>20.749811000000001</v>
      </c>
      <c r="C13" s="739">
        <v>22.084499999999998</v>
      </c>
      <c r="D13" s="738">
        <v>24.426442999999999</v>
      </c>
      <c r="E13" s="739">
        <v>26.996661</v>
      </c>
      <c r="F13" s="738">
        <v>27.426707</v>
      </c>
      <c r="G13" s="739">
        <v>28.228442394075312</v>
      </c>
      <c r="H13" s="738">
        <v>48.576996000000001</v>
      </c>
      <c r="I13" s="739">
        <v>55.338946999999997</v>
      </c>
      <c r="J13" s="738">
        <v>52.040999999999997</v>
      </c>
      <c r="K13" s="211">
        <v>0.1218025838602137</v>
      </c>
      <c r="L13" s="9"/>
    </row>
    <row r="14" spans="1:12" ht="20" customHeight="1" thickBot="1">
      <c r="A14" s="681" t="s">
        <v>515</v>
      </c>
      <c r="B14" s="738">
        <v>5.4437319999999998</v>
      </c>
      <c r="C14" s="739">
        <v>5.7229999999999999</v>
      </c>
      <c r="D14" s="738">
        <v>6.2395350000000001</v>
      </c>
      <c r="E14" s="739">
        <v>8.2163050000000002</v>
      </c>
      <c r="F14" s="738">
        <v>13.891306999999999</v>
      </c>
      <c r="G14" s="739">
        <v>14.26696008169843</v>
      </c>
      <c r="H14" s="738">
        <v>15.217139</v>
      </c>
      <c r="I14" s="739">
        <v>15.401612999999999</v>
      </c>
      <c r="J14" s="738">
        <v>15.67867</v>
      </c>
      <c r="K14" s="211">
        <v>0.14137028145025399</v>
      </c>
      <c r="L14" s="9"/>
    </row>
    <row r="15" spans="1:12" ht="20" customHeight="1" thickBot="1">
      <c r="A15" s="681" t="s">
        <v>516</v>
      </c>
      <c r="B15" s="738">
        <v>6.0800130000000001</v>
      </c>
      <c r="C15" s="739">
        <v>6.4104999999999999</v>
      </c>
      <c r="D15" s="738">
        <v>8.5528999999999993</v>
      </c>
      <c r="E15" s="739">
        <v>7.7602570000000002</v>
      </c>
      <c r="F15" s="738">
        <v>7.8876049999999998</v>
      </c>
      <c r="G15" s="739">
        <v>8.0788652727799821</v>
      </c>
      <c r="H15" s="738">
        <v>8.7197600000000008</v>
      </c>
      <c r="I15" s="739">
        <v>8.8259209999999992</v>
      </c>
      <c r="J15" s="738">
        <v>9.7442200000000003</v>
      </c>
      <c r="K15" s="211">
        <v>6.0731147162544463E-2</v>
      </c>
      <c r="L15" s="9"/>
    </row>
    <row r="16" spans="1:12" ht="20" customHeight="1" thickBot="1">
      <c r="A16" s="681" t="s">
        <v>517</v>
      </c>
      <c r="B16" s="738">
        <v>6.8753640000000003</v>
      </c>
      <c r="C16" s="739">
        <v>7.1334999999999997</v>
      </c>
      <c r="D16" s="738">
        <v>11.703683</v>
      </c>
      <c r="E16" s="739">
        <v>10.225053000000001</v>
      </c>
      <c r="F16" s="738">
        <v>10.215057</v>
      </c>
      <c r="G16" s="739">
        <v>10.330177415570359</v>
      </c>
      <c r="H16" s="738">
        <v>12.645275</v>
      </c>
      <c r="I16" s="739">
        <v>12.804707000000001</v>
      </c>
      <c r="J16" s="738">
        <v>12.841858</v>
      </c>
      <c r="K16" s="211">
        <v>8.1226100601449414E-2</v>
      </c>
      <c r="L16" s="9"/>
    </row>
    <row r="17" spans="1:12" ht="20" customHeight="1" thickBot="1">
      <c r="A17" s="681" t="s">
        <v>518</v>
      </c>
      <c r="B17" s="738">
        <v>15.58887</v>
      </c>
      <c r="C17" s="739">
        <v>16.641999999999999</v>
      </c>
      <c r="D17" s="738">
        <v>18.408573000000001</v>
      </c>
      <c r="E17" s="739">
        <v>20.402721</v>
      </c>
      <c r="F17" s="738">
        <v>20.812159000000001</v>
      </c>
      <c r="G17" s="739">
        <v>21.509964723021834</v>
      </c>
      <c r="H17" s="738">
        <v>27.942114</v>
      </c>
      <c r="I17" s="739">
        <v>30.647459000000001</v>
      </c>
      <c r="J17" s="738">
        <v>34.179380000000002</v>
      </c>
      <c r="K17" s="211">
        <v>0.10310967370990975</v>
      </c>
      <c r="L17" s="9"/>
    </row>
    <row r="18" spans="1:12" ht="20" customHeight="1" thickBot="1">
      <c r="A18" s="681" t="s">
        <v>519</v>
      </c>
      <c r="B18" s="738">
        <v>77.661556000000004</v>
      </c>
      <c r="C18" s="739">
        <v>86.614000000000004</v>
      </c>
      <c r="D18" s="738">
        <v>94.908370000000005</v>
      </c>
      <c r="E18" s="739">
        <v>104.299892</v>
      </c>
      <c r="F18" s="738">
        <v>106.172915</v>
      </c>
      <c r="G18" s="739">
        <v>109.42260126347651</v>
      </c>
      <c r="H18" s="738">
        <v>112.121354</v>
      </c>
      <c r="I18" s="739">
        <v>113.533097</v>
      </c>
      <c r="J18" s="738">
        <v>115.768693</v>
      </c>
      <c r="K18" s="211">
        <v>5.1170417596425155E-2</v>
      </c>
      <c r="L18" s="9"/>
    </row>
    <row r="19" spans="1:12" ht="20" customHeight="1" thickBot="1">
      <c r="A19" s="681" t="s">
        <v>520</v>
      </c>
      <c r="B19" s="738">
        <v>41.428924000000002</v>
      </c>
      <c r="C19" s="739">
        <v>47.377760000000002</v>
      </c>
      <c r="D19" s="738">
        <v>48.877597000000002</v>
      </c>
      <c r="E19" s="739">
        <v>54.281216999999998</v>
      </c>
      <c r="F19" s="738">
        <v>65.992671999999999</v>
      </c>
      <c r="G19" s="739">
        <v>67.724899335484295</v>
      </c>
      <c r="H19" s="738">
        <v>71.053872999999996</v>
      </c>
      <c r="I19" s="739">
        <v>78.945880000000002</v>
      </c>
      <c r="J19" s="738">
        <v>79.791854000000001</v>
      </c>
      <c r="K19" s="211">
        <v>8.5380120217291244E-2</v>
      </c>
      <c r="L19" s="9"/>
    </row>
    <row r="20" spans="1:12" ht="20" customHeight="1" thickBot="1">
      <c r="A20" s="681" t="s">
        <v>521</v>
      </c>
      <c r="B20" s="738">
        <v>71.015961000000004</v>
      </c>
      <c r="C20" s="739">
        <v>79.185000000000002</v>
      </c>
      <c r="D20" s="738">
        <v>86.502579999999995</v>
      </c>
      <c r="E20" s="739">
        <v>94.720517999999998</v>
      </c>
      <c r="F20" s="738">
        <v>95.936736999999994</v>
      </c>
      <c r="G20" s="739">
        <v>97.711005187842218</v>
      </c>
      <c r="H20" s="738">
        <v>92.189965000000001</v>
      </c>
      <c r="I20" s="739">
        <v>94.847318999999999</v>
      </c>
      <c r="J20" s="738">
        <v>95.367525000000001</v>
      </c>
      <c r="K20" s="211">
        <v>3.7541717691952137E-2</v>
      </c>
      <c r="L20" s="9"/>
    </row>
    <row r="21" spans="1:12" ht="20" customHeight="1" thickBot="1">
      <c r="A21" s="681" t="s">
        <v>522</v>
      </c>
      <c r="B21" s="738">
        <v>49.96922</v>
      </c>
      <c r="C21" s="739">
        <v>75.2</v>
      </c>
      <c r="D21" s="738">
        <v>69</v>
      </c>
      <c r="E21" s="739">
        <v>68</v>
      </c>
      <c r="F21" s="738">
        <v>68.866</v>
      </c>
      <c r="G21" s="739">
        <v>70.599999999999994</v>
      </c>
      <c r="H21" s="738">
        <v>94.837588999999994</v>
      </c>
      <c r="I21" s="739">
        <v>100</v>
      </c>
      <c r="J21" s="738">
        <v>106.000001</v>
      </c>
      <c r="K21" s="211">
        <v>9.8564124740743386E-2</v>
      </c>
      <c r="L21" s="9"/>
    </row>
    <row r="22" spans="1:12" ht="20" customHeight="1" thickBot="1">
      <c r="A22" s="681" t="s">
        <v>523</v>
      </c>
      <c r="B22" s="738">
        <v>13.023387</v>
      </c>
      <c r="C22" s="739">
        <v>16.504200000000001</v>
      </c>
      <c r="D22" s="738">
        <v>19.61</v>
      </c>
      <c r="E22" s="739">
        <v>21.48</v>
      </c>
      <c r="F22" s="738">
        <v>21.7</v>
      </c>
      <c r="G22" s="739">
        <v>21</v>
      </c>
      <c r="H22" s="738">
        <v>26.869229000000001</v>
      </c>
      <c r="I22" s="739">
        <v>29</v>
      </c>
      <c r="J22" s="738">
        <v>32</v>
      </c>
      <c r="K22" s="211">
        <v>0.11893086569456646</v>
      </c>
      <c r="L22" s="9"/>
    </row>
    <row r="23" spans="1:12" ht="20" customHeight="1" thickBot="1">
      <c r="A23" s="681" t="s">
        <v>2047</v>
      </c>
      <c r="B23" s="738">
        <v>12.338538</v>
      </c>
      <c r="C23" s="739">
        <v>15.352069999999999</v>
      </c>
      <c r="D23" s="738">
        <v>11.720817</v>
      </c>
      <c r="E23" s="739">
        <v>19.864765999999999</v>
      </c>
      <c r="F23" s="738">
        <v>19.985984999999999</v>
      </c>
      <c r="G23" s="739">
        <v>17.692041315171217</v>
      </c>
      <c r="H23" s="738">
        <v>17.108695999999998</v>
      </c>
      <c r="I23" s="739">
        <v>20.382646000000001</v>
      </c>
      <c r="J23" s="738">
        <v>22.475936999999998</v>
      </c>
      <c r="K23" s="211">
        <v>7.7846120474337255E-2</v>
      </c>
      <c r="L23" s="9"/>
    </row>
    <row r="24" spans="1:12" ht="20" customHeight="1" thickBot="1">
      <c r="A24" s="681" t="s">
        <v>2048</v>
      </c>
      <c r="B24" s="738">
        <v>5.054894</v>
      </c>
      <c r="C24" s="739">
        <v>5.1719999999999997</v>
      </c>
      <c r="D24" s="738">
        <v>4.4902410000000001</v>
      </c>
      <c r="E24" s="739">
        <v>4.3181000000000003</v>
      </c>
      <c r="F24" s="738">
        <v>4.3823920000000003</v>
      </c>
      <c r="G24" s="739">
        <v>4.4641876788328441</v>
      </c>
      <c r="H24" s="738">
        <v>4.8611490000000002</v>
      </c>
      <c r="I24" s="739">
        <v>4.9188289999999997</v>
      </c>
      <c r="J24" s="738">
        <v>5.6849819999999998</v>
      </c>
      <c r="K24" s="211">
        <v>1.4792222616730299E-2</v>
      </c>
      <c r="L24" s="9"/>
    </row>
    <row r="25" spans="1:12" ht="20" customHeight="1" thickBot="1">
      <c r="A25" s="681" t="s">
        <v>2049</v>
      </c>
      <c r="B25" s="738">
        <v>77.060625000000002</v>
      </c>
      <c r="C25" s="739">
        <v>81.010999999999996</v>
      </c>
      <c r="D25" s="738">
        <v>88.668353999999994</v>
      </c>
      <c r="E25" s="739">
        <v>97.827527000000003</v>
      </c>
      <c r="F25" s="738">
        <v>107.107665</v>
      </c>
      <c r="G25" s="739">
        <v>108.57650572945687</v>
      </c>
      <c r="H25" s="738">
        <v>115.413934</v>
      </c>
      <c r="I25" s="739">
        <v>117.04388400000001</v>
      </c>
      <c r="J25" s="738">
        <v>118.834502</v>
      </c>
      <c r="K25" s="211">
        <v>5.5634931798504539E-2</v>
      </c>
      <c r="L25" s="9"/>
    </row>
    <row r="26" spans="1:12" ht="20" customHeight="1" thickBot="1">
      <c r="A26" s="681" t="s">
        <v>2050</v>
      </c>
      <c r="B26" s="738">
        <v>32.733091000000002</v>
      </c>
      <c r="C26" s="739">
        <v>44.806449999999998</v>
      </c>
      <c r="D26" s="738">
        <v>49.330170000000003</v>
      </c>
      <c r="E26" s="739">
        <v>50.118406</v>
      </c>
      <c r="F26" s="738">
        <v>44.911866000000003</v>
      </c>
      <c r="G26" s="739">
        <v>46.217323673464278</v>
      </c>
      <c r="H26" s="738">
        <v>52.626936000000001</v>
      </c>
      <c r="I26" s="739">
        <v>69.908443000000005</v>
      </c>
      <c r="J26" s="738">
        <v>59.013531999999998</v>
      </c>
      <c r="K26" s="211">
        <v>7.6454242665420447E-2</v>
      </c>
      <c r="L26" s="9"/>
    </row>
    <row r="27" spans="1:12" ht="20" customHeight="1" thickBot="1">
      <c r="A27" s="681" t="s">
        <v>2051</v>
      </c>
      <c r="B27" s="738">
        <v>91.058794000000006</v>
      </c>
      <c r="C27" s="739">
        <v>95.263999999999996</v>
      </c>
      <c r="D27" s="738">
        <v>104.94936300000001</v>
      </c>
      <c r="E27" s="739">
        <v>116.237341</v>
      </c>
      <c r="F27" s="738">
        <v>118.30915400000001</v>
      </c>
      <c r="G27" s="739">
        <v>121.96191314696804</v>
      </c>
      <c r="H27" s="738">
        <v>128.05476100000001</v>
      </c>
      <c r="I27" s="739">
        <v>140</v>
      </c>
      <c r="J27" s="738">
        <v>145</v>
      </c>
      <c r="K27" s="211">
        <v>5.9877721693647246E-2</v>
      </c>
      <c r="L27" s="9"/>
    </row>
    <row r="28" spans="1:12" ht="20" customHeight="1" thickBot="1">
      <c r="A28" s="681" t="s">
        <v>2052</v>
      </c>
      <c r="B28" s="738">
        <v>76.282949000000002</v>
      </c>
      <c r="C28" s="739">
        <v>79.948999999999998</v>
      </c>
      <c r="D28" s="738">
        <v>89.029636999999994</v>
      </c>
      <c r="E28" s="739">
        <v>99.167377000000002</v>
      </c>
      <c r="F28" s="738">
        <v>101.064455</v>
      </c>
      <c r="G28" s="739">
        <v>103.64968751452297</v>
      </c>
      <c r="H28" s="738">
        <v>107.566062</v>
      </c>
      <c r="I28" s="739">
        <v>109.081074</v>
      </c>
      <c r="J28" s="738">
        <v>110.19958099999999</v>
      </c>
      <c r="K28" s="211">
        <v>4.7053947965659981E-2</v>
      </c>
      <c r="L28" s="9"/>
    </row>
    <row r="29" spans="1:12" ht="20" customHeight="1" thickBot="1">
      <c r="A29" s="681" t="s">
        <v>2053</v>
      </c>
      <c r="B29" s="738">
        <v>104.03184400000001</v>
      </c>
      <c r="C29" s="739">
        <v>117.878</v>
      </c>
      <c r="D29" s="738">
        <v>129.50498099999999</v>
      </c>
      <c r="E29" s="739">
        <v>142.82915299999999</v>
      </c>
      <c r="F29" s="738">
        <v>143.635469</v>
      </c>
      <c r="G29" s="739">
        <v>147.12041913599123</v>
      </c>
      <c r="H29" s="738">
        <v>148.05582799999999</v>
      </c>
      <c r="I29" s="739">
        <v>151.49846500000001</v>
      </c>
      <c r="J29" s="738">
        <v>151.00535500000001</v>
      </c>
      <c r="K29" s="211">
        <v>4.7679042564432894E-2</v>
      </c>
      <c r="L29" s="9"/>
    </row>
    <row r="30" spans="1:12" ht="20" customHeight="1" thickBot="1">
      <c r="A30" s="681" t="s">
        <v>2054</v>
      </c>
      <c r="B30" s="738">
        <v>214.67393300000001</v>
      </c>
      <c r="C30" s="739">
        <v>253.94399999999999</v>
      </c>
      <c r="D30" s="738">
        <v>273.51549499999999</v>
      </c>
      <c r="E30" s="739">
        <v>298.11779300000001</v>
      </c>
      <c r="F30" s="738">
        <v>301.99840399999999</v>
      </c>
      <c r="G30" s="739">
        <v>309.29850757185102</v>
      </c>
      <c r="H30" s="738">
        <v>297.95711699999998</v>
      </c>
      <c r="I30" s="739">
        <v>302.25278400000002</v>
      </c>
      <c r="J30" s="738">
        <v>307.31336900000002</v>
      </c>
      <c r="K30" s="211">
        <v>4.5864128394714099E-2</v>
      </c>
      <c r="L30" s="9"/>
    </row>
    <row r="31" spans="1:12" ht="20" customHeight="1" thickBot="1">
      <c r="A31" s="681" t="s">
        <v>2055</v>
      </c>
      <c r="B31" s="738">
        <v>93.321123</v>
      </c>
      <c r="C31" s="739">
        <v>102.413</v>
      </c>
      <c r="D31" s="738">
        <v>110.830467</v>
      </c>
      <c r="E31" s="739">
        <v>120.494721</v>
      </c>
      <c r="F31" s="738">
        <v>121.71149</v>
      </c>
      <c r="G31" s="739">
        <v>123.17747842133434</v>
      </c>
      <c r="H31" s="738">
        <v>128.974806</v>
      </c>
      <c r="I31" s="739">
        <v>130.68113700000001</v>
      </c>
      <c r="J31" s="738">
        <v>132.66772</v>
      </c>
      <c r="K31" s="211">
        <v>4.4956384178559183E-2</v>
      </c>
      <c r="L31" s="9"/>
    </row>
    <row r="32" spans="1:12" ht="20" customHeight="1" thickBot="1">
      <c r="A32" s="681" t="s">
        <v>2056</v>
      </c>
      <c r="B32" s="738">
        <v>58.042910999999997</v>
      </c>
      <c r="C32" s="739">
        <v>63.843000000000004</v>
      </c>
      <c r="D32" s="738">
        <v>70.720545999999999</v>
      </c>
      <c r="E32" s="739">
        <v>78.427205999999998</v>
      </c>
      <c r="F32" s="738">
        <v>79.717989000000003</v>
      </c>
      <c r="G32" s="739">
        <v>81.360590227278706</v>
      </c>
      <c r="H32" s="738">
        <v>78.859297999999995</v>
      </c>
      <c r="I32" s="739">
        <v>80.079772000000006</v>
      </c>
      <c r="J32" s="738">
        <v>81.016658000000007</v>
      </c>
      <c r="K32" s="211">
        <v>4.2565003009032099E-2</v>
      </c>
      <c r="L32" s="9"/>
    </row>
    <row r="33" spans="1:15" ht="20" customHeight="1" thickBot="1">
      <c r="A33" s="681" t="s">
        <v>2057</v>
      </c>
      <c r="B33" s="738">
        <v>137.43656300000001</v>
      </c>
      <c r="C33" s="739">
        <v>166.33799999999999</v>
      </c>
      <c r="D33" s="738">
        <v>181.58435900000001</v>
      </c>
      <c r="E33" s="739">
        <v>197.51832300000001</v>
      </c>
      <c r="F33" s="738">
        <v>199.71304699999999</v>
      </c>
      <c r="G33" s="739">
        <v>207.30310235958041</v>
      </c>
      <c r="H33" s="738">
        <v>195.58747399999999</v>
      </c>
      <c r="I33" s="739">
        <v>199.63336899999999</v>
      </c>
      <c r="J33" s="738">
        <v>204.345204</v>
      </c>
      <c r="K33" s="211">
        <v>5.0830744088356861E-2</v>
      </c>
    </row>
    <row r="34" spans="1:15" ht="20" customHeight="1" thickBot="1">
      <c r="A34" s="681" t="s">
        <v>2058</v>
      </c>
      <c r="B34" s="738">
        <v>23.719118999999999</v>
      </c>
      <c r="C34" s="739">
        <v>26.375</v>
      </c>
      <c r="D34" s="738">
        <v>28.527671000000002</v>
      </c>
      <c r="E34" s="739">
        <v>31.454294999999998</v>
      </c>
      <c r="F34" s="738">
        <v>31.835632</v>
      </c>
      <c r="G34" s="739">
        <v>32.558516196523982</v>
      </c>
      <c r="H34" s="738">
        <v>32.030568000000002</v>
      </c>
      <c r="I34" s="739">
        <v>32.617581000000001</v>
      </c>
      <c r="J34" s="738">
        <v>32.950204999999997</v>
      </c>
      <c r="K34" s="211">
        <v>4.1945362083801063E-2</v>
      </c>
      <c r="M34" s="10"/>
      <c r="N34" s="10"/>
      <c r="O34" s="10"/>
    </row>
    <row r="35" spans="1:15" s="205" customFormat="1" ht="30" customHeight="1" thickBot="1">
      <c r="A35" s="695" t="s">
        <v>2059</v>
      </c>
      <c r="B35" s="740">
        <v>1815.5686129999999</v>
      </c>
      <c r="C35" s="741">
        <v>2087.17148</v>
      </c>
      <c r="D35" s="740">
        <v>2263.292488</v>
      </c>
      <c r="E35" s="741">
        <v>2476.6476510000002</v>
      </c>
      <c r="F35" s="740">
        <v>2532.833063</v>
      </c>
      <c r="G35" s="741">
        <v>2671.6260471673481</v>
      </c>
      <c r="H35" s="740">
        <v>2848.426273</v>
      </c>
      <c r="I35" s="741">
        <v>2961.0593229999999</v>
      </c>
      <c r="J35" s="742">
        <v>3025.2531049999998</v>
      </c>
      <c r="K35" s="737">
        <v>6.5905323291192586E-2</v>
      </c>
    </row>
    <row r="36" spans="1:15" ht="20" customHeight="1">
      <c r="A36" s="692" t="s">
        <v>248</v>
      </c>
      <c r="B36" s="489"/>
      <c r="C36" s="489"/>
      <c r="D36" s="489"/>
      <c r="E36" s="489"/>
      <c r="F36" s="489"/>
      <c r="G36" s="489"/>
      <c r="H36" s="489"/>
      <c r="I36" s="743"/>
    </row>
    <row r="37" spans="1:15" ht="11.25" customHeight="1">
      <c r="A37" s="4"/>
      <c r="B37" s="491"/>
      <c r="C37" s="491"/>
      <c r="D37" s="491"/>
      <c r="E37" s="491"/>
      <c r="F37" s="491"/>
      <c r="G37" s="491"/>
      <c r="H37" s="491"/>
      <c r="I37" s="744"/>
    </row>
    <row r="38" spans="1:15">
      <c r="A38" s="2" t="s">
        <v>387</v>
      </c>
    </row>
    <row r="41" spans="1:15">
      <c r="A41" s="2" t="s">
        <v>104</v>
      </c>
    </row>
  </sheetData>
  <phoneticPr fontId="0" type="noConversion"/>
  <pageMargins left="0.56000000000000005" right="0.51" top="0.83" bottom="0.49" header="0.47" footer="0.4921259845"/>
  <pageSetup paperSize="9" scale="81" orientation="portrait" horizontalDpi="1200" verticalDpi="1200"/>
  <headerFooter alignWithMargins="0">
    <oddHeader>&amp;L&amp;"Arial,Bold"Prämienverbilligung in der OKP</oddHead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9FABC-E971-2040-B4D5-61D80B514C8F}">
  <sheetPr>
    <pageSetUpPr fitToPage="1"/>
  </sheetPr>
  <dimension ref="A1:O43"/>
  <sheetViews>
    <sheetView zoomScale="75" workbookViewId="0">
      <selection sqref="A1:K43"/>
    </sheetView>
  </sheetViews>
  <sheetFormatPr baseColWidth="10" defaultColWidth="11.3984375" defaultRowHeight="13"/>
  <cols>
    <col min="1" max="1" width="11.19921875" style="2" customWidth="1"/>
    <col min="2" max="6" width="10.19921875" style="2" customWidth="1"/>
    <col min="7" max="7" width="10.19921875" style="162" customWidth="1"/>
    <col min="8" max="8" width="10.19921875" style="2" customWidth="1"/>
    <col min="9" max="10" width="10.19921875" style="162" customWidth="1"/>
    <col min="11" max="11" width="12.19921875" style="23" customWidth="1"/>
    <col min="12" max="16384" width="11.3984375" style="2"/>
  </cols>
  <sheetData>
    <row r="1" spans="1:12" s="1" customFormat="1" ht="14" customHeight="1">
      <c r="G1" s="193"/>
      <c r="I1" s="193"/>
      <c r="J1" s="193"/>
      <c r="K1" s="209"/>
    </row>
    <row r="2" spans="1:12" s="1" customFormat="1" ht="28" customHeight="1">
      <c r="A2" s="178" t="s">
        <v>389</v>
      </c>
      <c r="G2" s="193"/>
      <c r="I2" s="621"/>
      <c r="J2" s="621"/>
      <c r="K2" s="621">
        <v>2004</v>
      </c>
    </row>
    <row r="3" spans="1:12" ht="24" customHeight="1">
      <c r="A3" s="139"/>
      <c r="B3" s="164"/>
      <c r="C3" s="141"/>
      <c r="D3" s="164"/>
      <c r="E3" s="139"/>
      <c r="F3" s="163"/>
      <c r="G3" s="141"/>
      <c r="H3" s="164"/>
      <c r="I3" s="141"/>
      <c r="J3" s="164"/>
      <c r="K3" s="210"/>
    </row>
    <row r="4" spans="1:12" ht="15" customHeight="1">
      <c r="A4" s="165" t="s">
        <v>503</v>
      </c>
      <c r="B4" s="166">
        <v>1996</v>
      </c>
      <c r="C4" s="144">
        <v>1997</v>
      </c>
      <c r="D4" s="166">
        <v>1998</v>
      </c>
      <c r="E4" s="144">
        <v>1999</v>
      </c>
      <c r="F4" s="166">
        <v>2000</v>
      </c>
      <c r="G4" s="144">
        <v>2001</v>
      </c>
      <c r="H4" s="166">
        <v>2002</v>
      </c>
      <c r="I4" s="144">
        <v>2003</v>
      </c>
      <c r="J4" s="166">
        <v>2004</v>
      </c>
      <c r="K4" s="142" t="s">
        <v>386</v>
      </c>
    </row>
    <row r="5" spans="1:12" ht="15" customHeight="1">
      <c r="A5" s="165"/>
      <c r="B5" s="166"/>
      <c r="C5" s="144"/>
      <c r="D5" s="166"/>
      <c r="E5" s="144"/>
      <c r="F5" s="143"/>
      <c r="G5" s="197"/>
      <c r="H5" s="143"/>
      <c r="I5" s="197"/>
      <c r="J5" s="143"/>
      <c r="K5" s="142" t="s">
        <v>1784</v>
      </c>
    </row>
    <row r="6" spans="1:12" ht="15" customHeight="1">
      <c r="A6" s="165"/>
      <c r="B6" s="166"/>
      <c r="C6" s="144"/>
      <c r="D6" s="166"/>
      <c r="E6" s="144"/>
      <c r="F6" s="143"/>
      <c r="G6" s="197"/>
      <c r="H6" s="143"/>
      <c r="I6" s="197"/>
      <c r="J6" s="143"/>
      <c r="K6" s="142"/>
    </row>
    <row r="7" spans="1:12" ht="15" customHeight="1">
      <c r="A7" s="165"/>
      <c r="B7" s="166"/>
      <c r="C7" s="144"/>
      <c r="D7" s="166"/>
      <c r="E7" s="144"/>
      <c r="F7" s="143"/>
      <c r="G7" s="197"/>
      <c r="H7" s="143"/>
      <c r="I7" s="197"/>
      <c r="J7" s="143"/>
      <c r="K7" s="142"/>
    </row>
    <row r="8" spans="1:12" ht="16" customHeight="1">
      <c r="A8" s="167"/>
      <c r="B8" s="168"/>
      <c r="C8" s="147"/>
      <c r="D8" s="168"/>
      <c r="E8" s="147"/>
      <c r="F8" s="146"/>
      <c r="G8" s="200"/>
      <c r="H8" s="146"/>
      <c r="I8" s="200"/>
      <c r="J8" s="146"/>
      <c r="K8" s="145"/>
    </row>
    <row r="9" spans="1:12" ht="30" customHeight="1" thickBot="1">
      <c r="A9" s="689" t="s">
        <v>510</v>
      </c>
      <c r="B9" s="478">
        <v>0.5</v>
      </c>
      <c r="C9" s="466">
        <v>0.5</v>
      </c>
      <c r="D9" s="478">
        <v>0.5</v>
      </c>
      <c r="E9" s="466">
        <v>0.5</v>
      </c>
      <c r="F9" s="478">
        <v>0.5</v>
      </c>
      <c r="G9" s="626">
        <v>0.65864001941811379</v>
      </c>
      <c r="H9" s="478">
        <v>0.8</v>
      </c>
      <c r="I9" s="626">
        <v>0.79999999965848478</v>
      </c>
      <c r="J9" s="523">
        <v>0.81499999970231829</v>
      </c>
      <c r="K9" s="211">
        <v>0.61929333541987974</v>
      </c>
      <c r="L9" s="9"/>
    </row>
    <row r="10" spans="1:12" ht="20" customHeight="1" thickBot="1">
      <c r="A10" s="681" t="s">
        <v>511</v>
      </c>
      <c r="B10" s="478">
        <v>0.9</v>
      </c>
      <c r="C10" s="466">
        <v>1</v>
      </c>
      <c r="D10" s="478">
        <v>1</v>
      </c>
      <c r="E10" s="466">
        <v>1</v>
      </c>
      <c r="F10" s="478">
        <v>1</v>
      </c>
      <c r="G10" s="626">
        <v>1</v>
      </c>
      <c r="H10" s="478">
        <v>1</v>
      </c>
      <c r="I10" s="626">
        <v>1</v>
      </c>
      <c r="J10" s="523">
        <v>0.99999999999481659</v>
      </c>
      <c r="K10" s="211">
        <v>0.98888888888831294</v>
      </c>
      <c r="L10" s="9"/>
    </row>
    <row r="11" spans="1:12" ht="20" customHeight="1" thickBot="1">
      <c r="A11" s="681" t="s">
        <v>512</v>
      </c>
      <c r="B11" s="478">
        <v>0.5</v>
      </c>
      <c r="C11" s="466">
        <v>0.5</v>
      </c>
      <c r="D11" s="478">
        <v>0.5</v>
      </c>
      <c r="E11" s="466">
        <v>0.5</v>
      </c>
      <c r="F11" s="478">
        <v>0.5</v>
      </c>
      <c r="G11" s="626">
        <v>0.58473787438369773</v>
      </c>
      <c r="H11" s="478">
        <v>0.67</v>
      </c>
      <c r="I11" s="626">
        <v>0.78706746919133375</v>
      </c>
      <c r="J11" s="523">
        <v>0.83899999699917016</v>
      </c>
      <c r="K11" s="211">
        <v>0.5978672600638002</v>
      </c>
      <c r="L11" s="9"/>
    </row>
    <row r="12" spans="1:12" ht="20" customHeight="1" thickBot="1">
      <c r="A12" s="681" t="s">
        <v>513</v>
      </c>
      <c r="B12" s="478">
        <v>1</v>
      </c>
      <c r="C12" s="466">
        <v>1</v>
      </c>
      <c r="D12" s="478">
        <v>0.75</v>
      </c>
      <c r="E12" s="466">
        <v>0.62</v>
      </c>
      <c r="F12" s="478">
        <v>0.61299999999999999</v>
      </c>
      <c r="G12" s="626">
        <v>0.6</v>
      </c>
      <c r="H12" s="478">
        <v>0.6</v>
      </c>
      <c r="I12" s="626">
        <v>0.6</v>
      </c>
      <c r="J12" s="523">
        <v>0.76999996981502905</v>
      </c>
      <c r="K12" s="211">
        <v>0.72811110775722532</v>
      </c>
      <c r="L12" s="9"/>
    </row>
    <row r="13" spans="1:12" ht="20" customHeight="1" thickBot="1">
      <c r="A13" s="681" t="s">
        <v>514</v>
      </c>
      <c r="B13" s="478">
        <v>0.5</v>
      </c>
      <c r="C13" s="466">
        <v>0.5</v>
      </c>
      <c r="D13" s="478">
        <v>0.5</v>
      </c>
      <c r="E13" s="466">
        <v>0.5</v>
      </c>
      <c r="F13" s="478">
        <v>0.5</v>
      </c>
      <c r="G13" s="626">
        <v>0.5</v>
      </c>
      <c r="H13" s="478">
        <v>0.8</v>
      </c>
      <c r="I13" s="626">
        <v>0.89999999837365896</v>
      </c>
      <c r="J13" s="523">
        <v>0.82780553636797671</v>
      </c>
      <c r="K13" s="211">
        <v>0.61420061497129275</v>
      </c>
      <c r="L13" s="9"/>
    </row>
    <row r="14" spans="1:12" ht="20" customHeight="1" thickBot="1">
      <c r="A14" s="681" t="s">
        <v>515</v>
      </c>
      <c r="B14" s="478">
        <v>0.5</v>
      </c>
      <c r="C14" s="466">
        <v>0.5</v>
      </c>
      <c r="D14" s="478">
        <v>0.5</v>
      </c>
      <c r="E14" s="466">
        <v>0.6</v>
      </c>
      <c r="F14" s="478">
        <v>1</v>
      </c>
      <c r="G14" s="626">
        <v>1</v>
      </c>
      <c r="H14" s="478">
        <v>1</v>
      </c>
      <c r="I14" s="626">
        <v>1</v>
      </c>
      <c r="J14" s="523">
        <v>1.0000000322052827</v>
      </c>
      <c r="K14" s="211">
        <v>0.78888889246725358</v>
      </c>
      <c r="L14" s="9"/>
    </row>
    <row r="15" spans="1:12" ht="20" customHeight="1" thickBot="1">
      <c r="A15" s="681" t="s">
        <v>516</v>
      </c>
      <c r="B15" s="478">
        <v>0.5</v>
      </c>
      <c r="C15" s="466">
        <v>0.5</v>
      </c>
      <c r="D15" s="478">
        <v>0.60799999999999998</v>
      </c>
      <c r="E15" s="466">
        <v>0.5</v>
      </c>
      <c r="F15" s="478">
        <v>0.5</v>
      </c>
      <c r="G15" s="626">
        <v>0.5</v>
      </c>
      <c r="H15" s="478">
        <v>0.5</v>
      </c>
      <c r="I15" s="626">
        <v>0.5</v>
      </c>
      <c r="J15" s="523">
        <v>0.54000001462100267</v>
      </c>
      <c r="K15" s="211">
        <v>0.51644444606900031</v>
      </c>
      <c r="L15" s="9"/>
    </row>
    <row r="16" spans="1:12" ht="20" customHeight="1" thickBot="1">
      <c r="A16" s="681" t="s">
        <v>517</v>
      </c>
      <c r="B16" s="478">
        <v>0.5</v>
      </c>
      <c r="C16" s="466">
        <v>0.5</v>
      </c>
      <c r="D16" s="478">
        <v>0.75</v>
      </c>
      <c r="E16" s="466">
        <v>0.6</v>
      </c>
      <c r="F16" s="478">
        <v>0.6</v>
      </c>
      <c r="G16" s="626">
        <v>0.6</v>
      </c>
      <c r="H16" s="478">
        <v>0.7</v>
      </c>
      <c r="I16" s="626">
        <v>0.70000002186695942</v>
      </c>
      <c r="J16" s="523">
        <v>0.70000003888237883</v>
      </c>
      <c r="K16" s="211">
        <v>0.62777778452770427</v>
      </c>
      <c r="L16" s="9"/>
    </row>
    <row r="17" spans="1:12" ht="20" customHeight="1" thickBot="1">
      <c r="A17" s="681" t="s">
        <v>518</v>
      </c>
      <c r="B17" s="478">
        <v>0.5</v>
      </c>
      <c r="C17" s="466">
        <v>0.5</v>
      </c>
      <c r="D17" s="478">
        <v>0.5</v>
      </c>
      <c r="E17" s="466">
        <v>0.5</v>
      </c>
      <c r="F17" s="478">
        <v>0.5</v>
      </c>
      <c r="G17" s="626">
        <v>0.5</v>
      </c>
      <c r="H17" s="478">
        <v>0.6</v>
      </c>
      <c r="I17" s="626">
        <v>0.6500000127253619</v>
      </c>
      <c r="J17" s="523">
        <v>0.70653317887771261</v>
      </c>
      <c r="K17" s="211">
        <v>0.55072591017811945</v>
      </c>
      <c r="L17" s="9"/>
    </row>
    <row r="18" spans="1:12" ht="20" customHeight="1" thickBot="1">
      <c r="A18" s="681" t="s">
        <v>519</v>
      </c>
      <c r="B18" s="478">
        <v>1</v>
      </c>
      <c r="C18" s="466">
        <v>1</v>
      </c>
      <c r="D18" s="478">
        <v>1</v>
      </c>
      <c r="E18" s="466">
        <v>1</v>
      </c>
      <c r="F18" s="478">
        <v>1</v>
      </c>
      <c r="G18" s="626">
        <v>1</v>
      </c>
      <c r="H18" s="478">
        <v>1</v>
      </c>
      <c r="I18" s="626">
        <v>1</v>
      </c>
      <c r="J18" s="523">
        <v>0.99999999672730089</v>
      </c>
      <c r="K18" s="211">
        <v>0.99999999963636677</v>
      </c>
      <c r="L18" s="9"/>
    </row>
    <row r="19" spans="1:12" ht="20" customHeight="1" thickBot="1">
      <c r="A19" s="681" t="s">
        <v>520</v>
      </c>
      <c r="B19" s="478">
        <v>0.5</v>
      </c>
      <c r="C19" s="466">
        <v>0.53</v>
      </c>
      <c r="D19" s="478">
        <v>0.5</v>
      </c>
      <c r="E19" s="466">
        <v>0.5</v>
      </c>
      <c r="F19" s="478">
        <v>0.6</v>
      </c>
      <c r="G19" s="626">
        <v>0.6</v>
      </c>
      <c r="H19" s="478">
        <v>0.62</v>
      </c>
      <c r="I19" s="626">
        <v>0.67999999621006191</v>
      </c>
      <c r="J19" s="523">
        <v>0.68000000078440437</v>
      </c>
      <c r="K19" s="211">
        <v>0.57888888855494069</v>
      </c>
      <c r="L19" s="9"/>
    </row>
    <row r="20" spans="1:12" ht="20" customHeight="1" thickBot="1">
      <c r="A20" s="681" t="s">
        <v>521</v>
      </c>
      <c r="B20" s="478">
        <v>1</v>
      </c>
      <c r="C20" s="466">
        <v>1</v>
      </c>
      <c r="D20" s="478">
        <v>1</v>
      </c>
      <c r="E20" s="466">
        <v>1</v>
      </c>
      <c r="F20" s="478">
        <v>1</v>
      </c>
      <c r="G20" s="626">
        <v>1</v>
      </c>
      <c r="H20" s="478">
        <v>1</v>
      </c>
      <c r="I20" s="626">
        <v>1</v>
      </c>
      <c r="J20" s="523">
        <v>1.000000005592367</v>
      </c>
      <c r="K20" s="211">
        <v>1.0000000006213741</v>
      </c>
      <c r="L20" s="9"/>
    </row>
    <row r="21" spans="1:12" ht="20" customHeight="1" thickBot="1">
      <c r="A21" s="681" t="s">
        <v>522</v>
      </c>
      <c r="B21" s="478">
        <v>0.56999999999999995</v>
      </c>
      <c r="C21" s="466">
        <v>0.78300000000000003</v>
      </c>
      <c r="D21" s="478">
        <v>0.65</v>
      </c>
      <c r="E21" s="466">
        <v>0.5875999999999999</v>
      </c>
      <c r="F21" s="478">
        <v>0.58750000000000002</v>
      </c>
      <c r="G21" s="626">
        <v>0.58790310592613926</v>
      </c>
      <c r="H21" s="478">
        <v>0.77339999999999998</v>
      </c>
      <c r="I21" s="626">
        <v>0.80023864396744937</v>
      </c>
      <c r="J21" s="523">
        <v>0.83603321033767375</v>
      </c>
      <c r="K21" s="211">
        <v>0.68618610669236246</v>
      </c>
      <c r="L21" s="9"/>
    </row>
    <row r="22" spans="1:12" ht="20" customHeight="1" thickBot="1">
      <c r="A22" s="681" t="s">
        <v>523</v>
      </c>
      <c r="B22" s="478">
        <v>0.504</v>
      </c>
      <c r="C22" s="466">
        <v>0.6</v>
      </c>
      <c r="D22" s="478">
        <v>0.65300000000000002</v>
      </c>
      <c r="E22" s="466">
        <v>0.65</v>
      </c>
      <c r="F22" s="478">
        <v>0.64779999999999993</v>
      </c>
      <c r="G22" s="626">
        <v>0.6175728838238721</v>
      </c>
      <c r="H22" s="478">
        <v>0.77400000000000002</v>
      </c>
      <c r="I22" s="626">
        <v>0.82089275087161828</v>
      </c>
      <c r="J22" s="523">
        <v>0.89877600676572589</v>
      </c>
      <c r="K22" s="211">
        <v>0.68511573794013503</v>
      </c>
      <c r="L22" s="9"/>
    </row>
    <row r="23" spans="1:12" ht="20" customHeight="1" thickBot="1">
      <c r="A23" s="681" t="s">
        <v>2047</v>
      </c>
      <c r="B23" s="478">
        <v>0.65</v>
      </c>
      <c r="C23" s="466">
        <v>0.79</v>
      </c>
      <c r="D23" s="478">
        <v>0.55000000000000004</v>
      </c>
      <c r="E23" s="466">
        <v>0.85</v>
      </c>
      <c r="F23" s="478">
        <v>0.85</v>
      </c>
      <c r="G23" s="626">
        <v>0.74</v>
      </c>
      <c r="H23" s="478">
        <v>0.68</v>
      </c>
      <c r="I23" s="626">
        <v>0.80000001569963031</v>
      </c>
      <c r="J23" s="523">
        <v>0.87883066769107976</v>
      </c>
      <c r="K23" s="211">
        <v>0.75431452037674562</v>
      </c>
      <c r="L23" s="9"/>
    </row>
    <row r="24" spans="1:12" ht="20" customHeight="1" thickBot="1">
      <c r="A24" s="681" t="s">
        <v>2048</v>
      </c>
      <c r="B24" s="478">
        <v>1</v>
      </c>
      <c r="C24" s="466">
        <v>1</v>
      </c>
      <c r="D24" s="478">
        <v>0.8</v>
      </c>
      <c r="E24" s="466">
        <v>0.7</v>
      </c>
      <c r="F24" s="478">
        <v>0.7</v>
      </c>
      <c r="G24" s="626">
        <v>0.7</v>
      </c>
      <c r="H24" s="478">
        <v>0.7</v>
      </c>
      <c r="I24" s="626">
        <v>0.70000015654135817</v>
      </c>
      <c r="J24" s="523">
        <v>0.79999987871377132</v>
      </c>
      <c r="K24" s="211">
        <v>0.78888889280612551</v>
      </c>
      <c r="L24" s="9"/>
    </row>
    <row r="25" spans="1:12" ht="20" customHeight="1" thickBot="1">
      <c r="A25" s="681" t="s">
        <v>2049</v>
      </c>
      <c r="B25" s="478">
        <v>0.5</v>
      </c>
      <c r="C25" s="466">
        <v>0.5</v>
      </c>
      <c r="D25" s="478">
        <v>0.5</v>
      </c>
      <c r="E25" s="466">
        <v>0.5</v>
      </c>
      <c r="F25" s="478">
        <v>0.54</v>
      </c>
      <c r="G25" s="626">
        <v>0.54</v>
      </c>
      <c r="H25" s="478">
        <v>0.54400000000000004</v>
      </c>
      <c r="I25" s="626">
        <v>0.5440000038669941</v>
      </c>
      <c r="J25" s="523">
        <v>0.54400000196763698</v>
      </c>
      <c r="K25" s="211">
        <v>0.52355555620384786</v>
      </c>
      <c r="L25" s="9"/>
    </row>
    <row r="26" spans="1:12" ht="20" customHeight="1" thickBot="1">
      <c r="A26" s="681" t="s">
        <v>2050</v>
      </c>
      <c r="B26" s="478">
        <v>0.5</v>
      </c>
      <c r="C26" s="466">
        <v>0.65</v>
      </c>
      <c r="D26" s="478">
        <v>0.65</v>
      </c>
      <c r="E26" s="466">
        <v>0.6</v>
      </c>
      <c r="F26" s="478">
        <v>0.53560000000000008</v>
      </c>
      <c r="G26" s="626">
        <v>0.55000000000000004</v>
      </c>
      <c r="H26" s="478">
        <v>0.59</v>
      </c>
      <c r="I26" s="626">
        <v>0.77245301370620278</v>
      </c>
      <c r="J26" s="523">
        <v>0.64634849675264472</v>
      </c>
      <c r="K26" s="211">
        <v>0.61048905671764975</v>
      </c>
      <c r="L26" s="9"/>
    </row>
    <row r="27" spans="1:12" ht="20" customHeight="1" thickBot="1">
      <c r="A27" s="681" t="s">
        <v>2051</v>
      </c>
      <c r="B27" s="478">
        <v>0.5</v>
      </c>
      <c r="C27" s="466">
        <v>0.5</v>
      </c>
      <c r="D27" s="478">
        <v>0.5</v>
      </c>
      <c r="E27" s="466">
        <v>0.5</v>
      </c>
      <c r="F27" s="478">
        <v>0.5</v>
      </c>
      <c r="G27" s="626">
        <v>0.5</v>
      </c>
      <c r="H27" s="478">
        <v>0.5</v>
      </c>
      <c r="I27" s="626">
        <v>0.53899477013374542</v>
      </c>
      <c r="J27" s="523">
        <v>0.54808962780772874</v>
      </c>
      <c r="K27" s="211">
        <v>0.50967604421571933</v>
      </c>
      <c r="L27" s="9"/>
    </row>
    <row r="28" spans="1:12" ht="20" customHeight="1" thickBot="1">
      <c r="A28" s="681" t="s">
        <v>2052</v>
      </c>
      <c r="B28" s="478">
        <v>1</v>
      </c>
      <c r="C28" s="466">
        <v>1</v>
      </c>
      <c r="D28" s="478">
        <v>1</v>
      </c>
      <c r="E28" s="466">
        <v>1</v>
      </c>
      <c r="F28" s="478">
        <v>1</v>
      </c>
      <c r="G28" s="626">
        <v>1</v>
      </c>
      <c r="H28" s="478">
        <v>1</v>
      </c>
      <c r="I28" s="626">
        <v>1</v>
      </c>
      <c r="J28" s="523">
        <v>1.0000000040280257</v>
      </c>
      <c r="K28" s="211">
        <v>1.0000000004475584</v>
      </c>
      <c r="L28" s="9"/>
    </row>
    <row r="29" spans="1:12" ht="20" customHeight="1" thickBot="1">
      <c r="A29" s="681" t="s">
        <v>2053</v>
      </c>
      <c r="B29" s="478">
        <v>1</v>
      </c>
      <c r="C29" s="466">
        <v>1</v>
      </c>
      <c r="D29" s="478">
        <v>1</v>
      </c>
      <c r="E29" s="466">
        <v>1</v>
      </c>
      <c r="F29" s="478">
        <v>1</v>
      </c>
      <c r="G29" s="626">
        <v>1</v>
      </c>
      <c r="H29" s="478">
        <v>1</v>
      </c>
      <c r="I29" s="626">
        <v>1</v>
      </c>
      <c r="J29" s="523">
        <v>1.0000000034176808</v>
      </c>
      <c r="K29" s="211">
        <v>1.0000000003797422</v>
      </c>
      <c r="L29" s="9"/>
    </row>
    <row r="30" spans="1:12" ht="20" customHeight="1" thickBot="1">
      <c r="A30" s="681" t="s">
        <v>2054</v>
      </c>
      <c r="B30" s="478">
        <v>1</v>
      </c>
      <c r="C30" s="466">
        <v>1</v>
      </c>
      <c r="D30" s="478">
        <v>1</v>
      </c>
      <c r="E30" s="466">
        <v>1</v>
      </c>
      <c r="F30" s="478">
        <v>1</v>
      </c>
      <c r="G30" s="626">
        <v>1</v>
      </c>
      <c r="H30" s="478">
        <v>1</v>
      </c>
      <c r="I30" s="626">
        <v>1</v>
      </c>
      <c r="J30" s="523">
        <v>0.99999999887229896</v>
      </c>
      <c r="K30" s="211">
        <v>0.9999999998746999</v>
      </c>
      <c r="L30" s="9"/>
    </row>
    <row r="31" spans="1:12" ht="20" customHeight="1" thickBot="1">
      <c r="A31" s="681" t="s">
        <v>2055</v>
      </c>
      <c r="B31" s="478">
        <v>1</v>
      </c>
      <c r="C31" s="466">
        <v>1</v>
      </c>
      <c r="D31" s="478">
        <v>1</v>
      </c>
      <c r="E31" s="466">
        <v>1</v>
      </c>
      <c r="F31" s="478">
        <v>1</v>
      </c>
      <c r="G31" s="626">
        <v>1</v>
      </c>
      <c r="H31" s="478">
        <v>1</v>
      </c>
      <c r="I31" s="626">
        <v>1</v>
      </c>
      <c r="J31" s="523">
        <v>0.99999999934708739</v>
      </c>
      <c r="K31" s="211">
        <v>0.99999999992745414</v>
      </c>
      <c r="L31" s="9"/>
    </row>
    <row r="32" spans="1:12" ht="20" customHeight="1" thickBot="1">
      <c r="A32" s="681" t="s">
        <v>2056</v>
      </c>
      <c r="B32" s="478">
        <v>1</v>
      </c>
      <c r="C32" s="466">
        <v>1</v>
      </c>
      <c r="D32" s="478">
        <v>1</v>
      </c>
      <c r="E32" s="466">
        <v>1</v>
      </c>
      <c r="F32" s="478">
        <v>1</v>
      </c>
      <c r="G32" s="626">
        <v>1</v>
      </c>
      <c r="H32" s="478">
        <v>1</v>
      </c>
      <c r="I32" s="626">
        <v>1</v>
      </c>
      <c r="J32" s="523">
        <v>1.000000000260074</v>
      </c>
      <c r="K32" s="211">
        <v>1.0000000000288971</v>
      </c>
      <c r="L32" s="9"/>
    </row>
    <row r="33" spans="1:15" ht="20" customHeight="1" thickBot="1">
      <c r="A33" s="681" t="s">
        <v>2057</v>
      </c>
      <c r="B33" s="478">
        <v>1</v>
      </c>
      <c r="C33" s="466">
        <v>1</v>
      </c>
      <c r="D33" s="478">
        <v>1</v>
      </c>
      <c r="E33" s="466">
        <v>1</v>
      </c>
      <c r="F33" s="478">
        <v>1</v>
      </c>
      <c r="G33" s="626">
        <v>1</v>
      </c>
      <c r="H33" s="478">
        <v>1</v>
      </c>
      <c r="I33" s="626">
        <v>1</v>
      </c>
      <c r="J33" s="523">
        <v>1.0000000024763283</v>
      </c>
      <c r="K33" s="211">
        <v>1.0000000002751477</v>
      </c>
    </row>
    <row r="34" spans="1:15" ht="20" customHeight="1" thickBot="1">
      <c r="A34" s="681" t="s">
        <v>2058</v>
      </c>
      <c r="B34" s="478">
        <v>1</v>
      </c>
      <c r="C34" s="466">
        <v>1</v>
      </c>
      <c r="D34" s="478">
        <v>1</v>
      </c>
      <c r="E34" s="466">
        <v>1</v>
      </c>
      <c r="F34" s="478">
        <v>1</v>
      </c>
      <c r="G34" s="626">
        <v>1</v>
      </c>
      <c r="H34" s="478">
        <v>1</v>
      </c>
      <c r="I34" s="626">
        <v>1</v>
      </c>
      <c r="J34" s="523">
        <v>1.0000000134455833</v>
      </c>
      <c r="K34" s="211">
        <v>1.0000000014939536</v>
      </c>
      <c r="M34" s="10"/>
      <c r="N34" s="10"/>
      <c r="O34" s="10"/>
    </row>
    <row r="35" spans="1:15" s="205" customFormat="1" ht="30" customHeight="1" thickBot="1">
      <c r="A35" s="695" t="s">
        <v>2059</v>
      </c>
      <c r="B35" s="734">
        <v>0.73499999999999999</v>
      </c>
      <c r="C35" s="693">
        <v>0.76800000000000002</v>
      </c>
      <c r="D35" s="734">
        <v>0.76100000000000001</v>
      </c>
      <c r="E35" s="693">
        <v>0.75738460275229358</v>
      </c>
      <c r="F35" s="734">
        <v>0.76301643711402323</v>
      </c>
      <c r="G35" s="628">
        <v>0.79300268508168947</v>
      </c>
      <c r="H35" s="734">
        <v>0.83299999999999996</v>
      </c>
      <c r="I35" s="628">
        <v>0.85308537107461824</v>
      </c>
      <c r="J35" s="486">
        <v>0.85859319000993328</v>
      </c>
      <c r="K35" s="737">
        <v>0.79134247622583975</v>
      </c>
    </row>
    <row r="36" spans="1:15" ht="20" customHeight="1">
      <c r="A36" s="692" t="s">
        <v>248</v>
      </c>
      <c r="B36" s="489"/>
      <c r="C36" s="489"/>
      <c r="D36" s="489"/>
      <c r="E36" s="489"/>
      <c r="F36" s="489"/>
      <c r="G36" s="489"/>
      <c r="H36" s="489"/>
      <c r="I36" s="489"/>
    </row>
    <row r="37" spans="1:15" ht="11.25" customHeight="1">
      <c r="A37" s="688"/>
      <c r="B37" s="491"/>
      <c r="C37" s="491"/>
      <c r="D37" s="491"/>
      <c r="E37" s="491"/>
      <c r="F37" s="491"/>
      <c r="G37" s="491"/>
      <c r="H37" s="491"/>
      <c r="I37" s="491"/>
    </row>
    <row r="38" spans="1:15" ht="20" customHeight="1">
      <c r="A38" s="688" t="s">
        <v>387</v>
      </c>
      <c r="B38" s="491"/>
      <c r="C38" s="491"/>
      <c r="D38" s="491"/>
      <c r="E38" s="491"/>
      <c r="F38" s="491"/>
      <c r="G38" s="491"/>
      <c r="H38" s="491"/>
      <c r="I38" s="491"/>
    </row>
    <row r="39" spans="1:15" ht="16.5" customHeight="1">
      <c r="A39" s="688"/>
      <c r="B39" s="491"/>
      <c r="C39" s="491"/>
      <c r="D39" s="491"/>
      <c r="E39" s="491"/>
      <c r="F39" s="491"/>
      <c r="G39" s="491"/>
      <c r="H39" s="491"/>
      <c r="I39" s="491"/>
    </row>
    <row r="40" spans="1:15" ht="11.25" customHeight="1">
      <c r="A40" s="2" t="s">
        <v>388</v>
      </c>
      <c r="B40" s="491"/>
      <c r="C40" s="491"/>
      <c r="D40" s="491"/>
      <c r="E40" s="491"/>
      <c r="F40" s="491"/>
      <c r="G40" s="491"/>
      <c r="H40" s="491"/>
      <c r="I40" s="491"/>
    </row>
    <row r="43" spans="1:15">
      <c r="A43" s="2" t="s">
        <v>104</v>
      </c>
    </row>
  </sheetData>
  <phoneticPr fontId="0" type="noConversion"/>
  <pageMargins left="0.51" right="0.54" top="0.71" bottom="0.49" header="0.51" footer="0.4921259845"/>
  <pageSetup paperSize="9" scale="81" orientation="portrait" horizontalDpi="4294967292" verticalDpi="4294967292"/>
  <headerFooter alignWithMargins="0">
    <oddHeader>&amp;L&amp;"Arial,Bold"Prämienverbilligung in der OKP</oddHead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C458-C547-C041-BEDB-39B80E46F918}">
  <sheetPr>
    <pageSetUpPr fitToPage="1"/>
  </sheetPr>
  <dimension ref="A1:I47"/>
  <sheetViews>
    <sheetView topLeftCell="A28" zoomScale="75" workbookViewId="0">
      <selection activeCell="A38" sqref="A38"/>
    </sheetView>
  </sheetViews>
  <sheetFormatPr baseColWidth="10" defaultColWidth="11.3984375" defaultRowHeight="13"/>
  <cols>
    <col min="1" max="7" width="13.19921875" style="2" customWidth="1"/>
    <col min="8" max="8" width="12.796875" style="2" customWidth="1"/>
    <col min="9" max="9" width="13.796875" style="23" customWidth="1"/>
    <col min="10" max="16384" width="11.3984375" style="2"/>
  </cols>
  <sheetData>
    <row r="1" spans="1:9" s="1" customFormat="1" ht="14" customHeight="1">
      <c r="I1" s="209"/>
    </row>
    <row r="2" spans="1:9" s="1" customFormat="1" ht="28" customHeight="1">
      <c r="A2" s="178" t="s">
        <v>370</v>
      </c>
      <c r="H2" s="729"/>
      <c r="I2" s="621">
        <v>2004</v>
      </c>
    </row>
    <row r="3" spans="1:9" ht="24" customHeight="1">
      <c r="A3" s="139" t="s">
        <v>503</v>
      </c>
      <c r="B3" s="1733" t="s">
        <v>382</v>
      </c>
      <c r="C3" s="1720"/>
      <c r="D3" s="1720"/>
      <c r="E3" s="1733" t="s">
        <v>383</v>
      </c>
      <c r="F3" s="1720"/>
      <c r="G3" s="1720"/>
      <c r="H3" s="730" t="s">
        <v>778</v>
      </c>
      <c r="I3" s="731" t="s">
        <v>371</v>
      </c>
    </row>
    <row r="4" spans="1:9" ht="15" customHeight="1">
      <c r="A4" s="165"/>
      <c r="B4" s="166" t="s">
        <v>239</v>
      </c>
      <c r="C4" s="197" t="s">
        <v>240</v>
      </c>
      <c r="D4" s="143" t="s">
        <v>652</v>
      </c>
      <c r="E4" s="197" t="s">
        <v>239</v>
      </c>
      <c r="F4" s="143" t="s">
        <v>240</v>
      </c>
      <c r="G4" s="144" t="s">
        <v>652</v>
      </c>
      <c r="H4" s="196" t="s">
        <v>372</v>
      </c>
      <c r="I4" s="142" t="s">
        <v>185</v>
      </c>
    </row>
    <row r="5" spans="1:9" ht="18.75" customHeight="1">
      <c r="A5" s="165"/>
      <c r="B5" s="166" t="s">
        <v>1263</v>
      </c>
      <c r="C5" s="144" t="s">
        <v>1263</v>
      </c>
      <c r="D5" s="166" t="s">
        <v>1263</v>
      </c>
      <c r="E5" s="197" t="s">
        <v>1263</v>
      </c>
      <c r="F5" s="143" t="s">
        <v>1263</v>
      </c>
      <c r="G5" s="144" t="s">
        <v>1263</v>
      </c>
      <c r="H5" s="196" t="s">
        <v>384</v>
      </c>
      <c r="I5" s="142" t="s">
        <v>385</v>
      </c>
    </row>
    <row r="6" spans="1:9" ht="15" customHeight="1">
      <c r="A6" s="165"/>
      <c r="B6" s="166"/>
      <c r="C6" s="144"/>
      <c r="D6" s="166"/>
      <c r="E6" s="197"/>
      <c r="F6" s="143"/>
      <c r="G6" s="144"/>
      <c r="H6" s="732">
        <v>2000</v>
      </c>
      <c r="I6" s="142" t="s">
        <v>373</v>
      </c>
    </row>
    <row r="7" spans="1:9" ht="16" customHeight="1">
      <c r="A7" s="167"/>
      <c r="B7" s="168"/>
      <c r="C7" s="147"/>
      <c r="D7" s="168"/>
      <c r="E7" s="200"/>
      <c r="F7" s="146"/>
      <c r="G7" s="147"/>
      <c r="H7" s="146"/>
      <c r="I7" s="145"/>
    </row>
    <row r="8" spans="1:9" ht="30" customHeight="1" thickBot="1">
      <c r="A8" s="689" t="s">
        <v>510</v>
      </c>
      <c r="B8" s="182">
        <v>630860</v>
      </c>
      <c r="C8" s="183">
        <v>650158</v>
      </c>
      <c r="D8" s="182">
        <v>1281018</v>
      </c>
      <c r="E8" s="466">
        <v>0.27999556161430428</v>
      </c>
      <c r="F8" s="478">
        <v>0.32469492031167807</v>
      </c>
      <c r="G8" s="466">
        <v>0.30268192952792233</v>
      </c>
      <c r="H8" s="182">
        <v>567573</v>
      </c>
      <c r="I8" s="733">
        <v>0.45083539914689386</v>
      </c>
    </row>
    <row r="9" spans="1:9" ht="20" customHeight="1" thickBot="1">
      <c r="A9" s="681" t="s">
        <v>511</v>
      </c>
      <c r="B9" s="182">
        <v>468024</v>
      </c>
      <c r="C9" s="183">
        <v>493623</v>
      </c>
      <c r="D9" s="182">
        <v>961647</v>
      </c>
      <c r="E9" s="466">
        <v>0.28854716852127243</v>
      </c>
      <c r="F9" s="478">
        <v>0.31433502895934751</v>
      </c>
      <c r="G9" s="466">
        <v>0.30178433458431214</v>
      </c>
      <c r="H9" s="182">
        <v>415901</v>
      </c>
      <c r="I9" s="733">
        <v>0.35813571018102863</v>
      </c>
    </row>
    <row r="10" spans="1:9" ht="20" customHeight="1" thickBot="1">
      <c r="A10" s="681" t="s">
        <v>512</v>
      </c>
      <c r="B10" s="182">
        <v>174368</v>
      </c>
      <c r="C10" s="183">
        <v>179523</v>
      </c>
      <c r="D10" s="182">
        <v>353891</v>
      </c>
      <c r="E10" s="466">
        <v>0.38244402642686731</v>
      </c>
      <c r="F10" s="478">
        <v>0.411117238459696</v>
      </c>
      <c r="G10" s="466">
        <v>0.39698946850866512</v>
      </c>
      <c r="H10" s="182">
        <v>140594</v>
      </c>
      <c r="I10" s="733">
        <v>0.43666870563466437</v>
      </c>
    </row>
    <row r="11" spans="1:9" ht="20" customHeight="1" thickBot="1">
      <c r="A11" s="681" t="s">
        <v>513</v>
      </c>
      <c r="B11" s="182">
        <v>17581</v>
      </c>
      <c r="C11" s="183">
        <v>17184</v>
      </c>
      <c r="D11" s="182">
        <v>34765</v>
      </c>
      <c r="E11" s="466">
        <v>0.41897502986178259</v>
      </c>
      <c r="F11" s="478">
        <v>0.44331936685288642</v>
      </c>
      <c r="G11" s="466">
        <v>0.43100819790018696</v>
      </c>
      <c r="H11" s="182">
        <v>13430</v>
      </c>
      <c r="I11" s="733">
        <v>0.46269545793000744</v>
      </c>
    </row>
    <row r="12" spans="1:9" ht="20" customHeight="1" thickBot="1">
      <c r="A12" s="681" t="s">
        <v>514</v>
      </c>
      <c r="B12" s="182">
        <v>68379</v>
      </c>
      <c r="C12" s="183">
        <v>66796</v>
      </c>
      <c r="D12" s="182">
        <v>135175</v>
      </c>
      <c r="E12" s="466">
        <v>0.33557086239927464</v>
      </c>
      <c r="F12" s="478">
        <v>0.35633870291634229</v>
      </c>
      <c r="G12" s="466">
        <v>0.34583317921213241</v>
      </c>
      <c r="H12" s="182">
        <v>50089</v>
      </c>
      <c r="I12" s="733">
        <v>0.43017428976421968</v>
      </c>
    </row>
    <row r="13" spans="1:9" ht="20" customHeight="1" thickBot="1">
      <c r="A13" s="681" t="s">
        <v>515</v>
      </c>
      <c r="B13" s="182">
        <v>16582</v>
      </c>
      <c r="C13" s="183">
        <v>16468</v>
      </c>
      <c r="D13" s="182">
        <v>33050</v>
      </c>
      <c r="E13" s="466">
        <v>0.5293088891569171</v>
      </c>
      <c r="F13" s="478">
        <v>0.58349526354141368</v>
      </c>
      <c r="G13" s="466">
        <v>0.55630862329803332</v>
      </c>
      <c r="H13" s="182">
        <v>12445</v>
      </c>
      <c r="I13" s="733">
        <v>0.67424668541582966</v>
      </c>
    </row>
    <row r="14" spans="1:9" ht="20" customHeight="1" thickBot="1">
      <c r="A14" s="681" t="s">
        <v>516</v>
      </c>
      <c r="B14" s="182">
        <v>19688</v>
      </c>
      <c r="C14" s="183">
        <v>19053</v>
      </c>
      <c r="D14" s="182">
        <v>38741</v>
      </c>
      <c r="E14" s="466">
        <v>0.31156034132466476</v>
      </c>
      <c r="F14" s="478">
        <v>0.33601007715320425</v>
      </c>
      <c r="G14" s="466">
        <v>0.32358483260628274</v>
      </c>
      <c r="H14" s="182">
        <v>15153</v>
      </c>
      <c r="I14" s="733">
        <v>0.40572823863261398</v>
      </c>
    </row>
    <row r="15" spans="1:9" ht="20" customHeight="1" thickBot="1">
      <c r="A15" s="681" t="s">
        <v>517</v>
      </c>
      <c r="B15" s="182">
        <v>19009</v>
      </c>
      <c r="C15" s="183">
        <v>19264</v>
      </c>
      <c r="D15" s="182">
        <v>38273</v>
      </c>
      <c r="E15" s="466">
        <v>0.33962859698037773</v>
      </c>
      <c r="F15" s="478">
        <v>0.35792151162790697</v>
      </c>
      <c r="G15" s="466">
        <v>0.3488359940427978</v>
      </c>
      <c r="H15" s="182">
        <v>15382</v>
      </c>
      <c r="I15" s="733">
        <v>0.45663762839682748</v>
      </c>
    </row>
    <row r="16" spans="1:9" ht="20" customHeight="1" thickBot="1">
      <c r="A16" s="681" t="s">
        <v>518</v>
      </c>
      <c r="B16" s="182">
        <v>52746</v>
      </c>
      <c r="C16" s="183">
        <v>51934</v>
      </c>
      <c r="D16" s="182">
        <v>104680</v>
      </c>
      <c r="E16" s="466">
        <v>0.31651689227619156</v>
      </c>
      <c r="F16" s="478">
        <v>0.34308930565718027</v>
      </c>
      <c r="G16" s="466">
        <v>0.3297000382116928</v>
      </c>
      <c r="H16" s="182">
        <v>40819</v>
      </c>
      <c r="I16" s="733">
        <v>0.43046130478453659</v>
      </c>
    </row>
    <row r="17" spans="1:9" ht="20" customHeight="1" thickBot="1">
      <c r="A17" s="681" t="s">
        <v>519</v>
      </c>
      <c r="B17" s="182">
        <v>124895</v>
      </c>
      <c r="C17" s="183">
        <v>127048</v>
      </c>
      <c r="D17" s="182">
        <v>251943</v>
      </c>
      <c r="E17" s="466">
        <v>0.35104687937867807</v>
      </c>
      <c r="F17" s="478">
        <v>0.37847900006296831</v>
      </c>
      <c r="G17" s="466">
        <v>0.36488015146283087</v>
      </c>
      <c r="H17" s="182">
        <v>94093</v>
      </c>
      <c r="I17" s="733">
        <v>0.39974280764775277</v>
      </c>
    </row>
    <row r="18" spans="1:9" ht="20" customHeight="1" thickBot="1">
      <c r="A18" s="681" t="s">
        <v>520</v>
      </c>
      <c r="B18" s="182">
        <v>120965</v>
      </c>
      <c r="C18" s="183">
        <v>125174</v>
      </c>
      <c r="D18" s="182">
        <v>246139</v>
      </c>
      <c r="E18" s="466">
        <v>0.22544537676187326</v>
      </c>
      <c r="F18" s="478">
        <v>0.24179142633454231</v>
      </c>
      <c r="G18" s="466">
        <v>0.23375816103908767</v>
      </c>
      <c r="H18" s="182">
        <v>102584</v>
      </c>
      <c r="I18" s="733">
        <v>0.23749317632379319</v>
      </c>
    </row>
    <row r="19" spans="1:9" ht="20" customHeight="1" thickBot="1">
      <c r="A19" s="681" t="s">
        <v>521</v>
      </c>
      <c r="B19" s="182">
        <v>90727</v>
      </c>
      <c r="C19" s="183">
        <v>100221</v>
      </c>
      <c r="D19" s="182">
        <v>190948</v>
      </c>
      <c r="E19" s="466">
        <v>0.26741763752796854</v>
      </c>
      <c r="F19" s="478">
        <v>0.27911315991658436</v>
      </c>
      <c r="G19" s="466">
        <v>0.27355615141295014</v>
      </c>
      <c r="H19" s="182">
        <v>95999</v>
      </c>
      <c r="I19" s="733">
        <v>0.32565964228794048</v>
      </c>
    </row>
    <row r="20" spans="1:9" ht="20" customHeight="1" thickBot="1">
      <c r="A20" s="681" t="s">
        <v>522</v>
      </c>
      <c r="B20" s="182">
        <v>129492</v>
      </c>
      <c r="C20" s="183">
        <v>134536</v>
      </c>
      <c r="D20" s="182">
        <v>264028</v>
      </c>
      <c r="E20" s="466">
        <v>0.37533592808822169</v>
      </c>
      <c r="F20" s="478">
        <v>0.37865701373610039</v>
      </c>
      <c r="G20" s="466">
        <v>0.37702819397942644</v>
      </c>
      <c r="H20" s="182">
        <v>111675</v>
      </c>
      <c r="I20" s="733">
        <v>0.4109514215357063</v>
      </c>
    </row>
    <row r="21" spans="1:9" ht="20" customHeight="1" thickBot="1">
      <c r="A21" s="681" t="s">
        <v>523</v>
      </c>
      <c r="B21" s="182">
        <v>36288</v>
      </c>
      <c r="C21" s="183">
        <v>37877</v>
      </c>
      <c r="D21" s="182">
        <v>74165</v>
      </c>
      <c r="E21" s="466">
        <v>0.32492835097001765</v>
      </c>
      <c r="F21" s="478">
        <v>0.32330966021596219</v>
      </c>
      <c r="G21" s="466">
        <v>0.32410166520595968</v>
      </c>
      <c r="H21" s="182">
        <v>31427</v>
      </c>
      <c r="I21" s="733">
        <v>0.37614153434944475</v>
      </c>
    </row>
    <row r="22" spans="1:9" ht="20" customHeight="1" thickBot="1">
      <c r="A22" s="681" t="s">
        <v>2047</v>
      </c>
      <c r="B22" s="182">
        <v>26184</v>
      </c>
      <c r="C22" s="183">
        <v>26356</v>
      </c>
      <c r="D22" s="182">
        <v>52540</v>
      </c>
      <c r="E22" s="466">
        <v>0.23525817293003362</v>
      </c>
      <c r="F22" s="478">
        <v>0.2447640006070724</v>
      </c>
      <c r="G22" s="466">
        <v>0.24002664636467452</v>
      </c>
      <c r="H22" s="182">
        <v>21572</v>
      </c>
      <c r="I22" s="733">
        <v>0.2121731874652327</v>
      </c>
    </row>
    <row r="23" spans="1:9" ht="20" customHeight="1" thickBot="1">
      <c r="A23" s="681" t="s">
        <v>2048</v>
      </c>
      <c r="B23" s="182">
        <v>7523</v>
      </c>
      <c r="C23" s="183">
        <v>7152</v>
      </c>
      <c r="D23" s="182">
        <v>14675</v>
      </c>
      <c r="E23" s="466">
        <v>0.4644423767114183</v>
      </c>
      <c r="F23" s="478">
        <v>0.46071029082774051</v>
      </c>
      <c r="G23" s="466">
        <v>0.46262350936967633</v>
      </c>
      <c r="H23" s="182">
        <v>5290</v>
      </c>
      <c r="I23" s="733">
        <v>0.40378071833648393</v>
      </c>
    </row>
    <row r="24" spans="1:9" ht="20" customHeight="1" thickBot="1">
      <c r="A24" s="681" t="s">
        <v>2049</v>
      </c>
      <c r="B24" s="182">
        <v>227486</v>
      </c>
      <c r="C24" s="183">
        <v>231891</v>
      </c>
      <c r="D24" s="182">
        <v>459377</v>
      </c>
      <c r="E24" s="466">
        <v>0.32988403681984824</v>
      </c>
      <c r="F24" s="478">
        <v>0.37133394569000089</v>
      </c>
      <c r="G24" s="466">
        <v>0.35080772437453334</v>
      </c>
      <c r="H24" s="182">
        <v>183750</v>
      </c>
      <c r="I24" s="733">
        <v>0.36967619047619049</v>
      </c>
    </row>
    <row r="25" spans="1:9" ht="20" customHeight="1" thickBot="1">
      <c r="A25" s="681" t="s">
        <v>2050</v>
      </c>
      <c r="B25" s="182">
        <v>95168</v>
      </c>
      <c r="C25" s="183">
        <v>96450</v>
      </c>
      <c r="D25" s="182">
        <v>191618</v>
      </c>
      <c r="E25" s="466">
        <v>0.30012188971082715</v>
      </c>
      <c r="F25" s="478">
        <v>0.33285640228097457</v>
      </c>
      <c r="G25" s="466">
        <v>0.31659864939619453</v>
      </c>
      <c r="H25" s="182">
        <v>77781</v>
      </c>
      <c r="I25" s="733">
        <v>0.38274128643241923</v>
      </c>
    </row>
    <row r="26" spans="1:9" ht="20" customHeight="1" thickBot="1">
      <c r="A26" s="681" t="s">
        <v>2051</v>
      </c>
      <c r="B26" s="182">
        <v>280823</v>
      </c>
      <c r="C26" s="183">
        <v>282511</v>
      </c>
      <c r="D26" s="182">
        <v>563334</v>
      </c>
      <c r="E26" s="466">
        <v>0.27290143613592904</v>
      </c>
      <c r="F26" s="478">
        <v>0.29667517371005026</v>
      </c>
      <c r="G26" s="466">
        <v>0.28482392328529788</v>
      </c>
      <c r="H26" s="182">
        <v>224128</v>
      </c>
      <c r="I26" s="733">
        <v>0.26233670045688179</v>
      </c>
    </row>
    <row r="27" spans="1:9" ht="20" customHeight="1" thickBot="1">
      <c r="A27" s="681" t="s">
        <v>2052</v>
      </c>
      <c r="B27" s="182">
        <v>115973</v>
      </c>
      <c r="C27" s="183">
        <v>116980</v>
      </c>
      <c r="D27" s="182">
        <v>232953</v>
      </c>
      <c r="E27" s="466">
        <v>0.42791856725272259</v>
      </c>
      <c r="F27" s="478">
        <v>0.45164130620618909</v>
      </c>
      <c r="G27" s="466">
        <v>0.43983121058754343</v>
      </c>
      <c r="H27" s="182">
        <v>91537</v>
      </c>
      <c r="I27" s="733">
        <v>0.63327397664332452</v>
      </c>
    </row>
    <row r="28" spans="1:9" ht="20" customHeight="1" thickBot="1">
      <c r="A28" s="681" t="s">
        <v>2053</v>
      </c>
      <c r="B28" s="182">
        <v>152899</v>
      </c>
      <c r="C28" s="183">
        <v>166495</v>
      </c>
      <c r="D28" s="182">
        <v>319394</v>
      </c>
      <c r="E28" s="466">
        <v>0.27191152329315432</v>
      </c>
      <c r="F28" s="478">
        <v>0.32986576173458665</v>
      </c>
      <c r="G28" s="466">
        <v>0.30212214380983987</v>
      </c>
      <c r="H28" s="182">
        <v>134916</v>
      </c>
      <c r="I28" s="733">
        <v>0.44653710456876872</v>
      </c>
    </row>
    <row r="29" spans="1:9" ht="20" customHeight="1" thickBot="1">
      <c r="A29" s="681" t="s">
        <v>2054</v>
      </c>
      <c r="B29" s="182">
        <v>318802</v>
      </c>
      <c r="C29" s="183">
        <v>337603</v>
      </c>
      <c r="D29" s="182">
        <v>656405</v>
      </c>
      <c r="E29" s="466">
        <v>0.21868432443962083</v>
      </c>
      <c r="F29" s="478">
        <v>0.25343969099800656</v>
      </c>
      <c r="G29" s="466">
        <v>0.23655974588859013</v>
      </c>
      <c r="H29" s="182">
        <v>278752</v>
      </c>
      <c r="I29" s="733">
        <v>0.28948312478475491</v>
      </c>
    </row>
    <row r="30" spans="1:9" ht="20" customHeight="1" thickBot="1">
      <c r="A30" s="681" t="s">
        <v>2055</v>
      </c>
      <c r="B30" s="182">
        <v>141248</v>
      </c>
      <c r="C30" s="183">
        <v>145301</v>
      </c>
      <c r="D30" s="182">
        <v>286549</v>
      </c>
      <c r="E30" s="466">
        <v>0.2989056836254404</v>
      </c>
      <c r="F30" s="478">
        <v>0.33814061843534315</v>
      </c>
      <c r="G30" s="466">
        <v>0.31880062397705106</v>
      </c>
      <c r="H30" s="182">
        <v>107378</v>
      </c>
      <c r="I30" s="733">
        <v>0.46567267037940735</v>
      </c>
    </row>
    <row r="31" spans="1:9" ht="20" customHeight="1" thickBot="1">
      <c r="A31" s="681" t="s">
        <v>2056</v>
      </c>
      <c r="B31" s="182">
        <v>81633</v>
      </c>
      <c r="C31" s="183">
        <v>87043</v>
      </c>
      <c r="D31" s="182">
        <v>168676</v>
      </c>
      <c r="E31" s="466">
        <v>0.293398503056362</v>
      </c>
      <c r="F31" s="478">
        <v>0.33783302505658125</v>
      </c>
      <c r="G31" s="466">
        <v>0.31632834546704924</v>
      </c>
      <c r="H31" s="182">
        <v>74049</v>
      </c>
      <c r="I31" s="733">
        <v>0.41114667314886089</v>
      </c>
    </row>
    <row r="32" spans="1:9" ht="20" customHeight="1" thickBot="1">
      <c r="A32" s="681" t="s">
        <v>2057</v>
      </c>
      <c r="B32" s="182">
        <v>206836</v>
      </c>
      <c r="C32" s="183">
        <v>225399</v>
      </c>
      <c r="D32" s="182">
        <v>432235</v>
      </c>
      <c r="E32" s="466">
        <v>0.34121719623276414</v>
      </c>
      <c r="F32" s="478">
        <v>0.36019680655193681</v>
      </c>
      <c r="G32" s="466">
        <v>0.35111455573935474</v>
      </c>
      <c r="H32" s="182">
        <v>181611</v>
      </c>
      <c r="I32" s="733">
        <v>0.58275104481556739</v>
      </c>
    </row>
    <row r="33" spans="1:9" ht="20" customHeight="1" thickBot="1">
      <c r="A33" s="681" t="s">
        <v>2058</v>
      </c>
      <c r="B33" s="182">
        <v>33338</v>
      </c>
      <c r="C33" s="183">
        <v>34555</v>
      </c>
      <c r="D33" s="182">
        <v>67893</v>
      </c>
      <c r="E33" s="466">
        <v>0.32314475973363727</v>
      </c>
      <c r="F33" s="478">
        <v>0.40463029952250035</v>
      </c>
      <c r="G33" s="466">
        <v>0.36461785456527185</v>
      </c>
      <c r="H33" s="182">
        <v>27471</v>
      </c>
      <c r="I33" s="733">
        <v>0.48800553310764078</v>
      </c>
    </row>
    <row r="34" spans="1:9" ht="30" customHeight="1" thickBot="1">
      <c r="A34" s="695" t="s">
        <v>2059</v>
      </c>
      <c r="B34" s="457">
        <v>3657517</v>
      </c>
      <c r="C34" s="458">
        <v>3796595</v>
      </c>
      <c r="D34" s="457">
        <v>7454112</v>
      </c>
      <c r="E34" s="693">
        <v>0.3009833802551638</v>
      </c>
      <c r="F34" s="734">
        <v>0.33201465260299656</v>
      </c>
      <c r="G34" s="693">
        <v>0.31678850545846371</v>
      </c>
      <c r="H34" s="471">
        <v>3115399</v>
      </c>
      <c r="I34" s="735">
        <v>0.39990864733538145</v>
      </c>
    </row>
    <row r="35" spans="1:9" ht="20" customHeight="1">
      <c r="A35" s="692" t="s">
        <v>374</v>
      </c>
      <c r="B35" s="489"/>
      <c r="C35" s="489"/>
      <c r="D35" s="489"/>
      <c r="E35" s="489"/>
      <c r="F35" s="489"/>
      <c r="G35" s="489"/>
    </row>
    <row r="36" spans="1:9" ht="14.25" customHeight="1">
      <c r="A36" s="688"/>
      <c r="B36" s="491"/>
      <c r="C36" s="491"/>
      <c r="D36" s="491"/>
      <c r="E36" s="491"/>
      <c r="F36" s="491"/>
      <c r="G36" s="491"/>
    </row>
    <row r="37" spans="1:9" ht="20" customHeight="1">
      <c r="A37" s="688" t="s">
        <v>375</v>
      </c>
      <c r="B37" s="491"/>
      <c r="C37" s="491"/>
      <c r="D37" s="491"/>
      <c r="E37" s="491"/>
      <c r="F37" s="491"/>
      <c r="G37" s="491"/>
    </row>
    <row r="38" spans="1:9" ht="15.75" customHeight="1">
      <c r="A38" s="688"/>
      <c r="B38" s="491"/>
      <c r="C38" s="491"/>
      <c r="D38" s="491"/>
      <c r="E38" s="491"/>
      <c r="F38" s="491"/>
      <c r="G38" s="491"/>
    </row>
    <row r="39" spans="1:9" ht="11.25" customHeight="1">
      <c r="A39" s="4" t="s">
        <v>376</v>
      </c>
      <c r="B39" s="491"/>
      <c r="C39" s="491"/>
      <c r="D39" s="491"/>
      <c r="E39" s="491"/>
      <c r="F39" s="491"/>
      <c r="G39" s="491"/>
    </row>
    <row r="40" spans="1:9">
      <c r="A40" s="2" t="s">
        <v>377</v>
      </c>
    </row>
    <row r="41" spans="1:9">
      <c r="A41" s="2" t="s">
        <v>378</v>
      </c>
    </row>
    <row r="42" spans="1:9">
      <c r="A42" s="2" t="s">
        <v>379</v>
      </c>
    </row>
    <row r="43" spans="1:9">
      <c r="A43" s="736" t="s">
        <v>380</v>
      </c>
    </row>
    <row r="44" spans="1:9">
      <c r="A44" s="736" t="s">
        <v>381</v>
      </c>
    </row>
    <row r="47" spans="1:9">
      <c r="A47" s="2" t="s">
        <v>104</v>
      </c>
    </row>
  </sheetData>
  <mergeCells count="2">
    <mergeCell ref="B3:D3"/>
    <mergeCell ref="E3:G3"/>
  </mergeCells>
  <phoneticPr fontId="0" type="noConversion"/>
  <pageMargins left="0.57999999999999996" right="0.51" top="0.87" bottom="0.49" header="0.51" footer="0.4921259845"/>
  <pageSetup paperSize="9" scale="78" orientation="portrait" horizontalDpi="1200" verticalDpi="1200"/>
  <headerFooter alignWithMargins="0">
    <oddHeader>&amp;L&amp;"Arial,Bold"Prämienverbilligung in der OKP</oddHead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C11D4-7164-7643-A948-1586F11CABF7}">
  <dimension ref="A1:B9"/>
  <sheetViews>
    <sheetView workbookViewId="0">
      <selection activeCell="A9" sqref="A9"/>
    </sheetView>
  </sheetViews>
  <sheetFormatPr baseColWidth="10" defaultColWidth="11.3984375" defaultRowHeight="13"/>
  <cols>
    <col min="1" max="1" width="5.59765625" style="131" customWidth="1"/>
    <col min="2" max="16384" width="11.3984375" style="131"/>
  </cols>
  <sheetData>
    <row r="1" spans="1:2" ht="16">
      <c r="A1" s="130" t="s">
        <v>444</v>
      </c>
    </row>
    <row r="2" spans="1:2" ht="16">
      <c r="A2" s="130"/>
    </row>
    <row r="3" spans="1:2">
      <c r="A3" s="131">
        <v>5.01</v>
      </c>
      <c r="B3" s="132" t="s">
        <v>445</v>
      </c>
    </row>
    <row r="4" spans="1:2">
      <c r="A4" s="131">
        <v>5.0199999999999996</v>
      </c>
      <c r="B4" s="132" t="s">
        <v>446</v>
      </c>
    </row>
    <row r="5" spans="1:2">
      <c r="A5" s="131">
        <v>5.03</v>
      </c>
      <c r="B5" s="131" t="s">
        <v>447</v>
      </c>
    </row>
    <row r="6" spans="1:2">
      <c r="A6" s="131">
        <v>5.04</v>
      </c>
      <c r="B6" s="131" t="s">
        <v>448</v>
      </c>
    </row>
    <row r="9" spans="1:2">
      <c r="A9" s="133" t="s">
        <v>104</v>
      </c>
    </row>
  </sheetData>
  <phoneticPr fontId="39" type="noConversion"/>
  <pageMargins left="0.54" right="0.51" top="0.78" bottom="0.984251969" header="0.36" footer="0.4921259845"/>
  <pageSetup paperSize="9" orientation="portrait"/>
  <headerFooter alignWithMargins="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DBE8E-26CB-F346-AA7B-0DCB9FADACD4}">
  <dimension ref="A1:V109"/>
  <sheetViews>
    <sheetView topLeftCell="A67" zoomScale="75" workbookViewId="0">
      <selection activeCell="A70" sqref="A70:B71"/>
    </sheetView>
  </sheetViews>
  <sheetFormatPr baseColWidth="10" defaultColWidth="11.3984375" defaultRowHeight="13"/>
  <cols>
    <col min="1" max="1" width="5.796875" style="23" customWidth="1"/>
    <col min="2" max="2" width="48.796875" style="23" customWidth="1"/>
    <col min="3" max="4" width="10.796875" style="23" customWidth="1"/>
    <col min="5" max="7" width="10.796875" style="2" customWidth="1"/>
    <col min="8" max="9" width="10.796875" style="9" customWidth="1"/>
    <col min="10" max="18" width="10.796875" style="2" customWidth="1"/>
    <col min="19" max="19" width="11.796875" style="286" customWidth="1"/>
    <col min="20" max="20" width="11.3984375" style="2"/>
    <col min="21" max="22" width="12.19921875" style="2" customWidth="1"/>
    <col min="23" max="16384" width="11.3984375" style="2"/>
  </cols>
  <sheetData>
    <row r="1" spans="1:22" s="1" customFormat="1" ht="14" customHeight="1">
      <c r="A1" s="209"/>
      <c r="B1" s="209"/>
      <c r="C1" s="209"/>
      <c r="D1" s="209"/>
      <c r="H1" s="192"/>
      <c r="I1" s="192"/>
      <c r="S1" s="269"/>
    </row>
    <row r="2" spans="1:22" s="1" customFormat="1" ht="19.5" customHeight="1">
      <c r="A2" s="1735" t="s">
        <v>576</v>
      </c>
      <c r="B2" s="1726"/>
      <c r="C2" s="209"/>
      <c r="D2" s="209"/>
      <c r="H2" s="192"/>
      <c r="I2" s="192"/>
      <c r="J2" s="20"/>
      <c r="V2" s="270">
        <v>2004</v>
      </c>
    </row>
    <row r="3" spans="1:22" s="1" customFormat="1" ht="12" customHeight="1">
      <c r="A3" s="209"/>
      <c r="B3" s="209"/>
      <c r="C3" s="209"/>
      <c r="D3" s="209"/>
      <c r="H3" s="192"/>
      <c r="I3" s="192"/>
      <c r="S3" s="269"/>
    </row>
    <row r="4" spans="1:22" ht="18" customHeight="1">
      <c r="A4" s="32" t="s">
        <v>2044</v>
      </c>
      <c r="B4" s="32" t="s">
        <v>577</v>
      </c>
      <c r="C4" s="33" t="s">
        <v>578</v>
      </c>
      <c r="D4" s="34" t="s">
        <v>579</v>
      </c>
      <c r="E4" s="33" t="s">
        <v>526</v>
      </c>
      <c r="F4" s="34" t="s">
        <v>580</v>
      </c>
      <c r="G4" s="34" t="s">
        <v>580</v>
      </c>
      <c r="H4" s="36" t="s">
        <v>580</v>
      </c>
      <c r="I4" s="35" t="s">
        <v>527</v>
      </c>
      <c r="J4" s="33" t="s">
        <v>527</v>
      </c>
      <c r="K4" s="34" t="s">
        <v>528</v>
      </c>
      <c r="L4" s="34" t="s">
        <v>528</v>
      </c>
      <c r="M4" s="33" t="s">
        <v>581</v>
      </c>
      <c r="N4" s="36" t="s">
        <v>530</v>
      </c>
      <c r="O4" s="35" t="s">
        <v>530</v>
      </c>
      <c r="P4" s="36" t="s">
        <v>530</v>
      </c>
      <c r="Q4" s="34" t="s">
        <v>530</v>
      </c>
      <c r="R4" s="36" t="s">
        <v>535</v>
      </c>
      <c r="S4" s="33" t="s">
        <v>582</v>
      </c>
      <c r="T4" s="36" t="s">
        <v>583</v>
      </c>
      <c r="U4" s="34" t="s">
        <v>584</v>
      </c>
      <c r="V4" s="36" t="s">
        <v>585</v>
      </c>
    </row>
    <row r="5" spans="1:22" ht="15" customHeight="1">
      <c r="A5" s="38" t="s">
        <v>2036</v>
      </c>
      <c r="B5" s="38"/>
      <c r="C5" s="39" t="s">
        <v>586</v>
      </c>
      <c r="D5" s="40" t="s">
        <v>652</v>
      </c>
      <c r="E5" s="39" t="s">
        <v>587</v>
      </c>
      <c r="F5" s="40" t="s">
        <v>588</v>
      </c>
      <c r="G5" s="40" t="s">
        <v>588</v>
      </c>
      <c r="H5" s="42" t="s">
        <v>589</v>
      </c>
      <c r="I5" s="41" t="s">
        <v>590</v>
      </c>
      <c r="J5" s="39" t="s">
        <v>590</v>
      </c>
      <c r="K5" s="40" t="s">
        <v>532</v>
      </c>
      <c r="L5" s="40" t="s">
        <v>532</v>
      </c>
      <c r="M5" s="39" t="s">
        <v>591</v>
      </c>
      <c r="N5" s="42" t="s">
        <v>534</v>
      </c>
      <c r="O5" s="41" t="s">
        <v>534</v>
      </c>
      <c r="P5" s="42" t="s">
        <v>535</v>
      </c>
      <c r="Q5" s="40" t="s">
        <v>535</v>
      </c>
      <c r="R5" s="42" t="s">
        <v>592</v>
      </c>
      <c r="S5" s="39" t="s">
        <v>2038</v>
      </c>
      <c r="T5" s="42" t="s">
        <v>593</v>
      </c>
      <c r="U5" s="40" t="s">
        <v>594</v>
      </c>
      <c r="V5" s="42" t="s">
        <v>594</v>
      </c>
    </row>
    <row r="6" spans="1:22" ht="15" customHeight="1">
      <c r="A6" s="40"/>
      <c r="B6" s="38"/>
      <c r="C6" s="39"/>
      <c r="D6" s="40" t="s">
        <v>587</v>
      </c>
      <c r="E6" s="39"/>
      <c r="F6" s="40" t="s">
        <v>587</v>
      </c>
      <c r="G6" s="40" t="s">
        <v>595</v>
      </c>
      <c r="H6" s="42" t="s">
        <v>863</v>
      </c>
      <c r="I6" s="41" t="s">
        <v>864</v>
      </c>
      <c r="J6" s="39" t="s">
        <v>864</v>
      </c>
      <c r="K6" s="40" t="s">
        <v>537</v>
      </c>
      <c r="L6" s="40" t="s">
        <v>537</v>
      </c>
      <c r="M6" s="39" t="s">
        <v>865</v>
      </c>
      <c r="N6" s="42" t="s">
        <v>538</v>
      </c>
      <c r="O6" s="41" t="s">
        <v>866</v>
      </c>
      <c r="P6" s="42" t="s">
        <v>867</v>
      </c>
      <c r="Q6" s="40" t="s">
        <v>595</v>
      </c>
      <c r="R6" s="42" t="s">
        <v>526</v>
      </c>
      <c r="S6" s="39" t="s">
        <v>868</v>
      </c>
      <c r="T6" s="42" t="s">
        <v>869</v>
      </c>
      <c r="U6" s="40" t="s">
        <v>593</v>
      </c>
      <c r="V6" s="42" t="s">
        <v>593</v>
      </c>
    </row>
    <row r="7" spans="1:22" ht="15" customHeight="1">
      <c r="A7" s="40"/>
      <c r="B7" s="38"/>
      <c r="C7" s="271"/>
      <c r="D7" s="40"/>
      <c r="E7" s="39"/>
      <c r="F7" s="40"/>
      <c r="G7" s="40" t="s">
        <v>870</v>
      </c>
      <c r="H7" s="42" t="s">
        <v>871</v>
      </c>
      <c r="I7" s="41" t="s">
        <v>867</v>
      </c>
      <c r="J7" s="39" t="s">
        <v>595</v>
      </c>
      <c r="K7" s="40" t="s">
        <v>541</v>
      </c>
      <c r="L7" s="40" t="s">
        <v>872</v>
      </c>
      <c r="M7" s="39" t="s">
        <v>873</v>
      </c>
      <c r="N7" s="42" t="s">
        <v>867</v>
      </c>
      <c r="O7" s="41" t="s">
        <v>865</v>
      </c>
      <c r="P7" s="42"/>
      <c r="Q7" s="40" t="s">
        <v>870</v>
      </c>
      <c r="R7" s="42"/>
      <c r="S7" s="39" t="s">
        <v>874</v>
      </c>
      <c r="T7" s="42" t="s">
        <v>587</v>
      </c>
      <c r="U7" s="40" t="s">
        <v>869</v>
      </c>
      <c r="V7" s="42" t="s">
        <v>869</v>
      </c>
    </row>
    <row r="8" spans="1:22" ht="15" customHeight="1">
      <c r="A8" s="40"/>
      <c r="B8" s="38"/>
      <c r="C8" s="271"/>
      <c r="D8" s="40"/>
      <c r="E8" s="39"/>
      <c r="F8" s="40"/>
      <c r="G8" s="40" t="s">
        <v>875</v>
      </c>
      <c r="H8" s="42"/>
      <c r="I8" s="41"/>
      <c r="J8" s="39" t="s">
        <v>870</v>
      </c>
      <c r="K8" s="40" t="s">
        <v>876</v>
      </c>
      <c r="L8" s="40" t="s">
        <v>865</v>
      </c>
      <c r="M8" s="39" t="s">
        <v>877</v>
      </c>
      <c r="N8" s="42"/>
      <c r="O8" s="41" t="s">
        <v>878</v>
      </c>
      <c r="P8" s="42"/>
      <c r="Q8" s="40" t="s">
        <v>875</v>
      </c>
      <c r="R8" s="42"/>
      <c r="S8" s="39" t="s">
        <v>879</v>
      </c>
      <c r="T8" s="42"/>
      <c r="U8" s="40" t="s">
        <v>880</v>
      </c>
      <c r="V8" s="42" t="s">
        <v>881</v>
      </c>
    </row>
    <row r="9" spans="1:22" ht="15" customHeight="1">
      <c r="A9" s="40"/>
      <c r="B9" s="38"/>
      <c r="C9" s="39"/>
      <c r="D9" s="40"/>
      <c r="E9" s="39"/>
      <c r="F9" s="40"/>
      <c r="G9" s="40"/>
      <c r="H9" s="42"/>
      <c r="I9" s="41"/>
      <c r="J9" s="39" t="s">
        <v>875</v>
      </c>
      <c r="K9" s="40" t="s">
        <v>882</v>
      </c>
      <c r="L9" s="40" t="s">
        <v>883</v>
      </c>
      <c r="M9" s="39"/>
      <c r="N9" s="42"/>
      <c r="O9" s="41" t="s">
        <v>884</v>
      </c>
      <c r="P9" s="42"/>
      <c r="Q9" s="40"/>
      <c r="R9" s="42"/>
      <c r="S9" s="39"/>
      <c r="T9" s="42"/>
      <c r="U9" s="40"/>
      <c r="V9" s="42"/>
    </row>
    <row r="10" spans="1:22" ht="18" customHeight="1">
      <c r="A10" s="46">
        <v>0</v>
      </c>
      <c r="B10" s="46"/>
      <c r="C10" s="47">
        <v>1</v>
      </c>
      <c r="D10" s="48">
        <v>2</v>
      </c>
      <c r="E10" s="47">
        <v>3</v>
      </c>
      <c r="F10" s="48" t="s">
        <v>2174</v>
      </c>
      <c r="G10" s="48" t="s">
        <v>2176</v>
      </c>
      <c r="H10" s="50" t="s">
        <v>2178</v>
      </c>
      <c r="I10" s="49" t="s">
        <v>2179</v>
      </c>
      <c r="J10" s="47" t="s">
        <v>2180</v>
      </c>
      <c r="K10" s="48" t="s">
        <v>2182</v>
      </c>
      <c r="L10" s="48" t="s">
        <v>2183</v>
      </c>
      <c r="M10" s="47">
        <v>7</v>
      </c>
      <c r="N10" s="50" t="s">
        <v>2184</v>
      </c>
      <c r="O10" s="49" t="s">
        <v>2185</v>
      </c>
      <c r="P10" s="50" t="s">
        <v>2187</v>
      </c>
      <c r="Q10" s="48" t="s">
        <v>2188</v>
      </c>
      <c r="R10" s="50" t="s">
        <v>2190</v>
      </c>
      <c r="S10" s="47">
        <v>10</v>
      </c>
      <c r="T10" s="50" t="s">
        <v>2192</v>
      </c>
      <c r="U10" s="48" t="s">
        <v>2194</v>
      </c>
      <c r="V10" s="50" t="s">
        <v>2196</v>
      </c>
    </row>
    <row r="11" spans="1:22" ht="14" thickBot="1">
      <c r="A11" s="52">
        <v>8</v>
      </c>
      <c r="B11" s="254" t="s">
        <v>149</v>
      </c>
      <c r="C11" s="272">
        <v>974383</v>
      </c>
      <c r="D11" s="255">
        <v>2246.10467509</v>
      </c>
      <c r="E11" s="256">
        <v>2221.4913622499998</v>
      </c>
      <c r="F11" s="255">
        <v>-106.59877882999672</v>
      </c>
      <c r="G11" s="273">
        <v>-109.40131224579731</v>
      </c>
      <c r="H11" s="274">
        <v>-4.7459399382500003E-2</v>
      </c>
      <c r="I11" s="257">
        <v>2154.4866339999999</v>
      </c>
      <c r="J11" s="275">
        <v>2211.1291288949001</v>
      </c>
      <c r="K11" s="276">
        <v>5.3798341585339998E-2</v>
      </c>
      <c r="L11" s="273">
        <v>122.54435262109401</v>
      </c>
      <c r="M11" s="275">
        <v>27.3095656738674</v>
      </c>
      <c r="N11" s="255">
        <v>595.5</v>
      </c>
      <c r="O11" s="275">
        <v>611.15598281168695</v>
      </c>
      <c r="P11" s="255">
        <v>348.13990704000003</v>
      </c>
      <c r="Q11" s="273">
        <v>357.29267345592001</v>
      </c>
      <c r="R11" s="274">
        <v>0.15671449952763999</v>
      </c>
      <c r="S11" s="238" t="s">
        <v>106</v>
      </c>
      <c r="T11" s="255">
        <v>333.22370433750001</v>
      </c>
      <c r="U11" s="255">
        <v>14.9162027025</v>
      </c>
      <c r="V11" s="255" t="s">
        <v>106</v>
      </c>
    </row>
    <row r="12" spans="1:22" ht="14" thickBot="1">
      <c r="A12" s="242">
        <v>32</v>
      </c>
      <c r="B12" s="243" t="s">
        <v>150</v>
      </c>
      <c r="C12" s="272">
        <v>32680</v>
      </c>
      <c r="D12" s="255">
        <v>75.683126000000001</v>
      </c>
      <c r="E12" s="256">
        <v>75.829293000000007</v>
      </c>
      <c r="F12" s="255">
        <v>-1.0342275499994529</v>
      </c>
      <c r="G12" s="273">
        <v>-31.647109853104435</v>
      </c>
      <c r="H12" s="274">
        <v>-1.366523298733E-2</v>
      </c>
      <c r="I12" s="257">
        <v>70.946433130000003</v>
      </c>
      <c r="J12" s="275">
        <v>2170.94348623011</v>
      </c>
      <c r="K12" s="276">
        <v>4.2369686948130002E-2</v>
      </c>
      <c r="L12" s="273">
        <v>96.907976744186001</v>
      </c>
      <c r="M12" s="275">
        <v>28.684449816401401</v>
      </c>
      <c r="N12" s="255">
        <v>19.600000000000001</v>
      </c>
      <c r="O12" s="275">
        <v>599.75520195838396</v>
      </c>
      <c r="P12" s="255">
        <v>24.045785240000001</v>
      </c>
      <c r="Q12" s="273">
        <v>735.79514198286404</v>
      </c>
      <c r="R12" s="274">
        <v>0.31710417292166998</v>
      </c>
      <c r="S12" s="238" t="s">
        <v>151</v>
      </c>
      <c r="T12" s="245">
        <v>15.1658586</v>
      </c>
      <c r="U12" s="245">
        <v>8.8799266399999901</v>
      </c>
      <c r="V12" s="245" t="s">
        <v>106</v>
      </c>
    </row>
    <row r="13" spans="1:22" ht="14" thickBot="1">
      <c r="A13" s="242">
        <v>57</v>
      </c>
      <c r="B13" s="243" t="s">
        <v>152</v>
      </c>
      <c r="C13" s="272">
        <v>26675</v>
      </c>
      <c r="D13" s="255">
        <v>75.652847129999998</v>
      </c>
      <c r="E13" s="256">
        <v>76.636087399999994</v>
      </c>
      <c r="F13" s="255">
        <v>1.3416309499996673</v>
      </c>
      <c r="G13" s="273">
        <v>50.295443298956599</v>
      </c>
      <c r="H13" s="274">
        <v>1.7734044400129999E-2</v>
      </c>
      <c r="I13" s="257">
        <v>76.290197449999994</v>
      </c>
      <c r="J13" s="275">
        <v>2859.9886579193999</v>
      </c>
      <c r="K13" s="276">
        <v>4.0735548013050002E-2</v>
      </c>
      <c r="L13" s="273">
        <v>121.441347703842</v>
      </c>
      <c r="M13" s="275">
        <v>-145.11757150890301</v>
      </c>
      <c r="N13" s="255">
        <v>22.021750000000001</v>
      </c>
      <c r="O13" s="275">
        <v>825.55763823805</v>
      </c>
      <c r="P13" s="255">
        <v>0</v>
      </c>
      <c r="Q13" s="273">
        <v>0</v>
      </c>
      <c r="R13" s="274">
        <v>0</v>
      </c>
      <c r="S13" s="238" t="s">
        <v>106</v>
      </c>
      <c r="T13" s="245">
        <v>15.32721748</v>
      </c>
      <c r="U13" s="245" t="s">
        <v>106</v>
      </c>
      <c r="V13" s="245">
        <v>-15.32721748</v>
      </c>
    </row>
    <row r="14" spans="1:22" ht="14" thickBot="1">
      <c r="A14" s="242">
        <v>62</v>
      </c>
      <c r="B14" s="243" t="s">
        <v>153</v>
      </c>
      <c r="C14" s="272">
        <v>61273</v>
      </c>
      <c r="D14" s="255">
        <v>227.24787286</v>
      </c>
      <c r="E14" s="256">
        <v>217.403401</v>
      </c>
      <c r="F14" s="255">
        <v>-40.268786249999366</v>
      </c>
      <c r="G14" s="273">
        <v>-657.20278507661396</v>
      </c>
      <c r="H14" s="274">
        <v>-0.17720203821141001</v>
      </c>
      <c r="I14" s="257">
        <v>242.40326031999999</v>
      </c>
      <c r="J14" s="275">
        <v>3956.1186871868499</v>
      </c>
      <c r="K14" s="276">
        <v>4.5729489347080002E-2</v>
      </c>
      <c r="L14" s="273">
        <v>151.5573417329</v>
      </c>
      <c r="M14" s="275">
        <v>394.56205865552499</v>
      </c>
      <c r="N14" s="255">
        <v>76.877454999999998</v>
      </c>
      <c r="O14" s="275">
        <v>1254.67098069296</v>
      </c>
      <c r="P14" s="255">
        <v>25.72852117</v>
      </c>
      <c r="Q14" s="273">
        <v>419.89981182576298</v>
      </c>
      <c r="R14" s="274">
        <v>0.11834461214339</v>
      </c>
      <c r="S14" s="238" t="s">
        <v>106</v>
      </c>
      <c r="T14" s="245">
        <v>43.480680200000002</v>
      </c>
      <c r="U14" s="245" t="s">
        <v>106</v>
      </c>
      <c r="V14" s="245">
        <v>-17.752159030000001</v>
      </c>
    </row>
    <row r="15" spans="1:22" ht="14" thickBot="1">
      <c r="A15" s="242">
        <v>97</v>
      </c>
      <c r="B15" s="243" t="s">
        <v>154</v>
      </c>
      <c r="C15" s="272">
        <v>956</v>
      </c>
      <c r="D15" s="255">
        <v>1.68404146</v>
      </c>
      <c r="E15" s="256">
        <v>1.8064979000000001</v>
      </c>
      <c r="F15" s="255">
        <v>0.15431864999998887</v>
      </c>
      <c r="G15" s="273">
        <v>161.42118200835657</v>
      </c>
      <c r="H15" s="274">
        <v>9.1635897135210004E-2</v>
      </c>
      <c r="I15" s="257">
        <v>1.6822661999999999</v>
      </c>
      <c r="J15" s="275">
        <v>1759.69267782426</v>
      </c>
      <c r="K15" s="276">
        <v>5.93971962682E-3</v>
      </c>
      <c r="L15" s="273">
        <v>10.4602510460251</v>
      </c>
      <c r="M15" s="275">
        <v>0.48149581589957002</v>
      </c>
      <c r="N15" s="255">
        <v>0.27</v>
      </c>
      <c r="O15" s="275">
        <v>282.42677824267702</v>
      </c>
      <c r="P15" s="255">
        <v>0.51346108000000001</v>
      </c>
      <c r="Q15" s="273">
        <v>537.09317991631804</v>
      </c>
      <c r="R15" s="274">
        <v>0.28423010068264998</v>
      </c>
      <c r="S15" s="238" t="s">
        <v>151</v>
      </c>
      <c r="T15" s="245">
        <v>0.36129958000000001</v>
      </c>
      <c r="U15" s="245">
        <v>0.15216150000000001</v>
      </c>
      <c r="V15" s="245" t="s">
        <v>106</v>
      </c>
    </row>
    <row r="16" spans="1:22" ht="14" thickBot="1">
      <c r="A16" s="242">
        <v>109</v>
      </c>
      <c r="B16" s="243" t="s">
        <v>155</v>
      </c>
      <c r="C16" s="272">
        <v>269</v>
      </c>
      <c r="D16" s="255">
        <v>0.45045930000000001</v>
      </c>
      <c r="E16" s="256">
        <v>0.44834885000000002</v>
      </c>
      <c r="F16" s="255">
        <v>5.9979999999966293E-3</v>
      </c>
      <c r="G16" s="273">
        <v>22.297397769504197</v>
      </c>
      <c r="H16" s="274">
        <v>1.331529840764E-2</v>
      </c>
      <c r="I16" s="257">
        <v>0.42661434999999998</v>
      </c>
      <c r="J16" s="275">
        <v>1585.92695167286</v>
      </c>
      <c r="K16" s="276">
        <v>5.724118055349E-2</v>
      </c>
      <c r="L16" s="273">
        <v>96.724721189591094</v>
      </c>
      <c r="M16" s="275">
        <v>-15.205204460966501</v>
      </c>
      <c r="N16" s="255">
        <v>0.129</v>
      </c>
      <c r="O16" s="275">
        <v>479.55390334572502</v>
      </c>
      <c r="P16" s="255">
        <v>0.29825105000000002</v>
      </c>
      <c r="Q16" s="273">
        <v>1108.7399628252699</v>
      </c>
      <c r="R16" s="274">
        <v>0.66522095462049002</v>
      </c>
      <c r="S16" s="238" t="s">
        <v>106</v>
      </c>
      <c r="T16" s="245">
        <v>8.9669769999999996E-2</v>
      </c>
      <c r="U16" s="245">
        <v>0.20858128000000001</v>
      </c>
      <c r="V16" s="245" t="s">
        <v>106</v>
      </c>
    </row>
    <row r="17" spans="1:22" ht="14" thickBot="1">
      <c r="A17" s="242">
        <v>134</v>
      </c>
      <c r="B17" s="243" t="s">
        <v>156</v>
      </c>
      <c r="C17" s="272">
        <v>2538</v>
      </c>
      <c r="D17" s="255">
        <v>4.5777411499999996</v>
      </c>
      <c r="E17" s="256">
        <v>4.5471069000000002</v>
      </c>
      <c r="F17" s="255">
        <v>-0.12711799999995604</v>
      </c>
      <c r="G17" s="273">
        <v>-50.085894405026018</v>
      </c>
      <c r="H17" s="274">
        <v>-2.776871732906E-2</v>
      </c>
      <c r="I17" s="257">
        <v>3.9788948</v>
      </c>
      <c r="J17" s="275">
        <v>1567.72844759653</v>
      </c>
      <c r="K17" s="276">
        <v>4.7475976993350003E-2</v>
      </c>
      <c r="L17" s="273">
        <v>82.085161544523203</v>
      </c>
      <c r="M17" s="275">
        <v>74.697423167848697</v>
      </c>
      <c r="N17" s="255">
        <v>1.6</v>
      </c>
      <c r="O17" s="275">
        <v>630.41765169424696</v>
      </c>
      <c r="P17" s="255">
        <v>1.9984278200000001</v>
      </c>
      <c r="Q17" s="273">
        <v>787.402608353034</v>
      </c>
      <c r="R17" s="274">
        <v>0.43949435629059003</v>
      </c>
      <c r="S17" s="238" t="s">
        <v>106</v>
      </c>
      <c r="T17" s="245">
        <v>0.90942137999999995</v>
      </c>
      <c r="U17" s="245">
        <v>1.0890064399999999</v>
      </c>
      <c r="V17" s="245" t="s">
        <v>106</v>
      </c>
    </row>
    <row r="18" spans="1:22" ht="14" thickBot="1">
      <c r="A18" s="242">
        <v>160</v>
      </c>
      <c r="B18" s="243" t="s">
        <v>249</v>
      </c>
      <c r="C18" s="272">
        <v>30735</v>
      </c>
      <c r="D18" s="255">
        <v>75.985849389999998</v>
      </c>
      <c r="E18" s="256">
        <v>75.175884499999995</v>
      </c>
      <c r="F18" s="255">
        <v>9.0815075999997354</v>
      </c>
      <c r="G18" s="273">
        <v>295.47771595899576</v>
      </c>
      <c r="H18" s="274">
        <v>0.11951577396191999</v>
      </c>
      <c r="I18" s="257">
        <v>56.267383150000001</v>
      </c>
      <c r="J18" s="275">
        <v>1830.7266357572801</v>
      </c>
      <c r="K18" s="276">
        <v>6.0036158246589998E-2</v>
      </c>
      <c r="L18" s="273">
        <v>143.899079551</v>
      </c>
      <c r="M18" s="275">
        <v>75.416981617048904</v>
      </c>
      <c r="N18" s="255">
        <v>15.132999999999999</v>
      </c>
      <c r="O18" s="275">
        <v>492.37026191638199</v>
      </c>
      <c r="P18" s="255">
        <v>11.324206439999999</v>
      </c>
      <c r="Q18" s="273">
        <v>368.44660614934099</v>
      </c>
      <c r="R18" s="274">
        <v>0.15063615832814001</v>
      </c>
      <c r="S18" s="238" t="s">
        <v>151</v>
      </c>
      <c r="T18" s="245">
        <v>15.0351769</v>
      </c>
      <c r="U18" s="245" t="s">
        <v>106</v>
      </c>
      <c r="V18" s="245">
        <v>-3.71097046</v>
      </c>
    </row>
    <row r="19" spans="1:22" ht="14" thickBot="1">
      <c r="A19" s="242">
        <v>178</v>
      </c>
      <c r="B19" s="243" t="s">
        <v>250</v>
      </c>
      <c r="C19" s="272">
        <v>965</v>
      </c>
      <c r="D19" s="255">
        <v>1.78474475</v>
      </c>
      <c r="E19" s="256">
        <v>1.8733567499999999</v>
      </c>
      <c r="F19" s="255">
        <v>0.29037999999998482</v>
      </c>
      <c r="G19" s="273">
        <v>300.91191709842985</v>
      </c>
      <c r="H19" s="274">
        <v>0.16270113695529001</v>
      </c>
      <c r="I19" s="257">
        <v>1.3158867000000001</v>
      </c>
      <c r="J19" s="275">
        <v>1363.61316062176</v>
      </c>
      <c r="K19" s="276">
        <v>5.998870296212E-2</v>
      </c>
      <c r="L19" s="273">
        <v>106.36761658031</v>
      </c>
      <c r="M19" s="275">
        <v>76.348963730569906</v>
      </c>
      <c r="N19" s="255">
        <v>0.5</v>
      </c>
      <c r="O19" s="275">
        <v>518.13471502590596</v>
      </c>
      <c r="P19" s="255">
        <v>0.69701743000000005</v>
      </c>
      <c r="Q19" s="273">
        <v>722.29785492227904</v>
      </c>
      <c r="R19" s="274">
        <v>0.37206871035108002</v>
      </c>
      <c r="S19" s="238" t="s">
        <v>151</v>
      </c>
      <c r="T19" s="245">
        <v>0.37467135000000001</v>
      </c>
      <c r="U19" s="245">
        <v>0.32234607999999998</v>
      </c>
      <c r="V19" s="245" t="s">
        <v>106</v>
      </c>
    </row>
    <row r="20" spans="1:22" ht="14" thickBot="1">
      <c r="A20" s="242">
        <v>182</v>
      </c>
      <c r="B20" s="243" t="s">
        <v>251</v>
      </c>
      <c r="C20" s="272">
        <v>46579</v>
      </c>
      <c r="D20" s="255">
        <v>102.29914065</v>
      </c>
      <c r="E20" s="256">
        <v>102.29047335</v>
      </c>
      <c r="F20" s="255">
        <v>10.649999999999324</v>
      </c>
      <c r="G20" s="273">
        <v>228.64380944200872</v>
      </c>
      <c r="H20" s="274">
        <v>0.10410644637218</v>
      </c>
      <c r="I20" s="257">
        <v>77.761787249999998</v>
      </c>
      <c r="J20" s="275">
        <v>1669.4602127568201</v>
      </c>
      <c r="K20" s="276">
        <v>5.611923051579E-2</v>
      </c>
      <c r="L20" s="273">
        <v>117.364519848</v>
      </c>
      <c r="M20" s="275">
        <v>104.907969256531</v>
      </c>
      <c r="N20" s="255">
        <v>19</v>
      </c>
      <c r="O20" s="275">
        <v>407.90914360548697</v>
      </c>
      <c r="P20" s="255">
        <v>17.349154049999999</v>
      </c>
      <c r="Q20" s="273">
        <v>372.467293200798</v>
      </c>
      <c r="R20" s="274">
        <v>0.16960674324614</v>
      </c>
      <c r="S20" s="238" t="s">
        <v>106</v>
      </c>
      <c r="T20" s="245">
        <v>20.458094670000001</v>
      </c>
      <c r="U20" s="245" t="s">
        <v>106</v>
      </c>
      <c r="V20" s="245">
        <v>-3.1089406199999998</v>
      </c>
    </row>
    <row r="21" spans="1:22" ht="14" thickBot="1">
      <c r="A21" s="242">
        <v>194</v>
      </c>
      <c r="B21" s="243" t="s">
        <v>252</v>
      </c>
      <c r="C21" s="272">
        <v>24105</v>
      </c>
      <c r="D21" s="255">
        <v>48.789072760000003</v>
      </c>
      <c r="E21" s="256">
        <v>48.470447700000001</v>
      </c>
      <c r="F21" s="255">
        <v>12.543095449999875</v>
      </c>
      <c r="G21" s="273">
        <v>520.35243517941819</v>
      </c>
      <c r="H21" s="274">
        <v>0.25708821136448001</v>
      </c>
      <c r="I21" s="257">
        <v>32.120934650000002</v>
      </c>
      <c r="J21" s="275">
        <v>1332.54240406554</v>
      </c>
      <c r="K21" s="276">
        <v>2.4040207843650001E-2</v>
      </c>
      <c r="L21" s="273">
        <v>47.238321095208399</v>
      </c>
      <c r="M21" s="275">
        <v>59.051521676000803</v>
      </c>
      <c r="N21" s="255">
        <v>7.5449999999999999</v>
      </c>
      <c r="O21" s="275">
        <v>313.005600497822</v>
      </c>
      <c r="P21" s="255">
        <v>10.046773999999999</v>
      </c>
      <c r="Q21" s="273">
        <v>416.79211781788001</v>
      </c>
      <c r="R21" s="274">
        <v>0.20727627815989</v>
      </c>
      <c r="S21" s="238" t="s">
        <v>151</v>
      </c>
      <c r="T21" s="245">
        <v>9.6940895400000002</v>
      </c>
      <c r="U21" s="245">
        <v>0.35268445999998999</v>
      </c>
      <c r="V21" s="245" t="s">
        <v>106</v>
      </c>
    </row>
    <row r="22" spans="1:22" ht="14" thickBot="1">
      <c r="A22" s="242">
        <v>216</v>
      </c>
      <c r="B22" s="243" t="s">
        <v>253</v>
      </c>
      <c r="C22" s="272">
        <v>1530</v>
      </c>
      <c r="D22" s="255">
        <v>3.54253113</v>
      </c>
      <c r="E22" s="256">
        <v>3.4732025000000002</v>
      </c>
      <c r="F22" s="255">
        <v>0.17413599999997087</v>
      </c>
      <c r="G22" s="273">
        <v>113.81437908494829</v>
      </c>
      <c r="H22" s="274">
        <v>4.915581362865E-2</v>
      </c>
      <c r="I22" s="257">
        <v>3.0964391</v>
      </c>
      <c r="J22" s="275">
        <v>2023.81640522875</v>
      </c>
      <c r="K22" s="276">
        <v>6.0092507587700003E-2</v>
      </c>
      <c r="L22" s="273">
        <v>142.54026143790799</v>
      </c>
      <c r="M22" s="275">
        <v>-56.634045751633998</v>
      </c>
      <c r="N22" s="255">
        <v>0.92500000000000004</v>
      </c>
      <c r="O22" s="275">
        <v>604.57516339869198</v>
      </c>
      <c r="P22" s="255">
        <v>1.59434677</v>
      </c>
      <c r="Q22" s="273">
        <v>1042.0567124183001</v>
      </c>
      <c r="R22" s="274">
        <v>0.45904227294549999</v>
      </c>
      <c r="S22" s="238" t="s">
        <v>151</v>
      </c>
      <c r="T22" s="245">
        <v>0.69464049999999999</v>
      </c>
      <c r="U22" s="245">
        <v>0.89970627000000003</v>
      </c>
      <c r="V22" s="245" t="s">
        <v>106</v>
      </c>
    </row>
    <row r="23" spans="1:22" ht="14" thickBot="1">
      <c r="A23" s="242">
        <v>240</v>
      </c>
      <c r="B23" s="243" t="s">
        <v>254</v>
      </c>
      <c r="C23" s="272">
        <v>262</v>
      </c>
      <c r="D23" s="255">
        <v>0.56802909000000001</v>
      </c>
      <c r="E23" s="256">
        <v>0.58263960000000004</v>
      </c>
      <c r="F23" s="255">
        <v>-3.4224999999995544E-2</v>
      </c>
      <c r="G23" s="273">
        <v>-130.62977099234942</v>
      </c>
      <c r="H23" s="274">
        <v>-6.0252195886649998E-2</v>
      </c>
      <c r="I23" s="257">
        <v>0.63738969999999995</v>
      </c>
      <c r="J23" s="275">
        <v>2432.7851145038098</v>
      </c>
      <c r="K23" s="276">
        <v>0.15782466352207</v>
      </c>
      <c r="L23" s="273">
        <v>342.17175572519</v>
      </c>
      <c r="M23" s="275">
        <v>3.4713538235608002E-15</v>
      </c>
      <c r="N23" s="255">
        <v>0.16</v>
      </c>
      <c r="O23" s="275">
        <v>610.68702290076305</v>
      </c>
      <c r="P23" s="255">
        <v>0.61254383000000001</v>
      </c>
      <c r="Q23" s="273">
        <v>2337.9535496183198</v>
      </c>
      <c r="R23" s="274">
        <v>1.0513254334240201</v>
      </c>
      <c r="S23" s="238" t="s">
        <v>151</v>
      </c>
      <c r="T23" s="245">
        <v>0.11652791999999999</v>
      </c>
      <c r="U23" s="245">
        <v>0.49601591</v>
      </c>
      <c r="V23" s="245" t="s">
        <v>106</v>
      </c>
    </row>
    <row r="24" spans="1:22" ht="14" thickBot="1">
      <c r="A24" s="242">
        <v>246</v>
      </c>
      <c r="B24" s="243" t="s">
        <v>255</v>
      </c>
      <c r="C24" s="272">
        <v>6100</v>
      </c>
      <c r="D24" s="255">
        <v>11.99501435</v>
      </c>
      <c r="E24" s="256">
        <v>12.257305199999999</v>
      </c>
      <c r="F24" s="255">
        <v>3.1003123999999342</v>
      </c>
      <c r="G24" s="273">
        <v>508.24793442621871</v>
      </c>
      <c r="H24" s="274">
        <v>0.25846675206352998</v>
      </c>
      <c r="I24" s="257">
        <v>7.3945556000000003</v>
      </c>
      <c r="J24" s="275">
        <v>1212.2222295081899</v>
      </c>
      <c r="K24" s="276">
        <v>5.1725687643E-2</v>
      </c>
      <c r="L24" s="273">
        <v>100.538504918032</v>
      </c>
      <c r="M24" s="275">
        <v>22.7096016393442</v>
      </c>
      <c r="N24" s="255">
        <v>2.5249999999999999</v>
      </c>
      <c r="O24" s="275">
        <v>413.93442622950801</v>
      </c>
      <c r="P24" s="255">
        <v>2.8526072199999999</v>
      </c>
      <c r="Q24" s="273">
        <v>467.64052786885202</v>
      </c>
      <c r="R24" s="274">
        <v>0.23272711036027</v>
      </c>
      <c r="S24" s="238" t="s">
        <v>151</v>
      </c>
      <c r="T24" s="245">
        <v>2.4514610399999999</v>
      </c>
      <c r="U24" s="245">
        <v>0.40114617999999003</v>
      </c>
      <c r="V24" s="245" t="s">
        <v>106</v>
      </c>
    </row>
    <row r="25" spans="1:22" ht="14" thickBot="1">
      <c r="A25" s="242">
        <v>261</v>
      </c>
      <c r="B25" s="243" t="s">
        <v>256</v>
      </c>
      <c r="C25" s="272">
        <v>24287</v>
      </c>
      <c r="D25" s="255">
        <v>47.428264349999999</v>
      </c>
      <c r="E25" s="256">
        <v>48.151376900000002</v>
      </c>
      <c r="F25" s="255">
        <v>8.4268559999996544</v>
      </c>
      <c r="G25" s="273">
        <v>346.96981924484925</v>
      </c>
      <c r="H25" s="274">
        <v>0.17767582506947999</v>
      </c>
      <c r="I25" s="257">
        <v>34.415301599999999</v>
      </c>
      <c r="J25" s="275">
        <v>1417.0256351134301</v>
      </c>
      <c r="K25" s="276">
        <v>8.1775100812699994E-2</v>
      </c>
      <c r="L25" s="273">
        <v>154.910604850331</v>
      </c>
      <c r="M25" s="275">
        <v>58.475848808004201</v>
      </c>
      <c r="N25" s="255">
        <v>7.2</v>
      </c>
      <c r="O25" s="275">
        <v>296.45489356445802</v>
      </c>
      <c r="P25" s="255">
        <v>5.7536629000000001</v>
      </c>
      <c r="Q25" s="273">
        <v>236.90298925350999</v>
      </c>
      <c r="R25" s="274">
        <v>0.11949113961889</v>
      </c>
      <c r="S25" s="238" t="s">
        <v>151</v>
      </c>
      <c r="T25" s="245">
        <v>9.6302753800000005</v>
      </c>
      <c r="U25" s="245" t="s">
        <v>106</v>
      </c>
      <c r="V25" s="245">
        <v>-3.8766124799999999</v>
      </c>
    </row>
    <row r="26" spans="1:22" ht="14" thickBot="1">
      <c r="A26" s="242">
        <v>263</v>
      </c>
      <c r="B26" s="243" t="s">
        <v>257</v>
      </c>
      <c r="C26" s="272">
        <v>52938</v>
      </c>
      <c r="D26" s="255">
        <v>143.94984797000001</v>
      </c>
      <c r="E26" s="256">
        <v>141.80530010000001</v>
      </c>
      <c r="F26" s="255">
        <v>12.775128069999626</v>
      </c>
      <c r="G26" s="273">
        <v>241.32245400278865</v>
      </c>
      <c r="H26" s="274">
        <v>8.8747075805610004E-2</v>
      </c>
      <c r="I26" s="257">
        <v>108.51404353</v>
      </c>
      <c r="J26" s="275">
        <v>2049.83270108428</v>
      </c>
      <c r="K26" s="276">
        <v>7.1642598764350002E-2</v>
      </c>
      <c r="L26" s="273">
        <v>185.57399845101801</v>
      </c>
      <c r="M26" s="275">
        <v>128.94131228984801</v>
      </c>
      <c r="N26" s="255">
        <v>29.315999999999999</v>
      </c>
      <c r="O26" s="275">
        <v>553.77989346027402</v>
      </c>
      <c r="P26" s="255">
        <v>26.21048833</v>
      </c>
      <c r="Q26" s="273">
        <v>495.11670879141599</v>
      </c>
      <c r="R26" s="274">
        <v>0.18483433490508</v>
      </c>
      <c r="S26" s="238" t="s">
        <v>151</v>
      </c>
      <c r="T26" s="245">
        <v>28.36106002</v>
      </c>
      <c r="U26" s="245" t="s">
        <v>106</v>
      </c>
      <c r="V26" s="245">
        <v>-2.15057169</v>
      </c>
    </row>
    <row r="27" spans="1:22" ht="14" thickBot="1">
      <c r="A27" s="242">
        <v>290</v>
      </c>
      <c r="B27" s="243" t="s">
        <v>258</v>
      </c>
      <c r="C27" s="272">
        <v>540770</v>
      </c>
      <c r="D27" s="255">
        <v>1218.2493980500001</v>
      </c>
      <c r="E27" s="256">
        <v>1232.1061803</v>
      </c>
      <c r="F27" s="255">
        <v>-66.939426749994993</v>
      </c>
      <c r="G27" s="273">
        <v>-123.78539258833699</v>
      </c>
      <c r="H27" s="274">
        <v>-5.4947227437289997E-2</v>
      </c>
      <c r="I27" s="257">
        <v>1172.2519155099999</v>
      </c>
      <c r="J27" s="275">
        <v>2167.74583558629</v>
      </c>
      <c r="K27" s="276">
        <v>5.4211719713329998E-2</v>
      </c>
      <c r="L27" s="273">
        <v>119.937505538398</v>
      </c>
      <c r="M27" s="275">
        <v>40.414351942600298</v>
      </c>
      <c r="N27" s="255">
        <v>330.35358580000002</v>
      </c>
      <c r="O27" s="275">
        <v>610.89480888362903</v>
      </c>
      <c r="P27" s="255">
        <v>229.09007783999999</v>
      </c>
      <c r="Q27" s="273">
        <v>423.63681017807897</v>
      </c>
      <c r="R27" s="274">
        <v>0.18593371375202</v>
      </c>
      <c r="S27" s="238" t="s">
        <v>151</v>
      </c>
      <c r="T27" s="245">
        <v>184.815927045</v>
      </c>
      <c r="U27" s="245">
        <v>44.274150794999997</v>
      </c>
      <c r="V27" s="245" t="s">
        <v>106</v>
      </c>
    </row>
    <row r="28" spans="1:22" ht="14" thickBot="1">
      <c r="A28" s="242">
        <v>294</v>
      </c>
      <c r="B28" s="243" t="s">
        <v>259</v>
      </c>
      <c r="C28" s="272">
        <v>10565</v>
      </c>
      <c r="D28" s="255">
        <v>17.16671419</v>
      </c>
      <c r="E28" s="256">
        <v>17.261982199999998</v>
      </c>
      <c r="F28" s="255">
        <v>5.6308344499999405</v>
      </c>
      <c r="G28" s="273">
        <v>532.97060577377567</v>
      </c>
      <c r="H28" s="274">
        <v>0.32800886574322002</v>
      </c>
      <c r="I28" s="257">
        <v>11.134294949999999</v>
      </c>
      <c r="J28" s="275">
        <v>1053.8849929010801</v>
      </c>
      <c r="K28" s="276">
        <v>4.7386667516320001E-2</v>
      </c>
      <c r="L28" s="273">
        <v>84.2227354472314</v>
      </c>
      <c r="M28" s="275">
        <v>-152.48442120208199</v>
      </c>
      <c r="N28" s="255">
        <v>3.12</v>
      </c>
      <c r="O28" s="275">
        <v>295.31471840984301</v>
      </c>
      <c r="P28" s="255">
        <v>1.2063539400000001</v>
      </c>
      <c r="Q28" s="273">
        <v>114.183998106956</v>
      </c>
      <c r="R28" s="274">
        <v>6.9885018187540004E-2</v>
      </c>
      <c r="S28" s="238" t="s">
        <v>151</v>
      </c>
      <c r="T28" s="245">
        <v>3.4523964399999998</v>
      </c>
      <c r="U28" s="245" t="s">
        <v>106</v>
      </c>
      <c r="V28" s="245">
        <v>-2.2460425000000002</v>
      </c>
    </row>
    <row r="29" spans="1:22" ht="14" thickBot="1">
      <c r="A29" s="242">
        <v>312</v>
      </c>
      <c r="B29" s="243" t="s">
        <v>260</v>
      </c>
      <c r="C29" s="272">
        <v>131273</v>
      </c>
      <c r="D29" s="255">
        <v>297.54589815000003</v>
      </c>
      <c r="E29" s="256">
        <v>294.58353490000002</v>
      </c>
      <c r="F29" s="255">
        <v>-8.0598994999980729</v>
      </c>
      <c r="G29" s="273">
        <v>-61.397998826857567</v>
      </c>
      <c r="H29" s="274">
        <v>-2.7087920049009999E-2</v>
      </c>
      <c r="I29" s="257">
        <v>264.05613715999999</v>
      </c>
      <c r="J29" s="275">
        <v>2011.5037910308999</v>
      </c>
      <c r="K29" s="276">
        <v>3.9805836458699999E-2</v>
      </c>
      <c r="L29" s="273">
        <v>85.564919518865196</v>
      </c>
      <c r="M29" s="275">
        <v>117.062040251993</v>
      </c>
      <c r="N29" s="255">
        <v>87.22</v>
      </c>
      <c r="O29" s="275">
        <v>664.41690218095096</v>
      </c>
      <c r="P29" s="255">
        <v>77.093642939999995</v>
      </c>
      <c r="Q29" s="273">
        <v>587.27722334371799</v>
      </c>
      <c r="R29" s="274">
        <v>0.26170384222651</v>
      </c>
      <c r="S29" s="238" t="s">
        <v>151</v>
      </c>
      <c r="T29" s="245">
        <v>58.916706980000001</v>
      </c>
      <c r="U29" s="245">
        <v>18.176935959999899</v>
      </c>
      <c r="V29" s="245" t="s">
        <v>106</v>
      </c>
    </row>
    <row r="30" spans="1:22" ht="14" thickBot="1">
      <c r="A30" s="242">
        <v>343</v>
      </c>
      <c r="B30" s="243" t="s">
        <v>261</v>
      </c>
      <c r="C30" s="272">
        <v>82873</v>
      </c>
      <c r="D30" s="255">
        <v>210.58350017000001</v>
      </c>
      <c r="E30" s="256">
        <v>208.06867399999999</v>
      </c>
      <c r="F30" s="255">
        <v>5.6425983899997973</v>
      </c>
      <c r="G30" s="273">
        <v>68.087294897008647</v>
      </c>
      <c r="H30" s="274">
        <v>2.6795064121570001E-2</v>
      </c>
      <c r="I30" s="257">
        <v>173.81651819999999</v>
      </c>
      <c r="J30" s="275">
        <v>2097.3841685470502</v>
      </c>
      <c r="K30" s="276">
        <v>6.0147197551949999E-2</v>
      </c>
      <c r="L30" s="273">
        <v>140.14152293268</v>
      </c>
      <c r="M30" s="275">
        <v>211.06276350560501</v>
      </c>
      <c r="N30" s="255">
        <v>45.986199999999997</v>
      </c>
      <c r="O30" s="275">
        <v>554.89966575362303</v>
      </c>
      <c r="P30" s="255">
        <v>51.440325739999999</v>
      </c>
      <c r="Q30" s="273">
        <v>620.71272597830398</v>
      </c>
      <c r="R30" s="274">
        <v>0.24722763283433999</v>
      </c>
      <c r="S30" s="238" t="s">
        <v>151</v>
      </c>
      <c r="T30" s="245">
        <v>41.613734800000003</v>
      </c>
      <c r="U30" s="245">
        <v>9.8265909399999902</v>
      </c>
      <c r="V30" s="245" t="s">
        <v>106</v>
      </c>
    </row>
    <row r="31" spans="1:22" ht="14" thickBot="1">
      <c r="A31" s="242">
        <v>360</v>
      </c>
      <c r="B31" s="243" t="s">
        <v>262</v>
      </c>
      <c r="C31" s="272">
        <v>15579</v>
      </c>
      <c r="D31" s="255">
        <v>27.94402418</v>
      </c>
      <c r="E31" s="256">
        <v>27.43679015</v>
      </c>
      <c r="F31" s="255">
        <v>4.802864999999799</v>
      </c>
      <c r="G31" s="273">
        <v>308.29096861157961</v>
      </c>
      <c r="H31" s="274">
        <v>0.17187449341807001</v>
      </c>
      <c r="I31" s="257">
        <v>18.75128355</v>
      </c>
      <c r="J31" s="275">
        <v>1203.6256210283</v>
      </c>
      <c r="K31" s="276">
        <v>4.3664062994189998E-2</v>
      </c>
      <c r="L31" s="273">
        <v>73.025869439630199</v>
      </c>
      <c r="M31" s="275">
        <v>121.25031837730199</v>
      </c>
      <c r="N31" s="255">
        <v>5.9510950500000002</v>
      </c>
      <c r="O31" s="275">
        <v>381.99467552474403</v>
      </c>
      <c r="P31" s="255">
        <v>9.7158133200000005</v>
      </c>
      <c r="Q31" s="273">
        <v>623.64807240515995</v>
      </c>
      <c r="R31" s="274">
        <v>0.35411625291742999</v>
      </c>
      <c r="S31" s="238" t="s">
        <v>151</v>
      </c>
      <c r="T31" s="245">
        <v>5.4873580300000002</v>
      </c>
      <c r="U31" s="245">
        <v>4.2284552900000003</v>
      </c>
      <c r="V31" s="245" t="s">
        <v>106</v>
      </c>
    </row>
    <row r="32" spans="1:22" ht="14" thickBot="1">
      <c r="A32" s="242">
        <v>376</v>
      </c>
      <c r="B32" s="243" t="s">
        <v>263</v>
      </c>
      <c r="C32" s="272">
        <v>321006</v>
      </c>
      <c r="D32" s="255">
        <v>818.92938207999998</v>
      </c>
      <c r="E32" s="256">
        <v>812.33030980000001</v>
      </c>
      <c r="F32" s="255">
        <v>35.315358999996242</v>
      </c>
      <c r="G32" s="273">
        <v>110.01463835565767</v>
      </c>
      <c r="H32" s="274">
        <v>4.3123814791329998E-2</v>
      </c>
      <c r="I32" s="257">
        <v>699.04918219000001</v>
      </c>
      <c r="J32" s="275">
        <v>2177.6826046553601</v>
      </c>
      <c r="K32" s="276">
        <v>6.7251209306840004E-2</v>
      </c>
      <c r="L32" s="273">
        <v>169.33958031937101</v>
      </c>
      <c r="M32" s="275">
        <v>33.1187965957022</v>
      </c>
      <c r="N32" s="255">
        <v>196.04282499999999</v>
      </c>
      <c r="O32" s="275">
        <v>610.71389631346403</v>
      </c>
      <c r="P32" s="255">
        <v>129.78423993000001</v>
      </c>
      <c r="Q32" s="273">
        <v>404.30471682772202</v>
      </c>
      <c r="R32" s="274">
        <v>0.15976781656953001</v>
      </c>
      <c r="S32" s="238" t="s">
        <v>106</v>
      </c>
      <c r="T32" s="245">
        <v>121.84954647000001</v>
      </c>
      <c r="U32" s="245">
        <v>7.9346934600000196</v>
      </c>
      <c r="V32" s="245" t="s">
        <v>106</v>
      </c>
    </row>
    <row r="33" spans="1:22" ht="14" thickBot="1">
      <c r="A33" s="242">
        <v>411</v>
      </c>
      <c r="B33" s="243" t="s">
        <v>264</v>
      </c>
      <c r="C33" s="272">
        <v>45656</v>
      </c>
      <c r="D33" s="255">
        <v>86.260761200000005</v>
      </c>
      <c r="E33" s="256">
        <v>84.988311400000001</v>
      </c>
      <c r="F33" s="255">
        <v>13.057707989999574</v>
      </c>
      <c r="G33" s="273">
        <v>286.00201485017465</v>
      </c>
      <c r="H33" s="274">
        <v>0.1513748291616</v>
      </c>
      <c r="I33" s="257">
        <v>62.815312280000001</v>
      </c>
      <c r="J33" s="275">
        <v>1375.8391510425699</v>
      </c>
      <c r="K33" s="276">
        <v>7.3582046600770001E-2</v>
      </c>
      <c r="L33" s="273">
        <v>138.25430217277</v>
      </c>
      <c r="M33" s="275">
        <v>10.4495696074995</v>
      </c>
      <c r="N33" s="255">
        <v>24.693965949999999</v>
      </c>
      <c r="O33" s="275">
        <v>540.87011455230402</v>
      </c>
      <c r="P33" s="255">
        <v>6.2744758899999997</v>
      </c>
      <c r="Q33" s="273">
        <v>137.42938255650901</v>
      </c>
      <c r="R33" s="274">
        <v>7.3827515650580003E-2</v>
      </c>
      <c r="S33" s="238" t="s">
        <v>106</v>
      </c>
      <c r="T33" s="245">
        <v>16.99766228</v>
      </c>
      <c r="U33" s="245" t="s">
        <v>106</v>
      </c>
      <c r="V33" s="245">
        <v>-10.72318639</v>
      </c>
    </row>
    <row r="34" spans="1:22" ht="14" thickBot="1">
      <c r="A34" s="242">
        <v>445</v>
      </c>
      <c r="B34" s="243" t="s">
        <v>265</v>
      </c>
      <c r="C34" s="272">
        <v>56355</v>
      </c>
      <c r="D34" s="255">
        <v>142.78091652000001</v>
      </c>
      <c r="E34" s="256">
        <v>141.33493730000001</v>
      </c>
      <c r="F34" s="255">
        <v>23.502900369999985</v>
      </c>
      <c r="G34" s="273">
        <v>417.05084500044336</v>
      </c>
      <c r="H34" s="274">
        <v>0.16460813491632001</v>
      </c>
      <c r="I34" s="257">
        <v>102.82976164</v>
      </c>
      <c r="J34" s="275">
        <v>1824.67858468636</v>
      </c>
      <c r="K34" s="276">
        <v>6.0398829538300003E-2</v>
      </c>
      <c r="L34" s="273">
        <v>146.37927584065301</v>
      </c>
      <c r="M34" s="275">
        <v>110.05311276727799</v>
      </c>
      <c r="N34" s="255">
        <v>26.712700000000002</v>
      </c>
      <c r="O34" s="275">
        <v>474.00763020140101</v>
      </c>
      <c r="P34" s="255">
        <v>22.68121356</v>
      </c>
      <c r="Q34" s="273">
        <v>402.47029651317501</v>
      </c>
      <c r="R34" s="274">
        <v>0.16047846338131999</v>
      </c>
      <c r="S34" s="238" t="s">
        <v>151</v>
      </c>
      <c r="T34" s="245">
        <v>28.266987459999999</v>
      </c>
      <c r="U34" s="245" t="s">
        <v>106</v>
      </c>
      <c r="V34" s="245">
        <v>-5.5857739000000004</v>
      </c>
    </row>
    <row r="35" spans="1:22" ht="14" thickBot="1">
      <c r="A35" s="242">
        <v>455</v>
      </c>
      <c r="B35" s="243" t="s">
        <v>266</v>
      </c>
      <c r="C35" s="272">
        <v>94501</v>
      </c>
      <c r="D35" s="255">
        <v>202.67030738</v>
      </c>
      <c r="E35" s="256">
        <v>196.5230717</v>
      </c>
      <c r="F35" s="255">
        <v>3.2248327999996871</v>
      </c>
      <c r="G35" s="273">
        <v>34.124853705248483</v>
      </c>
      <c r="H35" s="274">
        <v>1.5911718108529999E-2</v>
      </c>
      <c r="I35" s="257">
        <v>165.4984469</v>
      </c>
      <c r="J35" s="275">
        <v>1751.28778425625</v>
      </c>
      <c r="K35" s="276">
        <v>8.6945495526330005E-2</v>
      </c>
      <c r="L35" s="273">
        <v>180.462861662839</v>
      </c>
      <c r="M35" s="275">
        <v>69.050546343424898</v>
      </c>
      <c r="N35" s="255">
        <v>50.338483750000002</v>
      </c>
      <c r="O35" s="275">
        <v>532.67673093406404</v>
      </c>
      <c r="P35" s="255">
        <v>42.991589529999999</v>
      </c>
      <c r="Q35" s="273">
        <v>454.93264124189102</v>
      </c>
      <c r="R35" s="274">
        <v>0.21876102972594999</v>
      </c>
      <c r="S35" s="238" t="s">
        <v>106</v>
      </c>
      <c r="T35" s="245">
        <v>39.304614340000001</v>
      </c>
      <c r="U35" s="245">
        <v>3.6869751899999899</v>
      </c>
      <c r="V35" s="245" t="s">
        <v>106</v>
      </c>
    </row>
    <row r="36" spans="1:22" ht="14" thickBot="1">
      <c r="A36" s="242">
        <v>484</v>
      </c>
      <c r="B36" s="243" t="s">
        <v>267</v>
      </c>
      <c r="C36" s="272">
        <v>24304</v>
      </c>
      <c r="D36" s="255">
        <v>61.336946249999997</v>
      </c>
      <c r="E36" s="256">
        <v>61.258382300000001</v>
      </c>
      <c r="F36" s="255">
        <v>-7.0790939999995341</v>
      </c>
      <c r="G36" s="273">
        <v>-291.27279460169251</v>
      </c>
      <c r="H36" s="274">
        <v>-0.11541321231002</v>
      </c>
      <c r="I36" s="257">
        <v>63.45170469</v>
      </c>
      <c r="J36" s="275">
        <v>2610.7515096280399</v>
      </c>
      <c r="K36" s="276">
        <v>6.7259313305430002E-2</v>
      </c>
      <c r="L36" s="273">
        <v>163.089426843317</v>
      </c>
      <c r="M36" s="275">
        <v>98.9529509545754</v>
      </c>
      <c r="N36" s="255">
        <v>15.6</v>
      </c>
      <c r="O36" s="275">
        <v>641.86965108624099</v>
      </c>
      <c r="P36" s="255">
        <v>6.4953813</v>
      </c>
      <c r="Q36" s="273">
        <v>267.255649275839</v>
      </c>
      <c r="R36" s="274">
        <v>0.10603253066968001</v>
      </c>
      <c r="S36" s="238" t="s">
        <v>106</v>
      </c>
      <c r="T36" s="245">
        <v>12.251676460000001</v>
      </c>
      <c r="U36" s="245" t="s">
        <v>106</v>
      </c>
      <c r="V36" s="245">
        <v>-5.7562951599999996</v>
      </c>
    </row>
    <row r="37" spans="1:22" ht="14" thickBot="1">
      <c r="A37" s="242">
        <v>509</v>
      </c>
      <c r="B37" s="243" t="s">
        <v>268</v>
      </c>
      <c r="C37" s="272">
        <v>139633</v>
      </c>
      <c r="D37" s="255">
        <v>446.14627589000003</v>
      </c>
      <c r="E37" s="256">
        <v>414.46451716000001</v>
      </c>
      <c r="F37" s="255">
        <v>-3.4957834999981943</v>
      </c>
      <c r="G37" s="273">
        <v>-25.035510946539816</v>
      </c>
      <c r="H37" s="274">
        <v>-7.8355097619599995E-3</v>
      </c>
      <c r="I37" s="257">
        <v>388.89295625</v>
      </c>
      <c r="J37" s="275">
        <v>2785.1077914962698</v>
      </c>
      <c r="K37" s="276">
        <v>5.419179543976E-2</v>
      </c>
      <c r="L37" s="273">
        <v>164.59840940178799</v>
      </c>
      <c r="M37" s="275">
        <v>157.804131473219</v>
      </c>
      <c r="N37" s="255">
        <v>117.91632394</v>
      </c>
      <c r="O37" s="275">
        <v>844.47318284359699</v>
      </c>
      <c r="P37" s="255">
        <v>82.401782979999993</v>
      </c>
      <c r="Q37" s="273">
        <v>590.13115080245996</v>
      </c>
      <c r="R37" s="274">
        <v>0.19881504825703999</v>
      </c>
      <c r="S37" s="238" t="s">
        <v>151</v>
      </c>
      <c r="T37" s="245">
        <v>82.892903431999997</v>
      </c>
      <c r="U37" s="245" t="s">
        <v>106</v>
      </c>
      <c r="V37" s="245">
        <v>-0.49112045199999999</v>
      </c>
    </row>
    <row r="38" spans="1:22" ht="14" thickBot="1">
      <c r="A38" s="242">
        <v>556</v>
      </c>
      <c r="B38" s="243" t="s">
        <v>269</v>
      </c>
      <c r="C38" s="272">
        <v>2632</v>
      </c>
      <c r="D38" s="255">
        <v>6.0291035700000002</v>
      </c>
      <c r="E38" s="256">
        <v>5.9323318</v>
      </c>
      <c r="F38" s="255">
        <v>0.43488099999994373</v>
      </c>
      <c r="G38" s="273">
        <v>165.22834346502421</v>
      </c>
      <c r="H38" s="274">
        <v>7.2130291833740007E-2</v>
      </c>
      <c r="I38" s="257">
        <v>4.8345010300000002</v>
      </c>
      <c r="J38" s="275">
        <v>1836.81650075987</v>
      </c>
      <c r="K38" s="276">
        <v>8.6394124635740005E-2</v>
      </c>
      <c r="L38" s="273">
        <v>189.45044072948301</v>
      </c>
      <c r="M38" s="275">
        <v>97.830292553191498</v>
      </c>
      <c r="N38" s="255">
        <v>1.05</v>
      </c>
      <c r="O38" s="275">
        <v>398.936170212766</v>
      </c>
      <c r="P38" s="255">
        <v>2.3181522499999998</v>
      </c>
      <c r="Q38" s="273">
        <v>880.75693389057699</v>
      </c>
      <c r="R38" s="274">
        <v>0.39076577780089</v>
      </c>
      <c r="S38" s="238" t="s">
        <v>151</v>
      </c>
      <c r="T38" s="245">
        <v>1.1864663600000001</v>
      </c>
      <c r="U38" s="245">
        <v>1.13168589</v>
      </c>
      <c r="V38" s="245" t="s">
        <v>106</v>
      </c>
    </row>
    <row r="39" spans="1:22" ht="14" thickBot="1">
      <c r="A39" s="242">
        <v>558</v>
      </c>
      <c r="B39" s="243" t="s">
        <v>270</v>
      </c>
      <c r="C39" s="272">
        <v>1428</v>
      </c>
      <c r="D39" s="255">
        <v>2.8696079999999999</v>
      </c>
      <c r="E39" s="256">
        <v>2.7765347</v>
      </c>
      <c r="F39" s="255">
        <v>0.18708099999998631</v>
      </c>
      <c r="G39" s="273">
        <v>131.00910364144701</v>
      </c>
      <c r="H39" s="274">
        <v>6.5193921957279993E-2</v>
      </c>
      <c r="I39" s="257">
        <v>1.9331491999999999</v>
      </c>
      <c r="J39" s="275">
        <v>1353.7459383753501</v>
      </c>
      <c r="K39" s="276">
        <v>8.7675057355640004E-2</v>
      </c>
      <c r="L39" s="273">
        <v>148.41594537815101</v>
      </c>
      <c r="M39" s="275">
        <v>316.73387955182</v>
      </c>
      <c r="N39" s="255">
        <v>0.65</v>
      </c>
      <c r="O39" s="275">
        <v>455.18207282913102</v>
      </c>
      <c r="P39" s="255">
        <v>1.90456593</v>
      </c>
      <c r="Q39" s="273">
        <v>1333.7296428571401</v>
      </c>
      <c r="R39" s="274">
        <v>0.68595070322729002</v>
      </c>
      <c r="S39" s="238" t="s">
        <v>106</v>
      </c>
      <c r="T39" s="245">
        <v>0.55530694000000003</v>
      </c>
      <c r="U39" s="245">
        <v>1.34925899</v>
      </c>
      <c r="V39" s="245" t="s">
        <v>106</v>
      </c>
    </row>
    <row r="40" spans="1:22" ht="14" thickBot="1">
      <c r="A40" s="242">
        <v>591</v>
      </c>
      <c r="B40" s="243" t="s">
        <v>271</v>
      </c>
      <c r="C40" s="272">
        <v>8761</v>
      </c>
      <c r="D40" s="255">
        <v>14.72469746</v>
      </c>
      <c r="E40" s="256">
        <v>14.688758549999999</v>
      </c>
      <c r="F40" s="255">
        <v>1.3328669999999954</v>
      </c>
      <c r="G40" s="273">
        <v>152.13639995434258</v>
      </c>
      <c r="H40" s="274">
        <v>9.0519143338649993E-2</v>
      </c>
      <c r="I40" s="257">
        <v>12.37347325</v>
      </c>
      <c r="J40" s="275">
        <v>1412.33572080812</v>
      </c>
      <c r="K40" s="276">
        <v>3.0617287515560001E-2</v>
      </c>
      <c r="L40" s="273">
        <v>49.925249400753302</v>
      </c>
      <c r="M40" s="275">
        <v>50.086799452117297</v>
      </c>
      <c r="N40" s="255">
        <v>3.24</v>
      </c>
      <c r="O40" s="275">
        <v>369.82079671270401</v>
      </c>
      <c r="P40" s="255">
        <v>3.0035126000000001</v>
      </c>
      <c r="Q40" s="273">
        <v>342.82759958908798</v>
      </c>
      <c r="R40" s="274">
        <v>0.204476953568</v>
      </c>
      <c r="S40" s="238" t="s">
        <v>151</v>
      </c>
      <c r="T40" s="245">
        <v>2.9377517100000001</v>
      </c>
      <c r="U40" s="245">
        <v>6.5760889999989997E-2</v>
      </c>
      <c r="V40" s="245" t="s">
        <v>106</v>
      </c>
    </row>
    <row r="41" spans="1:22" ht="14" thickBot="1">
      <c r="A41" s="242">
        <v>623</v>
      </c>
      <c r="B41" s="243" t="s">
        <v>272</v>
      </c>
      <c r="C41" s="272">
        <v>1374</v>
      </c>
      <c r="D41" s="255">
        <v>2.0623079</v>
      </c>
      <c r="E41" s="256">
        <v>2.0445821999999998</v>
      </c>
      <c r="F41" s="255">
        <v>0.53817099999999585</v>
      </c>
      <c r="G41" s="273">
        <v>391.68195050945837</v>
      </c>
      <c r="H41" s="274">
        <v>0.26095569919506001</v>
      </c>
      <c r="I41" s="257">
        <v>1.6199877</v>
      </c>
      <c r="J41" s="275">
        <v>1179.0303493449701</v>
      </c>
      <c r="K41" s="276">
        <v>4.3037259366689999E-2</v>
      </c>
      <c r="L41" s="273">
        <v>70.710007278020299</v>
      </c>
      <c r="M41" s="275">
        <v>-142.04323144104799</v>
      </c>
      <c r="N41" s="255">
        <v>0.14599999999999999</v>
      </c>
      <c r="O41" s="275">
        <v>106.259097525473</v>
      </c>
      <c r="P41" s="255">
        <v>0.54164939999999995</v>
      </c>
      <c r="Q41" s="273">
        <v>394.21353711790402</v>
      </c>
      <c r="R41" s="274">
        <v>0.26491935614034001</v>
      </c>
      <c r="S41" s="238" t="s">
        <v>151</v>
      </c>
      <c r="T41" s="245">
        <v>0.40891643999999999</v>
      </c>
      <c r="U41" s="245">
        <v>0.13273296000000001</v>
      </c>
      <c r="V41" s="245" t="s">
        <v>106</v>
      </c>
    </row>
    <row r="42" spans="1:22" ht="14" thickBot="1">
      <c r="A42" s="242">
        <v>627</v>
      </c>
      <c r="B42" s="243" t="s">
        <v>273</v>
      </c>
      <c r="C42" s="272">
        <v>2769</v>
      </c>
      <c r="D42" s="255">
        <v>4.5038624499999997</v>
      </c>
      <c r="E42" s="256">
        <v>4.4403379000000003</v>
      </c>
      <c r="F42" s="255">
        <v>0.73361999999997873</v>
      </c>
      <c r="G42" s="273">
        <v>264.94041170096739</v>
      </c>
      <c r="H42" s="274">
        <v>0.16288685725737001</v>
      </c>
      <c r="I42" s="257">
        <v>3.2790548500000001</v>
      </c>
      <c r="J42" s="275">
        <v>1184.20182376309</v>
      </c>
      <c r="K42" s="276">
        <v>5.195444063462E-2</v>
      </c>
      <c r="L42" s="273">
        <v>81.388172625496495</v>
      </c>
      <c r="M42" s="275">
        <v>60.000650054171103</v>
      </c>
      <c r="N42" s="255">
        <v>1.1000000000000001</v>
      </c>
      <c r="O42" s="275">
        <v>397.25532683279101</v>
      </c>
      <c r="P42" s="255">
        <v>2.4904225499999999</v>
      </c>
      <c r="Q42" s="273">
        <v>899.39420368363994</v>
      </c>
      <c r="R42" s="274">
        <v>0.56086329601176999</v>
      </c>
      <c r="S42" s="238" t="s">
        <v>106</v>
      </c>
      <c r="T42" s="245">
        <v>0.88806757999999997</v>
      </c>
      <c r="U42" s="245">
        <v>1.6023549699999999</v>
      </c>
      <c r="V42" s="245" t="s">
        <v>106</v>
      </c>
    </row>
    <row r="43" spans="1:22" ht="14" thickBot="1">
      <c r="A43" s="242">
        <v>749</v>
      </c>
      <c r="B43" s="243" t="s">
        <v>274</v>
      </c>
      <c r="C43" s="272">
        <v>71430</v>
      </c>
      <c r="D43" s="255">
        <v>195.84467551</v>
      </c>
      <c r="E43" s="256">
        <v>192.94731880000001</v>
      </c>
      <c r="F43" s="255">
        <v>26.742203969999078</v>
      </c>
      <c r="G43" s="273">
        <v>374.38336791262884</v>
      </c>
      <c r="H43" s="274">
        <v>0.13654802664591001</v>
      </c>
      <c r="I43" s="257">
        <v>149.01052111000001</v>
      </c>
      <c r="J43" s="275">
        <v>2086.1055734285301</v>
      </c>
      <c r="K43" s="276">
        <v>6.1013964577339999E-2</v>
      </c>
      <c r="L43" s="273">
        <v>163.17690214195699</v>
      </c>
      <c r="M43" s="275">
        <v>67.351687106257799</v>
      </c>
      <c r="N43" s="255">
        <v>41.489800000000002</v>
      </c>
      <c r="O43" s="275">
        <v>580.845583088338</v>
      </c>
      <c r="P43" s="255">
        <v>34.810589069999999</v>
      </c>
      <c r="Q43" s="273">
        <v>487.338500209995</v>
      </c>
      <c r="R43" s="274">
        <v>0.18041499247824</v>
      </c>
      <c r="S43" s="238" t="s">
        <v>151</v>
      </c>
      <c r="T43" s="245">
        <v>38.589463760000001</v>
      </c>
      <c r="U43" s="245" t="s">
        <v>106</v>
      </c>
      <c r="V43" s="245">
        <v>-3.7788746899999901</v>
      </c>
    </row>
    <row r="44" spans="1:22" ht="14" thickBot="1">
      <c r="A44" s="242">
        <v>758</v>
      </c>
      <c r="B44" s="243" t="s">
        <v>275</v>
      </c>
      <c r="C44" s="272">
        <v>1561</v>
      </c>
      <c r="D44" s="255">
        <v>2.4976092300000001</v>
      </c>
      <c r="E44" s="256">
        <v>2.4323229999999998</v>
      </c>
      <c r="F44" s="255">
        <v>-2.2565599999986051E-2</v>
      </c>
      <c r="G44" s="273">
        <v>-14.455861627153139</v>
      </c>
      <c r="H44" s="274">
        <v>-9.0348801281400007E-3</v>
      </c>
      <c r="I44" s="257">
        <v>2.0863255500000002</v>
      </c>
      <c r="J44" s="275">
        <v>1336.53142216527</v>
      </c>
      <c r="K44" s="276">
        <v>7.8840533390860001E-2</v>
      </c>
      <c r="L44" s="273">
        <v>116.403875720691</v>
      </c>
      <c r="M44" s="275">
        <v>123.558827674567</v>
      </c>
      <c r="N44" s="255">
        <v>0.67500000000000004</v>
      </c>
      <c r="O44" s="275">
        <v>432.415118513773</v>
      </c>
      <c r="P44" s="255">
        <v>1.6546454399999999</v>
      </c>
      <c r="Q44" s="273">
        <v>1059.99067264574</v>
      </c>
      <c r="R44" s="274">
        <v>0.68027373009258996</v>
      </c>
      <c r="S44" s="238" t="s">
        <v>106</v>
      </c>
      <c r="T44" s="245">
        <v>0.48646460000000002</v>
      </c>
      <c r="U44" s="245">
        <v>1.16818083999999</v>
      </c>
      <c r="V44" s="245" t="s">
        <v>106</v>
      </c>
    </row>
    <row r="45" spans="1:22" ht="14" thickBot="1">
      <c r="A45" s="242">
        <v>762</v>
      </c>
      <c r="B45" s="243" t="s">
        <v>276</v>
      </c>
      <c r="C45" s="272">
        <v>30506</v>
      </c>
      <c r="D45" s="255">
        <v>65.949900630000002</v>
      </c>
      <c r="E45" s="256">
        <v>67.426565999999994</v>
      </c>
      <c r="F45" s="255">
        <v>3.9417819999998409</v>
      </c>
      <c r="G45" s="273">
        <v>129.21333508161806</v>
      </c>
      <c r="H45" s="274">
        <v>5.9769339488690003E-2</v>
      </c>
      <c r="I45" s="257">
        <v>53.090056300000001</v>
      </c>
      <c r="J45" s="275">
        <v>1740.3152265128101</v>
      </c>
      <c r="K45" s="276">
        <v>7.4796474148649997E-2</v>
      </c>
      <c r="L45" s="273">
        <v>151.65748147905299</v>
      </c>
      <c r="M45" s="275">
        <v>134.26452665049499</v>
      </c>
      <c r="N45" s="255">
        <v>14.35</v>
      </c>
      <c r="O45" s="275">
        <v>470.399265718219</v>
      </c>
      <c r="P45" s="255">
        <v>13.664305260000001</v>
      </c>
      <c r="Q45" s="273">
        <v>447.92189274241099</v>
      </c>
      <c r="R45" s="274">
        <v>0.20265462221521999</v>
      </c>
      <c r="S45" s="238" t="s">
        <v>151</v>
      </c>
      <c r="T45" s="245">
        <v>13.4853132</v>
      </c>
      <c r="U45" s="245">
        <v>0.17899205999998999</v>
      </c>
      <c r="V45" s="245" t="s">
        <v>106</v>
      </c>
    </row>
    <row r="46" spans="1:22" ht="14" thickBot="1">
      <c r="A46" s="242">
        <v>774</v>
      </c>
      <c r="B46" s="243" t="s">
        <v>277</v>
      </c>
      <c r="C46" s="272">
        <v>1925</v>
      </c>
      <c r="D46" s="255">
        <v>4.4432411800000002</v>
      </c>
      <c r="E46" s="256">
        <v>4.4005476999999997</v>
      </c>
      <c r="F46" s="255">
        <v>-4.2550999999955819E-2</v>
      </c>
      <c r="G46" s="273">
        <v>-22.104415584392633</v>
      </c>
      <c r="H46" s="274">
        <v>-9.5765677072599999E-3</v>
      </c>
      <c r="I46" s="257">
        <v>3.4380707199999998</v>
      </c>
      <c r="J46" s="275">
        <v>1786.01076363636</v>
      </c>
      <c r="K46" s="276">
        <v>0.10923844097909</v>
      </c>
      <c r="L46" s="273">
        <v>224.12459220779201</v>
      </c>
      <c r="M46" s="275">
        <v>256.476477922078</v>
      </c>
      <c r="N46" s="255">
        <v>1</v>
      </c>
      <c r="O46" s="275">
        <v>519.48051948051898</v>
      </c>
      <c r="P46" s="255">
        <v>2.7077546199999998</v>
      </c>
      <c r="Q46" s="273">
        <v>1406.62577662337</v>
      </c>
      <c r="R46" s="274">
        <v>0.61532218364544999</v>
      </c>
      <c r="S46" s="238" t="s">
        <v>151</v>
      </c>
      <c r="T46" s="245">
        <v>0.88010953999999997</v>
      </c>
      <c r="U46" s="245">
        <v>1.8276450799999999</v>
      </c>
      <c r="V46" s="245" t="s">
        <v>106</v>
      </c>
    </row>
    <row r="47" spans="1:22" ht="14" thickBot="1">
      <c r="A47" s="242">
        <v>780</v>
      </c>
      <c r="B47" s="243" t="s">
        <v>278</v>
      </c>
      <c r="C47" s="272">
        <v>3273</v>
      </c>
      <c r="D47" s="255">
        <v>5.4344166999999999</v>
      </c>
      <c r="E47" s="256">
        <v>5.2937399000000003</v>
      </c>
      <c r="F47" s="255">
        <v>0.94550684999998302</v>
      </c>
      <c r="G47" s="273">
        <v>288.880797433542</v>
      </c>
      <c r="H47" s="274">
        <v>0.17398497432116</v>
      </c>
      <c r="I47" s="257">
        <v>3.9507918499999999</v>
      </c>
      <c r="J47" s="275">
        <v>1207.0858081271001</v>
      </c>
      <c r="K47" s="276">
        <v>2.278082967799E-2</v>
      </c>
      <c r="L47" s="273">
        <v>36.077467155514803</v>
      </c>
      <c r="M47" s="275">
        <v>76.701237396883599</v>
      </c>
      <c r="N47" s="255">
        <v>0.85</v>
      </c>
      <c r="O47" s="275">
        <v>259.70058050718001</v>
      </c>
      <c r="P47" s="255">
        <v>1.5433938</v>
      </c>
      <c r="Q47" s="273">
        <v>471.55325389550802</v>
      </c>
      <c r="R47" s="274">
        <v>0.29155074279338</v>
      </c>
      <c r="S47" s="238" t="s">
        <v>106</v>
      </c>
      <c r="T47" s="245">
        <v>1.0587479799999999</v>
      </c>
      <c r="U47" s="245">
        <v>0.48464581999999001</v>
      </c>
      <c r="V47" s="245" t="s">
        <v>106</v>
      </c>
    </row>
    <row r="48" spans="1:22" ht="14" thickBot="1">
      <c r="A48" s="242">
        <v>790</v>
      </c>
      <c r="B48" s="243" t="s">
        <v>279</v>
      </c>
      <c r="C48" s="272">
        <v>1629</v>
      </c>
      <c r="D48" s="255">
        <v>2.8946676899999999</v>
      </c>
      <c r="E48" s="256">
        <v>2.8963983</v>
      </c>
      <c r="F48" s="255">
        <v>-2.5167999999991204E-2</v>
      </c>
      <c r="G48" s="273">
        <v>-15.449969306317497</v>
      </c>
      <c r="H48" s="274">
        <v>-8.6946077046900008E-3</v>
      </c>
      <c r="I48" s="257">
        <v>2.9715364499999999</v>
      </c>
      <c r="J48" s="275">
        <v>1824.1476058931801</v>
      </c>
      <c r="K48" s="276">
        <v>5.8349590222850002E-2</v>
      </c>
      <c r="L48" s="273">
        <v>110.502621240024</v>
      </c>
      <c r="M48" s="275">
        <v>-116.842958870472</v>
      </c>
      <c r="N48" s="255">
        <v>0.7</v>
      </c>
      <c r="O48" s="275">
        <v>429.71147943523601</v>
      </c>
      <c r="P48" s="255">
        <v>0.38722330999999999</v>
      </c>
      <c r="Q48" s="273">
        <v>237.706144874155</v>
      </c>
      <c r="R48" s="274">
        <v>0.13369131931889</v>
      </c>
      <c r="S48" s="238" t="s">
        <v>151</v>
      </c>
      <c r="T48" s="245">
        <v>0.57927965999999997</v>
      </c>
      <c r="U48" s="245" t="s">
        <v>106</v>
      </c>
      <c r="V48" s="245">
        <v>-0.19205634999999999</v>
      </c>
    </row>
    <row r="49" spans="1:22" ht="14" thickBot="1">
      <c r="A49" s="242">
        <v>820</v>
      </c>
      <c r="B49" s="243" t="s">
        <v>280</v>
      </c>
      <c r="C49" s="272">
        <v>3094</v>
      </c>
      <c r="D49" s="255">
        <v>5.8047335200000001</v>
      </c>
      <c r="E49" s="256">
        <v>5.8757419999999998</v>
      </c>
      <c r="F49" s="255">
        <v>0.3369377499999977</v>
      </c>
      <c r="G49" s="273">
        <v>108.90037168713566</v>
      </c>
      <c r="H49" s="274">
        <v>5.8045343311470002E-2</v>
      </c>
      <c r="I49" s="257">
        <v>4.3838870500000002</v>
      </c>
      <c r="J49" s="275">
        <v>1416.89949903038</v>
      </c>
      <c r="K49" s="276">
        <v>6.7321279895159999E-2</v>
      </c>
      <c r="L49" s="273">
        <v>122.818358112475</v>
      </c>
      <c r="M49" s="275">
        <v>51.764292178409796</v>
      </c>
      <c r="N49" s="255">
        <v>1.4</v>
      </c>
      <c r="O49" s="275">
        <v>452.48868778280502</v>
      </c>
      <c r="P49" s="255">
        <v>1.01830347</v>
      </c>
      <c r="Q49" s="273">
        <v>329.122000646412</v>
      </c>
      <c r="R49" s="274">
        <v>0.17330636198798</v>
      </c>
      <c r="S49" s="238" t="s">
        <v>151</v>
      </c>
      <c r="T49" s="245">
        <v>1.1751484000000001</v>
      </c>
      <c r="U49" s="245" t="s">
        <v>106</v>
      </c>
      <c r="V49" s="245">
        <v>-0.15684492999999999</v>
      </c>
    </row>
    <row r="50" spans="1:22" ht="14" thickBot="1">
      <c r="A50" s="242">
        <v>829</v>
      </c>
      <c r="B50" s="243" t="s">
        <v>281</v>
      </c>
      <c r="C50" s="272">
        <v>11256</v>
      </c>
      <c r="D50" s="255">
        <v>24.81515272</v>
      </c>
      <c r="E50" s="256">
        <v>24.0405336</v>
      </c>
      <c r="F50" s="255">
        <v>0.48451919999979354</v>
      </c>
      <c r="G50" s="273">
        <v>43.045415778233256</v>
      </c>
      <c r="H50" s="274">
        <v>1.9525134721789999E-2</v>
      </c>
      <c r="I50" s="257">
        <v>19.69146495</v>
      </c>
      <c r="J50" s="275">
        <v>1749.4194163113</v>
      </c>
      <c r="K50" s="276">
        <v>6.2339449901470001E-2</v>
      </c>
      <c r="L50" s="273">
        <v>122.564359452736</v>
      </c>
      <c r="M50" s="275">
        <v>238.53533670931</v>
      </c>
      <c r="N50" s="255">
        <v>6.3</v>
      </c>
      <c r="O50" s="275">
        <v>559.70149253731302</v>
      </c>
      <c r="P50" s="255">
        <v>6.32</v>
      </c>
      <c r="Q50" s="273">
        <v>561.47832267235196</v>
      </c>
      <c r="R50" s="274">
        <v>0.26288933952780003</v>
      </c>
      <c r="S50" s="238" t="s">
        <v>106</v>
      </c>
      <c r="T50" s="245">
        <v>4.8081067199999996</v>
      </c>
      <c r="U50" s="245">
        <v>1.51189328</v>
      </c>
      <c r="V50" s="245" t="s">
        <v>106</v>
      </c>
    </row>
    <row r="51" spans="1:22" ht="14" thickBot="1">
      <c r="A51" s="242">
        <v>881</v>
      </c>
      <c r="B51" s="243" t="s">
        <v>282</v>
      </c>
      <c r="C51" s="272">
        <v>118959</v>
      </c>
      <c r="D51" s="255">
        <v>266.42561139999998</v>
      </c>
      <c r="E51" s="256">
        <v>266.3620209</v>
      </c>
      <c r="F51" s="255">
        <v>22.592418879997858</v>
      </c>
      <c r="G51" s="273">
        <v>189.91769332289155</v>
      </c>
      <c r="H51" s="274">
        <v>8.4798224770059993E-2</v>
      </c>
      <c r="I51" s="257">
        <v>206.24444120000001</v>
      </c>
      <c r="J51" s="275">
        <v>1733.74390504291</v>
      </c>
      <c r="K51" s="276">
        <v>8.4892806905680004E-2</v>
      </c>
      <c r="L51" s="273">
        <v>182.54071873502599</v>
      </c>
      <c r="M51" s="275">
        <v>89.392788607839606</v>
      </c>
      <c r="N51" s="255">
        <v>67.841371319999993</v>
      </c>
      <c r="O51" s="275">
        <v>570.29204448591497</v>
      </c>
      <c r="P51" s="255">
        <v>64.054535290000004</v>
      </c>
      <c r="Q51" s="273">
        <v>538.45892525996305</v>
      </c>
      <c r="R51" s="274">
        <v>0.24047923601707999</v>
      </c>
      <c r="S51" s="238" t="s">
        <v>151</v>
      </c>
      <c r="T51" s="245">
        <v>53.272404180000002</v>
      </c>
      <c r="U51" s="245">
        <v>10.78213111</v>
      </c>
      <c r="V51" s="245" t="s">
        <v>106</v>
      </c>
    </row>
    <row r="52" spans="1:22" ht="14" thickBot="1">
      <c r="A52" s="242">
        <v>895</v>
      </c>
      <c r="B52" s="243" t="s">
        <v>283</v>
      </c>
      <c r="C52" s="272">
        <v>766</v>
      </c>
      <c r="D52" s="255">
        <v>1.1636417999999999</v>
      </c>
      <c r="E52" s="256">
        <v>1.1403829999999999</v>
      </c>
      <c r="F52" s="255">
        <v>0.14158899999999938</v>
      </c>
      <c r="G52" s="273">
        <v>184.842036553524</v>
      </c>
      <c r="H52" s="274">
        <v>0.12167747841303</v>
      </c>
      <c r="I52" s="257">
        <v>0.70997195000000002</v>
      </c>
      <c r="J52" s="275">
        <v>926.856331592689</v>
      </c>
      <c r="K52" s="276">
        <v>6.553875629849E-2</v>
      </c>
      <c r="L52" s="273">
        <v>87.125391644908603</v>
      </c>
      <c r="M52" s="275">
        <v>189.74255874673599</v>
      </c>
      <c r="N52" s="255">
        <v>0.5</v>
      </c>
      <c r="O52" s="275">
        <v>652.74151436031298</v>
      </c>
      <c r="P52" s="255">
        <v>1.3272760100000001</v>
      </c>
      <c r="Q52" s="273">
        <v>1732.73630548302</v>
      </c>
      <c r="R52" s="274">
        <v>1.1638861768370801</v>
      </c>
      <c r="S52" s="238" t="s">
        <v>106</v>
      </c>
      <c r="T52" s="245">
        <v>0.22807659999999999</v>
      </c>
      <c r="U52" s="245">
        <v>1.09919941</v>
      </c>
      <c r="V52" s="245" t="s">
        <v>106</v>
      </c>
    </row>
    <row r="53" spans="1:22" ht="14" thickBot="1">
      <c r="A53" s="242">
        <v>901</v>
      </c>
      <c r="B53" s="243" t="s">
        <v>284</v>
      </c>
      <c r="C53" s="272">
        <v>2696</v>
      </c>
      <c r="D53" s="255">
        <v>4.6079098800000002</v>
      </c>
      <c r="E53" s="256">
        <v>4.8105872500000002</v>
      </c>
      <c r="F53" s="255">
        <v>0.25139994999998355</v>
      </c>
      <c r="G53" s="273">
        <v>93.249239614237212</v>
      </c>
      <c r="H53" s="274">
        <v>5.4558347829489998E-2</v>
      </c>
      <c r="I53" s="257">
        <v>3.3644104000000001</v>
      </c>
      <c r="J53" s="275">
        <v>1247.92670623145</v>
      </c>
      <c r="K53" s="276">
        <v>5.0088354983080001E-2</v>
      </c>
      <c r="L53" s="273">
        <v>76.587933976261098</v>
      </c>
      <c r="M53" s="275">
        <v>180.108701780415</v>
      </c>
      <c r="N53" s="255">
        <v>1.6</v>
      </c>
      <c r="O53" s="275">
        <v>593.47181008901998</v>
      </c>
      <c r="P53" s="255">
        <v>2.1952116500000001</v>
      </c>
      <c r="Q53" s="273">
        <v>814.24764465875296</v>
      </c>
      <c r="R53" s="274">
        <v>0.45632924545749998</v>
      </c>
      <c r="S53" s="238" t="s">
        <v>151</v>
      </c>
      <c r="T53" s="245">
        <v>0.96211745000000004</v>
      </c>
      <c r="U53" s="245">
        <v>1.2330942</v>
      </c>
      <c r="V53" s="245" t="s">
        <v>106</v>
      </c>
    </row>
    <row r="54" spans="1:22" ht="14" thickBot="1">
      <c r="A54" s="242">
        <v>923</v>
      </c>
      <c r="B54" s="243" t="s">
        <v>285</v>
      </c>
      <c r="C54" s="272">
        <v>14121</v>
      </c>
      <c r="D54" s="255">
        <v>33.091851849999998</v>
      </c>
      <c r="E54" s="256">
        <v>32.968416300000001</v>
      </c>
      <c r="F54" s="255">
        <v>-3.6730249999998357</v>
      </c>
      <c r="G54" s="273">
        <v>-260.11082784504185</v>
      </c>
      <c r="H54" s="274">
        <v>-0.11099484600164</v>
      </c>
      <c r="I54" s="257">
        <v>32.97245625</v>
      </c>
      <c r="J54" s="275">
        <v>2334.99442319949</v>
      </c>
      <c r="K54" s="276">
        <v>8.7512524635920005E-2</v>
      </c>
      <c r="L54" s="273">
        <v>202.98955102329799</v>
      </c>
      <c r="M54" s="275">
        <v>23.901037461936099</v>
      </c>
      <c r="N54" s="255">
        <v>9.6999999999999993</v>
      </c>
      <c r="O54" s="275">
        <v>686.92018978825797</v>
      </c>
      <c r="P54" s="255">
        <v>18.2237744</v>
      </c>
      <c r="Q54" s="273">
        <v>1290.5441824233401</v>
      </c>
      <c r="R54" s="274">
        <v>0.55276462885479005</v>
      </c>
      <c r="S54" s="238" t="s">
        <v>106</v>
      </c>
      <c r="T54" s="245">
        <v>6.5936832599999997</v>
      </c>
      <c r="U54" s="245">
        <v>11.6300911399999</v>
      </c>
      <c r="V54" s="245" t="s">
        <v>106</v>
      </c>
    </row>
    <row r="55" spans="1:22" ht="14" thickBot="1">
      <c r="A55" s="248">
        <v>941</v>
      </c>
      <c r="B55" s="249" t="s">
        <v>2153</v>
      </c>
      <c r="C55" s="272">
        <v>14731</v>
      </c>
      <c r="D55" s="255">
        <v>25.02446299</v>
      </c>
      <c r="E55" s="256">
        <v>24.856305800000001</v>
      </c>
      <c r="F55" s="255">
        <v>3.6791592499999353</v>
      </c>
      <c r="G55" s="273">
        <v>249.7562453329669</v>
      </c>
      <c r="H55" s="274">
        <v>0.14702250559662999</v>
      </c>
      <c r="I55" s="257">
        <v>20.285747749999999</v>
      </c>
      <c r="J55" s="275">
        <v>1377.07879641572</v>
      </c>
      <c r="K55" s="276">
        <v>1.8196182093919998E-2</v>
      </c>
      <c r="L55" s="273">
        <v>30.559831647545899</v>
      </c>
      <c r="M55" s="275">
        <v>19.298059194895099</v>
      </c>
      <c r="N55" s="255">
        <v>6.1867700000000001</v>
      </c>
      <c r="O55" s="275">
        <v>419.98302898649098</v>
      </c>
      <c r="P55" s="255">
        <v>11.574206719999999</v>
      </c>
      <c r="Q55" s="273">
        <v>785.70407440092299</v>
      </c>
      <c r="R55" s="274">
        <v>0.46564468642801998</v>
      </c>
      <c r="S55" s="238" t="s">
        <v>151</v>
      </c>
      <c r="T55" s="251">
        <v>4.9712611600000001</v>
      </c>
      <c r="U55" s="251">
        <v>6.6029455600000002</v>
      </c>
      <c r="V55" s="251" t="s">
        <v>106</v>
      </c>
    </row>
    <row r="56" spans="1:22" ht="14" thickBot="1">
      <c r="A56" s="242">
        <v>966</v>
      </c>
      <c r="B56" s="243" t="s">
        <v>286</v>
      </c>
      <c r="C56" s="272">
        <v>6568</v>
      </c>
      <c r="D56" s="255">
        <v>11.994636659999999</v>
      </c>
      <c r="E56" s="256">
        <v>11.5520426</v>
      </c>
      <c r="F56" s="255">
        <v>1.047906999999997</v>
      </c>
      <c r="G56" s="273">
        <v>159.54735079171698</v>
      </c>
      <c r="H56" s="274">
        <v>8.7364630518120004E-2</v>
      </c>
      <c r="I56" s="257">
        <v>9.6794189500000005</v>
      </c>
      <c r="J56" s="275">
        <v>1473.7239570645499</v>
      </c>
      <c r="K56" s="276">
        <v>5.0455856508940002E-2</v>
      </c>
      <c r="L56" s="273">
        <v>91.236667174177796</v>
      </c>
      <c r="M56" s="275">
        <v>17.9762911084043</v>
      </c>
      <c r="N56" s="255">
        <v>3.2850000000000001</v>
      </c>
      <c r="O56" s="275">
        <v>500.15225334957302</v>
      </c>
      <c r="P56" s="255">
        <v>2.3312916700000001</v>
      </c>
      <c r="Q56" s="273">
        <v>354.94696559074299</v>
      </c>
      <c r="R56" s="274">
        <v>0.20180774523805001</v>
      </c>
      <c r="S56" s="238" t="s">
        <v>151</v>
      </c>
      <c r="T56" s="245">
        <v>2.3104085200000002</v>
      </c>
      <c r="U56" s="245">
        <v>2.0883149999990001E-2</v>
      </c>
      <c r="V56" s="245" t="s">
        <v>106</v>
      </c>
    </row>
    <row r="57" spans="1:22" ht="14" thickBot="1">
      <c r="A57" s="242">
        <v>979</v>
      </c>
      <c r="B57" s="243" t="s">
        <v>287</v>
      </c>
      <c r="C57" s="272">
        <v>1796</v>
      </c>
      <c r="D57" s="255">
        <v>2.9215516699999999</v>
      </c>
      <c r="E57" s="256">
        <v>2.8361149999999999</v>
      </c>
      <c r="F57" s="255">
        <v>-2.843404999999698E-2</v>
      </c>
      <c r="G57" s="273">
        <v>-15.831876391980501</v>
      </c>
      <c r="H57" s="274">
        <v>-9.7325165568599992E-3</v>
      </c>
      <c r="I57" s="257">
        <v>2.2583381500000002</v>
      </c>
      <c r="J57" s="275">
        <v>1257.4265868596799</v>
      </c>
      <c r="K57" s="276">
        <v>8.7770931382290002E-2</v>
      </c>
      <c r="L57" s="273">
        <v>119.915256124721</v>
      </c>
      <c r="M57" s="275">
        <v>260.46941536748301</v>
      </c>
      <c r="N57" s="255">
        <v>0.89</v>
      </c>
      <c r="O57" s="275">
        <v>495.54565701559</v>
      </c>
      <c r="P57" s="255">
        <v>4.5051546800000004</v>
      </c>
      <c r="Q57" s="273">
        <v>2508.4380178173701</v>
      </c>
      <c r="R57" s="274">
        <v>1.58849506455133</v>
      </c>
      <c r="S57" s="238" t="s">
        <v>106</v>
      </c>
      <c r="T57" s="245">
        <v>0.56722300000000003</v>
      </c>
      <c r="U57" s="245">
        <v>3.9379316800000002</v>
      </c>
      <c r="V57" s="245" t="s">
        <v>106</v>
      </c>
    </row>
    <row r="58" spans="1:22" ht="14" thickBot="1">
      <c r="A58" s="242">
        <v>992</v>
      </c>
      <c r="B58" s="243" t="s">
        <v>288</v>
      </c>
      <c r="C58" s="272">
        <v>45244</v>
      </c>
      <c r="D58" s="255">
        <v>120.56815779</v>
      </c>
      <c r="E58" s="256">
        <v>120.480796</v>
      </c>
      <c r="F58" s="255">
        <v>19.885323999998867</v>
      </c>
      <c r="G58" s="273">
        <v>439.51295199360948</v>
      </c>
      <c r="H58" s="274">
        <v>0.16493014710098</v>
      </c>
      <c r="I58" s="257">
        <v>85.464931989999997</v>
      </c>
      <c r="J58" s="275">
        <v>1888.97825103881</v>
      </c>
      <c r="K58" s="276">
        <v>8.6872346946179999E-2</v>
      </c>
      <c r="L58" s="273">
        <v>219.50024975687299</v>
      </c>
      <c r="M58" s="275">
        <v>138.14428211475499</v>
      </c>
      <c r="N58" s="255">
        <v>22.684200000000001</v>
      </c>
      <c r="O58" s="275">
        <v>501.37476792502798</v>
      </c>
      <c r="P58" s="255">
        <v>10.76687555</v>
      </c>
      <c r="Q58" s="273">
        <v>237.973555609583</v>
      </c>
      <c r="R58" s="274">
        <v>8.9365906496830003E-2</v>
      </c>
      <c r="S58" s="238" t="s">
        <v>151</v>
      </c>
      <c r="T58" s="245">
        <v>24.096159199999999</v>
      </c>
      <c r="U58" s="245" t="s">
        <v>106</v>
      </c>
      <c r="V58" s="245">
        <v>-13.329283650000001</v>
      </c>
    </row>
    <row r="59" spans="1:22" ht="14" thickBot="1">
      <c r="A59" s="242">
        <v>994</v>
      </c>
      <c r="B59" s="243" t="s">
        <v>289</v>
      </c>
      <c r="C59" s="272">
        <v>180259</v>
      </c>
      <c r="D59" s="255">
        <v>365.16655261</v>
      </c>
      <c r="E59" s="256">
        <v>374.72274299999998</v>
      </c>
      <c r="F59" s="255">
        <v>117.50225432999754</v>
      </c>
      <c r="G59" s="273">
        <v>651.85235871716554</v>
      </c>
      <c r="H59" s="274">
        <v>0.32177715480829</v>
      </c>
      <c r="I59" s="257">
        <v>197.28331797999999</v>
      </c>
      <c r="J59" s="275">
        <v>1094.4436504141199</v>
      </c>
      <c r="K59" s="276">
        <v>4.8720337823069997E-2</v>
      </c>
      <c r="L59" s="273">
        <v>90.821436100277893</v>
      </c>
      <c r="M59" s="275">
        <v>161.65012454301799</v>
      </c>
      <c r="N59" s="255">
        <v>59.534999999999997</v>
      </c>
      <c r="O59" s="275">
        <v>330.27477130129398</v>
      </c>
      <c r="P59" s="255">
        <v>54.370251580000001</v>
      </c>
      <c r="Q59" s="273">
        <v>301.62295130894898</v>
      </c>
      <c r="R59" s="274">
        <v>0.14509461353937</v>
      </c>
      <c r="S59" s="238" t="s">
        <v>151</v>
      </c>
      <c r="T59" s="245">
        <v>74.944548600000005</v>
      </c>
      <c r="U59" s="245" t="s">
        <v>106</v>
      </c>
      <c r="V59" s="245">
        <v>-20.574297019999999</v>
      </c>
    </row>
    <row r="60" spans="1:22" ht="14" thickBot="1">
      <c r="A60" s="242">
        <v>1003</v>
      </c>
      <c r="B60" s="243" t="s">
        <v>290</v>
      </c>
      <c r="C60" s="272">
        <v>205</v>
      </c>
      <c r="D60" s="255">
        <v>0.28136009000000001</v>
      </c>
      <c r="E60" s="256">
        <v>0.28157300000000002</v>
      </c>
      <c r="F60" s="255">
        <v>-3.4186999999999947E-2</v>
      </c>
      <c r="G60" s="273">
        <v>-166.76585365853634</v>
      </c>
      <c r="H60" s="274">
        <v>-0.12150621646446</v>
      </c>
      <c r="I60" s="257">
        <v>0.20505414999999999</v>
      </c>
      <c r="J60" s="275">
        <v>1000.26414634146</v>
      </c>
      <c r="K60" s="276">
        <v>0.12487444727343</v>
      </c>
      <c r="L60" s="273">
        <v>135.44721951219501</v>
      </c>
      <c r="M60" s="275">
        <v>287.821024390243</v>
      </c>
      <c r="N60" s="255">
        <v>0.23</v>
      </c>
      <c r="O60" s="275">
        <v>1121.9512195121899</v>
      </c>
      <c r="P60" s="255">
        <v>0.76628596999999998</v>
      </c>
      <c r="Q60" s="273">
        <v>3737.9803414634098</v>
      </c>
      <c r="R60" s="274">
        <v>2.7214469071963499</v>
      </c>
      <c r="S60" s="238" t="s">
        <v>106</v>
      </c>
      <c r="T60" s="245">
        <v>5.6314599999999999E-2</v>
      </c>
      <c r="U60" s="245">
        <v>0.70997136999999999</v>
      </c>
      <c r="V60" s="245" t="s">
        <v>106</v>
      </c>
    </row>
    <row r="61" spans="1:22" ht="14" thickBot="1">
      <c r="A61" s="242">
        <v>1007</v>
      </c>
      <c r="B61" s="243" t="s">
        <v>291</v>
      </c>
      <c r="C61" s="272">
        <v>24953</v>
      </c>
      <c r="D61" s="255">
        <v>61.059922800000002</v>
      </c>
      <c r="E61" s="256">
        <v>60.579382000000003</v>
      </c>
      <c r="F61" s="255">
        <v>13.51638543999954</v>
      </c>
      <c r="G61" s="273">
        <v>541.67376427682211</v>
      </c>
      <c r="H61" s="274">
        <v>0.22136263559114</v>
      </c>
      <c r="I61" s="257">
        <v>38.67950227</v>
      </c>
      <c r="J61" s="275">
        <v>1550.09426802388</v>
      </c>
      <c r="K61" s="276">
        <v>6.843732188335E-2</v>
      </c>
      <c r="L61" s="273">
        <v>161.02929587624701</v>
      </c>
      <c r="M61" s="275">
        <v>94.051659920650806</v>
      </c>
      <c r="N61" s="255">
        <v>10.331099999999999</v>
      </c>
      <c r="O61" s="275">
        <v>414.02236204063598</v>
      </c>
      <c r="P61" s="255">
        <v>9.9430976599999994</v>
      </c>
      <c r="Q61" s="273">
        <v>398.47303570712899</v>
      </c>
      <c r="R61" s="274">
        <v>0.16413336240373</v>
      </c>
      <c r="S61" s="238" t="s">
        <v>151</v>
      </c>
      <c r="T61" s="245">
        <v>12.115876399999999</v>
      </c>
      <c r="U61" s="245" t="s">
        <v>106</v>
      </c>
      <c r="V61" s="245">
        <v>-2.17277874</v>
      </c>
    </row>
    <row r="62" spans="1:22" ht="14" thickBot="1">
      <c r="A62" s="242">
        <v>1040</v>
      </c>
      <c r="B62" s="243" t="s">
        <v>292</v>
      </c>
      <c r="C62" s="272">
        <v>2635</v>
      </c>
      <c r="D62" s="255">
        <v>3.83839811</v>
      </c>
      <c r="E62" s="256">
        <v>3.8545381000000001</v>
      </c>
      <c r="F62" s="255">
        <v>0.80848839999998945</v>
      </c>
      <c r="G62" s="273">
        <v>306.82671726754819</v>
      </c>
      <c r="H62" s="274">
        <v>0.21063172105406999</v>
      </c>
      <c r="I62" s="257">
        <v>2.7747229</v>
      </c>
      <c r="J62" s="275">
        <v>1053.0257685009401</v>
      </c>
      <c r="K62" s="276">
        <v>6.3451801454879997E-2</v>
      </c>
      <c r="L62" s="273">
        <v>92.322819734345302</v>
      </c>
      <c r="M62" s="275">
        <v>1.6905047438330101</v>
      </c>
      <c r="N62" s="255">
        <v>0.9248651</v>
      </c>
      <c r="O62" s="275">
        <v>350.99244781783602</v>
      </c>
      <c r="P62" s="255">
        <v>2.74751937</v>
      </c>
      <c r="Q62" s="273">
        <v>1042.70184819734</v>
      </c>
      <c r="R62" s="274">
        <v>0.71280119659472996</v>
      </c>
      <c r="S62" s="238" t="s">
        <v>151</v>
      </c>
      <c r="T62" s="245">
        <v>0.77090762000000002</v>
      </c>
      <c r="U62" s="245">
        <v>1.97661175</v>
      </c>
      <c r="V62" s="245" t="s">
        <v>106</v>
      </c>
    </row>
    <row r="63" spans="1:22" ht="14" thickBot="1">
      <c r="A63" s="242">
        <v>1058</v>
      </c>
      <c r="B63" s="243" t="s">
        <v>293</v>
      </c>
      <c r="C63" s="272">
        <v>110</v>
      </c>
      <c r="D63" s="255">
        <v>0.16453097</v>
      </c>
      <c r="E63" s="256">
        <v>0.100464</v>
      </c>
      <c r="F63" s="255">
        <v>-7.2829999999984201E-3</v>
      </c>
      <c r="G63" s="273">
        <v>-66.209090909076551</v>
      </c>
      <c r="H63" s="274">
        <v>-4.4265222529220001E-2</v>
      </c>
      <c r="I63" s="257">
        <v>0.16726555000000001</v>
      </c>
      <c r="J63" s="275">
        <v>1520.5959090909</v>
      </c>
      <c r="K63" s="276">
        <v>5.5090297704500003E-2</v>
      </c>
      <c r="L63" s="273">
        <v>85.504999999999995</v>
      </c>
      <c r="M63" s="275">
        <v>-56.352090909090897</v>
      </c>
      <c r="N63" s="255">
        <v>0.06</v>
      </c>
      <c r="O63" s="275">
        <v>545.45454545454504</v>
      </c>
      <c r="P63" s="255">
        <v>0.58792489000000003</v>
      </c>
      <c r="Q63" s="273">
        <v>5344.7717272727205</v>
      </c>
      <c r="R63" s="274">
        <v>5.85209517837235</v>
      </c>
      <c r="S63" s="238" t="s">
        <v>106</v>
      </c>
      <c r="T63" s="245">
        <v>2.0092800000000001E-2</v>
      </c>
      <c r="U63" s="245">
        <v>0.56783209000000001</v>
      </c>
      <c r="V63" s="245" t="s">
        <v>106</v>
      </c>
    </row>
    <row r="64" spans="1:22" ht="14" thickBot="1">
      <c r="A64" s="242">
        <v>1060</v>
      </c>
      <c r="B64" s="243" t="s">
        <v>605</v>
      </c>
      <c r="C64" s="272">
        <v>274243</v>
      </c>
      <c r="D64" s="255">
        <v>726.46578666000005</v>
      </c>
      <c r="E64" s="256">
        <v>713.68669742999998</v>
      </c>
      <c r="F64" s="255">
        <v>-102.15794933999886</v>
      </c>
      <c r="G64" s="273">
        <v>-372.50886746425203</v>
      </c>
      <c r="H64" s="274">
        <v>-0.14062320788661001</v>
      </c>
      <c r="I64" s="257">
        <v>768.07271474000004</v>
      </c>
      <c r="J64" s="275">
        <v>2800.7012566957001</v>
      </c>
      <c r="K64" s="276">
        <v>5.6681934645110003E-2</v>
      </c>
      <c r="L64" s="273">
        <v>145.699699536542</v>
      </c>
      <c r="M64" s="275">
        <v>78.507113253574403</v>
      </c>
      <c r="N64" s="255">
        <v>177.39500000000001</v>
      </c>
      <c r="O64" s="275">
        <v>646.85333809796396</v>
      </c>
      <c r="P64" s="255">
        <v>122.21095249</v>
      </c>
      <c r="Q64" s="273">
        <v>445.63016190021199</v>
      </c>
      <c r="R64" s="274">
        <v>0.17123893850072</v>
      </c>
      <c r="S64" s="238" t="s">
        <v>106</v>
      </c>
      <c r="T64" s="245">
        <v>107.0530046145</v>
      </c>
      <c r="U64" s="245">
        <v>15.1579478754999</v>
      </c>
      <c r="V64" s="245" t="s">
        <v>106</v>
      </c>
    </row>
    <row r="65" spans="1:22" ht="14" thickBot="1">
      <c r="A65" s="242">
        <v>1079</v>
      </c>
      <c r="B65" s="243" t="s">
        <v>606</v>
      </c>
      <c r="C65" s="272">
        <v>5974</v>
      </c>
      <c r="D65" s="255">
        <v>11.745475839999999</v>
      </c>
      <c r="E65" s="256">
        <v>11.613060300000001</v>
      </c>
      <c r="F65" s="255">
        <v>1.9716219999999069</v>
      </c>
      <c r="G65" s="273">
        <v>330.03381319047656</v>
      </c>
      <c r="H65" s="274">
        <v>0.16786224984477999</v>
      </c>
      <c r="I65" s="257">
        <v>7.5039163999999996</v>
      </c>
      <c r="J65" s="275">
        <v>1256.0958151991899</v>
      </c>
      <c r="K65" s="276">
        <v>7.4246785104139998E-2</v>
      </c>
      <c r="L65" s="273">
        <v>129.41242383662501</v>
      </c>
      <c r="M65" s="275">
        <v>223.095333110144</v>
      </c>
      <c r="N65" s="255">
        <v>2.1800000000000002</v>
      </c>
      <c r="O65" s="275">
        <v>364.91463006360902</v>
      </c>
      <c r="P65" s="255">
        <v>4.6200326900000004</v>
      </c>
      <c r="Q65" s="273">
        <v>773.35666052895897</v>
      </c>
      <c r="R65" s="274">
        <v>0.39783076731290001</v>
      </c>
      <c r="S65" s="238" t="s">
        <v>151</v>
      </c>
      <c r="T65" s="245">
        <v>2.32261206</v>
      </c>
      <c r="U65" s="245">
        <v>2.29742063</v>
      </c>
      <c r="V65" s="245" t="s">
        <v>106</v>
      </c>
    </row>
    <row r="66" spans="1:22" ht="14" thickBot="1">
      <c r="A66" s="242">
        <v>1097</v>
      </c>
      <c r="B66" s="243" t="s">
        <v>607</v>
      </c>
      <c r="C66" s="272">
        <v>4704</v>
      </c>
      <c r="D66" s="255">
        <v>8.7949263099999992</v>
      </c>
      <c r="E66" s="256">
        <v>8.7702653999999995</v>
      </c>
      <c r="F66" s="255">
        <v>0.96552799999999861</v>
      </c>
      <c r="G66" s="273">
        <v>205.25680272108815</v>
      </c>
      <c r="H66" s="274">
        <v>0.10978238656783</v>
      </c>
      <c r="I66" s="257">
        <v>6.5584485199999998</v>
      </c>
      <c r="J66" s="275">
        <v>1394.2280017006799</v>
      </c>
      <c r="K66" s="276">
        <v>0.11904042763316</v>
      </c>
      <c r="L66" s="273">
        <v>223.48922406462501</v>
      </c>
      <c r="M66" s="275">
        <v>-7.75318452380953</v>
      </c>
      <c r="N66" s="255">
        <v>1.7649999999999999</v>
      </c>
      <c r="O66" s="275">
        <v>375.21258503401299</v>
      </c>
      <c r="P66" s="255">
        <v>2.3649848000000002</v>
      </c>
      <c r="Q66" s="273">
        <v>502.76037414965901</v>
      </c>
      <c r="R66" s="274">
        <v>0.26965943356742</v>
      </c>
      <c r="S66" s="238" t="s">
        <v>151</v>
      </c>
      <c r="T66" s="245">
        <v>1.75405308</v>
      </c>
      <c r="U66" s="245">
        <v>0.61093171999998996</v>
      </c>
      <c r="V66" s="245" t="s">
        <v>106</v>
      </c>
    </row>
    <row r="67" spans="1:22" ht="14" thickBot="1">
      <c r="A67" s="242">
        <v>1113</v>
      </c>
      <c r="B67" s="243" t="s">
        <v>608</v>
      </c>
      <c r="C67" s="272">
        <v>3969</v>
      </c>
      <c r="D67" s="255">
        <v>3.7317596499999999</v>
      </c>
      <c r="E67" s="256">
        <v>7.2237941000000001</v>
      </c>
      <c r="F67" s="255">
        <v>0.19889749999999717</v>
      </c>
      <c r="G67" s="273">
        <v>50.112748803224285</v>
      </c>
      <c r="H67" s="274">
        <v>5.3298582613699998E-2</v>
      </c>
      <c r="I67" s="257">
        <v>5.9488132499999997</v>
      </c>
      <c r="J67" s="275">
        <v>1498.81916099773</v>
      </c>
      <c r="K67" s="276">
        <v>6.4056769952759995E-2</v>
      </c>
      <c r="L67" s="273">
        <v>57.028961955152397</v>
      </c>
      <c r="M67" s="275">
        <v>49.938851095993897</v>
      </c>
      <c r="N67" s="255">
        <v>0.84499999999999997</v>
      </c>
      <c r="O67" s="275">
        <v>212.89997480473599</v>
      </c>
      <c r="P67" s="255">
        <v>2.2058610500000002</v>
      </c>
      <c r="Q67" s="273">
        <v>555.772499370118</v>
      </c>
      <c r="R67" s="274">
        <v>0.30536045455668998</v>
      </c>
      <c r="S67" s="238" t="s">
        <v>106</v>
      </c>
      <c r="T67" s="245">
        <v>1.4447588200000001</v>
      </c>
      <c r="U67" s="245">
        <v>0.76110222999999</v>
      </c>
      <c r="V67" s="245" t="s">
        <v>106</v>
      </c>
    </row>
    <row r="68" spans="1:22" ht="14" thickBot="1">
      <c r="A68" s="242">
        <v>1142</v>
      </c>
      <c r="B68" s="243" t="s">
        <v>609</v>
      </c>
      <c r="C68" s="272">
        <v>1123</v>
      </c>
      <c r="D68" s="255">
        <v>3.6344736499999999</v>
      </c>
      <c r="E68" s="256">
        <v>3.1755550000000001</v>
      </c>
      <c r="F68" s="255">
        <v>-3.5953382999999755</v>
      </c>
      <c r="G68" s="273">
        <v>-3201.5479073908955</v>
      </c>
      <c r="H68" s="274">
        <v>-0.98923218221707998</v>
      </c>
      <c r="I68" s="257">
        <v>4.3710486499999996</v>
      </c>
      <c r="J68" s="275">
        <v>3892.2962154942102</v>
      </c>
      <c r="K68" s="276">
        <v>4.5006289792280003E-2</v>
      </c>
      <c r="L68" s="273">
        <v>186.353259127337</v>
      </c>
      <c r="M68" s="275">
        <v>-904.20795191451396</v>
      </c>
      <c r="N68" s="255">
        <v>2.1192651499999999</v>
      </c>
      <c r="O68" s="275">
        <v>1887.14617097061</v>
      </c>
      <c r="P68" s="255">
        <v>10.258699869999999</v>
      </c>
      <c r="Q68" s="273">
        <v>9135.0844790739102</v>
      </c>
      <c r="R68" s="274">
        <v>3.2305218678309702</v>
      </c>
      <c r="S68" s="238" t="s">
        <v>106</v>
      </c>
      <c r="T68" s="245">
        <v>0.63511099999999998</v>
      </c>
      <c r="U68" s="245">
        <v>9.6235888700000007</v>
      </c>
      <c r="V68" s="245" t="s">
        <v>106</v>
      </c>
    </row>
    <row r="69" spans="1:22" ht="14" thickBot="1">
      <c r="A69" s="242">
        <v>1147</v>
      </c>
      <c r="B69" s="243" t="s">
        <v>610</v>
      </c>
      <c r="C69" s="272">
        <v>501</v>
      </c>
      <c r="D69" s="255">
        <v>0.9672752</v>
      </c>
      <c r="E69" s="256">
        <v>0.91155600000000003</v>
      </c>
      <c r="F69" s="255">
        <v>-2.801499999999597E-2</v>
      </c>
      <c r="G69" s="273">
        <v>-55.918163672646642</v>
      </c>
      <c r="H69" s="274">
        <v>-2.8962801899599998E-2</v>
      </c>
      <c r="I69" s="257">
        <v>0.94922625000000005</v>
      </c>
      <c r="J69" s="275">
        <v>1894.6631736526899</v>
      </c>
      <c r="K69" s="276">
        <v>8.6294571416989999E-2</v>
      </c>
      <c r="L69" s="273">
        <v>169.60119760479</v>
      </c>
      <c r="M69" s="275">
        <v>-34.6860279441117</v>
      </c>
      <c r="N69" s="255">
        <v>0.58499999999999996</v>
      </c>
      <c r="O69" s="275">
        <v>1167.6646706586801</v>
      </c>
      <c r="P69" s="255">
        <v>1.0188948</v>
      </c>
      <c r="Q69" s="273">
        <v>2033.72215568862</v>
      </c>
      <c r="R69" s="274">
        <v>1.1177533799349599</v>
      </c>
      <c r="S69" s="238" t="s">
        <v>106</v>
      </c>
      <c r="T69" s="245">
        <v>0.18231120000000001</v>
      </c>
      <c r="U69" s="245">
        <v>0.83658359999999998</v>
      </c>
      <c r="V69" s="245" t="s">
        <v>106</v>
      </c>
    </row>
    <row r="70" spans="1:22" ht="14" thickBot="1">
      <c r="A70" s="242">
        <v>1159</v>
      </c>
      <c r="B70" s="243" t="s">
        <v>611</v>
      </c>
      <c r="C70" s="272">
        <v>13988</v>
      </c>
      <c r="D70" s="255">
        <v>32.68205554</v>
      </c>
      <c r="E70" s="256">
        <v>32.818184500000001</v>
      </c>
      <c r="F70" s="255">
        <v>4.7252608999998875</v>
      </c>
      <c r="G70" s="273">
        <v>337.80818558763855</v>
      </c>
      <c r="H70" s="274">
        <v>0.14458273269307001</v>
      </c>
      <c r="I70" s="257">
        <v>24.74121195</v>
      </c>
      <c r="J70" s="275">
        <v>1768.74549256505</v>
      </c>
      <c r="K70" s="276">
        <v>6.9035804727429997E-2</v>
      </c>
      <c r="L70" s="273">
        <v>158.707251930225</v>
      </c>
      <c r="M70" s="275">
        <v>37.5230233056906</v>
      </c>
      <c r="N70" s="255">
        <v>5.8049999999999997</v>
      </c>
      <c r="O70" s="275">
        <v>414.99857020303102</v>
      </c>
      <c r="P70" s="255">
        <v>1.78739457</v>
      </c>
      <c r="Q70" s="273">
        <v>127.780566914498</v>
      </c>
      <c r="R70" s="274">
        <v>5.4463542003669999E-2</v>
      </c>
      <c r="S70" s="238" t="s">
        <v>151</v>
      </c>
      <c r="T70" s="245">
        <v>6.5636368999999997</v>
      </c>
      <c r="U70" s="245" t="s">
        <v>106</v>
      </c>
      <c r="V70" s="245">
        <v>-4.7762423299999996</v>
      </c>
    </row>
    <row r="71" spans="1:22" ht="14" thickBot="1">
      <c r="A71" s="242">
        <v>1215</v>
      </c>
      <c r="B71" s="243" t="s">
        <v>612</v>
      </c>
      <c r="C71" s="272">
        <v>5978</v>
      </c>
      <c r="D71" s="255">
        <v>13.868619430000001</v>
      </c>
      <c r="E71" s="256">
        <v>13.7504346</v>
      </c>
      <c r="F71" s="255">
        <v>2.0938139999998788</v>
      </c>
      <c r="G71" s="273">
        <v>350.25326196050167</v>
      </c>
      <c r="H71" s="274">
        <v>0.15097494098587999</v>
      </c>
      <c r="I71" s="257">
        <v>8.5189515500000006</v>
      </c>
      <c r="J71" s="275">
        <v>1425.05044329207</v>
      </c>
      <c r="K71" s="276">
        <v>7.8823465637669995E-2</v>
      </c>
      <c r="L71" s="273">
        <v>153.49224489795901</v>
      </c>
      <c r="M71" s="275">
        <v>372.65177985948401</v>
      </c>
      <c r="N71" s="255">
        <v>2.5550000000000002</v>
      </c>
      <c r="O71" s="275">
        <v>427.400468384075</v>
      </c>
      <c r="P71" s="255">
        <v>5.78406704</v>
      </c>
      <c r="Q71" s="273">
        <v>967.55888926062198</v>
      </c>
      <c r="R71" s="274">
        <v>0.42064612561408998</v>
      </c>
      <c r="S71" s="238" t="s">
        <v>151</v>
      </c>
      <c r="T71" s="245">
        <v>2.7500869200000002</v>
      </c>
      <c r="U71" s="245">
        <v>3.0339801199999998</v>
      </c>
      <c r="V71" s="245" t="s">
        <v>106</v>
      </c>
    </row>
    <row r="72" spans="1:22" ht="14" thickBot="1">
      <c r="A72" s="242">
        <v>1305</v>
      </c>
      <c r="B72" s="243" t="s">
        <v>613</v>
      </c>
      <c r="C72" s="272">
        <v>31296</v>
      </c>
      <c r="D72" s="255">
        <v>75.276816850000003</v>
      </c>
      <c r="E72" s="256">
        <v>71.633741900000004</v>
      </c>
      <c r="F72" s="255">
        <v>6.4520109999993336</v>
      </c>
      <c r="G72" s="273">
        <v>206.1608831799378</v>
      </c>
      <c r="H72" s="274">
        <v>8.5710465319700002E-2</v>
      </c>
      <c r="I72" s="257">
        <v>60.267596650000002</v>
      </c>
      <c r="J72" s="275">
        <v>1925.72842056492</v>
      </c>
      <c r="K72" s="276">
        <v>3.9811681537190002E-2</v>
      </c>
      <c r="L72" s="273">
        <v>92.064271791922295</v>
      </c>
      <c r="M72" s="275">
        <v>92.823584483640104</v>
      </c>
      <c r="N72" s="255">
        <v>17.807925999999998</v>
      </c>
      <c r="O72" s="275">
        <v>569.01604038854805</v>
      </c>
      <c r="P72" s="255">
        <v>16.274872200000001</v>
      </c>
      <c r="Q72" s="273">
        <v>520.03042561349696</v>
      </c>
      <c r="R72" s="274">
        <v>0.22719561715370001</v>
      </c>
      <c r="S72" s="238" t="s">
        <v>106</v>
      </c>
      <c r="T72" s="245">
        <v>14.32674838</v>
      </c>
      <c r="U72" s="245">
        <v>1.94812381999999</v>
      </c>
      <c r="V72" s="245" t="s">
        <v>106</v>
      </c>
    </row>
    <row r="73" spans="1:22" ht="14" thickBot="1">
      <c r="A73" s="242">
        <v>1318</v>
      </c>
      <c r="B73" s="243" t="s">
        <v>614</v>
      </c>
      <c r="C73" s="272">
        <v>6699</v>
      </c>
      <c r="D73" s="255">
        <v>14.354550529999999</v>
      </c>
      <c r="E73" s="256">
        <v>14.176833999999999</v>
      </c>
      <c r="F73" s="255">
        <v>9.7494999999975046E-2</v>
      </c>
      <c r="G73" s="273">
        <v>14.553664726074794</v>
      </c>
      <c r="H73" s="274">
        <v>6.7919228676799996E-3</v>
      </c>
      <c r="I73" s="257">
        <v>11.42460985</v>
      </c>
      <c r="J73" s="275">
        <v>1705.42018958053</v>
      </c>
      <c r="K73" s="276">
        <v>6.2283892521050002E-2</v>
      </c>
      <c r="L73" s="273">
        <v>124.158726675623</v>
      </c>
      <c r="M73" s="275">
        <v>149.357690700104</v>
      </c>
      <c r="N73" s="255">
        <v>4</v>
      </c>
      <c r="O73" s="275">
        <v>597.10404537990701</v>
      </c>
      <c r="P73" s="255">
        <v>4.41321707</v>
      </c>
      <c r="Q73" s="273">
        <v>658.78744140916501</v>
      </c>
      <c r="R73" s="274">
        <v>0.31129778834964</v>
      </c>
      <c r="S73" s="238" t="s">
        <v>151</v>
      </c>
      <c r="T73" s="245">
        <v>2.8353668000000001</v>
      </c>
      <c r="U73" s="245">
        <v>1.5778502700000001</v>
      </c>
      <c r="V73" s="245" t="s">
        <v>106</v>
      </c>
    </row>
    <row r="74" spans="1:22" ht="14" thickBot="1">
      <c r="A74" s="242">
        <v>1322</v>
      </c>
      <c r="B74" s="243" t="s">
        <v>615</v>
      </c>
      <c r="C74" s="272">
        <v>8037</v>
      </c>
      <c r="D74" s="255">
        <v>15.6098716</v>
      </c>
      <c r="E74" s="256">
        <v>15.8813415</v>
      </c>
      <c r="F74" s="255">
        <v>1.6612685499999149</v>
      </c>
      <c r="G74" s="273">
        <v>206.70256936666851</v>
      </c>
      <c r="H74" s="274">
        <v>0.10642422901159</v>
      </c>
      <c r="I74" s="257">
        <v>11.807950999999999</v>
      </c>
      <c r="J74" s="275">
        <v>1469.19883040935</v>
      </c>
      <c r="K74" s="276">
        <v>5.5920474069579999E-2</v>
      </c>
      <c r="L74" s="273">
        <v>102.69707602339101</v>
      </c>
      <c r="M74" s="275">
        <v>105.76667910912001</v>
      </c>
      <c r="N74" s="255">
        <v>2.95247598</v>
      </c>
      <c r="O74" s="275">
        <v>367.36045539380302</v>
      </c>
      <c r="P74" s="255">
        <v>1.0231453500000001</v>
      </c>
      <c r="Q74" s="273">
        <v>127.304385964912</v>
      </c>
      <c r="R74" s="274">
        <v>6.4424365536120007E-2</v>
      </c>
      <c r="S74" s="238" t="s">
        <v>151</v>
      </c>
      <c r="T74" s="245">
        <v>3.1762682999999998</v>
      </c>
      <c r="U74" s="245" t="s">
        <v>106</v>
      </c>
      <c r="V74" s="245">
        <v>-2.1531229500000002</v>
      </c>
    </row>
    <row r="75" spans="1:22" ht="14" thickBot="1">
      <c r="A75" s="242">
        <v>1328</v>
      </c>
      <c r="B75" s="243" t="s">
        <v>616</v>
      </c>
      <c r="C75" s="272">
        <v>7695</v>
      </c>
      <c r="D75" s="255">
        <v>16.16758308</v>
      </c>
      <c r="E75" s="256">
        <v>17.229958100000001</v>
      </c>
      <c r="F75" s="255">
        <v>-0.85614099999986804</v>
      </c>
      <c r="G75" s="273">
        <v>-111.25938921375803</v>
      </c>
      <c r="H75" s="274">
        <v>-5.2954173531289998E-2</v>
      </c>
      <c r="I75" s="257">
        <v>15.142045850000001</v>
      </c>
      <c r="J75" s="275">
        <v>1967.77723846653</v>
      </c>
      <c r="K75" s="276">
        <v>8.6340090581990006E-2</v>
      </c>
      <c r="L75" s="273">
        <v>170.91139181286499</v>
      </c>
      <c r="M75" s="275">
        <v>121.536736842105</v>
      </c>
      <c r="N75" s="255">
        <v>4.5225980000000003</v>
      </c>
      <c r="O75" s="275">
        <v>587.73203378817402</v>
      </c>
      <c r="P75" s="255">
        <v>7.8395478799999996</v>
      </c>
      <c r="Q75" s="273">
        <v>1018.78464977257</v>
      </c>
      <c r="R75" s="274">
        <v>0.45499517958780999</v>
      </c>
      <c r="S75" s="238" t="s">
        <v>151</v>
      </c>
      <c r="T75" s="245">
        <v>3.44599162</v>
      </c>
      <c r="U75" s="245">
        <v>4.3935562600000004</v>
      </c>
      <c r="V75" s="245" t="s">
        <v>106</v>
      </c>
    </row>
    <row r="76" spans="1:22" ht="14" thickBot="1">
      <c r="A76" s="242">
        <v>1331</v>
      </c>
      <c r="B76" s="243" t="s">
        <v>617</v>
      </c>
      <c r="C76" s="272">
        <v>954</v>
      </c>
      <c r="D76" s="255">
        <v>1.7860755500000001</v>
      </c>
      <c r="E76" s="256">
        <v>1.8469549999999999</v>
      </c>
      <c r="F76" s="255">
        <v>-4.9814999999988542E-2</v>
      </c>
      <c r="G76" s="273">
        <v>-52.216981132063459</v>
      </c>
      <c r="H76" s="274">
        <v>-2.7890757476630001E-2</v>
      </c>
      <c r="I76" s="257">
        <v>1.60124585</v>
      </c>
      <c r="J76" s="275">
        <v>1678.4547693920299</v>
      </c>
      <c r="K76" s="276">
        <v>9.0745465665340003E-2</v>
      </c>
      <c r="L76" s="273">
        <v>166.78228511530401</v>
      </c>
      <c r="M76" s="275">
        <v>34.283438155136203</v>
      </c>
      <c r="N76" s="255">
        <v>0.4</v>
      </c>
      <c r="O76" s="275">
        <v>419.28721174004198</v>
      </c>
      <c r="P76" s="255">
        <v>1.3085169999999999</v>
      </c>
      <c r="Q76" s="273">
        <v>1371.6111111111099</v>
      </c>
      <c r="R76" s="274">
        <v>0.70847259408051999</v>
      </c>
      <c r="S76" s="238" t="s">
        <v>106</v>
      </c>
      <c r="T76" s="245">
        <v>0.36939100000000002</v>
      </c>
      <c r="U76" s="245">
        <v>0.93912600000000002</v>
      </c>
      <c r="V76" s="245" t="s">
        <v>106</v>
      </c>
    </row>
    <row r="77" spans="1:22" ht="14" thickBot="1">
      <c r="A77" s="242">
        <v>1362</v>
      </c>
      <c r="B77" s="243" t="s">
        <v>618</v>
      </c>
      <c r="C77" s="272">
        <v>472</v>
      </c>
      <c r="D77" s="255">
        <v>0.72561695000000004</v>
      </c>
      <c r="E77" s="256">
        <v>0.7039723</v>
      </c>
      <c r="F77" s="255">
        <v>5.3756999999992831E-2</v>
      </c>
      <c r="G77" s="273">
        <v>113.89194915252719</v>
      </c>
      <c r="H77" s="274">
        <v>7.4084542815590002E-2</v>
      </c>
      <c r="I77" s="257">
        <v>0.48126639999999998</v>
      </c>
      <c r="J77" s="275">
        <v>1019.63220338983</v>
      </c>
      <c r="K77" s="276">
        <v>7.0470298003739995E-2</v>
      </c>
      <c r="L77" s="273">
        <v>85.935699152542298</v>
      </c>
      <c r="M77" s="275">
        <v>317.86419491525402</v>
      </c>
      <c r="N77" s="255">
        <v>0.22600000000000001</v>
      </c>
      <c r="O77" s="275">
        <v>478.81355932203297</v>
      </c>
      <c r="P77" s="255">
        <v>1.01015835</v>
      </c>
      <c r="Q77" s="273">
        <v>2140.1659957627098</v>
      </c>
      <c r="R77" s="274">
        <v>1.4349404799023999</v>
      </c>
      <c r="S77" s="238" t="s">
        <v>106</v>
      </c>
      <c r="T77" s="245">
        <v>0.14079446000000001</v>
      </c>
      <c r="U77" s="245">
        <v>0.86936389000000003</v>
      </c>
      <c r="V77" s="245" t="s">
        <v>106</v>
      </c>
    </row>
    <row r="78" spans="1:22" ht="14" thickBot="1">
      <c r="A78" s="242">
        <v>1384</v>
      </c>
      <c r="B78" s="243" t="s">
        <v>619</v>
      </c>
      <c r="C78" s="272">
        <v>563993</v>
      </c>
      <c r="D78" s="255">
        <v>1235.0353533299999</v>
      </c>
      <c r="E78" s="256">
        <v>1221.9918869999999</v>
      </c>
      <c r="F78" s="255">
        <v>12.789104729988237</v>
      </c>
      <c r="G78" s="273">
        <v>22.675999046066597</v>
      </c>
      <c r="H78" s="274">
        <v>1.035525395731E-2</v>
      </c>
      <c r="I78" s="257">
        <v>1131.29811875</v>
      </c>
      <c r="J78" s="275">
        <v>2005.8726238623501</v>
      </c>
      <c r="K78" s="276">
        <v>6.1660604061639999E-2</v>
      </c>
      <c r="L78" s="273">
        <v>132.40849494585899</v>
      </c>
      <c r="M78" s="275">
        <v>42.430276882869101</v>
      </c>
      <c r="N78" s="255">
        <v>262.38709388000001</v>
      </c>
      <c r="O78" s="275">
        <v>465.23111790394501</v>
      </c>
      <c r="P78" s="255">
        <v>211.44398913000001</v>
      </c>
      <c r="Q78" s="273">
        <v>374.90534302730703</v>
      </c>
      <c r="R78" s="274">
        <v>0.17303223644887999</v>
      </c>
      <c r="S78" s="238" t="s">
        <v>151</v>
      </c>
      <c r="T78" s="245">
        <v>183.298783049999</v>
      </c>
      <c r="U78" s="245">
        <v>28.145206080000001</v>
      </c>
      <c r="V78" s="245" t="s">
        <v>106</v>
      </c>
    </row>
    <row r="79" spans="1:22" ht="14" thickBot="1">
      <c r="A79" s="242">
        <v>1386</v>
      </c>
      <c r="B79" s="243" t="s">
        <v>620</v>
      </c>
      <c r="C79" s="272">
        <v>15093</v>
      </c>
      <c r="D79" s="255">
        <v>44.429915630000004</v>
      </c>
      <c r="E79" s="256">
        <v>44.048316900000003</v>
      </c>
      <c r="F79" s="255">
        <v>-6.1785779999999599</v>
      </c>
      <c r="G79" s="273">
        <v>-409.36712383223744</v>
      </c>
      <c r="H79" s="274">
        <v>-0.13906346461364999</v>
      </c>
      <c r="I79" s="257">
        <v>45.108740879999999</v>
      </c>
      <c r="J79" s="275">
        <v>2988.7193321407199</v>
      </c>
      <c r="K79" s="276">
        <v>6.9153906160249995E-2</v>
      </c>
      <c r="L79" s="273">
        <v>179.41111839925699</v>
      </c>
      <c r="M79" s="275">
        <v>349.36884582256602</v>
      </c>
      <c r="N79" s="255">
        <v>11.37</v>
      </c>
      <c r="O79" s="275">
        <v>753.32935798051994</v>
      </c>
      <c r="P79" s="255">
        <v>2.3038081300000002</v>
      </c>
      <c r="Q79" s="273">
        <v>152.640835486649</v>
      </c>
      <c r="R79" s="274">
        <v>5.23018424343E-2</v>
      </c>
      <c r="S79" s="238" t="s">
        <v>151</v>
      </c>
      <c r="T79" s="245">
        <v>8.8096633799999999</v>
      </c>
      <c r="U79" s="245" t="s">
        <v>106</v>
      </c>
      <c r="V79" s="245">
        <v>-6.5058552499999998</v>
      </c>
    </row>
    <row r="80" spans="1:22" ht="14" thickBot="1">
      <c r="A80" s="242">
        <v>1395</v>
      </c>
      <c r="B80" s="243" t="s">
        <v>621</v>
      </c>
      <c r="C80" s="272">
        <v>21915</v>
      </c>
      <c r="D80" s="255">
        <v>48.943394939999997</v>
      </c>
      <c r="E80" s="256">
        <v>45.673366700000003</v>
      </c>
      <c r="F80" s="255">
        <v>11.185015349999889</v>
      </c>
      <c r="G80" s="273">
        <v>510.38171800136382</v>
      </c>
      <c r="H80" s="274">
        <v>0.22852961801509</v>
      </c>
      <c r="I80" s="257">
        <v>31.549168000000002</v>
      </c>
      <c r="J80" s="275">
        <v>1439.61524070271</v>
      </c>
      <c r="K80" s="276">
        <v>7.9541724724000007E-2</v>
      </c>
      <c r="L80" s="273">
        <v>172.78041067761799</v>
      </c>
      <c r="M80" s="275">
        <v>61.130095368469</v>
      </c>
      <c r="N80" s="255">
        <v>7.8294305</v>
      </c>
      <c r="O80" s="275">
        <v>357.26354095368401</v>
      </c>
      <c r="P80" s="255">
        <v>5.2465752099999996</v>
      </c>
      <c r="Q80" s="273">
        <v>239.405667807437</v>
      </c>
      <c r="R80" s="274">
        <v>0.11487165473177</v>
      </c>
      <c r="S80" s="238" t="s">
        <v>106</v>
      </c>
      <c r="T80" s="245">
        <v>9.1346733400000009</v>
      </c>
      <c r="U80" s="245" t="s">
        <v>106</v>
      </c>
      <c r="V80" s="245">
        <v>-3.8880981299999999</v>
      </c>
    </row>
    <row r="81" spans="1:22" ht="14" thickBot="1">
      <c r="A81" s="242">
        <v>1401</v>
      </c>
      <c r="B81" s="243" t="s">
        <v>622</v>
      </c>
      <c r="C81" s="272">
        <v>11608</v>
      </c>
      <c r="D81" s="255">
        <v>25.400681500000001</v>
      </c>
      <c r="E81" s="256">
        <v>25.20956515</v>
      </c>
      <c r="F81" s="255">
        <v>3.2038877999999231</v>
      </c>
      <c r="G81" s="273">
        <v>276.00687456925596</v>
      </c>
      <c r="H81" s="274">
        <v>0.12613393069788001</v>
      </c>
      <c r="I81" s="257">
        <v>19.035189500000001</v>
      </c>
      <c r="J81" s="275">
        <v>1639.83369228118</v>
      </c>
      <c r="K81" s="276">
        <v>4.6584529440120002E-2</v>
      </c>
      <c r="L81" s="273">
        <v>93.723507925568498</v>
      </c>
      <c r="M81" s="275">
        <v>176.302816161268</v>
      </c>
      <c r="N81" s="255">
        <v>5.2</v>
      </c>
      <c r="O81" s="275">
        <v>447.96691936595403</v>
      </c>
      <c r="P81" s="255">
        <v>2.2024105</v>
      </c>
      <c r="Q81" s="273">
        <v>189.73212439696701</v>
      </c>
      <c r="R81" s="274">
        <v>8.7364081327669998E-2</v>
      </c>
      <c r="S81" s="238" t="s">
        <v>151</v>
      </c>
      <c r="T81" s="245">
        <v>5.0419130299999999</v>
      </c>
      <c r="U81" s="245" t="s">
        <v>106</v>
      </c>
      <c r="V81" s="245">
        <v>-2.8395025299999999</v>
      </c>
    </row>
    <row r="82" spans="1:22" ht="14" thickBot="1">
      <c r="A82" s="242">
        <v>1423</v>
      </c>
      <c r="B82" s="243" t="s">
        <v>623</v>
      </c>
      <c r="C82" s="272">
        <v>4606</v>
      </c>
      <c r="D82" s="255">
        <v>9.7973417900000008</v>
      </c>
      <c r="E82" s="256">
        <v>9.7582307999999998</v>
      </c>
      <c r="F82" s="255">
        <v>1.6151359999999959</v>
      </c>
      <c r="G82" s="273">
        <v>350.65914025184452</v>
      </c>
      <c r="H82" s="274">
        <v>0.16485451203188001</v>
      </c>
      <c r="I82" s="257">
        <v>6.9687577999999997</v>
      </c>
      <c r="J82" s="275">
        <v>1512.97390360399</v>
      </c>
      <c r="K82" s="276">
        <v>4.740534146751E-2</v>
      </c>
      <c r="L82" s="273">
        <v>92.0585866261398</v>
      </c>
      <c r="M82" s="275">
        <v>185.13701693443301</v>
      </c>
      <c r="N82" s="255">
        <v>1.8</v>
      </c>
      <c r="O82" s="275">
        <v>390.79461571862703</v>
      </c>
      <c r="P82" s="255">
        <v>1.5368735200000001</v>
      </c>
      <c r="Q82" s="273">
        <v>333.667720364741</v>
      </c>
      <c r="R82" s="274">
        <v>0.15749509839427001</v>
      </c>
      <c r="S82" s="238" t="s">
        <v>151</v>
      </c>
      <c r="T82" s="245">
        <v>1.9516461599999999</v>
      </c>
      <c r="U82" s="245" t="s">
        <v>106</v>
      </c>
      <c r="V82" s="245">
        <v>-0.41477264000000003</v>
      </c>
    </row>
    <row r="83" spans="1:22" ht="14" thickBot="1">
      <c r="A83" s="242">
        <v>1442</v>
      </c>
      <c r="B83" s="243" t="s">
        <v>624</v>
      </c>
      <c r="C83" s="272">
        <v>1027</v>
      </c>
      <c r="D83" s="255">
        <v>2.3503306799999999</v>
      </c>
      <c r="E83" s="256">
        <v>2.4137018000000001</v>
      </c>
      <c r="F83" s="255">
        <v>0.26304099999999669</v>
      </c>
      <c r="G83" s="273">
        <v>256.12560856864332</v>
      </c>
      <c r="H83" s="274">
        <v>0.11191659209418001</v>
      </c>
      <c r="I83" s="257">
        <v>1.94079508</v>
      </c>
      <c r="J83" s="275">
        <v>1889.7712560856801</v>
      </c>
      <c r="K83" s="276">
        <v>5.0964425963100003E-2</v>
      </c>
      <c r="L83" s="273">
        <v>119.738237585199</v>
      </c>
      <c r="M83" s="275">
        <v>-60.907293086660196</v>
      </c>
      <c r="N83" s="255">
        <v>0.69499999999999995</v>
      </c>
      <c r="O83" s="275">
        <v>676.72833495618295</v>
      </c>
      <c r="P83" s="255">
        <v>0.78760282000000004</v>
      </c>
      <c r="Q83" s="273">
        <v>766.89661148977598</v>
      </c>
      <c r="R83" s="274">
        <v>0.32630493957454998</v>
      </c>
      <c r="S83" s="238" t="s">
        <v>151</v>
      </c>
      <c r="T83" s="245">
        <v>0.48274035999999998</v>
      </c>
      <c r="U83" s="245">
        <v>0.30486246</v>
      </c>
      <c r="V83" s="245" t="s">
        <v>106</v>
      </c>
    </row>
    <row r="84" spans="1:22" ht="14" thickBot="1">
      <c r="A84" s="242">
        <v>1448</v>
      </c>
      <c r="B84" s="243" t="s">
        <v>625</v>
      </c>
      <c r="C84" s="272">
        <v>1135</v>
      </c>
      <c r="D84" s="255">
        <v>2.3559569200000001</v>
      </c>
      <c r="E84" s="256">
        <v>1.9035279000000001</v>
      </c>
      <c r="F84" s="255">
        <v>0.11579799999998583</v>
      </c>
      <c r="G84" s="273">
        <v>102.02466960351174</v>
      </c>
      <c r="H84" s="274">
        <v>4.915115340903E-2</v>
      </c>
      <c r="I84" s="257">
        <v>2.1234313</v>
      </c>
      <c r="J84" s="275">
        <v>1870.8645814977899</v>
      </c>
      <c r="K84" s="276">
        <v>4.2493808744239997E-2</v>
      </c>
      <c r="L84" s="273">
        <v>87.669224669603494</v>
      </c>
      <c r="M84" s="275">
        <v>12.627136563876601</v>
      </c>
      <c r="N84" s="255">
        <v>0.67</v>
      </c>
      <c r="O84" s="275">
        <v>590.30837004405203</v>
      </c>
      <c r="P84" s="255">
        <v>0.87811609999999996</v>
      </c>
      <c r="Q84" s="273">
        <v>773.67057268722397</v>
      </c>
      <c r="R84" s="274">
        <v>0.46130981321575998</v>
      </c>
      <c r="S84" s="238" t="s">
        <v>106</v>
      </c>
      <c r="T84" s="245">
        <v>0.38070557999999999</v>
      </c>
      <c r="U84" s="245">
        <v>0.49741052000000002</v>
      </c>
      <c r="V84" s="245" t="s">
        <v>106</v>
      </c>
    </row>
    <row r="85" spans="1:22" ht="14" thickBot="1">
      <c r="A85" s="242">
        <v>1454</v>
      </c>
      <c r="B85" s="243" t="s">
        <v>626</v>
      </c>
      <c r="C85" s="272">
        <v>5731</v>
      </c>
      <c r="D85" s="255">
        <v>10.395436050000001</v>
      </c>
      <c r="E85" s="256">
        <v>10.087009050000001</v>
      </c>
      <c r="F85" s="255">
        <v>2.5537089999999814</v>
      </c>
      <c r="G85" s="273">
        <v>445.59570755539721</v>
      </c>
      <c r="H85" s="274">
        <v>0.24565674664508</v>
      </c>
      <c r="I85" s="257">
        <v>7.0527556000000002</v>
      </c>
      <c r="J85" s="275">
        <v>1230.63262955854</v>
      </c>
      <c r="K85" s="276">
        <v>2.293088908088E-2</v>
      </c>
      <c r="L85" s="273">
        <v>40.465649973826501</v>
      </c>
      <c r="M85" s="275">
        <v>49.217031931599998</v>
      </c>
      <c r="N85" s="255">
        <v>2.4500000000000002</v>
      </c>
      <c r="O85" s="275">
        <v>427.49956377595498</v>
      </c>
      <c r="P85" s="255">
        <v>3.4407316899999998</v>
      </c>
      <c r="Q85" s="273">
        <v>600.37195777351201</v>
      </c>
      <c r="R85" s="274">
        <v>0.34110524467110998</v>
      </c>
      <c r="S85" s="238" t="s">
        <v>151</v>
      </c>
      <c r="T85" s="245">
        <v>2.01740181</v>
      </c>
      <c r="U85" s="245">
        <v>1.4233298799999901</v>
      </c>
      <c r="V85" s="245" t="s">
        <v>106</v>
      </c>
    </row>
    <row r="86" spans="1:22" ht="14" thickBot="1">
      <c r="A86" s="242">
        <v>1479</v>
      </c>
      <c r="B86" s="243" t="s">
        <v>722</v>
      </c>
      <c r="C86" s="272">
        <v>122071</v>
      </c>
      <c r="D86" s="255">
        <v>351.03206848000002</v>
      </c>
      <c r="E86" s="256">
        <v>346.8038674</v>
      </c>
      <c r="F86" s="255">
        <v>16.551211449998043</v>
      </c>
      <c r="G86" s="273">
        <v>135.58676057374842</v>
      </c>
      <c r="H86" s="274">
        <v>4.7150140788180001E-2</v>
      </c>
      <c r="I86" s="257">
        <v>288.51471585000002</v>
      </c>
      <c r="J86" s="275">
        <v>2363.49924101547</v>
      </c>
      <c r="K86" s="276">
        <v>7.0307960610019996E-2</v>
      </c>
      <c r="L86" s="273">
        <v>197.06114507131099</v>
      </c>
      <c r="M86" s="275">
        <v>72.810161627249698</v>
      </c>
      <c r="N86" s="255">
        <v>75.114599999999996</v>
      </c>
      <c r="O86" s="275">
        <v>615.33533763137802</v>
      </c>
      <c r="P86" s="255">
        <v>73.200206739999999</v>
      </c>
      <c r="Q86" s="273">
        <v>599.65271636998102</v>
      </c>
      <c r="R86" s="274">
        <v>0.21107090670234999</v>
      </c>
      <c r="S86" s="238" t="s">
        <v>151</v>
      </c>
      <c r="T86" s="245">
        <v>69.360773480000006</v>
      </c>
      <c r="U86" s="245">
        <v>3.8394332599999901</v>
      </c>
      <c r="V86" s="245" t="s">
        <v>106</v>
      </c>
    </row>
    <row r="87" spans="1:22" ht="14" thickBot="1">
      <c r="A87" s="242">
        <v>1507</v>
      </c>
      <c r="B87" s="243" t="s">
        <v>627</v>
      </c>
      <c r="C87" s="272">
        <v>6315</v>
      </c>
      <c r="D87" s="255">
        <v>11.72289359</v>
      </c>
      <c r="E87" s="256">
        <v>11.8933675</v>
      </c>
      <c r="F87" s="255">
        <v>0.73009299999994748</v>
      </c>
      <c r="G87" s="273">
        <v>115.61250989706215</v>
      </c>
      <c r="H87" s="274">
        <v>6.2279248241469999E-2</v>
      </c>
      <c r="I87" s="257">
        <v>9.4093351799999994</v>
      </c>
      <c r="J87" s="275">
        <v>1489.9976532066501</v>
      </c>
      <c r="K87" s="276">
        <v>9.7504380461730003E-2</v>
      </c>
      <c r="L87" s="273">
        <v>166.45315914489299</v>
      </c>
      <c r="M87" s="275">
        <v>149.221672209026</v>
      </c>
      <c r="N87" s="255">
        <v>3</v>
      </c>
      <c r="O87" s="275">
        <v>475.059382422802</v>
      </c>
      <c r="P87" s="255">
        <v>3.9149970199999999</v>
      </c>
      <c r="Q87" s="273">
        <v>619.95202216943801</v>
      </c>
      <c r="R87" s="274">
        <v>0.32917481276853999</v>
      </c>
      <c r="S87" s="238" t="s">
        <v>106</v>
      </c>
      <c r="T87" s="245">
        <v>2.3786735000000001</v>
      </c>
      <c r="U87" s="245">
        <v>1.5363235200000001</v>
      </c>
      <c r="V87" s="245" t="s">
        <v>106</v>
      </c>
    </row>
    <row r="88" spans="1:22" ht="14" thickBot="1">
      <c r="A88" s="242">
        <v>1509</v>
      </c>
      <c r="B88" s="243" t="s">
        <v>628</v>
      </c>
      <c r="C88" s="272">
        <v>371374</v>
      </c>
      <c r="D88" s="255">
        <v>842.99233546999994</v>
      </c>
      <c r="E88" s="256">
        <v>854.51794155000005</v>
      </c>
      <c r="F88" s="255">
        <v>149.79047816999875</v>
      </c>
      <c r="G88" s="273">
        <v>403.34131675884345</v>
      </c>
      <c r="H88" s="274">
        <v>0.17768901550746</v>
      </c>
      <c r="I88" s="257">
        <v>616.76887513999998</v>
      </c>
      <c r="J88" s="275">
        <v>1660.7755931756101</v>
      </c>
      <c r="K88" s="276">
        <v>6.9440004140180006E-2</v>
      </c>
      <c r="L88" s="273">
        <v>158.33080983052099</v>
      </c>
      <c r="M88" s="275">
        <v>-10.1811984414633</v>
      </c>
      <c r="N88" s="255">
        <v>194.7</v>
      </c>
      <c r="O88" s="275">
        <v>524.26933495613503</v>
      </c>
      <c r="P88" s="255">
        <v>128.79165527999999</v>
      </c>
      <c r="Q88" s="273">
        <v>346.79771680300701</v>
      </c>
      <c r="R88" s="274">
        <v>0.15071849169882001</v>
      </c>
      <c r="S88" s="238" t="s">
        <v>106</v>
      </c>
      <c r="T88" s="245">
        <v>128.1776912325</v>
      </c>
      <c r="U88" s="245">
        <v>0.61396404750000999</v>
      </c>
      <c r="V88" s="245" t="s">
        <v>106</v>
      </c>
    </row>
    <row r="89" spans="1:22" ht="14" thickBot="1">
      <c r="A89" s="242">
        <v>1520</v>
      </c>
      <c r="B89" s="243" t="s">
        <v>629</v>
      </c>
      <c r="C89" s="272">
        <v>17833</v>
      </c>
      <c r="D89" s="255">
        <v>48.443416220000003</v>
      </c>
      <c r="E89" s="256">
        <v>48.648710299999998</v>
      </c>
      <c r="F89" s="255">
        <v>6.7999999999997449</v>
      </c>
      <c r="G89" s="273">
        <v>381.315538608184</v>
      </c>
      <c r="H89" s="274">
        <v>0.14036995180353001</v>
      </c>
      <c r="I89" s="257">
        <v>42.33398365</v>
      </c>
      <c r="J89" s="275">
        <v>2373.9126142544701</v>
      </c>
      <c r="K89" s="276">
        <v>5.9191766324390001E-2</v>
      </c>
      <c r="L89" s="273">
        <v>178.22982952952299</v>
      </c>
      <c r="M89" s="275">
        <v>-294.55377558459003</v>
      </c>
      <c r="N89" s="255">
        <v>12.7</v>
      </c>
      <c r="O89" s="275">
        <v>712.16284416531096</v>
      </c>
      <c r="P89" s="255">
        <v>3.3250101500000002</v>
      </c>
      <c r="Q89" s="273">
        <v>186.45265238602499</v>
      </c>
      <c r="R89" s="274">
        <v>6.8347344246039998E-2</v>
      </c>
      <c r="S89" s="238" t="s">
        <v>106</v>
      </c>
      <c r="T89" s="245">
        <v>9.7297420599999995</v>
      </c>
      <c r="U89" s="245" t="s">
        <v>106</v>
      </c>
      <c r="V89" s="245">
        <v>-6.4047319099999998</v>
      </c>
    </row>
    <row r="90" spans="1:22" ht="14" thickBot="1">
      <c r="A90" s="242">
        <v>1529</v>
      </c>
      <c r="B90" s="243" t="s">
        <v>630</v>
      </c>
      <c r="C90" s="272">
        <v>367655</v>
      </c>
      <c r="D90" s="255">
        <v>995.93615832</v>
      </c>
      <c r="E90" s="256">
        <v>992.98710759999994</v>
      </c>
      <c r="F90" s="255">
        <v>101.56578869999062</v>
      </c>
      <c r="G90" s="273">
        <v>276.25297819964538</v>
      </c>
      <c r="H90" s="274">
        <v>0.10198022016925</v>
      </c>
      <c r="I90" s="257">
        <v>779.71832110000003</v>
      </c>
      <c r="J90" s="275">
        <v>2120.78802437067</v>
      </c>
      <c r="K90" s="276">
        <v>3.8519078412629998E-2</v>
      </c>
      <c r="L90" s="273">
        <v>98.465038065577801</v>
      </c>
      <c r="M90" s="275">
        <v>152.62112295494401</v>
      </c>
      <c r="N90" s="255">
        <v>185.91836673</v>
      </c>
      <c r="O90" s="275">
        <v>505.68703466565103</v>
      </c>
      <c r="P90" s="255">
        <v>90.251439419999997</v>
      </c>
      <c r="Q90" s="273">
        <v>245.47861288436101</v>
      </c>
      <c r="R90" s="274">
        <v>9.0888833026370006E-2</v>
      </c>
      <c r="S90" s="238" t="s">
        <v>106</v>
      </c>
      <c r="T90" s="245">
        <v>148.94806614000001</v>
      </c>
      <c r="U90" s="245" t="s">
        <v>106</v>
      </c>
      <c r="V90" s="245">
        <v>-58.696626719999898</v>
      </c>
    </row>
    <row r="91" spans="1:22" ht="14" thickBot="1">
      <c r="A91" s="242">
        <v>1535</v>
      </c>
      <c r="B91" s="243" t="s">
        <v>631</v>
      </c>
      <c r="C91" s="272">
        <v>146714</v>
      </c>
      <c r="D91" s="255">
        <v>441.24949781999999</v>
      </c>
      <c r="E91" s="256">
        <v>441.38127150999998</v>
      </c>
      <c r="F91" s="255">
        <v>13.714214789998667</v>
      </c>
      <c r="G91" s="273">
        <v>93.4758427280196</v>
      </c>
      <c r="H91" s="274">
        <v>3.1080408833900001E-2</v>
      </c>
      <c r="I91" s="257">
        <v>393.13348685</v>
      </c>
      <c r="J91" s="275">
        <v>2679.5908151233002</v>
      </c>
      <c r="K91" s="276">
        <v>5.1146864733109997E-2</v>
      </c>
      <c r="L91" s="273">
        <v>150.91456909361</v>
      </c>
      <c r="M91" s="275">
        <v>56.936367626811297</v>
      </c>
      <c r="N91" s="255">
        <v>96.5</v>
      </c>
      <c r="O91" s="275">
        <v>657.74227408427203</v>
      </c>
      <c r="P91" s="255">
        <v>37.476516330000003</v>
      </c>
      <c r="Q91" s="273">
        <v>255.439265032648</v>
      </c>
      <c r="R91" s="274">
        <v>8.4907355044290006E-2</v>
      </c>
      <c r="S91" s="238" t="s">
        <v>151</v>
      </c>
      <c r="T91" s="245">
        <v>88.276254301999998</v>
      </c>
      <c r="U91" s="245" t="s">
        <v>106</v>
      </c>
      <c r="V91" s="245">
        <v>-50.799737972000003</v>
      </c>
    </row>
    <row r="92" spans="1:22" ht="14" thickBot="1">
      <c r="A92" s="242">
        <v>1542</v>
      </c>
      <c r="B92" s="243" t="s">
        <v>632</v>
      </c>
      <c r="C92" s="272">
        <v>386160</v>
      </c>
      <c r="D92" s="255">
        <v>863.02720626999997</v>
      </c>
      <c r="E92" s="256">
        <v>873.19303400000001</v>
      </c>
      <c r="F92" s="255">
        <v>256.40450764999923</v>
      </c>
      <c r="G92" s="273">
        <v>663.98515550548791</v>
      </c>
      <c r="H92" s="274">
        <v>0.29709898574134003</v>
      </c>
      <c r="I92" s="257">
        <v>408.10969290999998</v>
      </c>
      <c r="J92" s="275">
        <v>1056.84092839755</v>
      </c>
      <c r="K92" s="276">
        <v>5.251321806828E-2</v>
      </c>
      <c r="L92" s="273">
        <v>109.113858530142</v>
      </c>
      <c r="M92" s="275">
        <v>157.05932874974101</v>
      </c>
      <c r="N92" s="255">
        <v>180.21455427000001</v>
      </c>
      <c r="O92" s="275">
        <v>466.68363960534498</v>
      </c>
      <c r="P92" s="255">
        <v>170.25476361</v>
      </c>
      <c r="Q92" s="273">
        <v>440.89176406152899</v>
      </c>
      <c r="R92" s="274">
        <v>0.19497952569557001</v>
      </c>
      <c r="S92" s="238" t="s">
        <v>106</v>
      </c>
      <c r="T92" s="245">
        <v>130.97895510000001</v>
      </c>
      <c r="U92" s="245">
        <v>39.275808509999997</v>
      </c>
      <c r="V92" s="245" t="s">
        <v>106</v>
      </c>
    </row>
    <row r="93" spans="1:22" ht="14" thickBot="1">
      <c r="A93" s="242">
        <v>1549</v>
      </c>
      <c r="B93" s="243" t="s">
        <v>633</v>
      </c>
      <c r="C93" s="272">
        <v>78235</v>
      </c>
      <c r="D93" s="255">
        <v>209.03925630000001</v>
      </c>
      <c r="E93" s="256">
        <v>207.47425369999999</v>
      </c>
      <c r="F93" s="255">
        <v>28.377292909997955</v>
      </c>
      <c r="G93" s="273">
        <v>362.71864140088138</v>
      </c>
      <c r="H93" s="274">
        <v>0.13575102309622</v>
      </c>
      <c r="I93" s="257">
        <v>155.61844765000001</v>
      </c>
      <c r="J93" s="275">
        <v>1989.1154553588501</v>
      </c>
      <c r="K93" s="276">
        <v>7.0274310992489999E-2</v>
      </c>
      <c r="L93" s="273">
        <v>183.36740346392199</v>
      </c>
      <c r="M93" s="275">
        <v>62.631227455742298</v>
      </c>
      <c r="N93" s="255">
        <v>41.253300000000003</v>
      </c>
      <c r="O93" s="275">
        <v>527.29980187895399</v>
      </c>
      <c r="P93" s="255">
        <v>20.387121560000001</v>
      </c>
      <c r="Q93" s="273">
        <v>260.58824771521603</v>
      </c>
      <c r="R93" s="274">
        <v>9.8263380619159998E-2</v>
      </c>
      <c r="S93" s="238" t="s">
        <v>151</v>
      </c>
      <c r="T93" s="245">
        <v>41.494850739999997</v>
      </c>
      <c r="U93" s="245" t="s">
        <v>106</v>
      </c>
      <c r="V93" s="245">
        <v>-21.10772918</v>
      </c>
    </row>
    <row r="94" spans="1:22" ht="14" thickBot="1">
      <c r="A94" s="242">
        <v>1551</v>
      </c>
      <c r="B94" s="243" t="s">
        <v>634</v>
      </c>
      <c r="C94" s="272">
        <v>69946</v>
      </c>
      <c r="D94" s="255">
        <v>171.67892893999999</v>
      </c>
      <c r="E94" s="256">
        <v>169.42071949999999</v>
      </c>
      <c r="F94" s="255">
        <v>21.302417939999476</v>
      </c>
      <c r="G94" s="273">
        <v>304.55519886769042</v>
      </c>
      <c r="H94" s="274">
        <v>0.12408289166019</v>
      </c>
      <c r="I94" s="257">
        <v>128.60170287</v>
      </c>
      <c r="J94" s="275">
        <v>1838.5855212592501</v>
      </c>
      <c r="K94" s="276">
        <v>4.9724269967460002E-2</v>
      </c>
      <c r="L94" s="273">
        <v>114.387422440168</v>
      </c>
      <c r="M94" s="275">
        <v>154.015134246418</v>
      </c>
      <c r="N94" s="255">
        <v>34.412080000000003</v>
      </c>
      <c r="O94" s="275">
        <v>491.980670803191</v>
      </c>
      <c r="P94" s="255">
        <v>35.42393028</v>
      </c>
      <c r="Q94" s="273">
        <v>506.44683441512001</v>
      </c>
      <c r="R94" s="274">
        <v>0.20908853642306999</v>
      </c>
      <c r="S94" s="238" t="s">
        <v>151</v>
      </c>
      <c r="T94" s="245">
        <v>33.884143899999998</v>
      </c>
      <c r="U94" s="245">
        <v>1.53978638</v>
      </c>
      <c r="V94" s="245" t="s">
        <v>106</v>
      </c>
    </row>
    <row r="95" spans="1:22" ht="14" thickBot="1">
      <c r="A95" s="242">
        <v>1552</v>
      </c>
      <c r="B95" s="243" t="s">
        <v>635</v>
      </c>
      <c r="C95" s="272">
        <v>3355</v>
      </c>
      <c r="D95" s="255">
        <v>7.70790475</v>
      </c>
      <c r="E95" s="256">
        <v>7.49671485</v>
      </c>
      <c r="F95" s="255">
        <v>0.75053189999998748</v>
      </c>
      <c r="G95" s="273">
        <v>223.70548435171011</v>
      </c>
      <c r="H95" s="274">
        <v>9.7371714407859994E-2</v>
      </c>
      <c r="I95" s="257">
        <v>5.4012266999999996</v>
      </c>
      <c r="J95" s="275">
        <v>1609.9036363636301</v>
      </c>
      <c r="K95" s="276">
        <v>6.4897320416449994E-2</v>
      </c>
      <c r="L95" s="273">
        <v>130.031046199701</v>
      </c>
      <c r="M95" s="275">
        <v>293.79531743666098</v>
      </c>
      <c r="N95" s="255">
        <v>2.17</v>
      </c>
      <c r="O95" s="275">
        <v>646.79582712369597</v>
      </c>
      <c r="P95" s="255">
        <v>3.4436336999999999</v>
      </c>
      <c r="Q95" s="273">
        <v>1026.4183904619899</v>
      </c>
      <c r="R95" s="274">
        <v>0.45935236552314002</v>
      </c>
      <c r="S95" s="238" t="s">
        <v>151</v>
      </c>
      <c r="T95" s="245">
        <v>1.4993429700000001</v>
      </c>
      <c r="U95" s="245">
        <v>1.9442907300000001</v>
      </c>
      <c r="V95" s="245" t="s">
        <v>106</v>
      </c>
    </row>
    <row r="96" spans="1:22" ht="14" thickBot="1">
      <c r="A96" s="242">
        <v>1555</v>
      </c>
      <c r="B96" s="243" t="s">
        <v>636</v>
      </c>
      <c r="C96" s="272">
        <v>434848</v>
      </c>
      <c r="D96" s="255">
        <v>1241.7618915600001</v>
      </c>
      <c r="E96" s="256">
        <v>1221.8106134</v>
      </c>
      <c r="F96" s="255">
        <v>-350.08565302999358</v>
      </c>
      <c r="G96" s="273">
        <v>-805.07591855083524</v>
      </c>
      <c r="H96" s="274">
        <v>-0.28192655565406999</v>
      </c>
      <c r="I96" s="257">
        <v>1544.9904541200001</v>
      </c>
      <c r="J96" s="275">
        <v>3552.9436817462602</v>
      </c>
      <c r="K96" s="276">
        <v>5.6056583418839998E-2</v>
      </c>
      <c r="L96" s="273">
        <v>160.461754406137</v>
      </c>
      <c r="M96" s="275">
        <v>-6.87328843641916</v>
      </c>
      <c r="N96" s="255">
        <v>460.39204982000001</v>
      </c>
      <c r="O96" s="275">
        <v>1058.7424797170499</v>
      </c>
      <c r="P96" s="255">
        <v>254.35432782000001</v>
      </c>
      <c r="Q96" s="273">
        <v>584.92698096806203</v>
      </c>
      <c r="R96" s="274">
        <v>0.20817819474672</v>
      </c>
      <c r="S96" s="238" t="s">
        <v>106</v>
      </c>
      <c r="T96" s="245">
        <v>183.27159200999901</v>
      </c>
      <c r="U96" s="245">
        <v>71.082735810000003</v>
      </c>
      <c r="V96" s="245" t="s">
        <v>106</v>
      </c>
    </row>
    <row r="97" spans="1:22" ht="14" thickBot="1">
      <c r="A97" s="242">
        <v>1560</v>
      </c>
      <c r="B97" s="243" t="s">
        <v>637</v>
      </c>
      <c r="C97" s="272">
        <v>75787</v>
      </c>
      <c r="D97" s="255">
        <v>139.23127473</v>
      </c>
      <c r="E97" s="256">
        <v>142.46003472999999</v>
      </c>
      <c r="F97" s="255">
        <v>28.716939999999632</v>
      </c>
      <c r="G97" s="273">
        <v>378.91643685592027</v>
      </c>
      <c r="H97" s="274">
        <v>0.2062535163575</v>
      </c>
      <c r="I97" s="257">
        <v>84.009682560000002</v>
      </c>
      <c r="J97" s="275">
        <v>1108.49726945254</v>
      </c>
      <c r="K97" s="276">
        <v>8.9669434900320005E-2</v>
      </c>
      <c r="L97" s="273">
        <v>142.614577698022</v>
      </c>
      <c r="M97" s="275">
        <v>246.69123358887401</v>
      </c>
      <c r="N97" s="255">
        <v>26.572866149999999</v>
      </c>
      <c r="O97" s="275">
        <v>350.62565017747102</v>
      </c>
      <c r="P97" s="255">
        <v>42.42453837</v>
      </c>
      <c r="Q97" s="273">
        <v>559.78648541306495</v>
      </c>
      <c r="R97" s="274">
        <v>0.29779957902162002</v>
      </c>
      <c r="S97" s="238" t="s">
        <v>151</v>
      </c>
      <c r="T97" s="245">
        <v>28.492006946</v>
      </c>
      <c r="U97" s="245">
        <v>13.932531424</v>
      </c>
      <c r="V97" s="245" t="s">
        <v>106</v>
      </c>
    </row>
    <row r="98" spans="1:22" ht="14" thickBot="1">
      <c r="A98" s="242">
        <v>1562</v>
      </c>
      <c r="B98" s="243" t="s">
        <v>638</v>
      </c>
      <c r="C98" s="272">
        <v>913378</v>
      </c>
      <c r="D98" s="255">
        <v>2472.2783470099998</v>
      </c>
      <c r="E98" s="256">
        <v>2481.9734494999998</v>
      </c>
      <c r="F98" s="255">
        <v>-395.69427587997745</v>
      </c>
      <c r="G98" s="273">
        <v>-433.22072119098277</v>
      </c>
      <c r="H98" s="274">
        <v>-0.16005247805472</v>
      </c>
      <c r="I98" s="257">
        <v>2667.7560121400002</v>
      </c>
      <c r="J98" s="275">
        <v>2920.7579032339199</v>
      </c>
      <c r="K98" s="276">
        <v>4.4226138425809997E-2</v>
      </c>
      <c r="L98" s="273">
        <v>117.051400011824</v>
      </c>
      <c r="M98" s="275">
        <v>60.085154974172802</v>
      </c>
      <c r="N98" s="255">
        <v>662.83</v>
      </c>
      <c r="O98" s="275">
        <v>725.69078738484995</v>
      </c>
      <c r="P98" s="255">
        <v>263.40137303</v>
      </c>
      <c r="Q98" s="273">
        <v>288.381560569665</v>
      </c>
      <c r="R98" s="274">
        <v>0.10612578191884001</v>
      </c>
      <c r="S98" s="238" t="s">
        <v>106</v>
      </c>
      <c r="T98" s="245">
        <v>372.296017425</v>
      </c>
      <c r="U98" s="245" t="s">
        <v>106</v>
      </c>
      <c r="V98" s="245">
        <v>-108.894644395</v>
      </c>
    </row>
    <row r="99" spans="1:22" ht="14" thickBot="1">
      <c r="A99" s="242">
        <v>1563</v>
      </c>
      <c r="B99" s="243" t="s">
        <v>639</v>
      </c>
      <c r="C99" s="272">
        <v>45411</v>
      </c>
      <c r="D99" s="255">
        <v>101.51299333999999</v>
      </c>
      <c r="E99" s="256">
        <v>101.4493633</v>
      </c>
      <c r="F99" s="255">
        <v>3.5333479899990707</v>
      </c>
      <c r="G99" s="273">
        <v>77.808196031777996</v>
      </c>
      <c r="H99" s="274">
        <v>3.48068545094E-2</v>
      </c>
      <c r="I99" s="257">
        <v>90.871318950000003</v>
      </c>
      <c r="J99" s="275">
        <v>2001.08605734293</v>
      </c>
      <c r="K99" s="276">
        <v>7.5056144549059997E-2</v>
      </c>
      <c r="L99" s="273">
        <v>168.99343903459501</v>
      </c>
      <c r="M99" s="275">
        <v>-16.132956332166199</v>
      </c>
      <c r="N99" s="255">
        <v>23.626000000000001</v>
      </c>
      <c r="O99" s="275">
        <v>520.27041906145996</v>
      </c>
      <c r="P99" s="255">
        <v>29.998652910000001</v>
      </c>
      <c r="Q99" s="273">
        <v>660.60322190658599</v>
      </c>
      <c r="R99" s="274">
        <v>0.29570075093807002</v>
      </c>
      <c r="S99" s="238" t="s">
        <v>106</v>
      </c>
      <c r="T99" s="245">
        <v>20.28987266</v>
      </c>
      <c r="U99" s="245">
        <v>9.7087802500000002</v>
      </c>
      <c r="V99" s="245" t="s">
        <v>106</v>
      </c>
    </row>
    <row r="100" spans="1:22" ht="14" thickBot="1">
      <c r="A100" s="242">
        <v>1564</v>
      </c>
      <c r="B100" s="243" t="s">
        <v>640</v>
      </c>
      <c r="C100" s="272">
        <v>5606</v>
      </c>
      <c r="D100" s="255">
        <v>17.084023429999998</v>
      </c>
      <c r="E100" s="256">
        <v>17.424786149999999</v>
      </c>
      <c r="F100" s="255">
        <v>1.280359999999886</v>
      </c>
      <c r="G100" s="273">
        <v>228.39100963251627</v>
      </c>
      <c r="H100" s="274">
        <v>7.4944874973160006E-2</v>
      </c>
      <c r="I100" s="257">
        <v>25.405003220000001</v>
      </c>
      <c r="J100" s="275">
        <v>4531.7522689975003</v>
      </c>
      <c r="K100" s="276">
        <v>0.1785544356787</v>
      </c>
      <c r="L100" s="273">
        <v>566.860413842311</v>
      </c>
      <c r="M100" s="275">
        <v>-127.26708348198299</v>
      </c>
      <c r="N100" s="255">
        <v>0.9</v>
      </c>
      <c r="O100" s="275">
        <v>160.54227613271399</v>
      </c>
      <c r="P100" s="255">
        <v>-10.55886742</v>
      </c>
      <c r="Q100" s="273">
        <v>-1883.4940099892899</v>
      </c>
      <c r="R100" s="274">
        <v>-0.60596826435082995</v>
      </c>
      <c r="S100" s="238" t="s">
        <v>151</v>
      </c>
      <c r="T100" s="245">
        <v>3.48495723</v>
      </c>
      <c r="U100" s="245" t="s">
        <v>106</v>
      </c>
      <c r="V100" s="245">
        <v>-14.043824649999999</v>
      </c>
    </row>
    <row r="101" spans="1:22" ht="14" thickBot="1">
      <c r="A101" s="242">
        <v>1565</v>
      </c>
      <c r="B101" s="243" t="s">
        <v>641</v>
      </c>
      <c r="C101" s="272">
        <v>944</v>
      </c>
      <c r="D101" s="255">
        <v>2.7984323899999999</v>
      </c>
      <c r="E101" s="256">
        <v>2.6157611900000002</v>
      </c>
      <c r="F101" s="255">
        <v>1.0959040199999948</v>
      </c>
      <c r="G101" s="273">
        <v>1160.9152754237232</v>
      </c>
      <c r="H101" s="274">
        <v>0.39161354189442998</v>
      </c>
      <c r="I101" s="257">
        <v>1.0754338000000001</v>
      </c>
      <c r="J101" s="275">
        <v>1139.2307203389801</v>
      </c>
      <c r="K101" s="276">
        <v>4.2715420818649999E-2</v>
      </c>
      <c r="L101" s="273">
        <v>124.11884533898299</v>
      </c>
      <c r="M101" s="275">
        <v>58.725953389830501</v>
      </c>
      <c r="N101" s="255">
        <v>0.46600000000000003</v>
      </c>
      <c r="O101" s="275">
        <v>493.64406779660999</v>
      </c>
      <c r="P101" s="255">
        <v>5.85469755</v>
      </c>
      <c r="Q101" s="273">
        <v>6202.01011652542</v>
      </c>
      <c r="R101" s="274">
        <v>2.2382385564792302</v>
      </c>
      <c r="S101" s="238" t="s">
        <v>106</v>
      </c>
      <c r="T101" s="245">
        <v>0.52315223799999999</v>
      </c>
      <c r="U101" s="245">
        <v>5.3315453120000003</v>
      </c>
      <c r="V101" s="245" t="s">
        <v>106</v>
      </c>
    </row>
    <row r="102" spans="1:22" ht="14" thickBot="1">
      <c r="A102" s="242">
        <v>1566</v>
      </c>
      <c r="B102" s="243" t="s">
        <v>642</v>
      </c>
      <c r="C102" s="272">
        <v>43764</v>
      </c>
      <c r="D102" s="255">
        <v>70.901720209999993</v>
      </c>
      <c r="E102" s="256">
        <v>71.306022549999994</v>
      </c>
      <c r="F102" s="255">
        <v>18.808521159999547</v>
      </c>
      <c r="G102" s="273">
        <v>429.77152819668095</v>
      </c>
      <c r="H102" s="274">
        <v>0.26527594964257001</v>
      </c>
      <c r="I102" s="257">
        <v>36.286914449999998</v>
      </c>
      <c r="J102" s="275">
        <v>829.14985947354</v>
      </c>
      <c r="K102" s="276">
        <v>4.8606877308149998E-2</v>
      </c>
      <c r="L102" s="273">
        <v>72.204588474545304</v>
      </c>
      <c r="M102" s="275">
        <v>134.61140503610201</v>
      </c>
      <c r="N102" s="255">
        <v>12.7</v>
      </c>
      <c r="O102" s="275">
        <v>290.19285257289101</v>
      </c>
      <c r="P102" s="255">
        <v>14.4785919</v>
      </c>
      <c r="Q102" s="273">
        <v>330.83337674801197</v>
      </c>
      <c r="R102" s="274">
        <v>0.20304865398777999</v>
      </c>
      <c r="S102" s="238" t="s">
        <v>106</v>
      </c>
      <c r="T102" s="245">
        <v>14.261204510000001</v>
      </c>
      <c r="U102" s="245">
        <v>0.21738739000000001</v>
      </c>
      <c r="V102" s="245" t="s">
        <v>106</v>
      </c>
    </row>
    <row r="103" spans="1:22" s="219" customFormat="1" ht="17.25" customHeight="1" thickBot="1">
      <c r="A103" s="277" t="s">
        <v>652</v>
      </c>
      <c r="B103" s="259">
        <v>92</v>
      </c>
      <c r="C103" s="278">
        <v>7419974</v>
      </c>
      <c r="D103" s="261">
        <v>18124.457593179901</v>
      </c>
      <c r="E103" s="262">
        <v>18029.7048306699</v>
      </c>
      <c r="F103" s="261">
        <v>-31.926405930003181</v>
      </c>
      <c r="G103" s="279">
        <v>-4.3027652024121892</v>
      </c>
      <c r="H103" s="280">
        <v>-1.7615095936452658E-3</v>
      </c>
      <c r="I103" s="263">
        <v>16307.50854531</v>
      </c>
      <c r="J103" s="281">
        <v>2197.7851331163693</v>
      </c>
      <c r="K103" s="282">
        <v>5.6068315583150001E-2</v>
      </c>
      <c r="L103" s="279">
        <v>133.0706484281479</v>
      </c>
      <c r="M103" s="281">
        <v>69.291571070195133</v>
      </c>
      <c r="N103" s="261">
        <v>4487.9860973900004</v>
      </c>
      <c r="O103" s="281">
        <v>604.85199778193294</v>
      </c>
      <c r="P103" s="261">
        <v>2968.4810149899999</v>
      </c>
      <c r="Q103" s="279">
        <v>400.06622866737803</v>
      </c>
      <c r="R103" s="283">
        <v>0.16464390531454001</v>
      </c>
      <c r="S103" s="260">
        <v>53</v>
      </c>
      <c r="T103" s="261">
        <v>2974.6365369924902</v>
      </c>
      <c r="U103" s="261">
        <v>385.30239219650002</v>
      </c>
      <c r="V103" s="261">
        <v>-391.45791419900002</v>
      </c>
    </row>
    <row r="104" spans="1:22" ht="15.75" customHeight="1" thickBot="1">
      <c r="A104" s="65" t="s">
        <v>146</v>
      </c>
      <c r="C104" s="284"/>
      <c r="D104" s="265"/>
      <c r="E104" s="265"/>
      <c r="F104" s="265"/>
      <c r="G104" s="265"/>
      <c r="H104" s="266"/>
      <c r="I104" s="265"/>
      <c r="J104" s="267"/>
      <c r="K104" s="268"/>
      <c r="L104" s="285"/>
      <c r="M104" s="285"/>
      <c r="N104" s="265"/>
      <c r="O104" s="285"/>
      <c r="P104" s="265"/>
      <c r="Q104" s="285"/>
      <c r="R104" s="266"/>
    </row>
    <row r="106" spans="1:22">
      <c r="A106" s="22" t="s">
        <v>885</v>
      </c>
    </row>
    <row r="108" spans="1:22" ht="7.5" customHeight="1"/>
    <row r="109" spans="1:22" ht="24.75" customHeight="1">
      <c r="A109" s="1734" t="s">
        <v>104</v>
      </c>
      <c r="B109" s="1726"/>
    </row>
  </sheetData>
  <mergeCells count="2">
    <mergeCell ref="A109:B109"/>
    <mergeCell ref="A2:B2"/>
  </mergeCells>
  <phoneticPr fontId="0" type="noConversion"/>
  <pageMargins left="0.47" right="0.38" top="0.5" bottom="0.4" header="0.28000000000000003" footer="0.21"/>
  <pageSetup paperSize="9" scale="50" fitToHeight="2" pageOrder="overThenDown" orientation="portrait"/>
  <headerFooter alignWithMargins="0">
    <oddHeader>&amp;L&amp;"Arial,Bold"Individuelle Daten pro Versicherer</oddHeader>
    <oddFooter>&amp;R&amp;P/&amp;N</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2ED5B-767C-1E41-8920-D4A2CE6DD746}">
  <sheetPr>
    <pageSetUpPr fitToPage="1"/>
  </sheetPr>
  <dimension ref="A1:K76"/>
  <sheetViews>
    <sheetView topLeftCell="A58" zoomScale="75" workbookViewId="0">
      <selection activeCell="G66" sqref="G66"/>
    </sheetView>
  </sheetViews>
  <sheetFormatPr baseColWidth="10" defaultColWidth="11.3984375" defaultRowHeight="13"/>
  <cols>
    <col min="1" max="1" width="16.796875" style="80" customWidth="1"/>
    <col min="2" max="2" width="11.796875" style="2" customWidth="1"/>
    <col min="3" max="3" width="12.796875" style="23" customWidth="1"/>
    <col min="4" max="4" width="12.19921875" style="2" customWidth="1"/>
    <col min="5" max="5" width="12.3984375" style="23" customWidth="1"/>
    <col min="6" max="6" width="13.19921875" style="2" customWidth="1"/>
    <col min="7" max="7" width="11.19921875" style="23" customWidth="1"/>
    <col min="8" max="8" width="11.3984375" style="2"/>
    <col min="9" max="9" width="11.796875" style="2" customWidth="1"/>
    <col min="10" max="10" width="8.3984375" style="2" customWidth="1"/>
    <col min="11" max="16384" width="11.3984375" style="2"/>
  </cols>
  <sheetData>
    <row r="1" spans="1:11" s="1" customFormat="1" ht="21" customHeight="1">
      <c r="A1" s="1736" t="s">
        <v>714</v>
      </c>
      <c r="B1" s="1724"/>
      <c r="C1" s="1724"/>
      <c r="D1" s="1724"/>
      <c r="E1" s="1724"/>
      <c r="F1" s="1724"/>
      <c r="G1" s="1724"/>
      <c r="H1" s="1724"/>
      <c r="I1" s="73"/>
      <c r="J1" s="74">
        <v>2004</v>
      </c>
    </row>
    <row r="2" spans="1:11" s="1" customFormat="1" ht="21.75" customHeight="1">
      <c r="A2" s="75"/>
      <c r="B2"/>
      <c r="C2"/>
      <c r="D2"/>
      <c r="E2"/>
      <c r="F2"/>
      <c r="G2"/>
      <c r="H2"/>
      <c r="I2"/>
      <c r="J2"/>
    </row>
    <row r="3" spans="1:11" ht="14.25" customHeight="1">
      <c r="A3" s="76" t="s">
        <v>693</v>
      </c>
      <c r="B3"/>
      <c r="C3"/>
      <c r="D3"/>
      <c r="E3"/>
      <c r="F3"/>
      <c r="G3"/>
      <c r="H3"/>
      <c r="I3"/>
      <c r="J3"/>
    </row>
    <row r="4" spans="1:11" ht="15" customHeight="1">
      <c r="A4" s="77" t="s">
        <v>2159</v>
      </c>
      <c r="B4"/>
      <c r="C4"/>
      <c r="D4"/>
      <c r="E4"/>
      <c r="F4"/>
      <c r="G4"/>
      <c r="H4"/>
      <c r="I4"/>
      <c r="J4"/>
    </row>
    <row r="5" spans="1:11" ht="15" customHeight="1">
      <c r="A5" s="77"/>
      <c r="B5"/>
      <c r="C5"/>
      <c r="D5"/>
      <c r="E5"/>
      <c r="F5"/>
      <c r="G5"/>
      <c r="H5"/>
      <c r="I5"/>
      <c r="J5"/>
    </row>
    <row r="6" spans="1:11" ht="16.5" customHeight="1">
      <c r="A6" s="76" t="s">
        <v>694</v>
      </c>
      <c r="B6"/>
      <c r="C6"/>
      <c r="D6"/>
      <c r="E6"/>
      <c r="F6"/>
      <c r="G6"/>
      <c r="H6"/>
      <c r="I6"/>
      <c r="J6"/>
    </row>
    <row r="7" spans="1:11" ht="30" customHeight="1">
      <c r="A7" s="1737" t="s">
        <v>695</v>
      </c>
      <c r="B7" s="1726"/>
      <c r="C7" s="1726"/>
      <c r="D7" s="1726"/>
      <c r="E7" s="1726"/>
      <c r="F7" s="1726"/>
      <c r="G7" s="1726"/>
      <c r="H7" s="1726"/>
      <c r="I7" s="1726"/>
      <c r="J7" s="1726"/>
    </row>
    <row r="8" spans="1:11" ht="13.5" customHeight="1">
      <c r="A8" s="77"/>
      <c r="B8"/>
      <c r="C8"/>
      <c r="D8"/>
      <c r="E8"/>
      <c r="F8"/>
      <c r="G8"/>
      <c r="H8"/>
      <c r="I8"/>
      <c r="J8"/>
    </row>
    <row r="9" spans="1:11" ht="15.75" customHeight="1">
      <c r="A9" s="76" t="s">
        <v>696</v>
      </c>
      <c r="B9"/>
      <c r="C9"/>
      <c r="D9"/>
      <c r="E9"/>
      <c r="F9"/>
      <c r="G9"/>
      <c r="H9"/>
      <c r="I9"/>
      <c r="J9"/>
      <c r="K9" s="10"/>
    </row>
    <row r="10" spans="1:11" ht="14.25" customHeight="1">
      <c r="A10" s="77" t="s">
        <v>697</v>
      </c>
      <c r="B10"/>
      <c r="C10"/>
      <c r="D10"/>
      <c r="E10"/>
      <c r="F10"/>
      <c r="G10"/>
      <c r="H10"/>
      <c r="I10"/>
      <c r="J10"/>
    </row>
    <row r="11" spans="1:11" ht="13.5" customHeight="1">
      <c r="A11" s="77"/>
      <c r="B11"/>
      <c r="C11"/>
      <c r="D11"/>
      <c r="E11"/>
      <c r="F11"/>
      <c r="G11"/>
      <c r="H11"/>
      <c r="I11"/>
      <c r="J11"/>
    </row>
    <row r="12" spans="1:11" ht="20" customHeight="1">
      <c r="A12" s="76" t="s">
        <v>2160</v>
      </c>
      <c r="B12"/>
      <c r="C12"/>
      <c r="D12"/>
      <c r="E12"/>
      <c r="F12"/>
      <c r="G12"/>
      <c r="H12"/>
      <c r="I12"/>
      <c r="J12"/>
    </row>
    <row r="13" spans="1:11" ht="19.5" customHeight="1">
      <c r="A13" s="1737" t="s">
        <v>2200</v>
      </c>
      <c r="B13" s="1726"/>
      <c r="C13" s="1726"/>
      <c r="D13" s="1726"/>
      <c r="E13" s="1726"/>
      <c r="F13" s="1726"/>
      <c r="G13" s="1726"/>
      <c r="H13" s="1726"/>
      <c r="I13" s="1726"/>
      <c r="J13" s="1726"/>
    </row>
    <row r="14" spans="1:11" ht="12.75" customHeight="1">
      <c r="A14" s="1737" t="s">
        <v>2020</v>
      </c>
      <c r="B14" s="1726"/>
      <c r="C14" s="1726"/>
      <c r="D14" s="1726"/>
      <c r="E14" s="1726"/>
      <c r="F14" s="1726"/>
      <c r="G14" s="1726"/>
      <c r="H14" s="1726"/>
      <c r="I14" s="1726"/>
      <c r="J14" s="1726"/>
    </row>
    <row r="15" spans="1:11" ht="30.75" customHeight="1">
      <c r="A15" s="1737" t="s">
        <v>103</v>
      </c>
      <c r="B15" s="1726"/>
      <c r="C15" s="1726"/>
      <c r="D15" s="1726"/>
      <c r="E15" s="1726"/>
      <c r="F15" s="1726"/>
      <c r="G15" s="1726"/>
      <c r="H15" s="1726"/>
      <c r="I15" s="1726"/>
      <c r="J15" s="1726"/>
    </row>
    <row r="16" spans="1:11" ht="20" customHeight="1">
      <c r="A16" s="77"/>
      <c r="B16"/>
      <c r="C16"/>
      <c r="D16"/>
      <c r="E16"/>
      <c r="F16"/>
      <c r="G16"/>
      <c r="H16"/>
      <c r="I16"/>
      <c r="J16"/>
    </row>
    <row r="17" spans="1:10" ht="17.25" customHeight="1">
      <c r="A17" s="76" t="s">
        <v>2161</v>
      </c>
      <c r="B17"/>
      <c r="C17"/>
      <c r="D17"/>
      <c r="E17"/>
      <c r="F17"/>
      <c r="G17"/>
      <c r="H17"/>
      <c r="I17"/>
      <c r="J17"/>
    </row>
    <row r="18" spans="1:10" ht="28.5" customHeight="1">
      <c r="A18" s="1737" t="s">
        <v>698</v>
      </c>
      <c r="B18" s="1726"/>
      <c r="C18" s="1726"/>
      <c r="D18" s="1726"/>
      <c r="E18" s="1726"/>
      <c r="F18" s="1726"/>
      <c r="G18" s="1726"/>
      <c r="H18" s="1726"/>
      <c r="I18" s="1726"/>
      <c r="J18" s="1726"/>
    </row>
    <row r="19" spans="1:10" ht="15.75" customHeight="1">
      <c r="A19" s="77"/>
      <c r="B19"/>
      <c r="C19"/>
      <c r="D19"/>
      <c r="E19"/>
      <c r="F19"/>
      <c r="G19"/>
      <c r="H19"/>
      <c r="I19"/>
      <c r="J19"/>
    </row>
    <row r="20" spans="1:10" ht="15.75" customHeight="1">
      <c r="A20" s="76" t="s">
        <v>699</v>
      </c>
      <c r="B20"/>
      <c r="C20"/>
      <c r="D20"/>
      <c r="E20"/>
      <c r="F20"/>
      <c r="G20"/>
      <c r="H20"/>
      <c r="I20"/>
      <c r="J20"/>
    </row>
    <row r="21" spans="1:10" ht="36" customHeight="1">
      <c r="A21" s="1737" t="s">
        <v>700</v>
      </c>
      <c r="B21" s="1726"/>
      <c r="C21" s="1726"/>
      <c r="D21" s="1726"/>
      <c r="E21" s="1726"/>
      <c r="F21" s="1726"/>
      <c r="G21" s="1726"/>
      <c r="H21" s="1726"/>
      <c r="I21" s="1726"/>
      <c r="J21" s="1726"/>
    </row>
    <row r="22" spans="1:10" ht="12.75" customHeight="1">
      <c r="A22" s="77"/>
      <c r="B22"/>
      <c r="C22"/>
      <c r="D22"/>
      <c r="E22"/>
      <c r="F22"/>
      <c r="G22"/>
      <c r="H22"/>
      <c r="I22"/>
      <c r="J22"/>
    </row>
    <row r="23" spans="1:10">
      <c r="A23" s="76" t="s">
        <v>701</v>
      </c>
      <c r="B23"/>
      <c r="C23"/>
      <c r="D23"/>
      <c r="E23"/>
      <c r="F23"/>
      <c r="G23"/>
      <c r="H23"/>
      <c r="I23"/>
      <c r="J23"/>
    </row>
    <row r="24" spans="1:10" ht="30.75" customHeight="1">
      <c r="A24" s="1737" t="s">
        <v>702</v>
      </c>
      <c r="B24" s="1726"/>
      <c r="C24" s="1726"/>
      <c r="D24" s="1726"/>
      <c r="E24" s="1726"/>
      <c r="F24" s="1726"/>
      <c r="G24" s="1726"/>
      <c r="H24" s="1726"/>
      <c r="I24" s="1726"/>
      <c r="J24" s="1726"/>
    </row>
    <row r="25" spans="1:10" ht="12.75" customHeight="1">
      <c r="A25" s="77"/>
      <c r="B25"/>
      <c r="C25"/>
      <c r="D25"/>
      <c r="E25"/>
      <c r="F25"/>
      <c r="G25"/>
      <c r="H25"/>
      <c r="I25"/>
      <c r="J25"/>
    </row>
    <row r="26" spans="1:10">
      <c r="A26" s="76" t="s">
        <v>2162</v>
      </c>
      <c r="B26"/>
      <c r="C26"/>
      <c r="D26"/>
      <c r="E26"/>
      <c r="F26"/>
      <c r="G26"/>
      <c r="H26"/>
      <c r="I26"/>
      <c r="J26"/>
    </row>
    <row r="27" spans="1:10" ht="33" customHeight="1">
      <c r="A27" s="1737" t="s">
        <v>2198</v>
      </c>
      <c r="B27" s="1726"/>
      <c r="C27" s="1726"/>
      <c r="D27" s="1726"/>
      <c r="E27" s="1726"/>
      <c r="F27" s="1726"/>
      <c r="G27" s="1726"/>
      <c r="H27" s="1726"/>
      <c r="I27" s="1726"/>
      <c r="J27" s="1726"/>
    </row>
    <row r="28" spans="1:10" ht="12" customHeight="1">
      <c r="A28" s="1737" t="s">
        <v>2199</v>
      </c>
      <c r="B28" s="1726"/>
      <c r="C28" s="1726"/>
      <c r="D28" s="1726"/>
      <c r="E28" s="1726"/>
      <c r="F28" s="1726"/>
      <c r="G28" s="1726"/>
      <c r="H28" s="1726"/>
      <c r="I28" s="1726"/>
      <c r="J28" s="1726"/>
    </row>
    <row r="29" spans="1:10" ht="12.75" customHeight="1">
      <c r="A29" s="77"/>
      <c r="B29"/>
      <c r="C29"/>
      <c r="D29"/>
      <c r="E29"/>
      <c r="F29"/>
      <c r="G29"/>
      <c r="H29"/>
      <c r="I29"/>
      <c r="J29"/>
    </row>
    <row r="30" spans="1:10">
      <c r="A30" s="76" t="s">
        <v>2163</v>
      </c>
      <c r="B30"/>
      <c r="C30"/>
      <c r="D30"/>
      <c r="E30"/>
      <c r="F30"/>
      <c r="G30"/>
      <c r="H30"/>
      <c r="I30"/>
      <c r="J30"/>
    </row>
    <row r="31" spans="1:10" ht="16.5" customHeight="1">
      <c r="A31" s="1737" t="s">
        <v>2021</v>
      </c>
      <c r="B31" s="1726"/>
      <c r="C31" s="1726"/>
      <c r="D31" s="1726"/>
      <c r="E31" s="1726"/>
      <c r="F31" s="1726"/>
      <c r="G31" s="1726"/>
      <c r="H31" s="1726"/>
      <c r="I31" s="1726"/>
      <c r="J31" s="1726"/>
    </row>
    <row r="32" spans="1:10" ht="15.75" customHeight="1">
      <c r="A32" s="1737" t="s">
        <v>715</v>
      </c>
      <c r="B32" s="1726"/>
      <c r="C32" s="1726"/>
      <c r="D32" s="1726"/>
      <c r="E32" s="1726"/>
      <c r="F32" s="1726"/>
      <c r="G32" s="1726"/>
      <c r="H32" s="1726"/>
      <c r="I32" s="1726"/>
      <c r="J32" s="1726"/>
    </row>
    <row r="33" spans="1:10" ht="12.75" customHeight="1">
      <c r="A33" s="77"/>
      <c r="B33"/>
      <c r="C33"/>
      <c r="D33"/>
      <c r="E33"/>
      <c r="F33"/>
      <c r="G33"/>
      <c r="H33"/>
      <c r="I33"/>
      <c r="J33"/>
    </row>
    <row r="34" spans="1:10" ht="21.75" customHeight="1">
      <c r="A34" s="78" t="s">
        <v>703</v>
      </c>
      <c r="B34" s="109" t="s">
        <v>2164</v>
      </c>
      <c r="C34" s="109" t="s">
        <v>2165</v>
      </c>
      <c r="D34" s="109" t="s">
        <v>2166</v>
      </c>
      <c r="E34" s="2"/>
      <c r="G34" s="2"/>
    </row>
    <row r="35" spans="1:10" ht="30.75" customHeight="1">
      <c r="A35" s="79" t="s">
        <v>718</v>
      </c>
      <c r="B35" s="110" t="s">
        <v>2167</v>
      </c>
      <c r="C35" s="111">
        <v>0.2</v>
      </c>
      <c r="D35" s="111">
        <v>0.15</v>
      </c>
      <c r="E35" s="2"/>
      <c r="G35" s="2"/>
    </row>
    <row r="36" spans="1:10" ht="10.5" customHeight="1">
      <c r="A36" s="77"/>
      <c r="B36"/>
      <c r="C36"/>
      <c r="D36"/>
      <c r="E36"/>
      <c r="F36"/>
      <c r="G36"/>
      <c r="H36"/>
      <c r="I36"/>
      <c r="J36"/>
    </row>
    <row r="37" spans="1:10" ht="15" customHeight="1">
      <c r="A37" s="92" t="s">
        <v>2168</v>
      </c>
      <c r="C37" s="2"/>
      <c r="E37" s="2"/>
      <c r="G37" s="2"/>
    </row>
    <row r="38" spans="1:10" ht="6" customHeight="1">
      <c r="A38" s="92"/>
      <c r="C38" s="2"/>
      <c r="E38" s="2"/>
      <c r="G38" s="2"/>
    </row>
    <row r="39" spans="1:10" ht="15" customHeight="1">
      <c r="A39" s="92" t="s">
        <v>2169</v>
      </c>
      <c r="C39" s="2"/>
      <c r="E39" s="2"/>
      <c r="G39" s="2"/>
    </row>
    <row r="40" spans="1:10" ht="15" customHeight="1">
      <c r="A40" s="92"/>
      <c r="C40" s="2"/>
      <c r="E40" s="2"/>
      <c r="G40" s="2"/>
    </row>
    <row r="41" spans="1:10" ht="17.25" customHeight="1">
      <c r="A41" s="93" t="s">
        <v>716</v>
      </c>
      <c r="C41" s="2"/>
      <c r="E41" s="2"/>
      <c r="G41" s="2"/>
    </row>
    <row r="42" spans="1:10" ht="16.5" customHeight="1">
      <c r="A42" s="92" t="s">
        <v>717</v>
      </c>
      <c r="C42" s="2"/>
      <c r="E42" s="2"/>
      <c r="G42" s="2"/>
    </row>
    <row r="43" spans="1:10" ht="16.5" customHeight="1">
      <c r="A43" s="92"/>
      <c r="C43" s="2"/>
      <c r="E43" s="2"/>
      <c r="G43" s="2"/>
    </row>
    <row r="44" spans="1:10" ht="16.5" customHeight="1">
      <c r="A44" s="93" t="s">
        <v>2170</v>
      </c>
      <c r="C44" s="2"/>
      <c r="E44" s="2"/>
      <c r="G44" s="2"/>
    </row>
    <row r="45" spans="1:10" ht="16.5" customHeight="1">
      <c r="A45" s="92" t="s">
        <v>2171</v>
      </c>
      <c r="C45" s="2"/>
      <c r="E45" s="2"/>
      <c r="G45" s="2"/>
    </row>
    <row r="46" spans="1:10" ht="16.5" customHeight="1">
      <c r="A46" s="92" t="s">
        <v>2172</v>
      </c>
      <c r="C46" s="2"/>
      <c r="E46" s="2"/>
      <c r="G46" s="2"/>
    </row>
    <row r="47" spans="1:10" ht="20.25" customHeight="1">
      <c r="A47" s="92"/>
      <c r="C47" s="2"/>
      <c r="E47" s="2"/>
      <c r="G47" s="2"/>
    </row>
    <row r="48" spans="1:10" ht="17.25" customHeight="1">
      <c r="B48" s="81" t="s">
        <v>704</v>
      </c>
      <c r="C48" s="2"/>
      <c r="E48" s="2"/>
      <c r="G48" s="2"/>
    </row>
    <row r="49" spans="1:7">
      <c r="A49" s="82">
        <v>0</v>
      </c>
      <c r="B49" s="83" t="s">
        <v>886</v>
      </c>
      <c r="C49" s="4"/>
      <c r="D49" s="4"/>
      <c r="E49" s="4"/>
      <c r="G49" s="2"/>
    </row>
    <row r="50" spans="1:7">
      <c r="A50" s="82">
        <v>1</v>
      </c>
      <c r="B50" s="83" t="s">
        <v>2173</v>
      </c>
      <c r="C50" s="4"/>
      <c r="D50" s="4"/>
      <c r="E50" s="4"/>
      <c r="G50" s="2"/>
    </row>
    <row r="51" spans="1:7">
      <c r="A51" s="82">
        <v>2</v>
      </c>
      <c r="B51" s="83" t="s">
        <v>705</v>
      </c>
      <c r="C51" s="4"/>
      <c r="D51" s="4"/>
      <c r="E51" s="4"/>
      <c r="G51" s="2"/>
    </row>
    <row r="52" spans="1:7">
      <c r="A52" s="82">
        <v>3</v>
      </c>
      <c r="B52" s="83" t="s">
        <v>706</v>
      </c>
      <c r="C52" s="4"/>
      <c r="D52" s="4"/>
      <c r="E52" s="4"/>
      <c r="G52" s="2"/>
    </row>
    <row r="53" spans="1:7">
      <c r="A53" s="82" t="s">
        <v>2174</v>
      </c>
      <c r="B53" s="83" t="s">
        <v>2175</v>
      </c>
      <c r="C53" s="4"/>
      <c r="D53" s="4"/>
      <c r="E53" s="4"/>
      <c r="G53" s="2"/>
    </row>
    <row r="54" spans="1:7">
      <c r="A54" s="82" t="s">
        <v>2176</v>
      </c>
      <c r="B54" s="83" t="s">
        <v>2177</v>
      </c>
      <c r="C54" s="4"/>
      <c r="D54" s="4"/>
      <c r="E54" s="4"/>
      <c r="G54" s="2"/>
    </row>
    <row r="55" spans="1:7">
      <c r="A55" s="82" t="s">
        <v>2178</v>
      </c>
      <c r="B55" s="83" t="s">
        <v>707</v>
      </c>
      <c r="C55" s="4"/>
      <c r="D55" s="4"/>
      <c r="E55" s="4"/>
      <c r="G55" s="2"/>
    </row>
    <row r="56" spans="1:7">
      <c r="A56" s="82" t="s">
        <v>2179</v>
      </c>
      <c r="B56" s="83" t="s">
        <v>708</v>
      </c>
      <c r="C56" s="4"/>
      <c r="D56" s="4"/>
      <c r="E56" s="4"/>
      <c r="G56" s="2"/>
    </row>
    <row r="57" spans="1:7">
      <c r="A57" s="84" t="s">
        <v>2180</v>
      </c>
      <c r="B57" s="85" t="s">
        <v>2181</v>
      </c>
      <c r="C57" s="4"/>
      <c r="D57" s="4"/>
      <c r="E57" s="4"/>
      <c r="G57" s="2"/>
    </row>
    <row r="58" spans="1:7">
      <c r="A58" s="86" t="s">
        <v>2182</v>
      </c>
      <c r="B58" s="83" t="s">
        <v>709</v>
      </c>
      <c r="C58" s="4"/>
      <c r="D58" s="4"/>
      <c r="E58" s="4"/>
      <c r="G58" s="2"/>
    </row>
    <row r="59" spans="1:7">
      <c r="A59" s="87" t="s">
        <v>2183</v>
      </c>
      <c r="B59" s="83" t="s">
        <v>710</v>
      </c>
      <c r="C59" s="4"/>
      <c r="D59" s="4"/>
      <c r="E59" s="4"/>
      <c r="G59" s="2"/>
    </row>
    <row r="60" spans="1:7">
      <c r="A60" s="82">
        <v>7</v>
      </c>
      <c r="B60" s="83" t="s">
        <v>711</v>
      </c>
      <c r="C60" s="4"/>
      <c r="D60" s="4"/>
      <c r="E60" s="4"/>
      <c r="G60" s="2"/>
    </row>
    <row r="61" spans="1:7">
      <c r="A61" s="82" t="s">
        <v>2184</v>
      </c>
      <c r="B61" s="83" t="s">
        <v>712</v>
      </c>
      <c r="C61" s="4"/>
      <c r="D61" s="4"/>
      <c r="E61" s="4"/>
      <c r="G61" s="2"/>
    </row>
    <row r="62" spans="1:7">
      <c r="A62" s="87" t="s">
        <v>2185</v>
      </c>
      <c r="B62" s="85" t="s">
        <v>2186</v>
      </c>
      <c r="C62" s="4"/>
      <c r="D62" s="4"/>
      <c r="E62" s="4"/>
      <c r="G62" s="2"/>
    </row>
    <row r="63" spans="1:7">
      <c r="A63" s="82" t="s">
        <v>2187</v>
      </c>
      <c r="B63" s="83" t="s">
        <v>713</v>
      </c>
      <c r="C63" s="4"/>
      <c r="D63" s="4"/>
      <c r="E63" s="4"/>
      <c r="G63" s="2"/>
    </row>
    <row r="64" spans="1:7">
      <c r="A64" s="84" t="s">
        <v>2188</v>
      </c>
      <c r="B64" s="85" t="s">
        <v>2189</v>
      </c>
      <c r="C64" s="4"/>
      <c r="D64" s="4"/>
      <c r="E64" s="4"/>
      <c r="G64" s="2"/>
    </row>
    <row r="65" spans="1:7">
      <c r="A65" s="87" t="s">
        <v>2190</v>
      </c>
      <c r="B65" s="85" t="s">
        <v>2191</v>
      </c>
      <c r="C65" s="4"/>
      <c r="D65" s="4"/>
      <c r="E65" s="4"/>
      <c r="G65" s="2"/>
    </row>
    <row r="66" spans="1:7">
      <c r="A66" s="88">
        <v>10</v>
      </c>
      <c r="B66" s="89" t="s">
        <v>2125</v>
      </c>
      <c r="C66" s="4"/>
      <c r="D66" s="4"/>
      <c r="E66" s="4"/>
      <c r="G66" s="2"/>
    </row>
    <row r="67" spans="1:7">
      <c r="A67" s="88" t="s">
        <v>2192</v>
      </c>
      <c r="B67" s="89" t="s">
        <v>2193</v>
      </c>
      <c r="C67" s="4"/>
      <c r="D67" s="4"/>
      <c r="E67" s="4"/>
      <c r="G67" s="2"/>
    </row>
    <row r="68" spans="1:7">
      <c r="A68" s="88" t="s">
        <v>2194</v>
      </c>
      <c r="B68" s="89" t="s">
        <v>2195</v>
      </c>
      <c r="C68" s="4"/>
      <c r="D68" s="4"/>
      <c r="E68" s="4"/>
      <c r="G68" s="2"/>
    </row>
    <row r="69" spans="1:7">
      <c r="A69" s="88" t="s">
        <v>2196</v>
      </c>
      <c r="B69" s="89" t="s">
        <v>2197</v>
      </c>
      <c r="C69" s="4"/>
      <c r="D69" s="4"/>
      <c r="E69" s="4"/>
      <c r="G69" s="2"/>
    </row>
    <row r="70" spans="1:7">
      <c r="A70" s="88"/>
      <c r="B70" s="89"/>
      <c r="C70" s="4"/>
      <c r="D70" s="4"/>
      <c r="E70" s="4"/>
      <c r="G70" s="2"/>
    </row>
    <row r="71" spans="1:7">
      <c r="A71" s="88"/>
      <c r="B71" s="89"/>
      <c r="C71" s="4"/>
      <c r="D71" s="4"/>
      <c r="E71" s="4"/>
      <c r="G71" s="2"/>
    </row>
    <row r="72" spans="1:7">
      <c r="A72" s="90" t="s">
        <v>105</v>
      </c>
      <c r="B72" s="89"/>
      <c r="C72" s="4"/>
      <c r="D72" s="4"/>
      <c r="E72" s="4"/>
      <c r="G72" s="2"/>
    </row>
    <row r="73" spans="1:7">
      <c r="A73" s="88"/>
      <c r="B73" s="89"/>
      <c r="C73" s="4"/>
      <c r="D73" s="4"/>
      <c r="E73" s="4"/>
      <c r="G73" s="2"/>
    </row>
    <row r="74" spans="1:7">
      <c r="A74" s="88"/>
      <c r="B74" s="89"/>
      <c r="C74" s="4"/>
      <c r="D74" s="4"/>
      <c r="E74" s="4"/>
      <c r="G74" s="2"/>
    </row>
    <row r="75" spans="1:7">
      <c r="A75" s="91" t="s">
        <v>104</v>
      </c>
      <c r="B75" s="89"/>
      <c r="C75" s="4"/>
      <c r="D75" s="4"/>
      <c r="E75" s="4"/>
      <c r="G75" s="2"/>
    </row>
    <row r="76" spans="1:7">
      <c r="C76" s="2"/>
      <c r="E76" s="2"/>
      <c r="G76" s="2"/>
    </row>
  </sheetData>
  <mergeCells count="12">
    <mergeCell ref="A32:J32"/>
    <mergeCell ref="A14:J14"/>
    <mergeCell ref="A1:H1"/>
    <mergeCell ref="A24:J24"/>
    <mergeCell ref="A27:J27"/>
    <mergeCell ref="A31:J31"/>
    <mergeCell ref="A7:J7"/>
    <mergeCell ref="A13:J13"/>
    <mergeCell ref="A18:J18"/>
    <mergeCell ref="A21:J21"/>
    <mergeCell ref="A15:J15"/>
    <mergeCell ref="A28:J28"/>
  </mergeCells>
  <phoneticPr fontId="0" type="noConversion"/>
  <pageMargins left="0.53" right="0.42" top="0.62992125984251968" bottom="0.61" header="0.35433070866141736" footer="0.36"/>
  <pageSetup paperSize="9" scale="64" orientation="portrait"/>
  <headerFooter alignWithMargins="0">
    <oddHeader>&amp;L&amp;"Arial,Bold"Individuelle Daten pro Versicherer</oddHead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22FB3-470B-7D4E-BFA5-8F5A71C128AD}">
  <sheetPr>
    <pageSetUpPr fitToPage="1"/>
  </sheetPr>
  <dimension ref="A1:I120"/>
  <sheetViews>
    <sheetView topLeftCell="A108" zoomScale="75" workbookViewId="0">
      <selection activeCell="A110" sqref="A110"/>
    </sheetView>
  </sheetViews>
  <sheetFormatPr baseColWidth="10" defaultColWidth="11.3984375" defaultRowHeight="13"/>
  <cols>
    <col min="1" max="1" width="5.796875" style="2" customWidth="1"/>
    <col min="2" max="2" width="48.796875" style="23" customWidth="1"/>
    <col min="3" max="3" width="12.796875" style="23" customWidth="1"/>
    <col min="4" max="4" width="10.796875" style="23" customWidth="1"/>
    <col min="5" max="5" width="10.796875" style="2" customWidth="1"/>
    <col min="6" max="7" width="10.796875" style="9" customWidth="1"/>
    <col min="8" max="9" width="10.796875" style="2" customWidth="1"/>
    <col min="10" max="10" width="6.19921875" style="2" customWidth="1"/>
    <col min="11" max="16384" width="11.3984375" style="2"/>
  </cols>
  <sheetData>
    <row r="1" spans="1:9" s="1" customFormat="1" ht="14" customHeight="1">
      <c r="B1" s="209"/>
      <c r="C1" s="209"/>
      <c r="D1" s="209"/>
      <c r="F1" s="192"/>
      <c r="G1" s="192"/>
    </row>
    <row r="2" spans="1:9" s="1" customFormat="1" ht="19.5" customHeight="1">
      <c r="A2" s="21" t="s">
        <v>2122</v>
      </c>
      <c r="C2" s="209"/>
      <c r="D2" s="209"/>
      <c r="F2" s="192"/>
      <c r="G2" s="192"/>
      <c r="H2" s="20"/>
      <c r="I2" s="235">
        <v>2004</v>
      </c>
    </row>
    <row r="3" spans="1:9" s="1" customFormat="1" ht="14.25" customHeight="1">
      <c r="B3" s="209"/>
      <c r="C3" s="209"/>
      <c r="D3" s="209"/>
      <c r="F3" s="192"/>
      <c r="G3" s="192"/>
    </row>
    <row r="4" spans="1:9" ht="18" customHeight="1">
      <c r="A4" s="32" t="s">
        <v>2044</v>
      </c>
      <c r="B4" s="32" t="s">
        <v>575</v>
      </c>
      <c r="C4" s="33" t="s">
        <v>525</v>
      </c>
      <c r="D4" s="34" t="s">
        <v>526</v>
      </c>
      <c r="E4" s="35" t="s">
        <v>527</v>
      </c>
      <c r="F4" s="36" t="s">
        <v>528</v>
      </c>
      <c r="G4" s="35" t="s">
        <v>529</v>
      </c>
      <c r="H4" s="36" t="s">
        <v>530</v>
      </c>
      <c r="I4" s="33" t="s">
        <v>530</v>
      </c>
    </row>
    <row r="5" spans="1:9" ht="15" customHeight="1">
      <c r="A5" s="38" t="s">
        <v>2036</v>
      </c>
      <c r="B5" s="38"/>
      <c r="C5" s="39" t="s">
        <v>531</v>
      </c>
      <c r="D5" s="40"/>
      <c r="E5" s="39"/>
      <c r="F5" s="42" t="s">
        <v>532</v>
      </c>
      <c r="G5" s="41" t="s">
        <v>533</v>
      </c>
      <c r="H5" s="42" t="s">
        <v>534</v>
      </c>
      <c r="I5" s="39" t="s">
        <v>535</v>
      </c>
    </row>
    <row r="6" spans="1:9" ht="15" customHeight="1">
      <c r="A6" s="38"/>
      <c r="B6" s="38"/>
      <c r="C6" s="39" t="s">
        <v>536</v>
      </c>
      <c r="D6" s="40"/>
      <c r="E6" s="39"/>
      <c r="F6" s="42" t="s">
        <v>537</v>
      </c>
      <c r="G6" s="41"/>
      <c r="H6" s="42" t="s">
        <v>538</v>
      </c>
      <c r="I6" s="39"/>
    </row>
    <row r="7" spans="1:9" ht="15" customHeight="1">
      <c r="A7" s="38"/>
      <c r="B7" s="38"/>
      <c r="C7" s="39" t="s">
        <v>539</v>
      </c>
      <c r="D7" s="40" t="s">
        <v>540</v>
      </c>
      <c r="E7" s="39" t="s">
        <v>540</v>
      </c>
      <c r="F7" s="40" t="s">
        <v>541</v>
      </c>
      <c r="G7" s="39" t="s">
        <v>540</v>
      </c>
      <c r="H7" s="40" t="s">
        <v>540</v>
      </c>
      <c r="I7" s="39" t="s">
        <v>540</v>
      </c>
    </row>
    <row r="8" spans="1:9" ht="15" customHeight="1">
      <c r="A8" s="38"/>
      <c r="B8" s="38"/>
      <c r="C8" s="39" t="s">
        <v>542</v>
      </c>
      <c r="D8" s="40" t="s">
        <v>543</v>
      </c>
      <c r="E8" s="39" t="s">
        <v>543</v>
      </c>
      <c r="F8" s="40" t="s">
        <v>540</v>
      </c>
      <c r="G8" s="39" t="s">
        <v>543</v>
      </c>
      <c r="H8" s="40" t="s">
        <v>543</v>
      </c>
      <c r="I8" s="39" t="s">
        <v>543</v>
      </c>
    </row>
    <row r="9" spans="1:9" ht="15" customHeight="1">
      <c r="A9" s="38"/>
      <c r="B9" s="38"/>
      <c r="C9" s="39"/>
      <c r="D9" s="40"/>
      <c r="E9" s="39"/>
      <c r="F9" s="40" t="s">
        <v>543</v>
      </c>
      <c r="G9" s="41"/>
      <c r="H9" s="40"/>
      <c r="I9" s="39"/>
    </row>
    <row r="10" spans="1:9" ht="18" customHeight="1">
      <c r="A10" s="46">
        <v>0</v>
      </c>
      <c r="B10" s="46"/>
      <c r="C10" s="47">
        <v>1</v>
      </c>
      <c r="D10" s="48">
        <v>2</v>
      </c>
      <c r="E10" s="47">
        <v>3</v>
      </c>
      <c r="F10" s="50">
        <v>4</v>
      </c>
      <c r="G10" s="49">
        <v>5</v>
      </c>
      <c r="H10" s="48">
        <v>6</v>
      </c>
      <c r="I10" s="47">
        <v>7</v>
      </c>
    </row>
    <row r="11" spans="1:9" ht="15.75" customHeight="1" thickBot="1">
      <c r="A11" s="236">
        <v>8</v>
      </c>
      <c r="B11" s="237" t="s">
        <v>149</v>
      </c>
      <c r="C11" s="238" t="s">
        <v>544</v>
      </c>
      <c r="D11" s="239">
        <v>2023.4359999999999</v>
      </c>
      <c r="E11" s="240">
        <v>1081.94</v>
      </c>
      <c r="F11" s="239">
        <v>108.75911000000001</v>
      </c>
      <c r="G11" s="240">
        <v>852.02147000000002</v>
      </c>
      <c r="H11" s="239">
        <v>2000</v>
      </c>
      <c r="I11" s="241">
        <v>7778.0438899999999</v>
      </c>
    </row>
    <row r="12" spans="1:9" ht="14" thickBot="1">
      <c r="A12" s="242">
        <v>32</v>
      </c>
      <c r="B12" s="243" t="s">
        <v>150</v>
      </c>
      <c r="C12" s="244" t="s">
        <v>544</v>
      </c>
      <c r="D12" s="245">
        <v>2031.8209999999999</v>
      </c>
      <c r="E12" s="246">
        <v>1831.5039999999999</v>
      </c>
      <c r="F12" s="245">
        <v>147.26446999999999</v>
      </c>
      <c r="G12" s="246">
        <v>461.60086999999999</v>
      </c>
      <c r="H12" s="245">
        <v>230</v>
      </c>
      <c r="I12" s="247">
        <v>-673.28373999999997</v>
      </c>
    </row>
    <row r="13" spans="1:9" ht="14" thickBot="1">
      <c r="A13" s="242">
        <v>57</v>
      </c>
      <c r="B13" s="243" t="s">
        <v>152</v>
      </c>
      <c r="C13" s="244" t="s">
        <v>544</v>
      </c>
      <c r="D13" s="245">
        <v>29975.996999999999</v>
      </c>
      <c r="E13" s="246">
        <v>27333.172999999999</v>
      </c>
      <c r="F13" s="245">
        <v>3799.5911299999998</v>
      </c>
      <c r="G13" s="246">
        <v>391.40264000000002</v>
      </c>
      <c r="H13" s="245">
        <v>3980</v>
      </c>
      <c r="I13" s="247">
        <v>21946.122080000001</v>
      </c>
    </row>
    <row r="14" spans="1:9" ht="14" thickBot="1">
      <c r="A14" s="242">
        <v>62</v>
      </c>
      <c r="B14" s="243" t="s">
        <v>153</v>
      </c>
      <c r="C14" s="244" t="s">
        <v>544</v>
      </c>
      <c r="D14" s="245">
        <v>1.345</v>
      </c>
      <c r="E14" s="246">
        <v>4.3499999999999996</v>
      </c>
      <c r="F14" s="245">
        <v>0</v>
      </c>
      <c r="G14" s="246">
        <v>-3.0047999999999999</v>
      </c>
      <c r="H14" s="245">
        <v>0</v>
      </c>
      <c r="I14" s="247">
        <v>60.318350000000002</v>
      </c>
    </row>
    <row r="15" spans="1:9" ht="14" thickBot="1">
      <c r="A15" s="242">
        <v>97</v>
      </c>
      <c r="B15" s="243" t="s">
        <v>154</v>
      </c>
      <c r="C15" s="244" t="s">
        <v>544</v>
      </c>
      <c r="D15" s="245">
        <v>41.387999999999998</v>
      </c>
      <c r="E15" s="246">
        <v>10.189</v>
      </c>
      <c r="F15" s="245">
        <v>10</v>
      </c>
      <c r="G15" s="246">
        <v>-0.60850000000000004</v>
      </c>
      <c r="H15" s="245">
        <v>15</v>
      </c>
      <c r="I15" s="247">
        <v>27.538499999999999</v>
      </c>
    </row>
    <row r="16" spans="1:9" ht="14" thickBot="1">
      <c r="A16" s="242">
        <v>109</v>
      </c>
      <c r="B16" s="243" t="s">
        <v>155</v>
      </c>
      <c r="C16" s="244" t="s">
        <v>544</v>
      </c>
      <c r="D16" s="245">
        <v>5.1929999999999996</v>
      </c>
      <c r="E16" s="246">
        <v>0</v>
      </c>
      <c r="F16" s="245">
        <v>0</v>
      </c>
      <c r="G16" s="246">
        <v>0.51929999999999998</v>
      </c>
      <c r="H16" s="245">
        <v>0</v>
      </c>
      <c r="I16" s="247">
        <v>0</v>
      </c>
    </row>
    <row r="17" spans="1:9" ht="14" thickBot="1">
      <c r="A17" s="242">
        <v>134</v>
      </c>
      <c r="B17" s="243" t="s">
        <v>156</v>
      </c>
      <c r="C17" s="244" t="s">
        <v>544</v>
      </c>
      <c r="D17" s="245">
        <v>113.54900000000001</v>
      </c>
      <c r="E17" s="246">
        <v>78.903000000000006</v>
      </c>
      <c r="F17" s="245">
        <v>14.722899999999999</v>
      </c>
      <c r="G17" s="246">
        <v>20.760850000000001</v>
      </c>
      <c r="H17" s="245">
        <v>100</v>
      </c>
      <c r="I17" s="247">
        <v>400.96690000000001</v>
      </c>
    </row>
    <row r="18" spans="1:9" ht="14" thickBot="1">
      <c r="A18" s="242">
        <v>160</v>
      </c>
      <c r="B18" s="243" t="s">
        <v>249</v>
      </c>
      <c r="C18" s="244" t="s">
        <v>544</v>
      </c>
      <c r="D18" s="245">
        <v>1197.1869999999999</v>
      </c>
      <c r="E18" s="246">
        <v>1055.8140000000001</v>
      </c>
      <c r="F18" s="245">
        <v>185.44786999999999</v>
      </c>
      <c r="G18" s="246">
        <v>180.89953</v>
      </c>
      <c r="H18" s="245">
        <v>90</v>
      </c>
      <c r="I18" s="247">
        <v>837.25446999999997</v>
      </c>
    </row>
    <row r="19" spans="1:9" ht="14" thickBot="1">
      <c r="A19" s="242">
        <v>178</v>
      </c>
      <c r="B19" s="243" t="s">
        <v>250</v>
      </c>
      <c r="C19" s="244" t="s">
        <v>544</v>
      </c>
      <c r="D19" s="245">
        <v>41.716000000000001</v>
      </c>
      <c r="E19" s="246">
        <v>12.243</v>
      </c>
      <c r="F19" s="245">
        <v>3.1583000000000001</v>
      </c>
      <c r="G19" s="246">
        <v>27.868099999999998</v>
      </c>
      <c r="H19" s="245">
        <v>0</v>
      </c>
      <c r="I19" s="247">
        <v>139.11385000000001</v>
      </c>
    </row>
    <row r="20" spans="1:9" ht="14" thickBot="1">
      <c r="A20" s="242">
        <v>182</v>
      </c>
      <c r="B20" s="243" t="s">
        <v>251</v>
      </c>
      <c r="C20" s="244" t="s">
        <v>544</v>
      </c>
      <c r="D20" s="245">
        <v>5.0570000000000004</v>
      </c>
      <c r="E20" s="246">
        <v>3.23</v>
      </c>
      <c r="F20" s="245">
        <v>5.4721900000000003</v>
      </c>
      <c r="G20" s="246">
        <v>1.4412799999999999</v>
      </c>
      <c r="H20" s="245">
        <v>0</v>
      </c>
      <c r="I20" s="247">
        <v>351.32906000000003</v>
      </c>
    </row>
    <row r="21" spans="1:9" ht="14" thickBot="1">
      <c r="A21" s="242">
        <v>194</v>
      </c>
      <c r="B21" s="243" t="s">
        <v>252</v>
      </c>
      <c r="C21" s="244" t="s">
        <v>544</v>
      </c>
      <c r="D21" s="245">
        <v>1069.173</v>
      </c>
      <c r="E21" s="246">
        <v>697.15</v>
      </c>
      <c r="F21" s="245">
        <v>126.51997</v>
      </c>
      <c r="G21" s="246">
        <v>145.14950999999999</v>
      </c>
      <c r="H21" s="245">
        <v>450</v>
      </c>
      <c r="I21" s="247">
        <v>1176.1807100000001</v>
      </c>
    </row>
    <row r="22" spans="1:9" ht="14" thickBot="1">
      <c r="A22" s="242">
        <v>216</v>
      </c>
      <c r="B22" s="243" t="s">
        <v>253</v>
      </c>
      <c r="C22" s="244" t="s">
        <v>544</v>
      </c>
      <c r="D22" s="245">
        <v>113.30200000000001</v>
      </c>
      <c r="E22" s="246">
        <v>78.215999999999994</v>
      </c>
      <c r="F22" s="245">
        <v>14.802070000000001</v>
      </c>
      <c r="G22" s="246">
        <v>22.057200000000002</v>
      </c>
      <c r="H22" s="245">
        <v>28</v>
      </c>
      <c r="I22" s="247">
        <v>135.32209</v>
      </c>
    </row>
    <row r="23" spans="1:9" ht="14" thickBot="1">
      <c r="A23" s="242">
        <v>240</v>
      </c>
      <c r="B23" s="243" t="s">
        <v>254</v>
      </c>
      <c r="C23" s="244" t="s">
        <v>544</v>
      </c>
      <c r="D23" s="245">
        <v>44.703000000000003</v>
      </c>
      <c r="E23" s="246">
        <v>46.871000000000002</v>
      </c>
      <c r="F23" s="245">
        <v>8.9405000000000001</v>
      </c>
      <c r="G23" s="246">
        <v>-2.2725</v>
      </c>
      <c r="H23" s="245">
        <v>15</v>
      </c>
      <c r="I23" s="247">
        <v>46.724870000000003</v>
      </c>
    </row>
    <row r="24" spans="1:9" ht="14" thickBot="1">
      <c r="A24" s="242">
        <v>246</v>
      </c>
      <c r="B24" s="243" t="s">
        <v>255</v>
      </c>
      <c r="C24" s="244" t="s">
        <v>544</v>
      </c>
      <c r="D24" s="245">
        <v>47.722000000000001</v>
      </c>
      <c r="E24" s="246">
        <v>13.337999999999999</v>
      </c>
      <c r="F24" s="245">
        <v>17.275649999999999</v>
      </c>
      <c r="G24" s="246">
        <v>13.25375</v>
      </c>
      <c r="H24" s="245">
        <v>23</v>
      </c>
      <c r="I24" s="247">
        <v>257.37954999999999</v>
      </c>
    </row>
    <row r="25" spans="1:9" ht="14" thickBot="1">
      <c r="A25" s="242">
        <v>261</v>
      </c>
      <c r="B25" s="243" t="s">
        <v>256</v>
      </c>
      <c r="C25" s="244" t="s">
        <v>544</v>
      </c>
      <c r="D25" s="245">
        <v>731.57799999999997</v>
      </c>
      <c r="E25" s="246">
        <v>430.10700000000003</v>
      </c>
      <c r="F25" s="245">
        <v>108.2745</v>
      </c>
      <c r="G25" s="246">
        <v>189.72805</v>
      </c>
      <c r="H25" s="245">
        <v>300</v>
      </c>
      <c r="I25" s="247">
        <v>564.58770000000004</v>
      </c>
    </row>
    <row r="26" spans="1:9" ht="14" thickBot="1">
      <c r="A26" s="242">
        <v>263</v>
      </c>
      <c r="B26" s="243" t="s">
        <v>257</v>
      </c>
      <c r="C26" s="244" t="s">
        <v>544</v>
      </c>
      <c r="D26" s="245">
        <v>13333.808000000001</v>
      </c>
      <c r="E26" s="246">
        <v>9114.0609999999997</v>
      </c>
      <c r="F26" s="245">
        <v>2343.8238099999999</v>
      </c>
      <c r="G26" s="246">
        <v>2809.6317199999999</v>
      </c>
      <c r="H26" s="245">
        <v>1750</v>
      </c>
      <c r="I26" s="247">
        <v>8933.0199499999999</v>
      </c>
    </row>
    <row r="27" spans="1:9" ht="14" thickBot="1">
      <c r="A27" s="242">
        <v>290</v>
      </c>
      <c r="B27" s="243" t="s">
        <v>258</v>
      </c>
      <c r="C27" s="244" t="s">
        <v>544</v>
      </c>
      <c r="D27" s="245">
        <v>14476.275</v>
      </c>
      <c r="E27" s="246">
        <v>12531.129000000001</v>
      </c>
      <c r="F27" s="245">
        <v>2174.6886100000002</v>
      </c>
      <c r="G27" s="246">
        <v>-165.16065</v>
      </c>
      <c r="H27" s="245">
        <v>1836.03475</v>
      </c>
      <c r="I27" s="247">
        <v>2174.49586</v>
      </c>
    </row>
    <row r="28" spans="1:9" ht="14" thickBot="1">
      <c r="A28" s="242">
        <v>294</v>
      </c>
      <c r="B28" s="243" t="s">
        <v>259</v>
      </c>
      <c r="C28" s="244" t="s">
        <v>544</v>
      </c>
      <c r="D28" s="245">
        <v>72.266999999999996</v>
      </c>
      <c r="E28" s="246">
        <v>17.768999999999998</v>
      </c>
      <c r="F28" s="245">
        <v>13.12</v>
      </c>
      <c r="G28" s="246">
        <v>34.010449999999999</v>
      </c>
      <c r="H28" s="245">
        <v>51</v>
      </c>
      <c r="I28" s="247">
        <v>120.6621</v>
      </c>
    </row>
    <row r="29" spans="1:9" ht="14" thickBot="1">
      <c r="A29" s="242">
        <v>312</v>
      </c>
      <c r="B29" s="243" t="s">
        <v>260</v>
      </c>
      <c r="C29" s="244" t="s">
        <v>544</v>
      </c>
      <c r="D29" s="245">
        <v>784.63199999999995</v>
      </c>
      <c r="E29" s="246">
        <v>672.91800000000001</v>
      </c>
      <c r="F29" s="245">
        <v>30.4358</v>
      </c>
      <c r="G29" s="246">
        <v>85.352339999999998</v>
      </c>
      <c r="H29" s="245">
        <v>222</v>
      </c>
      <c r="I29" s="247">
        <v>2285.4388399999998</v>
      </c>
    </row>
    <row r="30" spans="1:9" ht="14" thickBot="1">
      <c r="A30" s="242">
        <v>343</v>
      </c>
      <c r="B30" s="243" t="s">
        <v>261</v>
      </c>
      <c r="C30" s="244" t="s">
        <v>544</v>
      </c>
      <c r="D30" s="245">
        <v>1996.394</v>
      </c>
      <c r="E30" s="246">
        <v>1797.5619999999999</v>
      </c>
      <c r="F30" s="245">
        <v>321.12754000000001</v>
      </c>
      <c r="G30" s="246">
        <v>289.69443999999902</v>
      </c>
      <c r="H30" s="245">
        <v>225</v>
      </c>
      <c r="I30" s="247">
        <v>5613.5192500000003</v>
      </c>
    </row>
    <row r="31" spans="1:9" ht="14" thickBot="1">
      <c r="A31" s="242">
        <v>360</v>
      </c>
      <c r="B31" s="243" t="s">
        <v>262</v>
      </c>
      <c r="C31" s="244" t="s">
        <v>544</v>
      </c>
      <c r="D31" s="245">
        <v>796.42399999999998</v>
      </c>
      <c r="E31" s="246">
        <v>650.81600000000003</v>
      </c>
      <c r="F31" s="245">
        <v>32.243400000000001</v>
      </c>
      <c r="G31" s="246">
        <v>100.254</v>
      </c>
      <c r="H31" s="245">
        <v>283.55430000000001</v>
      </c>
      <c r="I31" s="247">
        <v>1191.6339499999999</v>
      </c>
    </row>
    <row r="32" spans="1:9" ht="14" thickBot="1">
      <c r="A32" s="242">
        <v>376</v>
      </c>
      <c r="B32" s="243" t="s">
        <v>263</v>
      </c>
      <c r="C32" s="244" t="s">
        <v>544</v>
      </c>
      <c r="D32" s="245">
        <v>1485.5160000000001</v>
      </c>
      <c r="E32" s="246">
        <v>890.57</v>
      </c>
      <c r="F32" s="245">
        <v>76.120459999999994</v>
      </c>
      <c r="G32" s="246">
        <v>1029.51647</v>
      </c>
      <c r="H32" s="245">
        <v>249.36</v>
      </c>
      <c r="I32" s="247">
        <v>2869.9984800000002</v>
      </c>
    </row>
    <row r="33" spans="1:9" ht="14" thickBot="1">
      <c r="A33" s="242">
        <v>411</v>
      </c>
      <c r="B33" s="243" t="s">
        <v>264</v>
      </c>
      <c r="C33" s="244" t="s">
        <v>544</v>
      </c>
      <c r="D33" s="245">
        <v>5908.4790000000003</v>
      </c>
      <c r="E33" s="246">
        <v>5435.6180000000004</v>
      </c>
      <c r="F33" s="245">
        <v>461.78264000000001</v>
      </c>
      <c r="G33" s="246">
        <v>40.569919999999897</v>
      </c>
      <c r="H33" s="245">
        <v>1154.3114700000001</v>
      </c>
      <c r="I33" s="247">
        <v>1994.1204</v>
      </c>
    </row>
    <row r="34" spans="1:9" ht="14" thickBot="1">
      <c r="A34" s="242">
        <v>445</v>
      </c>
      <c r="B34" s="243" t="s">
        <v>265</v>
      </c>
      <c r="C34" s="244" t="s">
        <v>544</v>
      </c>
      <c r="D34" s="245">
        <v>2638.9229999999998</v>
      </c>
      <c r="E34" s="246">
        <v>2899.2979999999998</v>
      </c>
      <c r="F34" s="245">
        <v>363.36410000000001</v>
      </c>
      <c r="G34" s="246">
        <v>-163.13463999999999</v>
      </c>
      <c r="H34" s="245">
        <v>200</v>
      </c>
      <c r="I34" s="247">
        <v>-299.14812999999998</v>
      </c>
    </row>
    <row r="35" spans="1:9" ht="14" thickBot="1">
      <c r="A35" s="242">
        <v>455</v>
      </c>
      <c r="B35" s="243" t="s">
        <v>266</v>
      </c>
      <c r="C35" s="244" t="s">
        <v>544</v>
      </c>
      <c r="D35" s="245">
        <v>6236.915</v>
      </c>
      <c r="E35" s="246">
        <v>5395.0259999999998</v>
      </c>
      <c r="F35" s="245">
        <v>518.06894999999997</v>
      </c>
      <c r="G35" s="246">
        <v>636.95010000000002</v>
      </c>
      <c r="H35" s="245">
        <v>1500</v>
      </c>
      <c r="I35" s="247">
        <v>7135.0045600000003</v>
      </c>
    </row>
    <row r="36" spans="1:9" ht="14" thickBot="1">
      <c r="A36" s="242">
        <v>484</v>
      </c>
      <c r="B36" s="243" t="s">
        <v>267</v>
      </c>
      <c r="C36" s="244" t="s">
        <v>544</v>
      </c>
      <c r="D36" s="245">
        <v>9.2159999999999993</v>
      </c>
      <c r="E36" s="246">
        <v>10.093999999999999</v>
      </c>
      <c r="F36" s="245">
        <v>0.79290000000000005</v>
      </c>
      <c r="G36" s="246">
        <v>12.555630000000001</v>
      </c>
      <c r="H36" s="245">
        <v>20</v>
      </c>
      <c r="I36" s="247">
        <v>281.95762999999999</v>
      </c>
    </row>
    <row r="37" spans="1:9" ht="14" thickBot="1">
      <c r="A37" s="242">
        <v>509</v>
      </c>
      <c r="B37" s="243" t="s">
        <v>268</v>
      </c>
      <c r="C37" s="244" t="s">
        <v>544</v>
      </c>
      <c r="D37" s="245">
        <v>-62.667999999999999</v>
      </c>
      <c r="E37" s="246">
        <v>40.103999999999999</v>
      </c>
      <c r="F37" s="245">
        <v>199.99100999999999</v>
      </c>
      <c r="G37" s="246">
        <v>-111.84126999999999</v>
      </c>
      <c r="H37" s="245">
        <v>2000</v>
      </c>
      <c r="I37" s="247">
        <v>3204.5308</v>
      </c>
    </row>
    <row r="38" spans="1:9" ht="14" thickBot="1">
      <c r="A38" s="242">
        <v>556</v>
      </c>
      <c r="B38" s="243" t="s">
        <v>269</v>
      </c>
      <c r="C38" s="244" t="s">
        <v>544</v>
      </c>
      <c r="D38" s="245">
        <v>359.10399999999998</v>
      </c>
      <c r="E38" s="246">
        <v>303.54899999999998</v>
      </c>
      <c r="F38" s="245">
        <v>64.638670000000005</v>
      </c>
      <c r="G38" s="246">
        <v>-4.5825800000000001</v>
      </c>
      <c r="H38" s="245">
        <v>67</v>
      </c>
      <c r="I38" s="247">
        <v>853.9461</v>
      </c>
    </row>
    <row r="39" spans="1:9" ht="14" thickBot="1">
      <c r="A39" s="242">
        <v>558</v>
      </c>
      <c r="B39" s="243" t="s">
        <v>270</v>
      </c>
      <c r="C39" s="244" t="s">
        <v>544</v>
      </c>
      <c r="D39" s="245">
        <v>13.105</v>
      </c>
      <c r="E39" s="246">
        <v>2.4340000000000002</v>
      </c>
      <c r="F39" s="245">
        <v>0.64348000000000005</v>
      </c>
      <c r="G39" s="246">
        <v>10.979419999999999</v>
      </c>
      <c r="H39" s="245">
        <v>24.6</v>
      </c>
      <c r="I39" s="247">
        <v>106.08078999999999</v>
      </c>
    </row>
    <row r="40" spans="1:9" ht="14" thickBot="1">
      <c r="A40" s="242">
        <v>591</v>
      </c>
      <c r="B40" s="243" t="s">
        <v>271</v>
      </c>
      <c r="C40" s="244" t="s">
        <v>544</v>
      </c>
      <c r="D40" s="245">
        <v>1127.511</v>
      </c>
      <c r="E40" s="246">
        <v>773.90499999999997</v>
      </c>
      <c r="F40" s="245">
        <v>27.356999999999999</v>
      </c>
      <c r="G40" s="246">
        <v>131.70400000000001</v>
      </c>
      <c r="H40" s="245">
        <v>290</v>
      </c>
      <c r="I40" s="247">
        <v>469.95415000000003</v>
      </c>
    </row>
    <row r="41" spans="1:9" ht="14" thickBot="1">
      <c r="A41" s="242">
        <v>623</v>
      </c>
      <c r="B41" s="243" t="s">
        <v>272</v>
      </c>
      <c r="C41" s="244" t="s">
        <v>544</v>
      </c>
      <c r="D41" s="245">
        <v>40.314</v>
      </c>
      <c r="E41" s="246">
        <v>1.86</v>
      </c>
      <c r="F41" s="245">
        <v>1.224</v>
      </c>
      <c r="G41" s="246">
        <v>2.6749499999999999</v>
      </c>
      <c r="H41" s="245">
        <v>46</v>
      </c>
      <c r="I41" s="247">
        <v>50.607250000000001</v>
      </c>
    </row>
    <row r="42" spans="1:9" ht="14" thickBot="1">
      <c r="A42" s="242">
        <v>627</v>
      </c>
      <c r="B42" s="243" t="s">
        <v>273</v>
      </c>
      <c r="C42" s="244" t="s">
        <v>544</v>
      </c>
      <c r="D42" s="245">
        <v>86.927000000000007</v>
      </c>
      <c r="E42" s="246">
        <v>153.98400000000001</v>
      </c>
      <c r="F42" s="245">
        <v>4.3648999999999996</v>
      </c>
      <c r="G42" s="246">
        <v>-63.05865</v>
      </c>
      <c r="H42" s="245">
        <v>10</v>
      </c>
      <c r="I42" s="247">
        <v>-16.059000000000001</v>
      </c>
    </row>
    <row r="43" spans="1:9" ht="14" thickBot="1">
      <c r="A43" s="242">
        <v>749</v>
      </c>
      <c r="B43" s="243" t="s">
        <v>274</v>
      </c>
      <c r="C43" s="244" t="s">
        <v>544</v>
      </c>
      <c r="D43" s="245">
        <v>5810.3609999999999</v>
      </c>
      <c r="E43" s="246">
        <v>4125.68</v>
      </c>
      <c r="F43" s="245">
        <v>968.92799000000002</v>
      </c>
      <c r="G43" s="246">
        <v>1074.32141</v>
      </c>
      <c r="H43" s="245">
        <v>900</v>
      </c>
      <c r="I43" s="247">
        <v>-1021.06092</v>
      </c>
    </row>
    <row r="44" spans="1:9" ht="14" thickBot="1">
      <c r="A44" s="242">
        <v>758</v>
      </c>
      <c r="B44" s="243" t="s">
        <v>275</v>
      </c>
      <c r="C44" s="244" t="s">
        <v>544</v>
      </c>
      <c r="D44" s="245">
        <v>29.105</v>
      </c>
      <c r="E44" s="246">
        <v>0.40300000000000002</v>
      </c>
      <c r="F44" s="245">
        <v>3.0987</v>
      </c>
      <c r="G44" s="246">
        <v>5.95045</v>
      </c>
      <c r="H44" s="245">
        <v>20</v>
      </c>
      <c r="I44" s="247">
        <v>80.730620000000002</v>
      </c>
    </row>
    <row r="45" spans="1:9" ht="14" thickBot="1">
      <c r="A45" s="242">
        <v>762</v>
      </c>
      <c r="B45" s="243" t="s">
        <v>276</v>
      </c>
      <c r="C45" s="244" t="s">
        <v>544</v>
      </c>
      <c r="D45" s="245">
        <v>513.57899999999995</v>
      </c>
      <c r="E45" s="246">
        <v>243.00399999999999</v>
      </c>
      <c r="F45" s="245">
        <v>78.414619999999999</v>
      </c>
      <c r="G45" s="246">
        <v>190.470449999999</v>
      </c>
      <c r="H45" s="245">
        <v>250</v>
      </c>
      <c r="I45" s="247">
        <v>992.97452999999996</v>
      </c>
    </row>
    <row r="46" spans="1:9" ht="14" thickBot="1">
      <c r="A46" s="242">
        <v>774</v>
      </c>
      <c r="B46" s="243" t="s">
        <v>277</v>
      </c>
      <c r="C46" s="244" t="s">
        <v>544</v>
      </c>
      <c r="D46" s="245">
        <v>697.33399999999995</v>
      </c>
      <c r="E46" s="246">
        <v>598.40300000000002</v>
      </c>
      <c r="F46" s="245">
        <v>94.277240000000006</v>
      </c>
      <c r="G46" s="246">
        <v>193.07472999999999</v>
      </c>
      <c r="H46" s="245">
        <v>100</v>
      </c>
      <c r="I46" s="247">
        <v>267.33974000000001</v>
      </c>
    </row>
    <row r="47" spans="1:9" ht="14" thickBot="1">
      <c r="A47" s="242">
        <v>780</v>
      </c>
      <c r="B47" s="243" t="s">
        <v>278</v>
      </c>
      <c r="C47" s="244" t="s">
        <v>544</v>
      </c>
      <c r="D47" s="245">
        <v>157.24799999999999</v>
      </c>
      <c r="E47" s="246">
        <v>73.847999999999999</v>
      </c>
      <c r="F47" s="245">
        <v>73.268550000000005</v>
      </c>
      <c r="G47" s="246">
        <v>0</v>
      </c>
      <c r="H47" s="245">
        <v>18</v>
      </c>
      <c r="I47" s="247">
        <v>200.05725000000001</v>
      </c>
    </row>
    <row r="48" spans="1:9" ht="14" thickBot="1">
      <c r="A48" s="242">
        <v>790</v>
      </c>
      <c r="B48" s="243" t="s">
        <v>279</v>
      </c>
      <c r="C48" s="244" t="s">
        <v>544</v>
      </c>
      <c r="D48" s="245">
        <v>64.230999999999995</v>
      </c>
      <c r="E48" s="246">
        <v>31.797999999999998</v>
      </c>
      <c r="F48" s="245">
        <v>9.06</v>
      </c>
      <c r="G48" s="246">
        <v>0.32625999999999999</v>
      </c>
      <c r="H48" s="245">
        <v>19.90765</v>
      </c>
      <c r="I48" s="247">
        <v>48.640009999999997</v>
      </c>
    </row>
    <row r="49" spans="1:9" ht="14" thickBot="1">
      <c r="A49" s="242">
        <v>820</v>
      </c>
      <c r="B49" s="243" t="s">
        <v>280</v>
      </c>
      <c r="C49" s="244" t="s">
        <v>544</v>
      </c>
      <c r="D49" s="245">
        <v>343.01499999999999</v>
      </c>
      <c r="E49" s="246">
        <v>280.41199999999998</v>
      </c>
      <c r="F49" s="245">
        <v>10</v>
      </c>
      <c r="G49" s="246">
        <v>-60.849449999999997</v>
      </c>
      <c r="H49" s="245">
        <v>100</v>
      </c>
      <c r="I49" s="247">
        <v>-9.6599000000000004</v>
      </c>
    </row>
    <row r="50" spans="1:9" ht="14" thickBot="1">
      <c r="A50" s="242">
        <v>829</v>
      </c>
      <c r="B50" s="243" t="s">
        <v>281</v>
      </c>
      <c r="C50" s="244" t="s">
        <v>544</v>
      </c>
      <c r="D50" s="245">
        <v>1919.4749999999999</v>
      </c>
      <c r="E50" s="246">
        <v>1058.8779999999999</v>
      </c>
      <c r="F50" s="245">
        <v>255.76054999999999</v>
      </c>
      <c r="G50" s="246">
        <v>524.00040000000001</v>
      </c>
      <c r="H50" s="245">
        <v>390</v>
      </c>
      <c r="I50" s="247">
        <v>1000</v>
      </c>
    </row>
    <row r="51" spans="1:9" ht="14" thickBot="1">
      <c r="A51" s="242">
        <v>881</v>
      </c>
      <c r="B51" s="243" t="s">
        <v>282</v>
      </c>
      <c r="C51" s="244" t="s">
        <v>544</v>
      </c>
      <c r="D51" s="245">
        <v>1166.68</v>
      </c>
      <c r="E51" s="246">
        <v>646.99</v>
      </c>
      <c r="F51" s="245">
        <v>172.09923000000001</v>
      </c>
      <c r="G51" s="246">
        <v>455.4744</v>
      </c>
      <c r="H51" s="245">
        <v>161.66445999999999</v>
      </c>
      <c r="I51" s="247">
        <v>2907.6936599999999</v>
      </c>
    </row>
    <row r="52" spans="1:9" ht="14" thickBot="1">
      <c r="A52" s="242">
        <v>895</v>
      </c>
      <c r="B52" s="243" t="s">
        <v>283</v>
      </c>
      <c r="C52" s="244" t="s">
        <v>544</v>
      </c>
      <c r="D52" s="245">
        <v>6.43</v>
      </c>
      <c r="E52" s="246">
        <v>0</v>
      </c>
      <c r="F52" s="245">
        <v>0</v>
      </c>
      <c r="G52" s="246">
        <v>1.4813000000000001</v>
      </c>
      <c r="H52" s="245">
        <v>0</v>
      </c>
      <c r="I52" s="247">
        <v>31</v>
      </c>
    </row>
    <row r="53" spans="1:9" ht="14" thickBot="1">
      <c r="A53" s="242">
        <v>901</v>
      </c>
      <c r="B53" s="243" t="s">
        <v>284</v>
      </c>
      <c r="C53" s="244" t="s">
        <v>544</v>
      </c>
      <c r="D53" s="245">
        <v>289.11799999999999</v>
      </c>
      <c r="E53" s="246">
        <v>255.69399999999999</v>
      </c>
      <c r="F53" s="245">
        <v>8.6735500000000005</v>
      </c>
      <c r="G53" s="246">
        <v>19.60305</v>
      </c>
      <c r="H53" s="245">
        <v>30</v>
      </c>
      <c r="I53" s="247">
        <v>304.14600000000002</v>
      </c>
    </row>
    <row r="54" spans="1:9" ht="14" thickBot="1">
      <c r="A54" s="242">
        <v>923</v>
      </c>
      <c r="B54" s="243" t="s">
        <v>285</v>
      </c>
      <c r="C54" s="244" t="s">
        <v>544</v>
      </c>
      <c r="D54" s="245">
        <v>274.786</v>
      </c>
      <c r="E54" s="246">
        <v>29.184999999999999</v>
      </c>
      <c r="F54" s="245">
        <v>2.16011</v>
      </c>
      <c r="G54" s="246">
        <v>239.73088000000001</v>
      </c>
      <c r="H54" s="245">
        <v>30</v>
      </c>
      <c r="I54" s="247">
        <v>3295.5995499999999</v>
      </c>
    </row>
    <row r="55" spans="1:9">
      <c r="A55" s="248">
        <v>941</v>
      </c>
      <c r="B55" s="249" t="s">
        <v>2153</v>
      </c>
      <c r="C55" s="250" t="s">
        <v>544</v>
      </c>
      <c r="D55" s="251">
        <v>1708.0050000000001</v>
      </c>
      <c r="E55" s="252">
        <v>1299.4079999999999</v>
      </c>
      <c r="F55" s="251">
        <v>200.79130000000001</v>
      </c>
      <c r="G55" s="252">
        <v>171.2064</v>
      </c>
      <c r="H55" s="251">
        <v>383.23079999999999</v>
      </c>
      <c r="I55" s="253">
        <v>1634.8554999999999</v>
      </c>
    </row>
    <row r="56" spans="1:9" ht="14" thickBot="1">
      <c r="A56" s="52">
        <v>966</v>
      </c>
      <c r="B56" s="254" t="s">
        <v>286</v>
      </c>
      <c r="C56" s="238" t="s">
        <v>544</v>
      </c>
      <c r="D56" s="255">
        <v>871.50900000000001</v>
      </c>
      <c r="E56" s="256">
        <v>797.56399999999996</v>
      </c>
      <c r="F56" s="255">
        <v>104.9726</v>
      </c>
      <c r="G56" s="256">
        <v>3.7033</v>
      </c>
      <c r="H56" s="255">
        <v>320</v>
      </c>
      <c r="I56" s="257">
        <v>777.98269000000005</v>
      </c>
    </row>
    <row r="57" spans="1:9" ht="14" thickBot="1">
      <c r="A57" s="242">
        <v>979</v>
      </c>
      <c r="B57" s="243" t="s">
        <v>287</v>
      </c>
      <c r="C57" s="244" t="s">
        <v>544</v>
      </c>
      <c r="D57" s="245">
        <v>12.263</v>
      </c>
      <c r="E57" s="246">
        <v>0.96</v>
      </c>
      <c r="F57" s="245">
        <v>3.9733000000000001</v>
      </c>
      <c r="G57" s="246">
        <v>0</v>
      </c>
      <c r="H57" s="245">
        <v>8.0176800000000004</v>
      </c>
      <c r="I57" s="247">
        <v>43.762149999999998</v>
      </c>
    </row>
    <row r="58" spans="1:9" ht="14" thickBot="1">
      <c r="A58" s="242">
        <v>992</v>
      </c>
      <c r="B58" s="243" t="s">
        <v>288</v>
      </c>
      <c r="C58" s="244" t="s">
        <v>544</v>
      </c>
      <c r="D58" s="245">
        <v>313.69499999999999</v>
      </c>
      <c r="E58" s="246">
        <v>226.29400000000001</v>
      </c>
      <c r="F58" s="245">
        <v>59.506169999999997</v>
      </c>
      <c r="G58" s="246">
        <v>68.997230000000002</v>
      </c>
      <c r="H58" s="245">
        <v>30</v>
      </c>
      <c r="I58" s="247">
        <v>562.73140999999998</v>
      </c>
    </row>
    <row r="59" spans="1:9" ht="14" thickBot="1">
      <c r="A59" s="242">
        <v>994</v>
      </c>
      <c r="B59" s="243" t="s">
        <v>289</v>
      </c>
      <c r="C59" s="244" t="s">
        <v>544</v>
      </c>
      <c r="D59" s="245">
        <v>797.75699999999995</v>
      </c>
      <c r="E59" s="246">
        <v>314.452</v>
      </c>
      <c r="F59" s="245">
        <v>91.549419999999998</v>
      </c>
      <c r="G59" s="246">
        <v>135.9949</v>
      </c>
      <c r="H59" s="245">
        <v>245</v>
      </c>
      <c r="I59" s="247">
        <v>970.50594000000001</v>
      </c>
    </row>
    <row r="60" spans="1:9" ht="14" thickBot="1">
      <c r="A60" s="242">
        <v>1003</v>
      </c>
      <c r="B60" s="243" t="s">
        <v>290</v>
      </c>
      <c r="C60" s="244" t="s">
        <v>544</v>
      </c>
      <c r="D60" s="245">
        <v>0.52100000000000002</v>
      </c>
      <c r="E60" s="246">
        <v>0</v>
      </c>
      <c r="F60" s="245">
        <v>0.02</v>
      </c>
      <c r="G60" s="246">
        <v>4.0500000000000001E-2</v>
      </c>
      <c r="H60" s="245">
        <v>20</v>
      </c>
      <c r="I60" s="247">
        <v>5.5371199999999998</v>
      </c>
    </row>
    <row r="61" spans="1:9" ht="14" thickBot="1">
      <c r="A61" s="242">
        <v>1007</v>
      </c>
      <c r="B61" s="243" t="s">
        <v>291</v>
      </c>
      <c r="C61" s="244" t="s">
        <v>544</v>
      </c>
      <c r="D61" s="245">
        <v>596.11599999999999</v>
      </c>
      <c r="E61" s="246">
        <v>299.23899999999998</v>
      </c>
      <c r="F61" s="245">
        <v>89.515510000000006</v>
      </c>
      <c r="G61" s="246">
        <v>234.43389999999999</v>
      </c>
      <c r="H61" s="245">
        <v>70</v>
      </c>
      <c r="I61" s="247">
        <v>703.89008000000001</v>
      </c>
    </row>
    <row r="62" spans="1:9" ht="14" thickBot="1">
      <c r="A62" s="242">
        <v>1040</v>
      </c>
      <c r="B62" s="243" t="s">
        <v>292</v>
      </c>
      <c r="C62" s="244" t="s">
        <v>544</v>
      </c>
      <c r="D62" s="245">
        <v>156.29300000000001</v>
      </c>
      <c r="E62" s="246">
        <v>129.172</v>
      </c>
      <c r="F62" s="245">
        <v>9.7705000000000002</v>
      </c>
      <c r="G62" s="246">
        <v>54.02075</v>
      </c>
      <c r="H62" s="245">
        <v>15.1349</v>
      </c>
      <c r="I62" s="247">
        <v>508.54813000000001</v>
      </c>
    </row>
    <row r="63" spans="1:9" ht="14" thickBot="1">
      <c r="A63" s="242">
        <v>1060</v>
      </c>
      <c r="B63" s="243" t="s">
        <v>605</v>
      </c>
      <c r="C63" s="244" t="s">
        <v>544</v>
      </c>
      <c r="D63" s="245">
        <v>9340.9079999999994</v>
      </c>
      <c r="E63" s="246">
        <v>8005.17</v>
      </c>
      <c r="F63" s="245">
        <v>2427.1208299999998</v>
      </c>
      <c r="G63" s="246">
        <v>1453.9892299999999</v>
      </c>
      <c r="H63" s="245">
        <v>2000</v>
      </c>
      <c r="I63" s="247">
        <v>6555.8058499999997</v>
      </c>
    </row>
    <row r="64" spans="1:9" ht="14" thickBot="1">
      <c r="A64" s="242">
        <v>1079</v>
      </c>
      <c r="B64" s="243" t="s">
        <v>606</v>
      </c>
      <c r="C64" s="244" t="s">
        <v>544</v>
      </c>
      <c r="D64" s="245">
        <v>34.366999999999997</v>
      </c>
      <c r="E64" s="246">
        <v>1.2370000000000001</v>
      </c>
      <c r="F64" s="245">
        <v>5.5164499999999999</v>
      </c>
      <c r="G64" s="246">
        <v>27.20374</v>
      </c>
      <c r="H64" s="245">
        <v>5</v>
      </c>
      <c r="I64" s="247">
        <v>22.389189999999999</v>
      </c>
    </row>
    <row r="65" spans="1:9" ht="14" thickBot="1">
      <c r="A65" s="242">
        <v>1097</v>
      </c>
      <c r="B65" s="243" t="s">
        <v>607</v>
      </c>
      <c r="C65" s="244" t="s">
        <v>544</v>
      </c>
      <c r="D65" s="245">
        <v>87.093000000000004</v>
      </c>
      <c r="E65" s="246">
        <v>33.130000000000003</v>
      </c>
      <c r="F65" s="245">
        <v>12.598050000000001</v>
      </c>
      <c r="G65" s="246">
        <v>48.248840000000001</v>
      </c>
      <c r="H65" s="245">
        <v>15</v>
      </c>
      <c r="I65" s="247">
        <v>176.72592</v>
      </c>
    </row>
    <row r="66" spans="1:9" ht="14" thickBot="1">
      <c r="A66" s="242">
        <v>1142</v>
      </c>
      <c r="B66" s="243" t="s">
        <v>609</v>
      </c>
      <c r="C66" s="244" t="s">
        <v>544</v>
      </c>
      <c r="D66" s="245">
        <v>1E-3</v>
      </c>
      <c r="E66" s="246">
        <v>1E-3</v>
      </c>
      <c r="F66" s="245">
        <v>0</v>
      </c>
      <c r="G66" s="246">
        <v>0</v>
      </c>
      <c r="H66" s="245">
        <v>0</v>
      </c>
      <c r="I66" s="247">
        <v>0</v>
      </c>
    </row>
    <row r="67" spans="1:9" ht="14" thickBot="1">
      <c r="A67" s="242">
        <v>1147</v>
      </c>
      <c r="B67" s="243" t="s">
        <v>610</v>
      </c>
      <c r="C67" s="244" t="s">
        <v>544</v>
      </c>
      <c r="D67" s="245">
        <v>16.134</v>
      </c>
      <c r="E67" s="246">
        <v>11.834</v>
      </c>
      <c r="F67" s="245">
        <v>1</v>
      </c>
      <c r="G67" s="246">
        <v>9.6054499999999994</v>
      </c>
      <c r="H67" s="245">
        <v>31</v>
      </c>
      <c r="I67" s="247">
        <v>117.3781</v>
      </c>
    </row>
    <row r="68" spans="1:9" ht="14" thickBot="1">
      <c r="A68" s="242">
        <v>1179</v>
      </c>
      <c r="B68" s="243" t="s">
        <v>643</v>
      </c>
      <c r="C68" s="244" t="s">
        <v>151</v>
      </c>
      <c r="D68" s="245">
        <v>2729.4920000000002</v>
      </c>
      <c r="E68" s="246">
        <v>2232.9569999999999</v>
      </c>
      <c r="F68" s="245">
        <v>120.53215</v>
      </c>
      <c r="G68" s="246">
        <v>437.83987000000002</v>
      </c>
      <c r="H68" s="245">
        <v>250</v>
      </c>
      <c r="I68" s="247">
        <v>1607.4586200000001</v>
      </c>
    </row>
    <row r="69" spans="1:9" ht="14" thickBot="1">
      <c r="A69" s="242">
        <v>1215</v>
      </c>
      <c r="B69" s="243" t="s">
        <v>612</v>
      </c>
      <c r="C69" s="244" t="s">
        <v>544</v>
      </c>
      <c r="D69" s="245">
        <v>93.900999999999996</v>
      </c>
      <c r="E69" s="246">
        <v>31.672000000000001</v>
      </c>
      <c r="F69" s="245">
        <v>13.008100000000001</v>
      </c>
      <c r="G69" s="246">
        <v>51.792450000000002</v>
      </c>
      <c r="H69" s="245">
        <v>10</v>
      </c>
      <c r="I69" s="247">
        <v>197.22461000000001</v>
      </c>
    </row>
    <row r="70" spans="1:9" ht="14" thickBot="1">
      <c r="A70" s="242">
        <v>1285</v>
      </c>
      <c r="B70" s="243" t="s">
        <v>644</v>
      </c>
      <c r="C70" s="244" t="s">
        <v>151</v>
      </c>
      <c r="D70" s="245">
        <v>0.45400000000000001</v>
      </c>
      <c r="E70" s="246">
        <v>1.3140000000000001</v>
      </c>
      <c r="F70" s="245">
        <v>3.3388</v>
      </c>
      <c r="G70" s="246">
        <v>-0.38385000000000002</v>
      </c>
      <c r="H70" s="245">
        <v>0</v>
      </c>
      <c r="I70" s="247">
        <v>242.39716000000001</v>
      </c>
    </row>
    <row r="71" spans="1:9" ht="14" thickBot="1">
      <c r="A71" s="242">
        <v>1305</v>
      </c>
      <c r="B71" s="243" t="s">
        <v>613</v>
      </c>
      <c r="C71" s="244" t="s">
        <v>544</v>
      </c>
      <c r="D71" s="245">
        <v>435.39699999999999</v>
      </c>
      <c r="E71" s="246">
        <v>461.63400000000001</v>
      </c>
      <c r="F71" s="245">
        <v>22.04</v>
      </c>
      <c r="G71" s="246">
        <v>13.2723999999999</v>
      </c>
      <c r="H71" s="245">
        <v>630.846</v>
      </c>
      <c r="I71" s="247">
        <v>524.72140000000002</v>
      </c>
    </row>
    <row r="72" spans="1:9" ht="14" thickBot="1">
      <c r="A72" s="242">
        <v>1318</v>
      </c>
      <c r="B72" s="243" t="s">
        <v>614</v>
      </c>
      <c r="C72" s="244" t="s">
        <v>544</v>
      </c>
      <c r="D72" s="245">
        <v>34.137</v>
      </c>
      <c r="E72" s="246">
        <v>5</v>
      </c>
      <c r="F72" s="245">
        <v>2.84517</v>
      </c>
      <c r="G72" s="246">
        <v>30.364899999999999</v>
      </c>
      <c r="H72" s="245">
        <v>20</v>
      </c>
      <c r="I72" s="247">
        <v>147.07323</v>
      </c>
    </row>
    <row r="73" spans="1:9" ht="14" thickBot="1">
      <c r="A73" s="242">
        <v>1322</v>
      </c>
      <c r="B73" s="243" t="s">
        <v>615</v>
      </c>
      <c r="C73" s="244" t="s">
        <v>544</v>
      </c>
      <c r="D73" s="245">
        <v>130.947</v>
      </c>
      <c r="E73" s="246">
        <v>111.161</v>
      </c>
      <c r="F73" s="245">
        <v>12.846</v>
      </c>
      <c r="G73" s="246">
        <v>1.2388999999999999</v>
      </c>
      <c r="H73" s="245">
        <v>34.549999999999997</v>
      </c>
      <c r="I73" s="247">
        <v>139.16103000000001</v>
      </c>
    </row>
    <row r="74" spans="1:9" ht="14" thickBot="1">
      <c r="A74" s="242">
        <v>1328</v>
      </c>
      <c r="B74" s="243" t="s">
        <v>616</v>
      </c>
      <c r="C74" s="244" t="s">
        <v>544</v>
      </c>
      <c r="D74" s="245">
        <v>288.904</v>
      </c>
      <c r="E74" s="246">
        <v>508.42399999999998</v>
      </c>
      <c r="F74" s="245">
        <v>32.392670000000003</v>
      </c>
      <c r="G74" s="246">
        <v>-267.69294999999897</v>
      </c>
      <c r="H74" s="245">
        <v>571.77918</v>
      </c>
      <c r="I74" s="247">
        <v>215.03747999999999</v>
      </c>
    </row>
    <row r="75" spans="1:9" ht="14" thickBot="1">
      <c r="A75" s="242">
        <v>1331</v>
      </c>
      <c r="B75" s="243" t="s">
        <v>617</v>
      </c>
      <c r="C75" s="244" t="s">
        <v>544</v>
      </c>
      <c r="D75" s="245">
        <v>3.5760000000000001</v>
      </c>
      <c r="E75" s="246">
        <v>5.3490000000000002</v>
      </c>
      <c r="F75" s="245">
        <v>10.02685</v>
      </c>
      <c r="G75" s="246">
        <v>0.82740000000000002</v>
      </c>
      <c r="H75" s="245">
        <v>134.4</v>
      </c>
      <c r="I75" s="247">
        <v>553.05460000000005</v>
      </c>
    </row>
    <row r="76" spans="1:9" ht="14" thickBot="1">
      <c r="A76" s="242">
        <v>1362</v>
      </c>
      <c r="B76" s="243" t="s">
        <v>618</v>
      </c>
      <c r="C76" s="244" t="s">
        <v>544</v>
      </c>
      <c r="D76" s="245">
        <v>19.25</v>
      </c>
      <c r="E76" s="246">
        <v>8.1</v>
      </c>
      <c r="F76" s="245">
        <v>0</v>
      </c>
      <c r="G76" s="246">
        <v>4.6431500000000003</v>
      </c>
      <c r="H76" s="245">
        <v>1.5</v>
      </c>
      <c r="I76" s="247">
        <v>9.1804500000000004</v>
      </c>
    </row>
    <row r="77" spans="1:9" ht="14" thickBot="1">
      <c r="A77" s="242">
        <v>1384</v>
      </c>
      <c r="B77" s="243" t="s">
        <v>619</v>
      </c>
      <c r="C77" s="244" t="s">
        <v>544</v>
      </c>
      <c r="D77" s="245">
        <v>9321.2240000000002</v>
      </c>
      <c r="E77" s="246">
        <v>6963.143</v>
      </c>
      <c r="F77" s="245">
        <v>1733.9716100000001</v>
      </c>
      <c r="G77" s="246">
        <v>684.58054000000004</v>
      </c>
      <c r="H77" s="245">
        <v>1093.5889999999999</v>
      </c>
      <c r="I77" s="247">
        <v>3725.5881800000002</v>
      </c>
    </row>
    <row r="78" spans="1:9" ht="14" thickBot="1">
      <c r="A78" s="242">
        <v>1386</v>
      </c>
      <c r="B78" s="243" t="s">
        <v>620</v>
      </c>
      <c r="C78" s="244" t="s">
        <v>544</v>
      </c>
      <c r="D78" s="245">
        <v>1356.729</v>
      </c>
      <c r="E78" s="246">
        <v>1074.357</v>
      </c>
      <c r="F78" s="245">
        <v>55.539149999999999</v>
      </c>
      <c r="G78" s="246">
        <v>241.4485</v>
      </c>
      <c r="H78" s="245">
        <v>100</v>
      </c>
      <c r="I78" s="247">
        <v>241.4485</v>
      </c>
    </row>
    <row r="79" spans="1:9" ht="14" thickBot="1">
      <c r="A79" s="242">
        <v>1401</v>
      </c>
      <c r="B79" s="243" t="s">
        <v>622</v>
      </c>
      <c r="C79" s="244" t="s">
        <v>544</v>
      </c>
      <c r="D79" s="245">
        <v>63.332999999999998</v>
      </c>
      <c r="E79" s="246">
        <v>30.798999999999999</v>
      </c>
      <c r="F79" s="245">
        <v>22.347000000000001</v>
      </c>
      <c r="G79" s="246">
        <v>10.327</v>
      </c>
      <c r="H79" s="245">
        <v>110</v>
      </c>
      <c r="I79" s="247">
        <v>235.2825</v>
      </c>
    </row>
    <row r="80" spans="1:9" ht="14" thickBot="1">
      <c r="A80" s="242">
        <v>1402</v>
      </c>
      <c r="B80" s="243" t="s">
        <v>645</v>
      </c>
      <c r="C80" s="244" t="s">
        <v>151</v>
      </c>
      <c r="D80" s="245">
        <v>1E-3</v>
      </c>
      <c r="E80" s="246">
        <v>194.31700000000001</v>
      </c>
      <c r="F80" s="245">
        <v>0</v>
      </c>
      <c r="G80" s="246">
        <v>108.05880000000001</v>
      </c>
      <c r="H80" s="245">
        <v>20</v>
      </c>
      <c r="I80" s="247">
        <v>911.67404999999997</v>
      </c>
    </row>
    <row r="81" spans="1:9">
      <c r="A81" s="248">
        <v>1423</v>
      </c>
      <c r="B81" s="249" t="s">
        <v>623</v>
      </c>
      <c r="C81" s="250" t="s">
        <v>544</v>
      </c>
      <c r="D81" s="251">
        <v>106.28</v>
      </c>
      <c r="E81" s="252">
        <v>102.78400000000001</v>
      </c>
      <c r="F81" s="251">
        <v>4.8871000000000002</v>
      </c>
      <c r="G81" s="252">
        <v>3.2059000000000002</v>
      </c>
      <c r="H81" s="251">
        <v>120</v>
      </c>
      <c r="I81" s="253">
        <v>223.83772999999999</v>
      </c>
    </row>
    <row r="82" spans="1:9" ht="14" thickBot="1">
      <c r="A82" s="52">
        <v>1442</v>
      </c>
      <c r="B82" s="254" t="s">
        <v>624</v>
      </c>
      <c r="C82" s="238" t="s">
        <v>544</v>
      </c>
      <c r="D82" s="255">
        <v>44.878999999999998</v>
      </c>
      <c r="E82" s="256">
        <v>116.346</v>
      </c>
      <c r="F82" s="255">
        <v>1.7477</v>
      </c>
      <c r="G82" s="256">
        <v>-32.75076</v>
      </c>
      <c r="H82" s="255">
        <v>10</v>
      </c>
      <c r="I82" s="257">
        <v>203.57999000000001</v>
      </c>
    </row>
    <row r="83" spans="1:9" ht="14" thickBot="1">
      <c r="A83" s="242">
        <v>1448</v>
      </c>
      <c r="B83" s="243" t="s">
        <v>625</v>
      </c>
      <c r="C83" s="244" t="s">
        <v>544</v>
      </c>
      <c r="D83" s="245">
        <v>107.39100000000001</v>
      </c>
      <c r="E83" s="246">
        <v>123.28700000000001</v>
      </c>
      <c r="F83" s="245">
        <v>5.2912999999999997</v>
      </c>
      <c r="G83" s="246">
        <v>22.085000000000001</v>
      </c>
      <c r="H83" s="245">
        <v>50</v>
      </c>
      <c r="I83" s="247">
        <v>191.64490000000001</v>
      </c>
    </row>
    <row r="84" spans="1:9" ht="14" thickBot="1">
      <c r="A84" s="242">
        <v>1454</v>
      </c>
      <c r="B84" s="243" t="s">
        <v>626</v>
      </c>
      <c r="C84" s="244" t="s">
        <v>544</v>
      </c>
      <c r="D84" s="245">
        <v>1821.5889999999999</v>
      </c>
      <c r="E84" s="246">
        <v>1169.8489999999999</v>
      </c>
      <c r="F84" s="245">
        <v>156.16739999999999</v>
      </c>
      <c r="G84" s="246">
        <v>115.14545</v>
      </c>
      <c r="H84" s="245">
        <v>2400</v>
      </c>
      <c r="I84" s="247">
        <v>1488.36985</v>
      </c>
    </row>
    <row r="85" spans="1:9" ht="14" thickBot="1">
      <c r="A85" s="242">
        <v>1479</v>
      </c>
      <c r="B85" s="243" t="s">
        <v>722</v>
      </c>
      <c r="C85" s="244" t="s">
        <v>544</v>
      </c>
      <c r="D85" s="245">
        <v>14286.17</v>
      </c>
      <c r="E85" s="246">
        <v>9107.85</v>
      </c>
      <c r="F85" s="245">
        <v>2253.9355</v>
      </c>
      <c r="G85" s="246">
        <v>4346.02422999999</v>
      </c>
      <c r="H85" s="245">
        <v>1100</v>
      </c>
      <c r="I85" s="247">
        <v>15819.47517</v>
      </c>
    </row>
    <row r="86" spans="1:9" ht="14" thickBot="1">
      <c r="A86" s="242">
        <v>1491</v>
      </c>
      <c r="B86" s="243" t="s">
        <v>646</v>
      </c>
      <c r="C86" s="244" t="s">
        <v>151</v>
      </c>
      <c r="D86" s="245">
        <v>1511.1189999999999</v>
      </c>
      <c r="E86" s="246">
        <v>1539.7360000000001</v>
      </c>
      <c r="F86" s="245">
        <v>193.45685</v>
      </c>
      <c r="G86" s="246">
        <v>-14.55015</v>
      </c>
      <c r="H86" s="245">
        <v>0</v>
      </c>
      <c r="I86" s="247">
        <v>2153.1773499999999</v>
      </c>
    </row>
    <row r="87" spans="1:9" ht="14" thickBot="1">
      <c r="A87" s="242">
        <v>1507</v>
      </c>
      <c r="B87" s="243" t="s">
        <v>627</v>
      </c>
      <c r="C87" s="244" t="s">
        <v>544</v>
      </c>
      <c r="D87" s="245">
        <v>371.358</v>
      </c>
      <c r="E87" s="246">
        <v>140.19399999999999</v>
      </c>
      <c r="F87" s="245">
        <v>60.486220000000003</v>
      </c>
      <c r="G87" s="246">
        <v>186.33299</v>
      </c>
      <c r="H87" s="245">
        <v>110</v>
      </c>
      <c r="I87" s="247">
        <v>1375.7611199999999</v>
      </c>
    </row>
    <row r="88" spans="1:9" ht="14" thickBot="1">
      <c r="A88" s="242">
        <v>1509</v>
      </c>
      <c r="B88" s="243" t="s">
        <v>628</v>
      </c>
      <c r="C88" s="244" t="s">
        <v>544</v>
      </c>
      <c r="D88" s="245">
        <v>9901.5669999999991</v>
      </c>
      <c r="E88" s="246">
        <v>5860.0249999999996</v>
      </c>
      <c r="F88" s="245">
        <v>664.13072</v>
      </c>
      <c r="G88" s="246">
        <v>3015.7596699999999</v>
      </c>
      <c r="H88" s="245">
        <v>4050</v>
      </c>
      <c r="I88" s="247">
        <v>8759.23344</v>
      </c>
    </row>
    <row r="89" spans="1:9" ht="14" thickBot="1">
      <c r="A89" s="242">
        <v>1520</v>
      </c>
      <c r="B89" s="243" t="s">
        <v>629</v>
      </c>
      <c r="C89" s="244" t="s">
        <v>544</v>
      </c>
      <c r="D89" s="245">
        <v>25635.304</v>
      </c>
      <c r="E89" s="246">
        <v>21353.269</v>
      </c>
      <c r="F89" s="245">
        <v>1750</v>
      </c>
      <c r="G89" s="246">
        <v>2979.7283400000001</v>
      </c>
      <c r="H89" s="245">
        <v>3500</v>
      </c>
      <c r="I89" s="247">
        <v>7727.1181699999997</v>
      </c>
    </row>
    <row r="90" spans="1:9" ht="14" thickBot="1">
      <c r="A90" s="242">
        <v>1522</v>
      </c>
      <c r="B90" s="243" t="s">
        <v>647</v>
      </c>
      <c r="C90" s="244" t="s">
        <v>151</v>
      </c>
      <c r="D90" s="245">
        <v>3000.74</v>
      </c>
      <c r="E90" s="246">
        <v>2770.3229999999999</v>
      </c>
      <c r="F90" s="245">
        <v>337.80014999999997</v>
      </c>
      <c r="G90" s="246">
        <v>20.811049999999899</v>
      </c>
      <c r="H90" s="245">
        <v>250</v>
      </c>
      <c r="I90" s="247">
        <v>4856.1608900000001</v>
      </c>
    </row>
    <row r="91" spans="1:9" ht="14" thickBot="1">
      <c r="A91" s="242">
        <v>1529</v>
      </c>
      <c r="B91" s="243" t="s">
        <v>630</v>
      </c>
      <c r="C91" s="244" t="s">
        <v>544</v>
      </c>
      <c r="D91" s="245">
        <v>1963.55</v>
      </c>
      <c r="E91" s="246">
        <v>1730.44</v>
      </c>
      <c r="F91" s="245">
        <v>67.637469999999993</v>
      </c>
      <c r="G91" s="246">
        <v>272.84325999999999</v>
      </c>
      <c r="H91" s="245">
        <v>484.52316999999999</v>
      </c>
      <c r="I91" s="247">
        <v>6316.5077700000002</v>
      </c>
    </row>
    <row r="92" spans="1:9" ht="14" thickBot="1">
      <c r="A92" s="242">
        <v>1535</v>
      </c>
      <c r="B92" s="243" t="s">
        <v>631</v>
      </c>
      <c r="C92" s="244" t="s">
        <v>544</v>
      </c>
      <c r="D92" s="245">
        <v>24378.93</v>
      </c>
      <c r="E92" s="246">
        <v>17685.482</v>
      </c>
      <c r="F92" s="245">
        <v>1634.9</v>
      </c>
      <c r="G92" s="246">
        <v>4946.3974900000003</v>
      </c>
      <c r="H92" s="245">
        <v>1751</v>
      </c>
      <c r="I92" s="247">
        <v>20002.374640000002</v>
      </c>
    </row>
    <row r="93" spans="1:9" ht="14" thickBot="1">
      <c r="A93" s="242">
        <v>1540</v>
      </c>
      <c r="B93" s="243" t="s">
        <v>648</v>
      </c>
      <c r="C93" s="244" t="s">
        <v>151</v>
      </c>
      <c r="D93" s="245">
        <v>2502.7130000000002</v>
      </c>
      <c r="E93" s="246">
        <v>2325.511</v>
      </c>
      <c r="F93" s="245">
        <v>174.45224999999999</v>
      </c>
      <c r="G93" s="246">
        <v>88.856300000000005</v>
      </c>
      <c r="H93" s="245">
        <v>25</v>
      </c>
      <c r="I93" s="247">
        <v>1427.2121199999999</v>
      </c>
    </row>
    <row r="94" spans="1:9" ht="14" thickBot="1">
      <c r="A94" s="242">
        <v>1549</v>
      </c>
      <c r="B94" s="243" t="s">
        <v>633</v>
      </c>
      <c r="C94" s="244" t="s">
        <v>544</v>
      </c>
      <c r="D94" s="245">
        <v>565.06399999999996</v>
      </c>
      <c r="E94" s="246">
        <v>433.06799999999998</v>
      </c>
      <c r="F94" s="245">
        <v>88.600210000000004</v>
      </c>
      <c r="G94" s="246">
        <v>177.94789</v>
      </c>
      <c r="H94" s="245">
        <v>40</v>
      </c>
      <c r="I94" s="247">
        <v>5.5941599999999996</v>
      </c>
    </row>
    <row r="95" spans="1:9" ht="14" thickBot="1">
      <c r="A95" s="242">
        <v>1551</v>
      </c>
      <c r="B95" s="243" t="s">
        <v>634</v>
      </c>
      <c r="C95" s="244" t="s">
        <v>544</v>
      </c>
      <c r="D95" s="245">
        <v>1306.7850000000001</v>
      </c>
      <c r="E95" s="246">
        <v>1099.7249999999999</v>
      </c>
      <c r="F95" s="245">
        <v>198.71357</v>
      </c>
      <c r="G95" s="246">
        <v>192.20558</v>
      </c>
      <c r="H95" s="245">
        <v>300</v>
      </c>
      <c r="I95" s="247">
        <v>680.05404999999996</v>
      </c>
    </row>
    <row r="96" spans="1:9" ht="14" thickBot="1">
      <c r="A96" s="242">
        <v>1552</v>
      </c>
      <c r="B96" s="243" t="s">
        <v>635</v>
      </c>
      <c r="C96" s="244" t="s">
        <v>544</v>
      </c>
      <c r="D96" s="245">
        <v>0.49299999999999999</v>
      </c>
      <c r="E96" s="246">
        <v>0</v>
      </c>
      <c r="F96" s="245">
        <v>0.03</v>
      </c>
      <c r="G96" s="246">
        <v>0.38295000000000001</v>
      </c>
      <c r="H96" s="245">
        <v>0</v>
      </c>
      <c r="I96" s="247">
        <v>1.1032500000000001</v>
      </c>
    </row>
    <row r="97" spans="1:9" ht="14" thickBot="1">
      <c r="A97" s="242">
        <v>1555</v>
      </c>
      <c r="B97" s="243" t="s">
        <v>636</v>
      </c>
      <c r="C97" s="244" t="s">
        <v>544</v>
      </c>
      <c r="D97" s="245">
        <v>6729.8710000000001</v>
      </c>
      <c r="E97" s="246">
        <v>3437.4110000000001</v>
      </c>
      <c r="F97" s="245">
        <v>287.03930000000003</v>
      </c>
      <c r="G97" s="246">
        <v>3435.1702799999998</v>
      </c>
      <c r="H97" s="245">
        <v>1204</v>
      </c>
      <c r="I97" s="247">
        <v>41073.297270000003</v>
      </c>
    </row>
    <row r="98" spans="1:9" ht="14" thickBot="1">
      <c r="A98" s="242">
        <v>1560</v>
      </c>
      <c r="B98" s="243" t="s">
        <v>637</v>
      </c>
      <c r="C98" s="244" t="s">
        <v>544</v>
      </c>
      <c r="D98" s="245">
        <v>13707.849</v>
      </c>
      <c r="E98" s="246">
        <v>10297.209000000001</v>
      </c>
      <c r="F98" s="245">
        <v>1314.85553</v>
      </c>
      <c r="G98" s="246">
        <v>2639.99647</v>
      </c>
      <c r="H98" s="245">
        <v>2038.4326000000001</v>
      </c>
      <c r="I98" s="247">
        <v>19501.331590000002</v>
      </c>
    </row>
    <row r="99" spans="1:9" ht="14" thickBot="1">
      <c r="A99" s="242">
        <v>1562</v>
      </c>
      <c r="B99" s="243" t="s">
        <v>638</v>
      </c>
      <c r="C99" s="244" t="s">
        <v>544</v>
      </c>
      <c r="D99" s="245">
        <v>119790.08100000001</v>
      </c>
      <c r="E99" s="246">
        <v>93262.570999999996</v>
      </c>
      <c r="F99" s="245">
        <v>14006.48612</v>
      </c>
      <c r="G99" s="246">
        <v>12165.100780000001</v>
      </c>
      <c r="H99" s="245">
        <v>44325</v>
      </c>
      <c r="I99" s="247">
        <v>65005.116029999997</v>
      </c>
    </row>
    <row r="100" spans="1:9" ht="14" thickBot="1">
      <c r="A100" s="242">
        <v>1563</v>
      </c>
      <c r="B100" s="243" t="s">
        <v>639</v>
      </c>
      <c r="C100" s="244" t="s">
        <v>544</v>
      </c>
      <c r="D100" s="245">
        <v>2008.29</v>
      </c>
      <c r="E100" s="246">
        <v>1646.183</v>
      </c>
      <c r="F100" s="245">
        <v>569.26689999999996</v>
      </c>
      <c r="G100" s="246">
        <v>311.83210000000003</v>
      </c>
      <c r="H100" s="245">
        <v>175</v>
      </c>
      <c r="I100" s="247">
        <v>1338.6717100000001</v>
      </c>
    </row>
    <row r="101" spans="1:9" ht="14" thickBot="1">
      <c r="A101" s="242">
        <v>1564</v>
      </c>
      <c r="B101" s="243" t="s">
        <v>640</v>
      </c>
      <c r="C101" s="244" t="s">
        <v>544</v>
      </c>
      <c r="D101" s="245">
        <v>304.827</v>
      </c>
      <c r="E101" s="246">
        <v>253.32900000000001</v>
      </c>
      <c r="F101" s="245">
        <v>-10.64738</v>
      </c>
      <c r="G101" s="246">
        <v>13.000349999999999</v>
      </c>
      <c r="H101" s="245">
        <v>0</v>
      </c>
      <c r="I101" s="247">
        <v>143.11908</v>
      </c>
    </row>
    <row r="102" spans="1:9" ht="14" thickBot="1">
      <c r="A102" s="242">
        <v>1565</v>
      </c>
      <c r="B102" s="243" t="s">
        <v>641</v>
      </c>
      <c r="C102" s="244" t="s">
        <v>544</v>
      </c>
      <c r="D102" s="245">
        <v>0.20300000000000001</v>
      </c>
      <c r="E102" s="246">
        <v>1E-3</v>
      </c>
      <c r="F102" s="245">
        <v>2.3349999999999999E-2</v>
      </c>
      <c r="G102" s="246">
        <v>0.19469</v>
      </c>
      <c r="H102" s="245">
        <v>0</v>
      </c>
      <c r="I102" s="247">
        <v>0.19469</v>
      </c>
    </row>
    <row r="103" spans="1:9" ht="14" thickBot="1">
      <c r="A103" s="242">
        <v>1566</v>
      </c>
      <c r="B103" s="243" t="s">
        <v>642</v>
      </c>
      <c r="C103" s="244" t="s">
        <v>544</v>
      </c>
      <c r="D103" s="245">
        <v>114.795</v>
      </c>
      <c r="E103" s="246">
        <v>21.853999999999999</v>
      </c>
      <c r="F103" s="245">
        <v>13.201420000000001</v>
      </c>
      <c r="G103" s="246">
        <v>58.956209999999999</v>
      </c>
      <c r="H103" s="245">
        <v>22</v>
      </c>
      <c r="I103" s="247">
        <v>59.715310000000002</v>
      </c>
    </row>
    <row r="104" spans="1:9" s="219" customFormat="1" ht="18.75" customHeight="1" thickBot="1">
      <c r="A104" s="258" t="s">
        <v>652</v>
      </c>
      <c r="B104" s="259">
        <v>93</v>
      </c>
      <c r="C104" s="260">
        <v>6</v>
      </c>
      <c r="D104" s="261">
        <v>356589.52600000001</v>
      </c>
      <c r="E104" s="262">
        <v>277935.15500000003</v>
      </c>
      <c r="F104" s="261">
        <v>41667.439780000001</v>
      </c>
      <c r="G104" s="262">
        <v>48088.953699999998</v>
      </c>
      <c r="H104" s="261">
        <v>87253.435960000003</v>
      </c>
      <c r="I104" s="263">
        <v>297296.88597</v>
      </c>
    </row>
    <row r="105" spans="1:9" ht="16.5" customHeight="1" thickBot="1">
      <c r="A105" s="3" t="s">
        <v>146</v>
      </c>
      <c r="C105" s="264"/>
      <c r="D105" s="265"/>
      <c r="E105" s="265"/>
      <c r="F105" s="266"/>
      <c r="G105" s="265"/>
      <c r="H105" s="267"/>
      <c r="I105" s="268"/>
    </row>
    <row r="107" spans="1:9">
      <c r="A107" s="2" t="s">
        <v>545</v>
      </c>
    </row>
    <row r="109" spans="1:9">
      <c r="A109" s="22" t="s">
        <v>565</v>
      </c>
    </row>
    <row r="110" spans="1:9">
      <c r="A110" s="23">
        <v>0</v>
      </c>
      <c r="B110" s="22" t="s">
        <v>566</v>
      </c>
    </row>
    <row r="111" spans="1:9">
      <c r="A111" s="23">
        <v>1</v>
      </c>
      <c r="B111" s="22" t="s">
        <v>567</v>
      </c>
    </row>
    <row r="112" spans="1:9">
      <c r="A112" s="23">
        <v>2</v>
      </c>
      <c r="B112" s="22" t="s">
        <v>568</v>
      </c>
    </row>
    <row r="113" spans="1:2">
      <c r="A113" s="23">
        <v>3</v>
      </c>
      <c r="B113" s="22" t="s">
        <v>569</v>
      </c>
    </row>
    <row r="114" spans="1:2">
      <c r="A114" s="23" t="s">
        <v>570</v>
      </c>
      <c r="B114" s="22" t="s">
        <v>571</v>
      </c>
    </row>
    <row r="115" spans="1:2">
      <c r="A115" s="23">
        <v>5</v>
      </c>
      <c r="B115" s="22" t="s">
        <v>572</v>
      </c>
    </row>
    <row r="116" spans="1:2">
      <c r="A116" s="23">
        <v>6</v>
      </c>
      <c r="B116" s="22" t="s">
        <v>573</v>
      </c>
    </row>
    <row r="117" spans="1:2">
      <c r="A117" s="23">
        <v>7</v>
      </c>
      <c r="B117" s="22" t="s">
        <v>574</v>
      </c>
    </row>
    <row r="120" spans="1:2">
      <c r="A120" s="2" t="s">
        <v>104</v>
      </c>
    </row>
  </sheetData>
  <phoneticPr fontId="0" type="noConversion"/>
  <pageMargins left="0.51" right="0.35" top="0.62" bottom="0.56999999999999995" header="0.36" footer="0.28000000000000003"/>
  <pageSetup paperSize="9" scale="70" fitToHeight="2" pageOrder="overThenDown" orientation="portrait" horizontalDpi="1200" verticalDpi="1200"/>
  <headerFooter alignWithMargins="0">
    <oddHeader>&amp;L&amp;"Arial,Bold"Individuelle Daten pro Versicherer</oddHeader>
    <oddFooter>&amp;L&amp;P/&amp;N</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29E9D-13B5-4F40-8F73-1888BC519761}">
  <sheetPr>
    <pageSetUpPr fitToPage="1"/>
  </sheetPr>
  <dimension ref="A1:O31"/>
  <sheetViews>
    <sheetView zoomScale="75" zoomScaleNormal="75" workbookViewId="0">
      <selection activeCell="A2" sqref="A2"/>
    </sheetView>
  </sheetViews>
  <sheetFormatPr baseColWidth="10" defaultColWidth="11.3984375" defaultRowHeight="13"/>
  <cols>
    <col min="1" max="1" width="5.796875" style="2" customWidth="1"/>
    <col min="2" max="2" width="35.19921875" style="23" customWidth="1"/>
    <col min="3" max="3" width="10.796875" style="23" customWidth="1"/>
    <col min="4" max="4" width="11.19921875" style="23" customWidth="1"/>
    <col min="5" max="5" width="10.19921875" style="9" customWidth="1"/>
    <col min="6" max="6" width="17.19921875" style="9" customWidth="1"/>
    <col min="7" max="7" width="14.19921875" style="2" customWidth="1"/>
    <col min="8" max="8" width="7.59765625" style="64" customWidth="1"/>
    <col min="9" max="9" width="26.19921875" style="2" customWidth="1"/>
    <col min="10" max="16384" width="11.3984375" style="2"/>
  </cols>
  <sheetData>
    <row r="1" spans="1:9" s="1" customFormat="1" ht="14" customHeight="1">
      <c r="A1" s="27"/>
      <c r="B1" s="28"/>
      <c r="C1" s="28"/>
      <c r="D1" s="28"/>
      <c r="E1" s="27"/>
      <c r="F1" s="29"/>
      <c r="G1" s="27"/>
      <c r="H1" s="30"/>
      <c r="I1" s="27"/>
    </row>
    <row r="2" spans="1:9" s="1" customFormat="1" ht="19.5" customHeight="1">
      <c r="A2" s="21" t="s">
        <v>2124</v>
      </c>
      <c r="C2" s="28"/>
      <c r="D2" s="28"/>
      <c r="E2" s="29"/>
      <c r="F2" s="29"/>
      <c r="G2" s="31"/>
      <c r="H2" s="30"/>
      <c r="I2" s="21">
        <v>2004</v>
      </c>
    </row>
    <row r="3" spans="1:9" s="1" customFormat="1" ht="11.25" customHeight="1">
      <c r="A3" s="27"/>
      <c r="B3" s="27"/>
      <c r="C3" s="28"/>
      <c r="D3" s="28"/>
      <c r="E3" s="29"/>
      <c r="F3" s="29"/>
      <c r="G3" s="27"/>
      <c r="H3" s="30"/>
      <c r="I3" s="27"/>
    </row>
    <row r="4" spans="1:9" ht="18" customHeight="1">
      <c r="A4" s="32" t="s">
        <v>2044</v>
      </c>
      <c r="B4" s="32" t="s">
        <v>2029</v>
      </c>
      <c r="C4" s="33" t="s">
        <v>2030</v>
      </c>
      <c r="D4" s="34" t="s">
        <v>2031</v>
      </c>
      <c r="E4" s="35" t="s">
        <v>2032</v>
      </c>
      <c r="F4" s="36" t="s">
        <v>2033</v>
      </c>
      <c r="G4" s="33" t="s">
        <v>2034</v>
      </c>
      <c r="H4" s="37" t="s">
        <v>2035</v>
      </c>
      <c r="I4" s="34"/>
    </row>
    <row r="5" spans="1:9" ht="15" customHeight="1">
      <c r="A5" s="38" t="s">
        <v>2036</v>
      </c>
      <c r="B5" s="38"/>
      <c r="C5" s="39"/>
      <c r="D5" s="40" t="s">
        <v>2037</v>
      </c>
      <c r="E5" s="41" t="s">
        <v>2038</v>
      </c>
      <c r="F5" s="42" t="s">
        <v>2039</v>
      </c>
      <c r="G5" s="39" t="s">
        <v>2040</v>
      </c>
      <c r="H5" s="43" t="s">
        <v>417</v>
      </c>
      <c r="I5" s="40"/>
    </row>
    <row r="6" spans="1:9" ht="15" customHeight="1">
      <c r="A6" s="38"/>
      <c r="B6" s="38"/>
      <c r="C6" s="39"/>
      <c r="D6" s="40" t="s">
        <v>2157</v>
      </c>
      <c r="E6" s="41"/>
      <c r="F6" s="42"/>
      <c r="G6" s="39" t="s">
        <v>2041</v>
      </c>
      <c r="H6" s="44"/>
      <c r="I6" s="40"/>
    </row>
    <row r="7" spans="1:9" ht="18" customHeight="1">
      <c r="A7" s="45"/>
      <c r="B7" s="46"/>
      <c r="C7" s="47"/>
      <c r="D7" s="48"/>
      <c r="E7" s="49"/>
      <c r="F7" s="50"/>
      <c r="G7" s="47"/>
      <c r="H7" s="51"/>
      <c r="I7" s="48"/>
    </row>
    <row r="8" spans="1:9" ht="39.75" customHeight="1" thickBot="1">
      <c r="A8" s="52">
        <v>411</v>
      </c>
      <c r="B8" s="53" t="s">
        <v>2139</v>
      </c>
      <c r="C8" s="54">
        <v>36525</v>
      </c>
      <c r="D8" s="55"/>
      <c r="E8" s="56"/>
      <c r="F8" s="55" t="s">
        <v>2140</v>
      </c>
      <c r="G8" s="56"/>
      <c r="H8" s="57"/>
      <c r="I8" s="55" t="s">
        <v>106</v>
      </c>
    </row>
    <row r="9" spans="1:9" ht="68.25" customHeight="1" thickBot="1">
      <c r="A9" s="52">
        <v>261</v>
      </c>
      <c r="B9" s="53" t="s">
        <v>2141</v>
      </c>
      <c r="C9" s="54">
        <v>36525</v>
      </c>
      <c r="D9" s="55"/>
      <c r="E9" s="56"/>
      <c r="F9" s="55"/>
      <c r="G9" s="56" t="s">
        <v>2142</v>
      </c>
      <c r="H9" s="57"/>
      <c r="I9" s="55" t="s">
        <v>106</v>
      </c>
    </row>
    <row r="10" spans="1:9" ht="30" customHeight="1" thickBot="1">
      <c r="A10" s="52">
        <v>1159</v>
      </c>
      <c r="B10" s="53" t="s">
        <v>2143</v>
      </c>
      <c r="C10" s="54">
        <v>36525</v>
      </c>
      <c r="D10" s="55"/>
      <c r="E10" s="56"/>
      <c r="F10" s="55"/>
      <c r="G10" s="56" t="s">
        <v>2144</v>
      </c>
      <c r="H10" s="57"/>
      <c r="I10" s="55" t="s">
        <v>106</v>
      </c>
    </row>
    <row r="11" spans="1:9" ht="30" customHeight="1" thickBot="1">
      <c r="A11" s="52">
        <v>1305</v>
      </c>
      <c r="B11" s="53" t="s">
        <v>2145</v>
      </c>
      <c r="C11" s="54">
        <v>36525</v>
      </c>
      <c r="D11" s="55"/>
      <c r="E11" s="56"/>
      <c r="F11" s="107"/>
      <c r="G11" s="56" t="s">
        <v>2146</v>
      </c>
      <c r="H11" s="57"/>
      <c r="I11" s="55" t="s">
        <v>106</v>
      </c>
    </row>
    <row r="12" spans="1:9" ht="30" customHeight="1" thickBot="1">
      <c r="A12" s="52">
        <v>1331</v>
      </c>
      <c r="B12" s="53" t="s">
        <v>2147</v>
      </c>
      <c r="C12" s="54">
        <v>36525</v>
      </c>
      <c r="D12" s="55"/>
      <c r="E12" s="56"/>
      <c r="F12" s="55"/>
      <c r="G12" s="56" t="s">
        <v>2148</v>
      </c>
      <c r="H12" s="57"/>
      <c r="I12" s="55" t="s">
        <v>106</v>
      </c>
    </row>
    <row r="13" spans="1:9" ht="30" customHeight="1" thickBot="1">
      <c r="A13" s="52">
        <v>1362</v>
      </c>
      <c r="B13" s="53" t="s">
        <v>2149</v>
      </c>
      <c r="C13" s="54">
        <v>36525</v>
      </c>
      <c r="D13" s="55"/>
      <c r="E13" s="56"/>
      <c r="F13" s="55"/>
      <c r="G13" s="56" t="s">
        <v>2150</v>
      </c>
      <c r="H13" s="57"/>
      <c r="I13" s="55" t="s">
        <v>106</v>
      </c>
    </row>
    <row r="14" spans="1:9" ht="30" customHeight="1" thickBot="1">
      <c r="A14" s="52">
        <v>1479</v>
      </c>
      <c r="B14" s="53" t="s">
        <v>2151</v>
      </c>
      <c r="C14" s="54">
        <v>36525</v>
      </c>
      <c r="D14" s="55"/>
      <c r="E14" s="56"/>
      <c r="F14" s="53" t="s">
        <v>722</v>
      </c>
      <c r="G14" s="56"/>
      <c r="H14" s="57"/>
      <c r="I14" s="55" t="s">
        <v>106</v>
      </c>
    </row>
    <row r="15" spans="1:9" ht="30" customHeight="1" thickBot="1">
      <c r="A15" s="52">
        <v>1519</v>
      </c>
      <c r="B15" s="53" t="s">
        <v>2158</v>
      </c>
      <c r="C15" s="54">
        <v>36706</v>
      </c>
      <c r="D15" s="55" t="s">
        <v>2042</v>
      </c>
      <c r="E15" s="56"/>
      <c r="F15" s="55"/>
      <c r="G15" s="56"/>
      <c r="H15" s="57"/>
      <c r="I15" s="55" t="s">
        <v>106</v>
      </c>
    </row>
    <row r="16" spans="1:9" ht="35.25" customHeight="1" thickBot="1">
      <c r="A16" s="52">
        <v>1564</v>
      </c>
      <c r="B16" s="53" t="s">
        <v>2152</v>
      </c>
      <c r="C16" s="54">
        <v>36706</v>
      </c>
      <c r="D16" s="55" t="s">
        <v>2042</v>
      </c>
      <c r="E16" s="56"/>
      <c r="F16" s="55"/>
      <c r="G16" s="56"/>
      <c r="H16" s="57"/>
      <c r="I16" s="55" t="s">
        <v>106</v>
      </c>
    </row>
    <row r="17" spans="1:15" ht="30" customHeight="1" thickBot="1">
      <c r="A17" s="52">
        <v>941</v>
      </c>
      <c r="B17" s="53" t="s">
        <v>721</v>
      </c>
      <c r="C17" s="54">
        <v>36825</v>
      </c>
      <c r="D17" s="55"/>
      <c r="E17" s="56"/>
      <c r="F17" s="55" t="s">
        <v>2153</v>
      </c>
      <c r="G17" s="56"/>
      <c r="H17" s="57"/>
      <c r="I17" s="55" t="s">
        <v>106</v>
      </c>
    </row>
    <row r="18" spans="1:15" ht="30" customHeight="1" thickBot="1">
      <c r="A18" s="52"/>
      <c r="B18" s="53"/>
      <c r="C18" s="54"/>
      <c r="D18" s="55"/>
      <c r="E18" s="56"/>
      <c r="F18" s="55"/>
      <c r="G18" s="56"/>
      <c r="H18" s="52"/>
      <c r="I18" s="55" t="s">
        <v>106</v>
      </c>
    </row>
    <row r="19" spans="1:15" ht="30" customHeight="1" thickBot="1">
      <c r="A19" s="52"/>
      <c r="B19" s="53"/>
      <c r="C19" s="54"/>
      <c r="D19" s="55"/>
      <c r="E19" s="56"/>
      <c r="F19" s="55"/>
      <c r="G19" s="56"/>
      <c r="H19" s="57"/>
      <c r="I19" s="55" t="s">
        <v>106</v>
      </c>
    </row>
    <row r="20" spans="1:15" ht="30" customHeight="1" thickBot="1">
      <c r="A20" s="52"/>
      <c r="B20" s="53"/>
      <c r="C20" s="54"/>
      <c r="D20" s="55"/>
      <c r="E20" s="56"/>
      <c r="F20" s="55"/>
      <c r="G20" s="56"/>
      <c r="H20" s="57"/>
      <c r="I20" s="55" t="s">
        <v>106</v>
      </c>
    </row>
    <row r="21" spans="1:15" s="62" customFormat="1" ht="30" customHeight="1" thickBot="1">
      <c r="A21" s="58"/>
      <c r="B21" s="59" t="s">
        <v>652</v>
      </c>
      <c r="C21" s="60"/>
      <c r="D21" s="58">
        <v>2</v>
      </c>
      <c r="E21" s="108">
        <v>0</v>
      </c>
      <c r="F21" s="58">
        <v>3</v>
      </c>
      <c r="G21" s="60">
        <v>5</v>
      </c>
      <c r="H21" s="58">
        <v>0</v>
      </c>
      <c r="I21" s="61" t="s">
        <v>106</v>
      </c>
    </row>
    <row r="22" spans="1:15">
      <c r="B22" s="63"/>
    </row>
    <row r="23" spans="1:15">
      <c r="A23" s="65" t="s">
        <v>105</v>
      </c>
      <c r="G23" s="3"/>
      <c r="I23" s="3"/>
      <c r="J23"/>
      <c r="K23"/>
      <c r="L23"/>
      <c r="M23"/>
      <c r="N23"/>
      <c r="O23"/>
    </row>
    <row r="24" spans="1:15">
      <c r="A24" s="65"/>
      <c r="G24" s="3"/>
      <c r="I24" s="3"/>
      <c r="J24"/>
      <c r="K24"/>
      <c r="L24"/>
      <c r="M24"/>
      <c r="N24"/>
      <c r="O24"/>
    </row>
    <row r="25" spans="1:15">
      <c r="A25" s="66" t="s">
        <v>2154</v>
      </c>
      <c r="G25" s="3"/>
      <c r="I25" s="3"/>
      <c r="J25"/>
      <c r="K25"/>
      <c r="L25"/>
      <c r="M25"/>
      <c r="N25"/>
      <c r="O25"/>
    </row>
    <row r="26" spans="1:15">
      <c r="A26" s="66" t="s">
        <v>2155</v>
      </c>
      <c r="G26" s="3"/>
      <c r="I26" s="3"/>
      <c r="J26"/>
      <c r="K26"/>
      <c r="L26"/>
      <c r="M26"/>
      <c r="N26"/>
      <c r="O26"/>
    </row>
    <row r="27" spans="1:15">
      <c r="A27" s="67"/>
      <c r="J27"/>
      <c r="K27"/>
      <c r="L27"/>
      <c r="M27"/>
      <c r="N27"/>
      <c r="O27"/>
    </row>
    <row r="28" spans="1:15">
      <c r="A28" s="22" t="s">
        <v>2156</v>
      </c>
    </row>
    <row r="29" spans="1:15">
      <c r="A29" s="22"/>
    </row>
    <row r="30" spans="1:15">
      <c r="A30" s="22"/>
    </row>
    <row r="31" spans="1:15">
      <c r="A31" s="22" t="s">
        <v>104</v>
      </c>
    </row>
  </sheetData>
  <phoneticPr fontId="0" type="noConversion"/>
  <pageMargins left="0.6" right="0.55000000000000004" top="0.62992125984251968" bottom="0.74803149606299213" header="0.31496062992125984" footer="0.27559055118110237"/>
  <pageSetup paperSize="9" scale="64" pageOrder="overThenDown" orientation="portrait" horizontalDpi="1200" verticalDpi="1200"/>
  <headerFooter alignWithMargins="0">
    <oddHeader>&amp;L&amp;"Arial,Bold"Individuelle Daten pro Versicherer</oddHead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5F022-B934-3846-A104-515E41BB58FD}">
  <sheetPr>
    <pageSetUpPr fitToPage="1"/>
  </sheetPr>
  <dimension ref="A1:B11"/>
  <sheetViews>
    <sheetView workbookViewId="0">
      <selection activeCell="B3" sqref="B3"/>
    </sheetView>
  </sheetViews>
  <sheetFormatPr baseColWidth="10" defaultColWidth="11.3984375" defaultRowHeight="13"/>
  <cols>
    <col min="1" max="1" width="5.59765625" style="300" customWidth="1"/>
    <col min="2" max="16384" width="11.3984375" style="300"/>
  </cols>
  <sheetData>
    <row r="1" spans="1:2" ht="16">
      <c r="A1" s="299" t="s">
        <v>1121</v>
      </c>
    </row>
    <row r="2" spans="1:2" ht="16">
      <c r="A2" s="301"/>
    </row>
    <row r="3" spans="1:2">
      <c r="A3" s="300">
        <v>6.01</v>
      </c>
      <c r="B3" s="80" t="s">
        <v>1392</v>
      </c>
    </row>
    <row r="4" spans="1:2">
      <c r="A4" s="300">
        <v>6.02</v>
      </c>
      <c r="B4" s="302" t="s">
        <v>1122</v>
      </c>
    </row>
    <row r="5" spans="1:2">
      <c r="A5" s="300">
        <v>6.03</v>
      </c>
      <c r="B5" s="302" t="s">
        <v>1123</v>
      </c>
    </row>
    <row r="6" spans="1:2">
      <c r="A6" s="300">
        <v>6.04</v>
      </c>
      <c r="B6" s="302" t="s">
        <v>1124</v>
      </c>
    </row>
    <row r="7" spans="1:2">
      <c r="A7" s="300">
        <v>6.05</v>
      </c>
      <c r="B7" s="302" t="s">
        <v>1125</v>
      </c>
    </row>
    <row r="8" spans="1:2">
      <c r="A8" s="300">
        <v>6.06</v>
      </c>
      <c r="B8" s="302" t="s">
        <v>1126</v>
      </c>
    </row>
    <row r="11" spans="1:2">
      <c r="A11" s="303" t="s">
        <v>104</v>
      </c>
    </row>
  </sheetData>
  <phoneticPr fontId="39" type="noConversion"/>
  <pageMargins left="0.46" right="0.35" top="0.69" bottom="0.984251969" header="0.36" footer="0.4921259845"/>
  <pageSetup paperSize="9" orientation="portrait"/>
  <headerFooter alignWithMargins="0"/>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C9074-5EB7-874D-AB2C-73781A8499BA}">
  <sheetPr>
    <pageSetUpPr fitToPage="1"/>
  </sheetPr>
  <dimension ref="A1:G23"/>
  <sheetViews>
    <sheetView topLeftCell="A8" zoomScale="75" workbookViewId="0">
      <selection activeCell="I16" sqref="I16"/>
    </sheetView>
  </sheetViews>
  <sheetFormatPr baseColWidth="10" defaultColWidth="11.3984375" defaultRowHeight="13"/>
  <cols>
    <col min="1" max="1" width="16.796875" style="2" customWidth="1"/>
    <col min="2" max="7" width="14.796875" style="2" customWidth="1"/>
    <col min="8" max="16384" width="11.3984375" style="2"/>
  </cols>
  <sheetData>
    <row r="1" spans="1:7" s="1" customFormat="1" ht="14" customHeight="1"/>
    <row r="2" spans="1:7" s="1" customFormat="1" ht="31.5" customHeight="1">
      <c r="A2" s="1715" t="s">
        <v>832</v>
      </c>
      <c r="B2" s="1716"/>
      <c r="C2" s="1716"/>
      <c r="D2" s="1716"/>
      <c r="E2" s="1716"/>
      <c r="F2" s="1716"/>
      <c r="G2" s="21">
        <v>2004</v>
      </c>
    </row>
    <row r="3" spans="1:7" ht="24" customHeight="1">
      <c r="A3" s="139" t="s">
        <v>1250</v>
      </c>
      <c r="B3" s="164" t="s">
        <v>1370</v>
      </c>
      <c r="C3" s="141" t="s">
        <v>833</v>
      </c>
      <c r="D3" s="164" t="s">
        <v>527</v>
      </c>
      <c r="E3" s="141" t="s">
        <v>834</v>
      </c>
      <c r="F3" s="164" t="s">
        <v>835</v>
      </c>
      <c r="G3" s="210" t="s">
        <v>835</v>
      </c>
    </row>
    <row r="4" spans="1:7" ht="15" customHeight="1">
      <c r="A4" s="165"/>
      <c r="B4" s="166" t="s">
        <v>587</v>
      </c>
      <c r="C4" s="144" t="s">
        <v>836</v>
      </c>
      <c r="D4" s="166" t="s">
        <v>587</v>
      </c>
      <c r="E4" s="144" t="s">
        <v>837</v>
      </c>
      <c r="F4" s="166" t="s">
        <v>838</v>
      </c>
      <c r="G4" s="142" t="s">
        <v>839</v>
      </c>
    </row>
    <row r="5" spans="1:7" ht="15" customHeight="1">
      <c r="A5" s="165"/>
      <c r="B5" s="166"/>
      <c r="C5" s="144" t="s">
        <v>840</v>
      </c>
      <c r="D5" s="166"/>
      <c r="E5" s="144" t="s">
        <v>578</v>
      </c>
      <c r="F5" s="166" t="s">
        <v>845</v>
      </c>
      <c r="G5" s="142" t="s">
        <v>841</v>
      </c>
    </row>
    <row r="6" spans="1:7" ht="24" customHeight="1">
      <c r="A6" s="167"/>
      <c r="B6" s="168"/>
      <c r="C6" s="147" t="s">
        <v>884</v>
      </c>
      <c r="D6" s="168"/>
      <c r="E6" s="147" t="s">
        <v>842</v>
      </c>
      <c r="F6" s="168"/>
      <c r="G6" s="145"/>
    </row>
    <row r="7" spans="1:7" ht="22.5" customHeight="1" thickBot="1">
      <c r="A7" s="169">
        <v>1996</v>
      </c>
      <c r="B7" s="636">
        <v>834.29346030999989</v>
      </c>
      <c r="C7" s="637">
        <v>376.29671172369871</v>
      </c>
      <c r="D7" s="636">
        <v>872.50191104999999</v>
      </c>
      <c r="E7" s="637">
        <v>393.53011346722496</v>
      </c>
      <c r="F7" s="638">
        <v>2217116</v>
      </c>
      <c r="G7" s="639">
        <v>150</v>
      </c>
    </row>
    <row r="8" spans="1:7" ht="20" customHeight="1" thickBot="1">
      <c r="A8" s="171">
        <v>1997</v>
      </c>
      <c r="B8" s="640">
        <v>560.57016199999998</v>
      </c>
      <c r="C8" s="332">
        <v>392.67</v>
      </c>
      <c r="D8" s="640">
        <v>621.52611999999999</v>
      </c>
      <c r="E8" s="332">
        <v>435.36</v>
      </c>
      <c r="F8" s="641">
        <v>1427603</v>
      </c>
      <c r="G8" s="642">
        <v>134</v>
      </c>
    </row>
    <row r="9" spans="1:7" ht="20" customHeight="1" thickBot="1">
      <c r="A9" s="171">
        <v>1998</v>
      </c>
      <c r="B9" s="640">
        <v>511.39633099999998</v>
      </c>
      <c r="C9" s="332">
        <v>426.81</v>
      </c>
      <c r="D9" s="640">
        <v>456.36259100000001</v>
      </c>
      <c r="E9" s="332">
        <v>380.88</v>
      </c>
      <c r="F9" s="641">
        <v>1198191</v>
      </c>
      <c r="G9" s="642">
        <v>115</v>
      </c>
    </row>
    <row r="10" spans="1:7" ht="20" customHeight="1" thickBot="1">
      <c r="A10" s="171">
        <v>1999</v>
      </c>
      <c r="B10" s="640">
        <v>464.48300699999999</v>
      </c>
      <c r="C10" s="332">
        <v>435.18</v>
      </c>
      <c r="D10" s="640">
        <v>412.14915300000001</v>
      </c>
      <c r="E10" s="332">
        <v>386.14</v>
      </c>
      <c r="F10" s="641">
        <v>1067344</v>
      </c>
      <c r="G10" s="642">
        <v>109</v>
      </c>
    </row>
    <row r="11" spans="1:7" ht="20" customHeight="1" thickBot="1">
      <c r="A11" s="171">
        <v>2000</v>
      </c>
      <c r="B11" s="640">
        <v>439.22602000000001</v>
      </c>
      <c r="C11" s="332">
        <v>461.5</v>
      </c>
      <c r="D11" s="640">
        <v>381.63992000000002</v>
      </c>
      <c r="E11" s="332">
        <v>400.99</v>
      </c>
      <c r="F11" s="641">
        <v>951742</v>
      </c>
      <c r="G11" s="642">
        <v>102</v>
      </c>
    </row>
    <row r="12" spans="1:7" ht="20" customHeight="1" thickBot="1">
      <c r="A12" s="171">
        <v>2001</v>
      </c>
      <c r="B12" s="640">
        <v>400.71188899999999</v>
      </c>
      <c r="C12" s="332">
        <v>461</v>
      </c>
      <c r="D12" s="640">
        <v>351.97137099999998</v>
      </c>
      <c r="E12" s="332">
        <v>405</v>
      </c>
      <c r="F12" s="641">
        <v>868760</v>
      </c>
      <c r="G12" s="642">
        <v>102</v>
      </c>
    </row>
    <row r="13" spans="1:7" ht="20" customHeight="1" thickBot="1">
      <c r="A13" s="171">
        <v>2002</v>
      </c>
      <c r="B13" s="640">
        <v>371.74367599999999</v>
      </c>
      <c r="C13" s="332">
        <v>472.03</v>
      </c>
      <c r="D13" s="640">
        <v>329.14910600000002</v>
      </c>
      <c r="E13" s="332">
        <v>417.95</v>
      </c>
      <c r="F13" s="641">
        <v>787539</v>
      </c>
      <c r="G13" s="642">
        <v>93</v>
      </c>
    </row>
    <row r="14" spans="1:7" ht="20" customHeight="1" thickBot="1">
      <c r="A14" s="171">
        <v>2003</v>
      </c>
      <c r="B14" s="1675">
        <v>357.14315599999998</v>
      </c>
      <c r="C14" s="1676">
        <v>512.29999999999995</v>
      </c>
      <c r="D14" s="1675">
        <v>309.91303299999998</v>
      </c>
      <c r="E14" s="1676">
        <v>444.55</v>
      </c>
      <c r="F14" s="1677">
        <v>697140</v>
      </c>
      <c r="G14" s="642">
        <v>92</v>
      </c>
    </row>
    <row r="15" spans="1:7" ht="30" customHeight="1" thickBot="1">
      <c r="A15" s="369">
        <v>2004</v>
      </c>
      <c r="B15" s="643">
        <v>356.58952599999998</v>
      </c>
      <c r="C15" s="224">
        <v>573.79999999999995</v>
      </c>
      <c r="D15" s="643">
        <v>277.93515500000001</v>
      </c>
      <c r="E15" s="224">
        <v>447.23</v>
      </c>
      <c r="F15" s="223">
        <v>621454</v>
      </c>
      <c r="G15" s="644">
        <v>93</v>
      </c>
    </row>
    <row r="16" spans="1:7" ht="20" customHeight="1">
      <c r="A16" s="155" t="s">
        <v>146</v>
      </c>
      <c r="B16" s="155"/>
      <c r="C16" s="155"/>
      <c r="D16" s="155"/>
      <c r="E16" s="155"/>
      <c r="F16" s="155"/>
      <c r="G16" s="155"/>
    </row>
    <row r="17" spans="1:7" ht="13.5" customHeight="1">
      <c r="A17" s="4"/>
      <c r="B17" s="4"/>
      <c r="C17" s="4"/>
      <c r="D17" s="4"/>
      <c r="E17" s="4"/>
      <c r="F17" s="4"/>
      <c r="G17" s="4"/>
    </row>
    <row r="18" spans="1:7" ht="15.75" customHeight="1">
      <c r="A18" s="4" t="s">
        <v>843</v>
      </c>
      <c r="B18" s="4"/>
      <c r="C18" s="4"/>
      <c r="D18" s="4"/>
      <c r="E18" s="4"/>
      <c r="F18" s="4"/>
      <c r="G18" s="4"/>
    </row>
    <row r="19" spans="1:7" ht="14.25" customHeight="1">
      <c r="A19" s="4"/>
      <c r="B19" s="4"/>
      <c r="C19" s="4"/>
      <c r="D19" s="4"/>
      <c r="E19" s="4"/>
      <c r="F19" s="4"/>
      <c r="G19" s="4"/>
    </row>
    <row r="20" spans="1:7" ht="12.75" customHeight="1">
      <c r="A20" s="4" t="s">
        <v>844</v>
      </c>
      <c r="B20" s="4"/>
      <c r="C20" s="4"/>
      <c r="D20" s="4"/>
      <c r="E20" s="4"/>
      <c r="F20" s="4"/>
      <c r="G20" s="4"/>
    </row>
    <row r="23" spans="1:7">
      <c r="A23" s="2" t="s">
        <v>104</v>
      </c>
    </row>
  </sheetData>
  <mergeCells count="1">
    <mergeCell ref="A2:F2"/>
  </mergeCells>
  <phoneticPr fontId="0" type="noConversion"/>
  <pageMargins left="0.62" right="0.64" top="1.01" bottom="0.49" header="0.53" footer="0.4921259845"/>
  <pageSetup paperSize="9" scale="86" orientation="portrait" horizontalDpi="4294967292" verticalDpi="4294967292"/>
  <headerFooter alignWithMargins="0">
    <oddHeader>&amp;L&amp;"Arial,Bold"Freiwillige Taggeldversicherung KVG</oddHead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C0951-CDCE-2E4D-A82B-A47366A9A2C3}">
  <sheetPr>
    <pageSetUpPr fitToPage="1"/>
  </sheetPr>
  <dimension ref="A1:K21"/>
  <sheetViews>
    <sheetView zoomScale="75" workbookViewId="0">
      <selection activeCell="I10" sqref="I10"/>
    </sheetView>
  </sheetViews>
  <sheetFormatPr baseColWidth="10" defaultColWidth="11.3984375" defaultRowHeight="13"/>
  <cols>
    <col min="1" max="1" width="16.796875" style="2" customWidth="1"/>
    <col min="2" max="2" width="14.796875" style="2" customWidth="1"/>
    <col min="3" max="3" width="14.796875" style="23" customWidth="1"/>
    <col min="4" max="4" width="14.796875" style="2" customWidth="1"/>
    <col min="5" max="5" width="14.796875" style="23" customWidth="1"/>
    <col min="6" max="6" width="14.796875" style="2" customWidth="1"/>
    <col min="7" max="7" width="15.3984375" style="23" customWidth="1"/>
    <col min="8" max="16384" width="11.3984375" style="2"/>
  </cols>
  <sheetData>
    <row r="1" spans="1:11" s="1" customFormat="1" ht="14" customHeight="1">
      <c r="C1" s="209"/>
      <c r="E1" s="209"/>
      <c r="G1" s="209"/>
    </row>
    <row r="2" spans="1:11" s="1" customFormat="1" ht="28" customHeight="1">
      <c r="A2" s="21" t="s">
        <v>1393</v>
      </c>
      <c r="C2" s="209"/>
      <c r="E2" s="209"/>
      <c r="G2" s="21">
        <v>2004</v>
      </c>
    </row>
    <row r="3" spans="1:11" ht="24" customHeight="1">
      <c r="A3" s="139" t="s">
        <v>1250</v>
      </c>
      <c r="B3" s="164" t="s">
        <v>925</v>
      </c>
      <c r="C3" s="210" t="s">
        <v>451</v>
      </c>
      <c r="D3" s="164" t="s">
        <v>926</v>
      </c>
      <c r="E3" s="210" t="s">
        <v>451</v>
      </c>
      <c r="F3" s="164" t="s">
        <v>529</v>
      </c>
      <c r="G3" s="210" t="s">
        <v>451</v>
      </c>
    </row>
    <row r="4" spans="1:11" ht="15" customHeight="1">
      <c r="A4" s="165"/>
      <c r="B4" s="166" t="s">
        <v>529</v>
      </c>
      <c r="C4" s="142" t="s">
        <v>486</v>
      </c>
      <c r="D4" s="166" t="s">
        <v>927</v>
      </c>
      <c r="E4" s="142" t="s">
        <v>486</v>
      </c>
      <c r="F4" s="166" t="s">
        <v>928</v>
      </c>
      <c r="G4" s="142" t="s">
        <v>486</v>
      </c>
    </row>
    <row r="5" spans="1:11" ht="15" customHeight="1">
      <c r="A5" s="165"/>
      <c r="B5" s="166" t="s">
        <v>929</v>
      </c>
      <c r="C5" s="142" t="s">
        <v>454</v>
      </c>
      <c r="D5" s="166" t="s">
        <v>930</v>
      </c>
      <c r="E5" s="142" t="s">
        <v>454</v>
      </c>
      <c r="F5" s="166" t="s">
        <v>533</v>
      </c>
      <c r="G5" s="142" t="s">
        <v>454</v>
      </c>
    </row>
    <row r="6" spans="1:11" ht="24" customHeight="1">
      <c r="A6" s="167"/>
      <c r="B6" s="168"/>
      <c r="C6" s="145"/>
      <c r="D6" s="168" t="s">
        <v>1394</v>
      </c>
      <c r="E6" s="145"/>
      <c r="F6" s="168"/>
      <c r="G6" s="145"/>
    </row>
    <row r="7" spans="1:11" ht="22.5" customHeight="1" thickBot="1">
      <c r="A7" s="169">
        <v>1996</v>
      </c>
      <c r="B7" s="149">
        <v>842626041.5999999</v>
      </c>
      <c r="C7" s="329">
        <v>-0.22395165786377283</v>
      </c>
      <c r="D7" s="149">
        <v>918792074.10000002</v>
      </c>
      <c r="E7" s="329">
        <v>-0.174100182026726</v>
      </c>
      <c r="F7" s="149">
        <v>-76164233.309999987</v>
      </c>
      <c r="G7" s="329">
        <v>-1.8543740517491432</v>
      </c>
      <c r="I7" s="10"/>
      <c r="J7" s="10"/>
      <c r="K7" s="10"/>
    </row>
    <row r="8" spans="1:11" ht="20" customHeight="1" thickBot="1">
      <c r="A8" s="171">
        <v>1997</v>
      </c>
      <c r="B8" s="153">
        <v>582586264.20000005</v>
      </c>
      <c r="C8" s="331">
        <v>-0.30860638594343665</v>
      </c>
      <c r="D8" s="153">
        <v>600844654.99000001</v>
      </c>
      <c r="E8" s="331">
        <v>-0.34604937076916387</v>
      </c>
      <c r="F8" s="153">
        <v>-18258290.829999998</v>
      </c>
      <c r="G8" s="331">
        <v>0.76027736331716245</v>
      </c>
    </row>
    <row r="9" spans="1:11" ht="20" customHeight="1" thickBot="1">
      <c r="A9" s="171">
        <v>1998</v>
      </c>
      <c r="B9" s="153">
        <v>506597985.24000001</v>
      </c>
      <c r="C9" s="331">
        <v>-0.13043266487641306</v>
      </c>
      <c r="D9" s="153">
        <v>466707907.44999999</v>
      </c>
      <c r="E9" s="331">
        <v>-0.22324696812395292</v>
      </c>
      <c r="F9" s="153">
        <v>39890107.789999999</v>
      </c>
      <c r="G9" s="331">
        <v>3.1847668087561076</v>
      </c>
    </row>
    <row r="10" spans="1:11" ht="20" customHeight="1" thickBot="1">
      <c r="A10" s="171">
        <v>1999</v>
      </c>
      <c r="B10" s="153">
        <v>464005598.98000002</v>
      </c>
      <c r="C10" s="331">
        <v>-8.4075317117224449E-2</v>
      </c>
      <c r="D10" s="153">
        <v>422158429.66000003</v>
      </c>
      <c r="E10" s="331">
        <v>-9.5454731061681661E-2</v>
      </c>
      <c r="F10" s="153">
        <v>41847169.719999999</v>
      </c>
      <c r="G10" s="331">
        <v>4.9061334712427351E-2</v>
      </c>
    </row>
    <row r="11" spans="1:11" ht="20" customHeight="1" thickBot="1">
      <c r="A11" s="171">
        <v>2000</v>
      </c>
      <c r="B11" s="153">
        <v>458973777.85000002</v>
      </c>
      <c r="C11" s="331">
        <v>-1.0844311234737667E-2</v>
      </c>
      <c r="D11" s="153">
        <v>416527371.23000002</v>
      </c>
      <c r="E11" s="331">
        <v>-1.3338732651945802E-2</v>
      </c>
      <c r="F11" s="153">
        <v>42446406.640000001</v>
      </c>
      <c r="G11" s="331">
        <v>1.4319652296905794E-2</v>
      </c>
    </row>
    <row r="12" spans="1:11" ht="20" customHeight="1" thickBot="1">
      <c r="A12" s="171">
        <v>2001</v>
      </c>
      <c r="B12" s="153">
        <v>405199385</v>
      </c>
      <c r="C12" s="331">
        <v>-0.11716223332387053</v>
      </c>
      <c r="D12" s="153">
        <v>389159830</v>
      </c>
      <c r="E12" s="331">
        <v>-6.5704064415224431E-2</v>
      </c>
      <c r="F12" s="153">
        <v>16039555</v>
      </c>
      <c r="G12" s="331">
        <v>-0.62212219432292559</v>
      </c>
    </row>
    <row r="13" spans="1:11" ht="20" customHeight="1" thickBot="1">
      <c r="A13" s="171">
        <v>2002</v>
      </c>
      <c r="B13" s="153">
        <v>372184863.34999996</v>
      </c>
      <c r="C13" s="331">
        <v>-8.147722546518682E-2</v>
      </c>
      <c r="D13" s="153">
        <v>361726442.44999999</v>
      </c>
      <c r="E13" s="331">
        <v>-7.0493883065988625E-2</v>
      </c>
      <c r="F13" s="153">
        <v>10458420.890000001</v>
      </c>
      <c r="G13" s="331">
        <v>-0.34796065788608221</v>
      </c>
    </row>
    <row r="14" spans="1:11" ht="20" customHeight="1" thickBot="1">
      <c r="A14" s="171">
        <v>2003</v>
      </c>
      <c r="B14" s="153">
        <v>364678826.25</v>
      </c>
      <c r="C14" s="331">
        <v>-2.0167496959545454E-2</v>
      </c>
      <c r="D14" s="153">
        <v>338730046.06999999</v>
      </c>
      <c r="E14" s="331">
        <v>-6.3573998694272105E-2</v>
      </c>
      <c r="F14" s="153">
        <v>25948780.16</v>
      </c>
      <c r="G14" s="331">
        <v>1.4811374903463079</v>
      </c>
    </row>
    <row r="15" spans="1:11" ht="30" customHeight="1" thickBot="1">
      <c r="A15" s="369">
        <v>2004</v>
      </c>
      <c r="B15" s="218">
        <v>363267822.86999995</v>
      </c>
      <c r="C15" s="413">
        <v>-3.8691672738706334E-3</v>
      </c>
      <c r="D15" s="218">
        <v>315178869.18000001</v>
      </c>
      <c r="E15" s="413">
        <v>-6.9527864927379474E-2</v>
      </c>
      <c r="F15" s="218">
        <v>48088953.700000003</v>
      </c>
      <c r="G15" s="413">
        <v>0.85322598609583356</v>
      </c>
    </row>
    <row r="16" spans="1:11" ht="20" customHeight="1">
      <c r="A16" s="155" t="s">
        <v>146</v>
      </c>
      <c r="B16" s="155"/>
      <c r="C16" s="213"/>
      <c r="D16" s="155"/>
      <c r="E16" s="213"/>
      <c r="F16" s="155"/>
      <c r="G16" s="213"/>
    </row>
    <row r="17" spans="1:7" ht="15.75" customHeight="1">
      <c r="A17" s="4"/>
      <c r="B17" s="4"/>
      <c r="C17" s="214"/>
      <c r="D17" s="4"/>
      <c r="E17" s="214"/>
      <c r="F17" s="4"/>
      <c r="G17" s="214"/>
    </row>
    <row r="18" spans="1:7" ht="15.75" customHeight="1">
      <c r="A18" s="4" t="s">
        <v>1395</v>
      </c>
      <c r="B18" s="4"/>
      <c r="C18" s="214"/>
      <c r="D18" s="4"/>
      <c r="E18" s="214"/>
      <c r="F18" s="4"/>
      <c r="G18" s="214"/>
    </row>
    <row r="21" spans="1:7">
      <c r="A21" s="2" t="s">
        <v>104</v>
      </c>
    </row>
  </sheetData>
  <phoneticPr fontId="0" type="noConversion"/>
  <pageMargins left="0.57999999999999996" right="0.65" top="0.96" bottom="0.49" header="0.49" footer="0.4921259845"/>
  <pageSetup paperSize="9" scale="86" orientation="portrait" horizontalDpi="4294967292" verticalDpi="4294967292"/>
  <headerFooter alignWithMargins="0">
    <oddHeader>&amp;L&amp;"Arial,Bold"Freiwillige Taggeldversicherung KVG</oddHeader>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CEE76-57A3-AC4C-9DA7-EE189C566F4A}">
  <sheetPr>
    <pageSetUpPr fitToPage="1"/>
  </sheetPr>
  <dimension ref="A1:H38"/>
  <sheetViews>
    <sheetView topLeftCell="A18" zoomScale="75" workbookViewId="0">
      <selection activeCell="I15" sqref="I15"/>
    </sheetView>
  </sheetViews>
  <sheetFormatPr baseColWidth="10" defaultColWidth="11.3984375" defaultRowHeight="13"/>
  <cols>
    <col min="1" max="1" width="33.796875" style="2" customWidth="1"/>
    <col min="2" max="3" width="17.59765625" style="2" customWidth="1"/>
    <col min="4" max="4" width="17.59765625" style="219" customWidth="1"/>
    <col min="5" max="5" width="17.59765625" style="342" customWidth="1"/>
    <col min="6" max="6" width="11.3984375" style="2"/>
    <col min="7" max="7" width="14.796875" style="2" hidden="1" customWidth="1"/>
    <col min="8" max="8" width="14.3984375" style="2" hidden="1" customWidth="1"/>
    <col min="9" max="16384" width="11.3984375" style="2"/>
  </cols>
  <sheetData>
    <row r="1" spans="1:8" s="1" customFormat="1" ht="14" customHeight="1">
      <c r="D1" s="20"/>
      <c r="E1" s="320"/>
    </row>
    <row r="2" spans="1:8" s="1" customFormat="1" ht="40.5" customHeight="1">
      <c r="A2" s="1715" t="s">
        <v>1292</v>
      </c>
      <c r="B2" s="1716"/>
      <c r="C2" s="1716"/>
      <c r="D2" s="1716"/>
      <c r="E2" s="21">
        <v>2004</v>
      </c>
    </row>
    <row r="3" spans="1:8" ht="24" customHeight="1">
      <c r="A3" s="139" t="s">
        <v>1277</v>
      </c>
      <c r="B3" s="164" t="s">
        <v>1278</v>
      </c>
      <c r="C3" s="141" t="s">
        <v>1279</v>
      </c>
      <c r="D3" s="321" t="s">
        <v>652</v>
      </c>
      <c r="E3" s="322" t="s">
        <v>451</v>
      </c>
    </row>
    <row r="4" spans="1:8" ht="15" customHeight="1">
      <c r="A4" s="165"/>
      <c r="B4" s="166" t="s">
        <v>1280</v>
      </c>
      <c r="C4" s="144" t="s">
        <v>1280</v>
      </c>
      <c r="D4" s="323"/>
      <c r="E4" s="324" t="s">
        <v>486</v>
      </c>
    </row>
    <row r="5" spans="1:8" ht="15" customHeight="1">
      <c r="A5" s="165"/>
      <c r="B5" s="166" t="s">
        <v>1281</v>
      </c>
      <c r="C5" s="144" t="s">
        <v>1281</v>
      </c>
      <c r="D5" s="323"/>
      <c r="E5" s="324" t="s">
        <v>454</v>
      </c>
    </row>
    <row r="6" spans="1:8" ht="24" customHeight="1">
      <c r="A6" s="167"/>
      <c r="B6" s="168"/>
      <c r="C6" s="147"/>
      <c r="D6" s="325"/>
      <c r="E6" s="326"/>
      <c r="G6" s="327" t="s">
        <v>1282</v>
      </c>
      <c r="H6" s="327" t="s">
        <v>1283</v>
      </c>
    </row>
    <row r="7" spans="1:8" ht="30" customHeight="1" thickBot="1">
      <c r="A7" s="328" t="s">
        <v>1284</v>
      </c>
      <c r="B7" s="149">
        <v>90</v>
      </c>
      <c r="C7" s="225">
        <v>55</v>
      </c>
      <c r="D7" s="319">
        <v>93</v>
      </c>
      <c r="E7" s="329">
        <v>1.0869565217391304E-2</v>
      </c>
      <c r="F7" s="9"/>
      <c r="G7" s="330">
        <v>109</v>
      </c>
      <c r="H7" s="330">
        <v>109</v>
      </c>
    </row>
    <row r="8" spans="1:8" ht="25.5" customHeight="1" thickBot="1">
      <c r="A8" s="333" t="s">
        <v>1397</v>
      </c>
      <c r="B8" s="153"/>
      <c r="C8" s="228"/>
      <c r="D8" s="173"/>
      <c r="E8" s="331" t="s">
        <v>106</v>
      </c>
      <c r="G8" s="153"/>
      <c r="H8" s="153"/>
    </row>
    <row r="9" spans="1:8" ht="20" customHeight="1" thickBot="1">
      <c r="A9" s="332" t="s">
        <v>450</v>
      </c>
      <c r="B9" s="153">
        <v>171138</v>
      </c>
      <c r="C9" s="228">
        <v>142004</v>
      </c>
      <c r="D9" s="173">
        <v>313142</v>
      </c>
      <c r="E9" s="331">
        <v>-0.12714734486016999</v>
      </c>
      <c r="G9" s="153">
        <v>747913</v>
      </c>
      <c r="H9" s="153">
        <v>541989</v>
      </c>
    </row>
    <row r="10" spans="1:8" ht="20" customHeight="1" thickBot="1">
      <c r="A10" s="332" t="s">
        <v>452</v>
      </c>
      <c r="B10" s="153">
        <v>213721</v>
      </c>
      <c r="C10" s="228">
        <v>94592</v>
      </c>
      <c r="D10" s="173">
        <v>308313</v>
      </c>
      <c r="E10" s="331">
        <v>-8.8866494869733789E-2</v>
      </c>
      <c r="G10" s="153">
        <v>671493</v>
      </c>
      <c r="H10" s="153">
        <v>525355</v>
      </c>
    </row>
    <row r="11" spans="1:8" ht="20" customHeight="1" thickBot="1">
      <c r="A11" s="332" t="s">
        <v>652</v>
      </c>
      <c r="B11" s="153">
        <v>384858</v>
      </c>
      <c r="C11" s="228">
        <v>236595</v>
      </c>
      <c r="D11" s="173">
        <v>621454</v>
      </c>
      <c r="E11" s="331">
        <v>-0.10856642855093668</v>
      </c>
      <c r="G11" s="153">
        <v>1419406</v>
      </c>
      <c r="H11" s="153">
        <v>1067344</v>
      </c>
    </row>
    <row r="12" spans="1:8" ht="24" customHeight="1" thickBot="1">
      <c r="A12" s="333" t="s">
        <v>1286</v>
      </c>
      <c r="B12" s="153"/>
      <c r="C12" s="228"/>
      <c r="D12" s="173"/>
      <c r="E12" s="331" t="s">
        <v>106</v>
      </c>
      <c r="G12" s="153"/>
      <c r="H12" s="153"/>
    </row>
    <row r="13" spans="1:8" ht="20" customHeight="1" thickBot="1">
      <c r="A13" s="332" t="s">
        <v>450</v>
      </c>
      <c r="B13" s="153">
        <v>54624955</v>
      </c>
      <c r="C13" s="228">
        <v>189263381</v>
      </c>
      <c r="D13" s="173">
        <v>243888339</v>
      </c>
      <c r="E13" s="331">
        <v>1.7632313776670658E-2</v>
      </c>
      <c r="G13" s="153">
        <v>346254879</v>
      </c>
      <c r="H13" s="153">
        <v>346254879</v>
      </c>
    </row>
    <row r="14" spans="1:8" ht="20" customHeight="1" thickBot="1">
      <c r="A14" s="332" t="s">
        <v>452</v>
      </c>
      <c r="B14" s="153">
        <v>36952451</v>
      </c>
      <c r="C14" s="228">
        <v>75748739</v>
      </c>
      <c r="D14" s="173">
        <v>112701188</v>
      </c>
      <c r="E14" s="331">
        <v>-4.0682751571720896E-2</v>
      </c>
      <c r="G14" s="153">
        <v>118228128</v>
      </c>
      <c r="H14" s="153">
        <v>118228128</v>
      </c>
    </row>
    <row r="15" spans="1:8" ht="20" customHeight="1" thickBot="1">
      <c r="A15" s="332" t="s">
        <v>652</v>
      </c>
      <c r="B15" s="153">
        <v>91577406</v>
      </c>
      <c r="C15" s="228">
        <v>265012122</v>
      </c>
      <c r="D15" s="173">
        <v>356589526</v>
      </c>
      <c r="E15" s="331">
        <v>-1.5501627028238502E-3</v>
      </c>
      <c r="G15" s="153">
        <v>464483007</v>
      </c>
      <c r="H15" s="153">
        <v>464483007</v>
      </c>
    </row>
    <row r="16" spans="1:8" ht="24" customHeight="1" thickBot="1">
      <c r="A16" s="333" t="s">
        <v>1287</v>
      </c>
      <c r="B16" s="153"/>
      <c r="C16" s="228"/>
      <c r="D16" s="173"/>
      <c r="E16" s="331" t="s">
        <v>106</v>
      </c>
      <c r="G16" s="153"/>
      <c r="H16" s="153"/>
    </row>
    <row r="17" spans="1:8" ht="20" customHeight="1" thickBot="1">
      <c r="A17" s="332" t="s">
        <v>450</v>
      </c>
      <c r="B17" s="153">
        <v>319.19</v>
      </c>
      <c r="C17" s="228">
        <v>1332.8</v>
      </c>
      <c r="D17" s="173">
        <v>778.84</v>
      </c>
      <c r="E17" s="331">
        <v>0.1658583318364171</v>
      </c>
      <c r="G17" s="153">
        <v>462.96</v>
      </c>
      <c r="H17" s="153">
        <v>638.86</v>
      </c>
    </row>
    <row r="18" spans="1:8" ht="20" customHeight="1" thickBot="1">
      <c r="A18" s="332" t="s">
        <v>452</v>
      </c>
      <c r="B18" s="153">
        <v>172.9</v>
      </c>
      <c r="C18" s="228">
        <v>800.79</v>
      </c>
      <c r="D18" s="173">
        <v>365.54</v>
      </c>
      <c r="E18" s="331">
        <v>5.2883230600841102E-2</v>
      </c>
      <c r="G18" s="153">
        <v>176.07</v>
      </c>
      <c r="H18" s="153">
        <v>225.04</v>
      </c>
    </row>
    <row r="19" spans="1:8" ht="20" customHeight="1" thickBot="1">
      <c r="A19" s="332" t="s">
        <v>652</v>
      </c>
      <c r="B19" s="153">
        <v>237.95</v>
      </c>
      <c r="C19" s="228">
        <v>1120.1099999999999</v>
      </c>
      <c r="D19" s="173">
        <v>573.79999999999995</v>
      </c>
      <c r="E19" s="331">
        <v>0.12004684755026353</v>
      </c>
      <c r="G19" s="153">
        <v>327.24</v>
      </c>
      <c r="H19" s="153">
        <v>435.18</v>
      </c>
    </row>
    <row r="20" spans="1:8" ht="24" customHeight="1" thickBot="1">
      <c r="A20" s="333" t="s">
        <v>1288</v>
      </c>
      <c r="B20" s="153"/>
      <c r="C20" s="228"/>
      <c r="D20" s="173"/>
      <c r="E20" s="331" t="s">
        <v>106</v>
      </c>
      <c r="G20" s="153"/>
      <c r="H20" s="153"/>
    </row>
    <row r="21" spans="1:8" ht="20" customHeight="1" thickBot="1">
      <c r="A21" s="332" t="s">
        <v>450</v>
      </c>
      <c r="B21" s="153">
        <v>47583013</v>
      </c>
      <c r="C21" s="228">
        <v>151127497</v>
      </c>
      <c r="D21" s="173">
        <v>198710511</v>
      </c>
      <c r="E21" s="331">
        <v>-0.10434058307616151</v>
      </c>
      <c r="G21" s="153">
        <v>297772901</v>
      </c>
      <c r="H21" s="153">
        <v>297772901</v>
      </c>
    </row>
    <row r="22" spans="1:8" ht="20" customHeight="1" thickBot="1">
      <c r="A22" s="332" t="s">
        <v>452</v>
      </c>
      <c r="B22" s="153">
        <v>26100066</v>
      </c>
      <c r="C22" s="228">
        <v>53124578</v>
      </c>
      <c r="D22" s="173">
        <v>79224646</v>
      </c>
      <c r="E22" s="331">
        <v>-0.10026774607006325</v>
      </c>
      <c r="G22" s="153">
        <v>114376252</v>
      </c>
      <c r="H22" s="153">
        <v>114376252</v>
      </c>
    </row>
    <row r="23" spans="1:8" ht="20" customHeight="1" thickBot="1">
      <c r="A23" s="332" t="s">
        <v>652</v>
      </c>
      <c r="B23" s="153">
        <v>73683077</v>
      </c>
      <c r="C23" s="228">
        <v>204252076</v>
      </c>
      <c r="D23" s="173">
        <v>277935155</v>
      </c>
      <c r="E23" s="331">
        <v>-0.10318339209696935</v>
      </c>
      <c r="G23" s="153">
        <v>412149153</v>
      </c>
      <c r="H23" s="153">
        <v>412149153</v>
      </c>
    </row>
    <row r="24" spans="1:8" ht="24" customHeight="1" thickBot="1">
      <c r="A24" s="334" t="s">
        <v>1289</v>
      </c>
      <c r="B24" s="153">
        <v>1646233</v>
      </c>
      <c r="C24" s="228">
        <v>13382956</v>
      </c>
      <c r="D24" s="173">
        <v>15029189</v>
      </c>
      <c r="E24" s="331">
        <v>-2.2777280289882136E-2</v>
      </c>
      <c r="G24" s="317">
        <v>21005933</v>
      </c>
      <c r="H24" s="317">
        <v>21005933</v>
      </c>
    </row>
    <row r="25" spans="1:8" ht="24" customHeight="1" thickBot="1">
      <c r="A25" s="333" t="s">
        <v>1290</v>
      </c>
      <c r="B25" s="153"/>
      <c r="C25" s="228"/>
      <c r="D25" s="173"/>
      <c r="E25" s="331" t="s">
        <v>106</v>
      </c>
      <c r="G25" s="153"/>
      <c r="H25" s="153"/>
    </row>
    <row r="26" spans="1:8" ht="20" customHeight="1" thickBot="1">
      <c r="A26" s="332" t="s">
        <v>450</v>
      </c>
      <c r="B26" s="153">
        <v>278.04000000000002</v>
      </c>
      <c r="C26" s="228">
        <v>1064.25</v>
      </c>
      <c r="D26" s="173">
        <v>634.57000000000005</v>
      </c>
      <c r="E26" s="331">
        <v>2.6131530861402762E-2</v>
      </c>
      <c r="G26" s="153">
        <v>398.14</v>
      </c>
      <c r="H26" s="153">
        <v>549.41</v>
      </c>
    </row>
    <row r="27" spans="1:8" ht="20" customHeight="1" thickBot="1">
      <c r="A27" s="332" t="s">
        <v>452</v>
      </c>
      <c r="B27" s="153">
        <v>122.12</v>
      </c>
      <c r="C27" s="228">
        <v>561.62</v>
      </c>
      <c r="D27" s="173">
        <v>256.95999999999998</v>
      </c>
      <c r="E27" s="331">
        <v>-1.2527861040658088E-2</v>
      </c>
      <c r="G27" s="153">
        <v>170.33</v>
      </c>
      <c r="H27" s="153">
        <v>217.71</v>
      </c>
    </row>
    <row r="28" spans="1:8" ht="30" customHeight="1" thickBot="1">
      <c r="A28" s="335" t="s">
        <v>652</v>
      </c>
      <c r="B28" s="317">
        <v>191.46</v>
      </c>
      <c r="C28" s="318">
        <v>863.3</v>
      </c>
      <c r="D28" s="218">
        <v>447.23</v>
      </c>
      <c r="E28" s="336">
        <v>6.0285682150489411E-3</v>
      </c>
      <c r="G28" s="337">
        <v>290.37</v>
      </c>
      <c r="H28" s="337">
        <v>386.14</v>
      </c>
    </row>
    <row r="29" spans="1:8" ht="20" customHeight="1">
      <c r="A29" s="155" t="s">
        <v>146</v>
      </c>
      <c r="B29" s="155"/>
      <c r="C29" s="155"/>
      <c r="D29" s="338"/>
      <c r="E29" s="339"/>
    </row>
    <row r="30" spans="1:8" ht="14.25" customHeight="1">
      <c r="A30" s="4"/>
      <c r="B30" s="4"/>
      <c r="C30" s="4"/>
      <c r="D30" s="340"/>
      <c r="E30" s="341"/>
    </row>
    <row r="31" spans="1:8" ht="14.25" customHeight="1">
      <c r="A31" s="4" t="s">
        <v>1291</v>
      </c>
      <c r="B31" s="4"/>
      <c r="C31" s="4"/>
      <c r="D31" s="340"/>
      <c r="E31" s="341"/>
    </row>
    <row r="32" spans="1:8" ht="14.25" customHeight="1">
      <c r="A32" s="4"/>
      <c r="B32" s="4"/>
      <c r="C32" s="4"/>
      <c r="D32" s="340"/>
      <c r="E32" s="341"/>
    </row>
    <row r="33" spans="1:1">
      <c r="A33" s="4" t="s">
        <v>1270</v>
      </c>
    </row>
    <row r="34" spans="1:1">
      <c r="A34" s="2" t="s">
        <v>1271</v>
      </c>
    </row>
    <row r="35" spans="1:1">
      <c r="A35" s="2" t="s">
        <v>1396</v>
      </c>
    </row>
    <row r="38" spans="1:1">
      <c r="A38" s="2" t="s">
        <v>104</v>
      </c>
    </row>
  </sheetData>
  <mergeCells count="1">
    <mergeCell ref="A2:D2"/>
  </mergeCells>
  <phoneticPr fontId="0" type="noConversion"/>
  <pageMargins left="0.56999999999999995" right="0.56000000000000005" top="0.96" bottom="0.49" header="0.56000000000000005" footer="0.4921259845"/>
  <pageSetup paperSize="9" scale="89" orientation="portrait" horizontalDpi="1200" verticalDpi="1200"/>
  <headerFooter alignWithMargins="0">
    <oddHeader>&amp;L&amp;"Arial,Bold"Freiwillige Taggeldversicherung KVG</oddHeader>
  </headerFooter>
  <legacyDrawing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4871C-D40C-5245-B9D2-D1AC798EBC51}">
  <dimension ref="A1:E37"/>
  <sheetViews>
    <sheetView zoomScale="75" workbookViewId="0">
      <selection activeCell="E3" sqref="E3"/>
    </sheetView>
  </sheetViews>
  <sheetFormatPr baseColWidth="10" defaultColWidth="11.3984375" defaultRowHeight="13"/>
  <cols>
    <col min="1" max="1" width="8.796875" style="2" customWidth="1"/>
    <col min="2" max="2" width="48.796875" style="23" customWidth="1"/>
    <col min="3" max="3" width="16.796875" style="2" customWidth="1"/>
    <col min="4" max="4" width="16.796875" style="9" customWidth="1"/>
    <col min="5" max="5" width="16.796875" style="315" customWidth="1"/>
    <col min="6" max="16384" width="11.3984375" style="2"/>
  </cols>
  <sheetData>
    <row r="1" spans="1:5" s="1" customFormat="1" ht="14" customHeight="1">
      <c r="B1" s="209"/>
      <c r="D1" s="192"/>
      <c r="E1" s="304"/>
    </row>
    <row r="2" spans="1:5" s="1" customFormat="1" ht="28" customHeight="1">
      <c r="A2" s="21" t="s">
        <v>1275</v>
      </c>
      <c r="B2" s="209"/>
      <c r="D2" s="192"/>
      <c r="E2" s="21">
        <v>2004</v>
      </c>
    </row>
    <row r="3" spans="1:5" ht="39" customHeight="1">
      <c r="A3" s="316" t="s">
        <v>1127</v>
      </c>
      <c r="B3" s="210"/>
      <c r="C3" s="164" t="s">
        <v>1128</v>
      </c>
      <c r="D3" s="194" t="s">
        <v>1129</v>
      </c>
      <c r="E3" s="305" t="s">
        <v>652</v>
      </c>
    </row>
    <row r="4" spans="1:5" ht="38" customHeight="1">
      <c r="A4" s="306"/>
      <c r="B4" s="307"/>
      <c r="C4" s="168" t="s">
        <v>884</v>
      </c>
      <c r="D4" s="200" t="s">
        <v>884</v>
      </c>
      <c r="E4" s="308" t="s">
        <v>884</v>
      </c>
    </row>
    <row r="5" spans="1:5" ht="30" customHeight="1" thickBot="1">
      <c r="A5" s="148">
        <v>60</v>
      </c>
      <c r="B5" s="148" t="s">
        <v>526</v>
      </c>
      <c r="C5" s="149">
        <v>330096527.83999997</v>
      </c>
      <c r="D5" s="225">
        <v>26493000.190000001</v>
      </c>
      <c r="E5" s="319">
        <v>356589528.02999997</v>
      </c>
    </row>
    <row r="6" spans="1:5" ht="20" customHeight="1" thickBot="1">
      <c r="A6" s="152">
        <v>64</v>
      </c>
      <c r="B6" s="152" t="s">
        <v>1130</v>
      </c>
      <c r="C6" s="153">
        <v>-2691430.34</v>
      </c>
      <c r="D6" s="228">
        <v>-312880.99</v>
      </c>
      <c r="E6" s="173">
        <v>-3004311.33</v>
      </c>
    </row>
    <row r="7" spans="1:5" ht="20" customHeight="1" thickBot="1">
      <c r="A7" s="152">
        <v>65</v>
      </c>
      <c r="B7" s="152" t="s">
        <v>1131</v>
      </c>
      <c r="C7" s="153">
        <v>465369.27</v>
      </c>
      <c r="D7" s="228">
        <v>3162.87</v>
      </c>
      <c r="E7" s="173">
        <v>468532.14</v>
      </c>
    </row>
    <row r="8" spans="1:5" ht="27" customHeight="1" thickBot="1">
      <c r="A8" s="186" t="s">
        <v>1132</v>
      </c>
      <c r="B8" s="186" t="s">
        <v>1133</v>
      </c>
      <c r="C8" s="153">
        <v>327870466.75999999</v>
      </c>
      <c r="D8" s="228">
        <v>26183282.07</v>
      </c>
      <c r="E8" s="173">
        <v>354053748.82999998</v>
      </c>
    </row>
    <row r="9" spans="1:5" ht="20" customHeight="1" thickBot="1">
      <c r="A9" s="152">
        <v>66</v>
      </c>
      <c r="B9" s="152" t="s">
        <v>1134</v>
      </c>
      <c r="C9" s="153">
        <v>-2933077.3</v>
      </c>
      <c r="D9" s="228">
        <v>-139505.06</v>
      </c>
      <c r="E9" s="173">
        <v>-3072582.36</v>
      </c>
    </row>
    <row r="10" spans="1:5" ht="27" customHeight="1" thickBot="1">
      <c r="A10" s="186" t="s">
        <v>1135</v>
      </c>
      <c r="B10" s="186" t="s">
        <v>1136</v>
      </c>
      <c r="C10" s="153">
        <v>324937389.45999998</v>
      </c>
      <c r="D10" s="228">
        <v>26043777.010000002</v>
      </c>
      <c r="E10" s="173">
        <v>350981166.47000003</v>
      </c>
    </row>
    <row r="11" spans="1:5" ht="20" customHeight="1" thickBot="1">
      <c r="A11" s="152">
        <v>67</v>
      </c>
      <c r="B11" s="152" t="s">
        <v>1137</v>
      </c>
      <c r="C11" s="153">
        <v>19622441.329999998</v>
      </c>
      <c r="D11" s="228">
        <v>93627.83</v>
      </c>
      <c r="E11" s="173">
        <v>19716069.16</v>
      </c>
    </row>
    <row r="12" spans="1:5" ht="20" customHeight="1" thickBot="1">
      <c r="A12" s="152">
        <v>68</v>
      </c>
      <c r="B12" s="152" t="s">
        <v>1138</v>
      </c>
      <c r="C12" s="153">
        <v>-19402115.030000001</v>
      </c>
      <c r="D12" s="228">
        <v>-29284.080000000002</v>
      </c>
      <c r="E12" s="173">
        <v>-19431399.109999999</v>
      </c>
    </row>
    <row r="13" spans="1:5" ht="20" customHeight="1" thickBot="1">
      <c r="A13" s="152">
        <v>69</v>
      </c>
      <c r="B13" s="152" t="s">
        <v>1139</v>
      </c>
      <c r="C13" s="153">
        <v>4319824.51</v>
      </c>
      <c r="D13" s="228">
        <v>58130.51</v>
      </c>
      <c r="E13" s="173">
        <v>4377955.0199999996</v>
      </c>
    </row>
    <row r="14" spans="1:5" ht="27" customHeight="1" thickBot="1">
      <c r="A14" s="186">
        <v>6</v>
      </c>
      <c r="B14" s="186" t="s">
        <v>1140</v>
      </c>
      <c r="C14" s="153">
        <v>329477540.25999999</v>
      </c>
      <c r="D14" s="228">
        <v>26166251.27</v>
      </c>
      <c r="E14" s="173">
        <v>355643791.52999997</v>
      </c>
    </row>
    <row r="15" spans="1:5" ht="20" customHeight="1" thickBot="1">
      <c r="A15" s="152">
        <v>30</v>
      </c>
      <c r="B15" s="152" t="s">
        <v>527</v>
      </c>
      <c r="C15" s="153">
        <v>253864706.74000001</v>
      </c>
      <c r="D15" s="228">
        <v>24070447.510000002</v>
      </c>
      <c r="E15" s="173">
        <v>277935154.25</v>
      </c>
    </row>
    <row r="16" spans="1:5" ht="20" customHeight="1" thickBot="1">
      <c r="A16" s="152">
        <v>32</v>
      </c>
      <c r="B16" s="152" t="s">
        <v>1141</v>
      </c>
      <c r="C16" s="153">
        <v>0</v>
      </c>
      <c r="D16" s="228">
        <v>0</v>
      </c>
      <c r="E16" s="173">
        <v>0</v>
      </c>
    </row>
    <row r="17" spans="1:5" ht="27" customHeight="1" thickBot="1">
      <c r="A17" s="186" t="s">
        <v>1142</v>
      </c>
      <c r="B17" s="186" t="s">
        <v>1143</v>
      </c>
      <c r="C17" s="153">
        <v>253864706.74000001</v>
      </c>
      <c r="D17" s="228">
        <v>24070447.510000002</v>
      </c>
      <c r="E17" s="173">
        <v>277935154.25</v>
      </c>
    </row>
    <row r="18" spans="1:5" ht="20" customHeight="1" thickBot="1">
      <c r="A18" s="152">
        <v>34</v>
      </c>
      <c r="B18" s="152" t="s">
        <v>1144</v>
      </c>
      <c r="C18" s="153">
        <v>956568.14</v>
      </c>
      <c r="D18" s="228">
        <v>30841.05</v>
      </c>
      <c r="E18" s="173">
        <v>987409.19</v>
      </c>
    </row>
    <row r="19" spans="1:5" ht="20" customHeight="1" thickBot="1">
      <c r="A19" s="152">
        <v>35</v>
      </c>
      <c r="B19" s="152" t="s">
        <v>1145</v>
      </c>
      <c r="C19" s="153">
        <v>-2185101.88</v>
      </c>
      <c r="D19" s="228">
        <v>-392042.75</v>
      </c>
      <c r="E19" s="173">
        <v>-2577144.63</v>
      </c>
    </row>
    <row r="20" spans="1:5" ht="27" customHeight="1" thickBot="1">
      <c r="A20" s="186" t="s">
        <v>1146</v>
      </c>
      <c r="B20" s="186" t="s">
        <v>1147</v>
      </c>
      <c r="C20" s="153">
        <v>252636172.99000001</v>
      </c>
      <c r="D20" s="228">
        <v>23709245.800000001</v>
      </c>
      <c r="E20" s="173">
        <v>276345418.79000002</v>
      </c>
    </row>
    <row r="21" spans="1:5" ht="20" customHeight="1" thickBot="1">
      <c r="A21" s="152">
        <v>36</v>
      </c>
      <c r="B21" s="152" t="s">
        <v>1148</v>
      </c>
      <c r="C21" s="153">
        <v>-2927543.78</v>
      </c>
      <c r="D21" s="228">
        <v>-37305.29</v>
      </c>
      <c r="E21" s="173">
        <v>-2964849.07</v>
      </c>
    </row>
    <row r="22" spans="1:5" ht="20" customHeight="1" thickBot="1">
      <c r="A22" s="152">
        <v>37</v>
      </c>
      <c r="B22" s="152" t="s">
        <v>1149</v>
      </c>
      <c r="C22" s="153">
        <v>0</v>
      </c>
      <c r="D22" s="228">
        <v>0</v>
      </c>
      <c r="E22" s="173">
        <v>0</v>
      </c>
    </row>
    <row r="23" spans="1:5" ht="27" customHeight="1" thickBot="1">
      <c r="A23" s="186">
        <v>3</v>
      </c>
      <c r="B23" s="186" t="s">
        <v>1150</v>
      </c>
      <c r="C23" s="153">
        <v>249708629.22</v>
      </c>
      <c r="D23" s="228">
        <v>23671940.5</v>
      </c>
      <c r="E23" s="173">
        <v>273380569.72000003</v>
      </c>
    </row>
    <row r="24" spans="1:5" ht="20" customHeight="1" thickBot="1">
      <c r="A24" s="152" t="s">
        <v>1151</v>
      </c>
      <c r="B24" s="152" t="s">
        <v>1152</v>
      </c>
      <c r="C24" s="153">
        <v>34146086.210000001</v>
      </c>
      <c r="D24" s="228">
        <v>2566917.67</v>
      </c>
      <c r="E24" s="173">
        <v>36713003.880000003</v>
      </c>
    </row>
    <row r="25" spans="1:5" ht="20" customHeight="1" thickBot="1">
      <c r="A25" s="152">
        <v>48</v>
      </c>
      <c r="B25" s="152" t="s">
        <v>1153</v>
      </c>
      <c r="C25" s="153">
        <v>4285497.33</v>
      </c>
      <c r="D25" s="228">
        <v>668938.56999999995</v>
      </c>
      <c r="E25" s="173">
        <v>4954435.9000000004</v>
      </c>
    </row>
    <row r="26" spans="1:5" ht="20" customHeight="1" thickBot="1">
      <c r="A26" s="152">
        <v>49</v>
      </c>
      <c r="B26" s="152" t="s">
        <v>1154</v>
      </c>
      <c r="C26" s="153">
        <v>118574.71</v>
      </c>
      <c r="D26" s="228">
        <v>12284.94</v>
      </c>
      <c r="E26" s="173">
        <v>130859.65</v>
      </c>
    </row>
    <row r="27" spans="1:5" ht="27" customHeight="1" thickBot="1">
      <c r="A27" s="186">
        <v>4</v>
      </c>
      <c r="B27" s="186" t="s">
        <v>1155</v>
      </c>
      <c r="C27" s="153">
        <v>38550158.25</v>
      </c>
      <c r="D27" s="228">
        <v>3248141.21</v>
      </c>
      <c r="E27" s="173">
        <v>41798299.460000001</v>
      </c>
    </row>
    <row r="28" spans="1:5" ht="27" customHeight="1" thickBot="1">
      <c r="A28" s="186" t="s">
        <v>1156</v>
      </c>
      <c r="B28" s="186" t="s">
        <v>1157</v>
      </c>
      <c r="C28" s="153">
        <v>288258787.48000002</v>
      </c>
      <c r="D28" s="228">
        <v>26920081.699999999</v>
      </c>
      <c r="E28" s="173">
        <v>315178869.18000001</v>
      </c>
    </row>
    <row r="29" spans="1:5" ht="27" customHeight="1" thickBot="1">
      <c r="A29" s="186"/>
      <c r="B29" s="186" t="s">
        <v>1158</v>
      </c>
      <c r="C29" s="153">
        <v>41218752.799999997</v>
      </c>
      <c r="D29" s="228">
        <v>-753830.45</v>
      </c>
      <c r="E29" s="173">
        <v>40464922.350000001</v>
      </c>
    </row>
    <row r="30" spans="1:5" ht="27" customHeight="1" thickBot="1">
      <c r="A30" s="186">
        <v>7</v>
      </c>
      <c r="B30" s="186" t="s">
        <v>1159</v>
      </c>
      <c r="C30" s="153">
        <v>7092235.1699999999</v>
      </c>
      <c r="D30" s="228">
        <v>531796.17000000004</v>
      </c>
      <c r="E30" s="173">
        <v>7624031.3399999999</v>
      </c>
    </row>
    <row r="31" spans="1:5" ht="34.5" customHeight="1" thickBot="1">
      <c r="A31" s="312"/>
      <c r="B31" s="312" t="s">
        <v>1160</v>
      </c>
      <c r="C31" s="317">
        <v>48310987.990000002</v>
      </c>
      <c r="D31" s="318">
        <v>-222034.29</v>
      </c>
      <c r="E31" s="218">
        <v>48088953.700000003</v>
      </c>
    </row>
    <row r="32" spans="1:5" ht="19.5" customHeight="1">
      <c r="A32" s="155" t="s">
        <v>146</v>
      </c>
      <c r="B32" s="213"/>
      <c r="C32" s="155"/>
      <c r="D32" s="207"/>
      <c r="E32" s="313"/>
    </row>
    <row r="34" spans="1:1">
      <c r="A34" s="2" t="s">
        <v>1276</v>
      </c>
    </row>
    <row r="37" spans="1:1">
      <c r="A37" s="2" t="s">
        <v>104</v>
      </c>
    </row>
  </sheetData>
  <phoneticPr fontId="0" type="noConversion"/>
  <pageMargins left="0.62" right="0.68" top="0.87" bottom="0.49" header="0.49" footer="0.4921259845"/>
  <pageSetup paperSize="9" scale="80" orientation="portrait" horizontalDpi="4294967292" verticalDpi="4294967292"/>
  <headerFooter alignWithMargins="0">
    <oddHeader>&amp;L&amp;"Arial,Bold"Freiwillige Taggeldversicherung KVG</oddHead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C2467-97AC-8C4E-A784-F2F7BE4F1A78}">
  <sheetPr>
    <pageSetUpPr fitToPage="1"/>
  </sheetPr>
  <dimension ref="A1:E40"/>
  <sheetViews>
    <sheetView topLeftCell="A32" zoomScale="75" workbookViewId="0">
      <selection activeCell="A35" sqref="A35"/>
    </sheetView>
  </sheetViews>
  <sheetFormatPr baseColWidth="10" defaultColWidth="11.3984375" defaultRowHeight="13"/>
  <cols>
    <col min="1" max="1" width="8.796875" style="2" customWidth="1"/>
    <col min="2" max="2" width="48.796875" style="23" customWidth="1"/>
    <col min="3" max="3" width="16.796875" style="2" customWidth="1"/>
    <col min="4" max="4" width="16.796875" style="9" customWidth="1"/>
    <col min="5" max="5" width="16.796875" style="315" customWidth="1"/>
    <col min="6" max="16384" width="11.3984375" style="2"/>
  </cols>
  <sheetData>
    <row r="1" spans="1:5" s="1" customFormat="1" ht="14" customHeight="1">
      <c r="B1" s="209"/>
      <c r="D1" s="192"/>
      <c r="E1" s="304"/>
    </row>
    <row r="2" spans="1:5" s="1" customFormat="1" ht="28" customHeight="1">
      <c r="A2" s="21" t="s">
        <v>1274</v>
      </c>
      <c r="B2" s="209"/>
      <c r="D2" s="192"/>
      <c r="E2" s="21">
        <v>2004</v>
      </c>
    </row>
    <row r="3" spans="1:5" ht="39" customHeight="1">
      <c r="A3" s="316" t="s">
        <v>1127</v>
      </c>
      <c r="B3" s="210"/>
      <c r="C3" s="164" t="s">
        <v>1128</v>
      </c>
      <c r="D3" s="194" t="s">
        <v>1129</v>
      </c>
      <c r="E3" s="305" t="s">
        <v>652</v>
      </c>
    </row>
    <row r="4" spans="1:5" ht="38" customHeight="1">
      <c r="A4" s="306"/>
      <c r="B4" s="307"/>
      <c r="C4" s="168" t="s">
        <v>884</v>
      </c>
      <c r="D4" s="200" t="s">
        <v>884</v>
      </c>
      <c r="E4" s="308" t="s">
        <v>884</v>
      </c>
    </row>
    <row r="5" spans="1:5" ht="30" customHeight="1" thickBot="1">
      <c r="A5" s="309">
        <v>60</v>
      </c>
      <c r="B5" s="309" t="s">
        <v>526</v>
      </c>
      <c r="C5" s="310">
        <v>82593376.810000002</v>
      </c>
      <c r="D5" s="311">
        <v>8984028.7200000007</v>
      </c>
      <c r="E5" s="226">
        <v>91577405.530000001</v>
      </c>
    </row>
    <row r="6" spans="1:5" ht="20" customHeight="1" thickBot="1">
      <c r="A6" s="186">
        <v>64</v>
      </c>
      <c r="B6" s="186" t="s">
        <v>1130</v>
      </c>
      <c r="C6" s="317">
        <v>-263245.96999999997</v>
      </c>
      <c r="D6" s="318">
        <v>-28451.07</v>
      </c>
      <c r="E6" s="218">
        <v>-291697.03999999998</v>
      </c>
    </row>
    <row r="7" spans="1:5" ht="20" customHeight="1" thickBot="1">
      <c r="A7" s="186">
        <v>65</v>
      </c>
      <c r="B7" s="186" t="s">
        <v>1131</v>
      </c>
      <c r="C7" s="317">
        <v>52129.47</v>
      </c>
      <c r="D7" s="318">
        <v>2539.44</v>
      </c>
      <c r="E7" s="218">
        <v>54668.91</v>
      </c>
    </row>
    <row r="8" spans="1:5" ht="27" customHeight="1" thickBot="1">
      <c r="A8" s="186" t="s">
        <v>1132</v>
      </c>
      <c r="B8" s="186" t="s">
        <v>1133</v>
      </c>
      <c r="C8" s="317">
        <v>82382260.310000002</v>
      </c>
      <c r="D8" s="318">
        <v>8958117.0899999999</v>
      </c>
      <c r="E8" s="218">
        <v>91340377.400000006</v>
      </c>
    </row>
    <row r="9" spans="1:5" ht="20" customHeight="1" thickBot="1">
      <c r="A9" s="186">
        <v>66</v>
      </c>
      <c r="B9" s="186" t="s">
        <v>1134</v>
      </c>
      <c r="C9" s="317">
        <v>-1021449.73</v>
      </c>
      <c r="D9" s="318">
        <v>-126776.47</v>
      </c>
      <c r="E9" s="218">
        <v>-1148226.2</v>
      </c>
    </row>
    <row r="10" spans="1:5" ht="27" customHeight="1" thickBot="1">
      <c r="A10" s="186" t="s">
        <v>1135</v>
      </c>
      <c r="B10" s="186" t="s">
        <v>1136</v>
      </c>
      <c r="C10" s="317">
        <v>81360810.579999998</v>
      </c>
      <c r="D10" s="318">
        <v>8831340.6199999992</v>
      </c>
      <c r="E10" s="218">
        <v>90192151.200000003</v>
      </c>
    </row>
    <row r="11" spans="1:5" ht="20" customHeight="1" thickBot="1">
      <c r="A11" s="186">
        <v>67</v>
      </c>
      <c r="B11" s="186" t="s">
        <v>1137</v>
      </c>
      <c r="C11" s="317">
        <v>218859.6</v>
      </c>
      <c r="D11" s="318">
        <v>64232.75</v>
      </c>
      <c r="E11" s="218">
        <v>283092.34999999998</v>
      </c>
    </row>
    <row r="12" spans="1:5" ht="20" customHeight="1" thickBot="1">
      <c r="A12" s="186">
        <v>68</v>
      </c>
      <c r="B12" s="186" t="s">
        <v>1138</v>
      </c>
      <c r="C12" s="317">
        <v>0</v>
      </c>
      <c r="D12" s="318">
        <v>0</v>
      </c>
      <c r="E12" s="218">
        <v>0</v>
      </c>
    </row>
    <row r="13" spans="1:5" ht="20" customHeight="1" thickBot="1">
      <c r="A13" s="186">
        <v>69</v>
      </c>
      <c r="B13" s="186" t="s">
        <v>1139</v>
      </c>
      <c r="C13" s="317">
        <v>1060205.69</v>
      </c>
      <c r="D13" s="318">
        <v>42936.95</v>
      </c>
      <c r="E13" s="218">
        <v>1103142.6399999999</v>
      </c>
    </row>
    <row r="14" spans="1:5" ht="27" customHeight="1" thickBot="1">
      <c r="A14" s="186">
        <v>6</v>
      </c>
      <c r="B14" s="186" t="s">
        <v>1140</v>
      </c>
      <c r="C14" s="317">
        <v>82639875.859999999</v>
      </c>
      <c r="D14" s="318">
        <v>8938510.3200000003</v>
      </c>
      <c r="E14" s="218">
        <v>91578386.180000007</v>
      </c>
    </row>
    <row r="15" spans="1:5" ht="20" customHeight="1" thickBot="1">
      <c r="A15" s="186">
        <v>30</v>
      </c>
      <c r="B15" s="186" t="s">
        <v>527</v>
      </c>
      <c r="C15" s="317">
        <v>66007047.950000003</v>
      </c>
      <c r="D15" s="318">
        <v>7676027.5800000001</v>
      </c>
      <c r="E15" s="218">
        <v>73683075.530000001</v>
      </c>
    </row>
    <row r="16" spans="1:5" ht="20" customHeight="1" thickBot="1">
      <c r="A16" s="186">
        <v>32</v>
      </c>
      <c r="B16" s="186" t="s">
        <v>1141</v>
      </c>
      <c r="C16" s="317">
        <v>0</v>
      </c>
      <c r="D16" s="318">
        <v>0</v>
      </c>
      <c r="E16" s="218">
        <v>0</v>
      </c>
    </row>
    <row r="17" spans="1:5" ht="27" customHeight="1" thickBot="1">
      <c r="A17" s="186" t="s">
        <v>1142</v>
      </c>
      <c r="B17" s="186" t="s">
        <v>1143</v>
      </c>
      <c r="C17" s="317">
        <v>66007047.950000003</v>
      </c>
      <c r="D17" s="318">
        <v>7676027.5800000001</v>
      </c>
      <c r="E17" s="218">
        <v>73683075.530000001</v>
      </c>
    </row>
    <row r="18" spans="1:5" ht="20" customHeight="1" thickBot="1">
      <c r="A18" s="186">
        <v>34</v>
      </c>
      <c r="B18" s="186" t="s">
        <v>1144</v>
      </c>
      <c r="C18" s="317">
        <v>70412.039999999994</v>
      </c>
      <c r="D18" s="318">
        <v>4395.3500000000004</v>
      </c>
      <c r="E18" s="218">
        <v>74807.39</v>
      </c>
    </row>
    <row r="19" spans="1:5" ht="20" customHeight="1" thickBot="1">
      <c r="A19" s="186">
        <v>35</v>
      </c>
      <c r="B19" s="186" t="s">
        <v>1145</v>
      </c>
      <c r="C19" s="317">
        <v>-2037658.1</v>
      </c>
      <c r="D19" s="318">
        <v>-262337.78000000003</v>
      </c>
      <c r="E19" s="218">
        <v>-2299995.88</v>
      </c>
    </row>
    <row r="20" spans="1:5" ht="27" customHeight="1" thickBot="1">
      <c r="A20" s="186" t="s">
        <v>1146</v>
      </c>
      <c r="B20" s="186" t="s">
        <v>1147</v>
      </c>
      <c r="C20" s="317">
        <v>64039801.890000001</v>
      </c>
      <c r="D20" s="318">
        <v>7418085.1399999997</v>
      </c>
      <c r="E20" s="218">
        <v>71457887.030000001</v>
      </c>
    </row>
    <row r="21" spans="1:5" ht="20" customHeight="1" thickBot="1">
      <c r="A21" s="186">
        <v>36</v>
      </c>
      <c r="B21" s="186" t="s">
        <v>1148</v>
      </c>
      <c r="C21" s="317">
        <v>-1017021.48</v>
      </c>
      <c r="D21" s="318">
        <v>-35533.480000000003</v>
      </c>
      <c r="E21" s="218">
        <v>-1052554.96</v>
      </c>
    </row>
    <row r="22" spans="1:5" ht="20" customHeight="1" thickBot="1">
      <c r="A22" s="186">
        <v>37</v>
      </c>
      <c r="B22" s="186" t="s">
        <v>1149</v>
      </c>
      <c r="C22" s="317">
        <v>0</v>
      </c>
      <c r="D22" s="318">
        <v>0</v>
      </c>
      <c r="E22" s="218">
        <v>0</v>
      </c>
    </row>
    <row r="23" spans="1:5" ht="27" customHeight="1" thickBot="1">
      <c r="A23" s="186">
        <v>3</v>
      </c>
      <c r="B23" s="186" t="s">
        <v>1150</v>
      </c>
      <c r="C23" s="317">
        <v>63022780.420000002</v>
      </c>
      <c r="D23" s="318">
        <v>7382551.6500000004</v>
      </c>
      <c r="E23" s="218">
        <v>70405332.069999993</v>
      </c>
    </row>
    <row r="24" spans="1:5" ht="20" customHeight="1" thickBot="1">
      <c r="A24" s="152" t="s">
        <v>1151</v>
      </c>
      <c r="B24" s="152" t="s">
        <v>1152</v>
      </c>
      <c r="C24" s="317">
        <v>9443228.5099999998</v>
      </c>
      <c r="D24" s="318">
        <v>1061074.1200000001</v>
      </c>
      <c r="E24" s="218">
        <v>10504302.630000001</v>
      </c>
    </row>
    <row r="25" spans="1:5" ht="20" customHeight="1" thickBot="1">
      <c r="A25" s="152">
        <v>48</v>
      </c>
      <c r="B25" s="152" t="s">
        <v>1153</v>
      </c>
      <c r="C25" s="317">
        <v>859106.36</v>
      </c>
      <c r="D25" s="318">
        <v>142670.59</v>
      </c>
      <c r="E25" s="218">
        <v>1001776.95</v>
      </c>
    </row>
    <row r="26" spans="1:5" ht="20" customHeight="1" thickBot="1">
      <c r="A26" s="186">
        <v>49</v>
      </c>
      <c r="B26" s="186" t="s">
        <v>1154</v>
      </c>
      <c r="C26" s="317">
        <v>54899.18</v>
      </c>
      <c r="D26" s="318">
        <v>7953.36</v>
      </c>
      <c r="E26" s="218">
        <v>62852.54</v>
      </c>
    </row>
    <row r="27" spans="1:5" ht="27" customHeight="1" thickBot="1">
      <c r="A27" s="186">
        <v>4</v>
      </c>
      <c r="B27" s="186" t="s">
        <v>1155</v>
      </c>
      <c r="C27" s="317">
        <v>10357234.050000001</v>
      </c>
      <c r="D27" s="318">
        <v>1211698.08</v>
      </c>
      <c r="E27" s="218">
        <v>11568932.130000001</v>
      </c>
    </row>
    <row r="28" spans="1:5" ht="27" customHeight="1" thickBot="1">
      <c r="A28" s="186" t="s">
        <v>1156</v>
      </c>
      <c r="B28" s="186" t="s">
        <v>1157</v>
      </c>
      <c r="C28" s="317">
        <v>73380014.480000004</v>
      </c>
      <c r="D28" s="318">
        <v>8594249.7200000007</v>
      </c>
      <c r="E28" s="218">
        <v>81974264.200000003</v>
      </c>
    </row>
    <row r="29" spans="1:5" ht="27" customHeight="1" thickBot="1">
      <c r="A29" s="186"/>
      <c r="B29" s="186" t="s">
        <v>1158</v>
      </c>
      <c r="C29" s="317">
        <v>9259861.3900000006</v>
      </c>
      <c r="D29" s="318">
        <v>344260.59</v>
      </c>
      <c r="E29" s="218">
        <v>9604121.9800000004</v>
      </c>
    </row>
    <row r="30" spans="1:5" ht="27" customHeight="1" thickBot="1">
      <c r="A30" s="186">
        <v>7</v>
      </c>
      <c r="B30" s="186" t="s">
        <v>1159</v>
      </c>
      <c r="C30" s="317">
        <v>2459627.39</v>
      </c>
      <c r="D30" s="318">
        <v>305470.90000000002</v>
      </c>
      <c r="E30" s="218">
        <v>2765098.29</v>
      </c>
    </row>
    <row r="31" spans="1:5" ht="34.5" customHeight="1" thickBot="1">
      <c r="A31" s="312"/>
      <c r="B31" s="312" t="s">
        <v>1160</v>
      </c>
      <c r="C31" s="317">
        <v>11719488.800000001</v>
      </c>
      <c r="D31" s="318">
        <v>649731.49</v>
      </c>
      <c r="E31" s="218">
        <v>12369220.289999999</v>
      </c>
    </row>
    <row r="32" spans="1:5" ht="20" customHeight="1">
      <c r="A32" s="155" t="s">
        <v>146</v>
      </c>
      <c r="B32" s="213"/>
      <c r="C32" s="155"/>
      <c r="D32" s="207"/>
      <c r="E32" s="313"/>
    </row>
    <row r="33" spans="1:5" ht="15.75" customHeight="1">
      <c r="A33" s="4"/>
      <c r="B33" s="214"/>
      <c r="C33" s="4"/>
      <c r="D33" s="208"/>
      <c r="E33" s="314"/>
    </row>
    <row r="34" spans="1:5" ht="15.75" customHeight="1">
      <c r="A34" s="2" t="s">
        <v>1273</v>
      </c>
      <c r="B34" s="214"/>
      <c r="C34" s="4"/>
      <c r="D34" s="208"/>
      <c r="E34" s="314"/>
    </row>
    <row r="35" spans="1:5" ht="13.5" customHeight="1">
      <c r="A35" s="4"/>
      <c r="B35" s="214"/>
      <c r="C35" s="4"/>
      <c r="D35" s="208"/>
      <c r="E35" s="314"/>
    </row>
    <row r="36" spans="1:5">
      <c r="A36" s="4" t="s">
        <v>1270</v>
      </c>
    </row>
    <row r="37" spans="1:5">
      <c r="A37" s="2" t="s">
        <v>1271</v>
      </c>
    </row>
    <row r="40" spans="1:5">
      <c r="A40" s="2" t="s">
        <v>104</v>
      </c>
    </row>
  </sheetData>
  <phoneticPr fontId="0" type="noConversion"/>
  <pageMargins left="0.6" right="0.6" top="0.78" bottom="0.49" header="0.49" footer="0.4921259845"/>
  <pageSetup paperSize="9" scale="84" orientation="portrait" horizontalDpi="4294967292" verticalDpi="4294967292"/>
  <headerFooter alignWithMargins="0">
    <oddHeader>&amp;L&amp;"Arial,Bold"Freiwillige Taggeldversicherung KVG</oddHead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BDB87-2326-A341-B7F9-6392541C04D6}">
  <sheetPr>
    <pageSetUpPr fitToPage="1"/>
  </sheetPr>
  <dimension ref="A1:E40"/>
  <sheetViews>
    <sheetView topLeftCell="A22" zoomScale="75" workbookViewId="0">
      <selection activeCell="A35" sqref="A35"/>
    </sheetView>
  </sheetViews>
  <sheetFormatPr baseColWidth="10" defaultColWidth="11.3984375" defaultRowHeight="13"/>
  <cols>
    <col min="1" max="1" width="8.796875" style="2" customWidth="1"/>
    <col min="2" max="2" width="48.796875" style="23" customWidth="1"/>
    <col min="3" max="3" width="16.796875" style="2" customWidth="1"/>
    <col min="4" max="4" width="16.796875" style="9" customWidth="1"/>
    <col min="5" max="5" width="16.796875" style="315" customWidth="1"/>
    <col min="6" max="16384" width="11.3984375" style="2"/>
  </cols>
  <sheetData>
    <row r="1" spans="1:5" s="1" customFormat="1" ht="14" customHeight="1">
      <c r="B1" s="209"/>
      <c r="D1" s="192"/>
      <c r="E1" s="304"/>
    </row>
    <row r="2" spans="1:5" s="1" customFormat="1" ht="28" customHeight="1">
      <c r="A2" s="21" t="s">
        <v>1272</v>
      </c>
      <c r="B2" s="209"/>
      <c r="D2" s="192"/>
      <c r="E2" s="21">
        <v>2004</v>
      </c>
    </row>
    <row r="3" spans="1:5" ht="39" customHeight="1">
      <c r="A3" s="139" t="s">
        <v>1127</v>
      </c>
      <c r="B3" s="210"/>
      <c r="C3" s="164" t="s">
        <v>1128</v>
      </c>
      <c r="D3" s="194" t="s">
        <v>1129</v>
      </c>
      <c r="E3" s="305" t="s">
        <v>652</v>
      </c>
    </row>
    <row r="4" spans="1:5" ht="38" customHeight="1">
      <c r="A4" s="306"/>
      <c r="B4" s="307"/>
      <c r="C4" s="168" t="s">
        <v>884</v>
      </c>
      <c r="D4" s="200" t="s">
        <v>884</v>
      </c>
      <c r="E4" s="308" t="s">
        <v>884</v>
      </c>
    </row>
    <row r="5" spans="1:5" ht="30" customHeight="1" thickBot="1">
      <c r="A5" s="309">
        <v>60</v>
      </c>
      <c r="B5" s="309" t="s">
        <v>526</v>
      </c>
      <c r="C5" s="310">
        <v>247503151.03</v>
      </c>
      <c r="D5" s="311">
        <v>17508971.469999999</v>
      </c>
      <c r="E5" s="226">
        <v>265012122.5</v>
      </c>
    </row>
    <row r="6" spans="1:5" ht="20" customHeight="1" thickBot="1">
      <c r="A6" s="186">
        <v>64</v>
      </c>
      <c r="B6" s="186" t="s">
        <v>1130</v>
      </c>
      <c r="C6" s="310">
        <v>-2428184.37</v>
      </c>
      <c r="D6" s="311">
        <v>-284429.92</v>
      </c>
      <c r="E6" s="226">
        <v>-2712614.29</v>
      </c>
    </row>
    <row r="7" spans="1:5" ht="20" customHeight="1" thickBot="1">
      <c r="A7" s="186">
        <v>65</v>
      </c>
      <c r="B7" s="186" t="s">
        <v>1131</v>
      </c>
      <c r="C7" s="310">
        <v>413239.8</v>
      </c>
      <c r="D7" s="311">
        <v>623.42999999999995</v>
      </c>
      <c r="E7" s="226">
        <v>413863.23</v>
      </c>
    </row>
    <row r="8" spans="1:5" ht="27" customHeight="1" thickBot="1">
      <c r="A8" s="186" t="s">
        <v>1132</v>
      </c>
      <c r="B8" s="186" t="s">
        <v>1133</v>
      </c>
      <c r="C8" s="310">
        <v>245488206.44999999</v>
      </c>
      <c r="D8" s="311">
        <v>17225164.98</v>
      </c>
      <c r="E8" s="226">
        <v>262713371.43000001</v>
      </c>
    </row>
    <row r="9" spans="1:5" ht="20" customHeight="1" thickBot="1">
      <c r="A9" s="186">
        <v>66</v>
      </c>
      <c r="B9" s="186" t="s">
        <v>1134</v>
      </c>
      <c r="C9" s="310">
        <v>-1911627.57</v>
      </c>
      <c r="D9" s="311">
        <v>-12728.59</v>
      </c>
      <c r="E9" s="226">
        <v>-1924356.16</v>
      </c>
    </row>
    <row r="10" spans="1:5" ht="27" customHeight="1" thickBot="1">
      <c r="A10" s="186" t="s">
        <v>1135</v>
      </c>
      <c r="B10" s="186" t="s">
        <v>1136</v>
      </c>
      <c r="C10" s="310">
        <v>243576578.88</v>
      </c>
      <c r="D10" s="311">
        <v>17212436.390000001</v>
      </c>
      <c r="E10" s="226">
        <v>260789015.27000001</v>
      </c>
    </row>
    <row r="11" spans="1:5" ht="20" customHeight="1" thickBot="1">
      <c r="A11" s="186">
        <v>67</v>
      </c>
      <c r="B11" s="186" t="s">
        <v>1137</v>
      </c>
      <c r="C11" s="310">
        <v>19403581.73</v>
      </c>
      <c r="D11" s="311">
        <v>29395.08</v>
      </c>
      <c r="E11" s="226">
        <v>19432976.809999999</v>
      </c>
    </row>
    <row r="12" spans="1:5" ht="20" customHeight="1" thickBot="1">
      <c r="A12" s="186">
        <v>68</v>
      </c>
      <c r="B12" s="186" t="s">
        <v>1138</v>
      </c>
      <c r="C12" s="310">
        <v>-19402115.030000001</v>
      </c>
      <c r="D12" s="311">
        <v>-29284.080000000002</v>
      </c>
      <c r="E12" s="226">
        <v>-19431399.109999999</v>
      </c>
    </row>
    <row r="13" spans="1:5" ht="20" customHeight="1" thickBot="1">
      <c r="A13" s="186">
        <v>69</v>
      </c>
      <c r="B13" s="186" t="s">
        <v>1139</v>
      </c>
      <c r="C13" s="310">
        <v>3259618.82</v>
      </c>
      <c r="D13" s="311">
        <v>15193.56</v>
      </c>
      <c r="E13" s="226">
        <v>3274812.38</v>
      </c>
    </row>
    <row r="14" spans="1:5" ht="27" customHeight="1" thickBot="1">
      <c r="A14" s="186">
        <v>6</v>
      </c>
      <c r="B14" s="186" t="s">
        <v>1140</v>
      </c>
      <c r="C14" s="310">
        <v>246837664.40000001</v>
      </c>
      <c r="D14" s="311">
        <v>17227740.949999999</v>
      </c>
      <c r="E14" s="226">
        <v>264065405.34999999</v>
      </c>
    </row>
    <row r="15" spans="1:5" ht="20" customHeight="1" thickBot="1">
      <c r="A15" s="186">
        <v>30</v>
      </c>
      <c r="B15" s="186" t="s">
        <v>527</v>
      </c>
      <c r="C15" s="310">
        <v>187857658.78999999</v>
      </c>
      <c r="D15" s="311">
        <v>16394419.93</v>
      </c>
      <c r="E15" s="226">
        <v>204252078.72</v>
      </c>
    </row>
    <row r="16" spans="1:5" ht="20" customHeight="1" thickBot="1">
      <c r="A16" s="186">
        <v>32</v>
      </c>
      <c r="B16" s="186" t="s">
        <v>1141</v>
      </c>
      <c r="C16" s="310">
        <v>0</v>
      </c>
      <c r="D16" s="311">
        <v>0</v>
      </c>
      <c r="E16" s="226">
        <v>0</v>
      </c>
    </row>
    <row r="17" spans="1:5" ht="27" customHeight="1" thickBot="1">
      <c r="A17" s="186" t="s">
        <v>1142</v>
      </c>
      <c r="B17" s="186" t="s">
        <v>1143</v>
      </c>
      <c r="C17" s="310">
        <v>187857658.78999999</v>
      </c>
      <c r="D17" s="311">
        <v>16394419.93</v>
      </c>
      <c r="E17" s="226">
        <v>204252078.72</v>
      </c>
    </row>
    <row r="18" spans="1:5" ht="20" customHeight="1" thickBot="1">
      <c r="A18" s="186">
        <v>34</v>
      </c>
      <c r="B18" s="186" t="s">
        <v>1144</v>
      </c>
      <c r="C18" s="310">
        <v>886156.1</v>
      </c>
      <c r="D18" s="311">
        <v>26445.7</v>
      </c>
      <c r="E18" s="226">
        <v>912601.8</v>
      </c>
    </row>
    <row r="19" spans="1:5" ht="20" customHeight="1" thickBot="1">
      <c r="A19" s="186">
        <v>35</v>
      </c>
      <c r="B19" s="186" t="s">
        <v>1145</v>
      </c>
      <c r="C19" s="310">
        <v>-147443.78</v>
      </c>
      <c r="D19" s="311">
        <v>-129704.97</v>
      </c>
      <c r="E19" s="226">
        <v>-277148.75</v>
      </c>
    </row>
    <row r="20" spans="1:5" ht="27" customHeight="1" thickBot="1">
      <c r="A20" s="186" t="s">
        <v>1146</v>
      </c>
      <c r="B20" s="186" t="s">
        <v>1147</v>
      </c>
      <c r="C20" s="310">
        <v>188596371.09999999</v>
      </c>
      <c r="D20" s="311">
        <v>16291160.66</v>
      </c>
      <c r="E20" s="226">
        <v>204887531.75999999</v>
      </c>
    </row>
    <row r="21" spans="1:5" ht="20" customHeight="1" thickBot="1">
      <c r="A21" s="186">
        <v>36</v>
      </c>
      <c r="B21" s="186" t="s">
        <v>1148</v>
      </c>
      <c r="C21" s="310">
        <v>-1910522.3</v>
      </c>
      <c r="D21" s="311">
        <v>-1771.81</v>
      </c>
      <c r="E21" s="226">
        <v>-1912294.11</v>
      </c>
    </row>
    <row r="22" spans="1:5" ht="20" customHeight="1" thickBot="1">
      <c r="A22" s="186">
        <v>37</v>
      </c>
      <c r="B22" s="186" t="s">
        <v>1149</v>
      </c>
      <c r="C22" s="310">
        <v>0</v>
      </c>
      <c r="D22" s="311">
        <v>0</v>
      </c>
      <c r="E22" s="226">
        <v>0</v>
      </c>
    </row>
    <row r="23" spans="1:5" ht="27" customHeight="1" thickBot="1">
      <c r="A23" s="186">
        <v>3</v>
      </c>
      <c r="B23" s="186" t="s">
        <v>1150</v>
      </c>
      <c r="C23" s="310">
        <v>186685848.80000001</v>
      </c>
      <c r="D23" s="311">
        <v>16289388.85</v>
      </c>
      <c r="E23" s="226">
        <v>202975237.65000001</v>
      </c>
    </row>
    <row r="24" spans="1:5" ht="20" customHeight="1" thickBot="1">
      <c r="A24" s="152" t="s">
        <v>1151</v>
      </c>
      <c r="B24" s="152" t="s">
        <v>1152</v>
      </c>
      <c r="C24" s="310">
        <v>24702857.699999999</v>
      </c>
      <c r="D24" s="311">
        <v>1505843.55</v>
      </c>
      <c r="E24" s="226">
        <v>26208701.25</v>
      </c>
    </row>
    <row r="25" spans="1:5" ht="20" customHeight="1" thickBot="1">
      <c r="A25" s="152">
        <v>48</v>
      </c>
      <c r="B25" s="152" t="s">
        <v>1153</v>
      </c>
      <c r="C25" s="310">
        <v>3426390.97</v>
      </c>
      <c r="D25" s="311">
        <v>526267.98</v>
      </c>
      <c r="E25" s="226">
        <v>3952658.95</v>
      </c>
    </row>
    <row r="26" spans="1:5" ht="20" customHeight="1" thickBot="1">
      <c r="A26" s="186">
        <v>49</v>
      </c>
      <c r="B26" s="186" t="s">
        <v>1154</v>
      </c>
      <c r="C26" s="310">
        <v>63675.53</v>
      </c>
      <c r="D26" s="311">
        <v>4331.58</v>
      </c>
      <c r="E26" s="226">
        <v>68007.11</v>
      </c>
    </row>
    <row r="27" spans="1:5" ht="27" customHeight="1" thickBot="1">
      <c r="A27" s="186">
        <v>4</v>
      </c>
      <c r="B27" s="186" t="s">
        <v>1155</v>
      </c>
      <c r="C27" s="310">
        <v>28192924.199999999</v>
      </c>
      <c r="D27" s="311">
        <v>2036443.13</v>
      </c>
      <c r="E27" s="226">
        <v>30229367.329999998</v>
      </c>
    </row>
    <row r="28" spans="1:5" ht="27" customHeight="1" thickBot="1">
      <c r="A28" s="186" t="s">
        <v>1156</v>
      </c>
      <c r="B28" s="186" t="s">
        <v>1157</v>
      </c>
      <c r="C28" s="310">
        <v>214878773</v>
      </c>
      <c r="D28" s="311">
        <v>18325831.98</v>
      </c>
      <c r="E28" s="226">
        <v>233204604.97999999</v>
      </c>
    </row>
    <row r="29" spans="1:5" ht="27" customHeight="1" thickBot="1">
      <c r="A29" s="186"/>
      <c r="B29" s="186" t="s">
        <v>1158</v>
      </c>
      <c r="C29" s="310">
        <v>31958891.41</v>
      </c>
      <c r="D29" s="311">
        <v>-1098091.04</v>
      </c>
      <c r="E29" s="226">
        <v>30860800.370000001</v>
      </c>
    </row>
    <row r="30" spans="1:5" ht="27" customHeight="1" thickBot="1">
      <c r="A30" s="186">
        <v>7</v>
      </c>
      <c r="B30" s="186" t="s">
        <v>1159</v>
      </c>
      <c r="C30" s="310">
        <v>4632607.78</v>
      </c>
      <c r="D30" s="311">
        <v>226325.27</v>
      </c>
      <c r="E30" s="226">
        <v>4858933.05</v>
      </c>
    </row>
    <row r="31" spans="1:5" ht="34.5" customHeight="1" thickBot="1">
      <c r="A31" s="312"/>
      <c r="B31" s="312" t="s">
        <v>1160</v>
      </c>
      <c r="C31" s="310">
        <v>36591499.189999998</v>
      </c>
      <c r="D31" s="311">
        <v>-871765.78</v>
      </c>
      <c r="E31" s="226">
        <v>35719733.409999996</v>
      </c>
    </row>
    <row r="32" spans="1:5" ht="20" customHeight="1">
      <c r="A32" s="155" t="s">
        <v>146</v>
      </c>
      <c r="B32" s="213"/>
      <c r="C32" s="155"/>
      <c r="D32" s="207"/>
      <c r="E32" s="313"/>
    </row>
    <row r="33" spans="1:5" ht="14.25" customHeight="1">
      <c r="A33" s="4"/>
      <c r="B33" s="214"/>
      <c r="C33" s="4"/>
      <c r="D33" s="208"/>
      <c r="E33" s="314"/>
    </row>
    <row r="34" spans="1:5" ht="15.75" customHeight="1">
      <c r="A34" s="2" t="s">
        <v>1161</v>
      </c>
      <c r="B34" s="214"/>
      <c r="C34" s="4"/>
      <c r="D34" s="208"/>
      <c r="E34" s="314"/>
    </row>
    <row r="35" spans="1:5" ht="13.5" customHeight="1">
      <c r="A35" s="4"/>
      <c r="B35" s="214"/>
      <c r="C35" s="4"/>
      <c r="D35" s="208"/>
      <c r="E35" s="314"/>
    </row>
    <row r="36" spans="1:5">
      <c r="A36" s="4" t="s">
        <v>1270</v>
      </c>
    </row>
    <row r="37" spans="1:5">
      <c r="A37" s="2" t="s">
        <v>1271</v>
      </c>
    </row>
    <row r="40" spans="1:5">
      <c r="A40" s="2" t="s">
        <v>104</v>
      </c>
    </row>
  </sheetData>
  <phoneticPr fontId="0" type="noConversion"/>
  <pageMargins left="0.57999999999999996" right="0.65" top="0.92" bottom="0.49" header="0.49" footer="0.4921259845"/>
  <pageSetup paperSize="9" scale="84" orientation="portrait" horizontalDpi="4294967292" verticalDpi="4294967292"/>
  <headerFooter alignWithMargins="0">
    <oddHeader>&amp;L&amp;"Arial,Bold"Freiwillige Taggeldversicherung KVG</oddHead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8D3BC-4BEB-DD44-98A2-C039D0E79B95}">
  <sheetPr>
    <pageSetUpPr fitToPage="1"/>
  </sheetPr>
  <dimension ref="A1:B10"/>
  <sheetViews>
    <sheetView workbookViewId="0">
      <selection activeCell="B6" sqref="B6"/>
    </sheetView>
  </sheetViews>
  <sheetFormatPr baseColWidth="10" defaultColWidth="11.3984375" defaultRowHeight="13"/>
  <cols>
    <col min="1" max="1" width="5.59765625" style="294" customWidth="1"/>
    <col min="2" max="16384" width="11.3984375" style="294"/>
  </cols>
  <sheetData>
    <row r="1" spans="1:2" ht="16">
      <c r="A1" s="293" t="s">
        <v>1115</v>
      </c>
    </row>
    <row r="2" spans="1:2" ht="16">
      <c r="A2" s="295"/>
    </row>
    <row r="3" spans="1:2">
      <c r="A3" s="296">
        <v>7.01</v>
      </c>
      <c r="B3" s="297" t="s">
        <v>1116</v>
      </c>
    </row>
    <row r="4" spans="1:2">
      <c r="A4" s="296">
        <v>7.02</v>
      </c>
      <c r="B4" s="297" t="s">
        <v>1117</v>
      </c>
    </row>
    <row r="5" spans="1:2">
      <c r="A5" s="296">
        <v>7.03</v>
      </c>
      <c r="B5" s="297" t="s">
        <v>1118</v>
      </c>
    </row>
    <row r="6" spans="1:2">
      <c r="A6" s="296">
        <v>7.04</v>
      </c>
      <c r="B6" s="297" t="s">
        <v>1119</v>
      </c>
    </row>
    <row r="7" spans="1:2">
      <c r="A7" s="296">
        <v>7.05</v>
      </c>
      <c r="B7" s="297" t="s">
        <v>1120</v>
      </c>
    </row>
    <row r="10" spans="1:2">
      <c r="A10" s="298" t="s">
        <v>104</v>
      </c>
    </row>
  </sheetData>
  <phoneticPr fontId="39" type="noConversion"/>
  <pageMargins left="0.46" right="0.35" top="0.62" bottom="0.984251969" header="0.36" footer="0.4921259845"/>
  <pageSetup paperSize="9" orientation="portrait"/>
  <headerFooter alignWithMargins="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11060-A2D4-B047-A8AD-C8258111B67D}">
  <sheetPr>
    <pageSetUpPr fitToPage="1"/>
  </sheetPr>
  <dimension ref="A1:K27"/>
  <sheetViews>
    <sheetView topLeftCell="A9" zoomScale="75" workbookViewId="0">
      <selection activeCell="A23" sqref="A23"/>
    </sheetView>
  </sheetViews>
  <sheetFormatPr baseColWidth="10" defaultColWidth="11.3984375" defaultRowHeight="13"/>
  <cols>
    <col min="1" max="1" width="16.796875" style="2" customWidth="1"/>
    <col min="2" max="2" width="16.19921875" style="2" customWidth="1"/>
    <col min="3" max="3" width="15" style="2" customWidth="1"/>
    <col min="4" max="4" width="16.19921875" style="2" customWidth="1"/>
    <col min="5" max="7" width="15" style="2" customWidth="1"/>
    <col min="8" max="16384" width="11.3984375" style="2"/>
  </cols>
  <sheetData>
    <row r="1" spans="1:11" s="1" customFormat="1" ht="14" customHeight="1"/>
    <row r="2" spans="1:11" s="1" customFormat="1" ht="42" customHeight="1">
      <c r="A2" s="1715" t="s">
        <v>1229</v>
      </c>
      <c r="B2" s="1716"/>
      <c r="C2" s="1716"/>
      <c r="D2" s="1716"/>
      <c r="E2" s="1716"/>
      <c r="F2" s="1716"/>
      <c r="G2" s="21">
        <v>2004</v>
      </c>
    </row>
    <row r="3" spans="1:11" ht="24" customHeight="1">
      <c r="A3" s="139" t="s">
        <v>1230</v>
      </c>
      <c r="B3" s="164" t="s">
        <v>925</v>
      </c>
      <c r="C3" s="141" t="s">
        <v>451</v>
      </c>
      <c r="D3" s="164" t="s">
        <v>926</v>
      </c>
      <c r="E3" s="141" t="s">
        <v>451</v>
      </c>
      <c r="F3" s="164" t="s">
        <v>529</v>
      </c>
      <c r="G3" s="141" t="s">
        <v>451</v>
      </c>
    </row>
    <row r="4" spans="1:11" ht="15" customHeight="1">
      <c r="A4" s="165"/>
      <c r="B4" s="166" t="s">
        <v>529</v>
      </c>
      <c r="C4" s="144" t="s">
        <v>486</v>
      </c>
      <c r="D4" s="166" t="s">
        <v>927</v>
      </c>
      <c r="E4" s="144" t="s">
        <v>486</v>
      </c>
      <c r="F4" s="166" t="s">
        <v>928</v>
      </c>
      <c r="G4" s="144" t="s">
        <v>486</v>
      </c>
    </row>
    <row r="5" spans="1:11" ht="15" customHeight="1">
      <c r="A5" s="165"/>
      <c r="B5" s="166" t="s">
        <v>929</v>
      </c>
      <c r="C5" s="144" t="s">
        <v>454</v>
      </c>
      <c r="D5" s="166" t="s">
        <v>930</v>
      </c>
      <c r="E5" s="144" t="s">
        <v>454</v>
      </c>
      <c r="F5" s="166" t="s">
        <v>533</v>
      </c>
      <c r="G5" s="144" t="s">
        <v>454</v>
      </c>
    </row>
    <row r="6" spans="1:11" ht="24" customHeight="1">
      <c r="A6" s="167"/>
      <c r="B6" s="168"/>
      <c r="C6" s="147"/>
      <c r="D6" s="168" t="s">
        <v>931</v>
      </c>
      <c r="E6" s="147"/>
      <c r="F6" s="168"/>
      <c r="G6" s="147"/>
    </row>
    <row r="7" spans="1:11" ht="20" customHeight="1" thickBot="1">
      <c r="A7" s="169">
        <v>1996</v>
      </c>
      <c r="B7" s="149">
        <v>4599022226.4899998</v>
      </c>
      <c r="C7" s="150">
        <v>4.7135061423122571E-2</v>
      </c>
      <c r="D7" s="149">
        <v>4507461189</v>
      </c>
      <c r="E7" s="150">
        <v>8.2125105302542703E-2</v>
      </c>
      <c r="F7" s="149">
        <v>91699445.469999999</v>
      </c>
      <c r="G7" s="150">
        <v>-0.59537068849307151</v>
      </c>
      <c r="I7" s="10"/>
      <c r="J7" s="10"/>
      <c r="K7" s="10"/>
    </row>
    <row r="8" spans="1:11" ht="20" customHeight="1" thickBot="1">
      <c r="A8" s="171">
        <v>1997</v>
      </c>
      <c r="B8" s="153">
        <v>4851626656</v>
      </c>
      <c r="C8" s="154">
        <v>5.4925681388321837E-2</v>
      </c>
      <c r="D8" s="153">
        <v>4710142665.8999996</v>
      </c>
      <c r="E8" s="154">
        <v>4.4965773059704457E-2</v>
      </c>
      <c r="F8" s="153">
        <v>141483990.28999999</v>
      </c>
      <c r="G8" s="154">
        <v>0.54290998778490207</v>
      </c>
    </row>
    <row r="9" spans="1:11" ht="20" customHeight="1" thickBot="1">
      <c r="A9" s="171">
        <v>1998</v>
      </c>
      <c r="B9" s="153">
        <v>4992640209.6999998</v>
      </c>
      <c r="C9" s="154">
        <v>2.9065211257673453E-2</v>
      </c>
      <c r="D9" s="153">
        <v>4882154897.6999998</v>
      </c>
      <c r="E9" s="154">
        <v>3.6519537517476157E-2</v>
      </c>
      <c r="F9" s="153">
        <v>110485312.03</v>
      </c>
      <c r="G9" s="154">
        <v>-0.2190967203883771</v>
      </c>
    </row>
    <row r="10" spans="1:11" ht="20" customHeight="1" thickBot="1">
      <c r="A10" s="171">
        <v>1999</v>
      </c>
      <c r="B10" s="153">
        <v>4257016347.5999999</v>
      </c>
      <c r="C10" s="154">
        <v>-0.14734165315393363</v>
      </c>
      <c r="D10" s="153">
        <v>4120691131.5999999</v>
      </c>
      <c r="E10" s="154">
        <v>-0.15596878469766048</v>
      </c>
      <c r="F10" s="153">
        <v>136325216.02000001</v>
      </c>
      <c r="G10" s="154">
        <v>0.23387637248092957</v>
      </c>
    </row>
    <row r="11" spans="1:11" ht="20" customHeight="1" thickBot="1">
      <c r="A11" s="171">
        <v>2000</v>
      </c>
      <c r="B11" s="153">
        <v>3297340718.6999998</v>
      </c>
      <c r="C11" s="154">
        <v>-0.22543386037054836</v>
      </c>
      <c r="D11" s="153">
        <v>3197872772.4000001</v>
      </c>
      <c r="E11" s="154">
        <v>-0.22394747136548521</v>
      </c>
      <c r="F11" s="153">
        <v>99467946.299999997</v>
      </c>
      <c r="G11" s="154">
        <v>-0.27036281911772475</v>
      </c>
    </row>
    <row r="12" spans="1:11" ht="19.5" customHeight="1" thickBot="1">
      <c r="A12" s="171">
        <v>2001</v>
      </c>
      <c r="B12" s="153">
        <v>2297775177.9000001</v>
      </c>
      <c r="C12" s="154">
        <v>-0.30314293428374778</v>
      </c>
      <c r="D12" s="153">
        <v>2245296158.4000001</v>
      </c>
      <c r="E12" s="154">
        <v>-0.29787820898362138</v>
      </c>
      <c r="F12" s="153">
        <v>52479019.649999999</v>
      </c>
      <c r="G12" s="154">
        <v>-0.4724027025578591</v>
      </c>
    </row>
    <row r="13" spans="1:11" ht="19.5" customHeight="1" thickBot="1">
      <c r="A13" s="171">
        <v>2002</v>
      </c>
      <c r="B13" s="153">
        <v>2179075331.1500001</v>
      </c>
      <c r="C13" s="154">
        <v>-5.1658599105628367E-2</v>
      </c>
      <c r="D13" s="153">
        <v>2190020061.2499995</v>
      </c>
      <c r="E13" s="154">
        <v>-2.461862188789846E-2</v>
      </c>
      <c r="F13" s="153">
        <v>-10944730.16</v>
      </c>
      <c r="G13" s="154">
        <v>-1.2085543943654824</v>
      </c>
    </row>
    <row r="14" spans="1:11" ht="19.5" customHeight="1" thickBot="1">
      <c r="A14" s="171">
        <v>2003</v>
      </c>
      <c r="B14" s="153">
        <v>2288718484.4899998</v>
      </c>
      <c r="C14" s="154">
        <v>5.0316366659125936E-2</v>
      </c>
      <c r="D14" s="153">
        <v>2230195619.6600003</v>
      </c>
      <c r="E14" s="154">
        <v>1.8344835794367E-2</v>
      </c>
      <c r="F14" s="153">
        <v>58522864.830000006</v>
      </c>
      <c r="G14" s="154">
        <v>6.3471272452093057</v>
      </c>
    </row>
    <row r="15" spans="1:11" ht="30" customHeight="1" thickBot="1">
      <c r="A15" s="369">
        <v>2004</v>
      </c>
      <c r="B15" s="218">
        <v>1913538530.5999999</v>
      </c>
      <c r="C15" s="204">
        <v>-0.16392577611990669</v>
      </c>
      <c r="D15" s="218">
        <v>1875065073.2299998</v>
      </c>
      <c r="E15" s="204">
        <v>-0.15923739751768556</v>
      </c>
      <c r="F15" s="218">
        <v>38473457.389999993</v>
      </c>
      <c r="G15" s="204">
        <v>-0.34259101119264213</v>
      </c>
    </row>
    <row r="16" spans="1:11" ht="20" customHeight="1">
      <c r="A16" s="155" t="s">
        <v>148</v>
      </c>
      <c r="B16" s="155"/>
      <c r="C16" s="155"/>
      <c r="D16" s="155"/>
      <c r="E16" s="155"/>
      <c r="F16" s="155"/>
      <c r="G16" s="155"/>
    </row>
    <row r="17" spans="1:7" ht="9.75" customHeight="1">
      <c r="A17" s="4"/>
      <c r="B17" s="4"/>
      <c r="C17" s="4"/>
      <c r="D17" s="4"/>
      <c r="E17" s="4"/>
      <c r="F17" s="4"/>
      <c r="G17" s="4"/>
    </row>
    <row r="18" spans="1:7">
      <c r="A18" s="4" t="s">
        <v>932</v>
      </c>
    </row>
    <row r="19" spans="1:7">
      <c r="A19" s="2" t="s">
        <v>933</v>
      </c>
    </row>
    <row r="20" spans="1:7">
      <c r="A20" s="2" t="s">
        <v>1225</v>
      </c>
    </row>
    <row r="21" spans="1:7">
      <c r="A21" s="2" t="s">
        <v>1226</v>
      </c>
    </row>
    <row r="22" spans="1:7">
      <c r="A22" s="2" t="s">
        <v>1227</v>
      </c>
    </row>
    <row r="24" spans="1:7" ht="15.75" customHeight="1">
      <c r="A24" s="4" t="s">
        <v>1228</v>
      </c>
      <c r="B24" s="4"/>
      <c r="C24" s="4"/>
      <c r="D24" s="4"/>
      <c r="E24" s="4"/>
      <c r="F24" s="4"/>
      <c r="G24" s="4"/>
    </row>
    <row r="27" spans="1:7">
      <c r="A27" s="2" t="s">
        <v>104</v>
      </c>
    </row>
  </sheetData>
  <mergeCells count="1">
    <mergeCell ref="A2:F2"/>
  </mergeCells>
  <phoneticPr fontId="0" type="noConversion"/>
  <pageMargins left="0.56000000000000005" right="0.59" top="0.89" bottom="0.49" header="0.49" footer="0.4921259845"/>
  <pageSetup paperSize="9" scale="84" orientation="portrait" horizontalDpi="1200" verticalDpi="1200"/>
  <headerFooter alignWithMargins="0">
    <oddHeader>&amp;L&amp;"Arial,Bold"Andere Versicherungen der vom BAG anerkannten Krankenversicherer</oddHead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C5B31-6707-5240-98E9-D7FAC998585C}">
  <sheetPr>
    <pageSetUpPr fitToPage="1"/>
  </sheetPr>
  <dimension ref="A1:I23"/>
  <sheetViews>
    <sheetView zoomScale="75" workbookViewId="0">
      <selection activeCell="F3" sqref="F3:F17"/>
    </sheetView>
  </sheetViews>
  <sheetFormatPr baseColWidth="10" defaultColWidth="11.3984375" defaultRowHeight="13"/>
  <cols>
    <col min="1" max="1" width="33.3984375" style="2" customWidth="1"/>
    <col min="2" max="2" width="15.19921875" style="2" customWidth="1"/>
    <col min="3" max="3" width="15.59765625" style="2" customWidth="1"/>
    <col min="4" max="4" width="15.19921875" style="2" customWidth="1"/>
    <col min="5" max="5" width="17.796875" style="219" customWidth="1"/>
    <col min="6" max="6" width="15.19921875" style="2" customWidth="1"/>
    <col min="7" max="16384" width="11.3984375" style="2"/>
  </cols>
  <sheetData>
    <row r="1" spans="1:9" s="1" customFormat="1" ht="14" customHeight="1">
      <c r="E1" s="20"/>
    </row>
    <row r="2" spans="1:9" s="1" customFormat="1" ht="28" customHeight="1">
      <c r="A2" s="21" t="s">
        <v>905</v>
      </c>
      <c r="E2" s="20"/>
      <c r="F2" s="21">
        <v>2004</v>
      </c>
    </row>
    <row r="3" spans="1:9" ht="24" customHeight="1">
      <c r="A3" s="316" t="s">
        <v>1127</v>
      </c>
      <c r="B3" s="164" t="s">
        <v>906</v>
      </c>
      <c r="C3" s="141" t="s">
        <v>907</v>
      </c>
      <c r="D3" s="164" t="s">
        <v>874</v>
      </c>
      <c r="E3" s="359" t="s">
        <v>652</v>
      </c>
      <c r="F3" s="360" t="s">
        <v>451</v>
      </c>
    </row>
    <row r="4" spans="1:9" ht="15" customHeight="1">
      <c r="A4" s="165"/>
      <c r="B4" s="166" t="s">
        <v>908</v>
      </c>
      <c r="C4" s="144" t="s">
        <v>909</v>
      </c>
      <c r="D4" s="166" t="s">
        <v>879</v>
      </c>
      <c r="E4" s="361"/>
      <c r="F4" s="179" t="s">
        <v>486</v>
      </c>
    </row>
    <row r="5" spans="1:9" ht="15" customHeight="1">
      <c r="A5" s="165"/>
      <c r="B5" s="166" t="s">
        <v>910</v>
      </c>
      <c r="C5" s="144" t="s">
        <v>911</v>
      </c>
      <c r="D5" s="166" t="s">
        <v>703</v>
      </c>
      <c r="E5" s="361"/>
      <c r="F5" s="179" t="s">
        <v>454</v>
      </c>
    </row>
    <row r="6" spans="1:9" ht="15" customHeight="1">
      <c r="A6" s="165"/>
      <c r="B6" s="166"/>
      <c r="C6" s="144" t="s">
        <v>912</v>
      </c>
      <c r="D6" s="166" t="s">
        <v>913</v>
      </c>
      <c r="E6" s="361"/>
      <c r="F6" s="362"/>
    </row>
    <row r="7" spans="1:9" ht="15" customHeight="1">
      <c r="A7" s="165"/>
      <c r="B7" s="166"/>
      <c r="C7" s="144" t="s">
        <v>914</v>
      </c>
      <c r="D7" s="363" t="s">
        <v>915</v>
      </c>
      <c r="E7" s="361"/>
      <c r="F7" s="179"/>
    </row>
    <row r="8" spans="1:9" ht="24" customHeight="1">
      <c r="A8" s="167"/>
      <c r="B8" s="168"/>
      <c r="C8" s="147"/>
      <c r="D8" s="168"/>
      <c r="E8" s="364"/>
      <c r="F8" s="180"/>
    </row>
    <row r="9" spans="1:9" ht="30" customHeight="1" thickBot="1">
      <c r="A9" s="365" t="s">
        <v>916</v>
      </c>
      <c r="B9" s="310">
        <v>1816829511.0999999</v>
      </c>
      <c r="C9" s="311">
        <v>87197868.829999998</v>
      </c>
      <c r="D9" s="310">
        <v>3814195.12</v>
      </c>
      <c r="E9" s="227">
        <v>1907841575.0499997</v>
      </c>
      <c r="F9" s="366">
        <v>-0.15621586348295746</v>
      </c>
      <c r="G9" s="9"/>
    </row>
    <row r="10" spans="1:9" ht="20" customHeight="1" thickBot="1">
      <c r="A10" s="186" t="s">
        <v>917</v>
      </c>
      <c r="B10" s="317">
        <v>1824766011.3</v>
      </c>
      <c r="C10" s="318">
        <v>52673750.740000002</v>
      </c>
      <c r="D10" s="317">
        <v>3821887.95</v>
      </c>
      <c r="E10" s="229">
        <v>1881261649.99</v>
      </c>
      <c r="F10" s="367">
        <v>-0.15719995305191675</v>
      </c>
      <c r="H10" s="10"/>
      <c r="I10" s="10"/>
    </row>
    <row r="11" spans="1:9" ht="20" customHeight="1" thickBot="1">
      <c r="A11" s="171" t="s">
        <v>918</v>
      </c>
      <c r="B11" s="317">
        <v>5958705.0899999999</v>
      </c>
      <c r="C11" s="318">
        <v>-319651.44</v>
      </c>
      <c r="D11" s="317">
        <v>57901.9</v>
      </c>
      <c r="E11" s="229">
        <v>5696955.5499999998</v>
      </c>
      <c r="F11" s="367">
        <v>-0.79406901297523536</v>
      </c>
      <c r="H11" s="10"/>
      <c r="I11" s="10"/>
    </row>
    <row r="12" spans="1:9" ht="20" customHeight="1" thickBot="1">
      <c r="A12" s="171" t="s">
        <v>919</v>
      </c>
      <c r="B12" s="317">
        <v>1822788216.1899998</v>
      </c>
      <c r="C12" s="318">
        <v>86878217.390000001</v>
      </c>
      <c r="D12" s="317">
        <v>3872097.02</v>
      </c>
      <c r="E12" s="229">
        <v>1913538530.5999999</v>
      </c>
      <c r="F12" s="367">
        <v>-0.16392577611990669</v>
      </c>
      <c r="H12" s="10"/>
      <c r="I12" s="10"/>
    </row>
    <row r="13" spans="1:9" ht="20" customHeight="1" thickBot="1">
      <c r="A13" s="171" t="s">
        <v>920</v>
      </c>
      <c r="B13" s="317">
        <v>1544152477.7</v>
      </c>
      <c r="C13" s="318">
        <v>74949325.010000005</v>
      </c>
      <c r="D13" s="317">
        <v>7834594.9199999999</v>
      </c>
      <c r="E13" s="229">
        <v>1626936397.6300001</v>
      </c>
      <c r="F13" s="367">
        <v>-0.15457177802492891</v>
      </c>
      <c r="H13" s="10"/>
      <c r="I13" s="10"/>
    </row>
    <row r="14" spans="1:9" ht="20" customHeight="1" thickBot="1">
      <c r="A14" s="186" t="s">
        <v>921</v>
      </c>
      <c r="B14" s="317">
        <v>1551345160.7</v>
      </c>
      <c r="C14" s="318">
        <v>74949325.010000005</v>
      </c>
      <c r="D14" s="317">
        <v>7834594.9199999999</v>
      </c>
      <c r="E14" s="229">
        <v>1634129080.6300001</v>
      </c>
      <c r="F14" s="367">
        <v>-0.15346243293454156</v>
      </c>
      <c r="H14" s="10"/>
      <c r="I14" s="10"/>
    </row>
    <row r="15" spans="1:9" ht="20" customHeight="1" thickBot="1">
      <c r="A15" s="171" t="s">
        <v>922</v>
      </c>
      <c r="B15" s="317">
        <v>240663924.16999999</v>
      </c>
      <c r="C15" s="318">
        <v>7141278.8399999999</v>
      </c>
      <c r="D15" s="317">
        <v>323472.65999999997</v>
      </c>
      <c r="E15" s="229">
        <v>248128675.66999999</v>
      </c>
      <c r="F15" s="367">
        <v>-0.1885978238985199</v>
      </c>
      <c r="H15" s="10"/>
      <c r="I15" s="10"/>
    </row>
    <row r="16" spans="1:9" ht="20" customHeight="1" thickBot="1">
      <c r="A16" s="171" t="s">
        <v>923</v>
      </c>
      <c r="B16" s="317">
        <v>1784816401.8</v>
      </c>
      <c r="C16" s="318">
        <v>82090603.849999994</v>
      </c>
      <c r="D16" s="317">
        <v>8158067.5800000001</v>
      </c>
      <c r="E16" s="229">
        <v>1875065073.2299998</v>
      </c>
      <c r="F16" s="367">
        <v>-0.15923739751768556</v>
      </c>
      <c r="H16" s="10"/>
      <c r="I16" s="10"/>
    </row>
    <row r="17" spans="1:6" ht="30" customHeight="1" thickBot="1">
      <c r="A17" s="368" t="s">
        <v>1160</v>
      </c>
      <c r="B17" s="317">
        <v>37971814.409999996</v>
      </c>
      <c r="C17" s="318">
        <v>4787613.54</v>
      </c>
      <c r="D17" s="317">
        <v>-4285970.5599999996</v>
      </c>
      <c r="E17" s="229">
        <v>38473457.389999993</v>
      </c>
      <c r="F17" s="367">
        <v>-0.34259101119264213</v>
      </c>
    </row>
    <row r="18" spans="1:6" ht="20" customHeight="1">
      <c r="A18" s="155" t="s">
        <v>148</v>
      </c>
      <c r="B18" s="155"/>
      <c r="C18" s="155"/>
      <c r="D18" s="155"/>
      <c r="E18" s="338"/>
      <c r="F18" s="155"/>
    </row>
    <row r="19" spans="1:6">
      <c r="A19" s="4"/>
    </row>
    <row r="20" spans="1:6">
      <c r="A20" s="2" t="s">
        <v>924</v>
      </c>
    </row>
    <row r="23" spans="1:6">
      <c r="A23" s="2" t="s">
        <v>104</v>
      </c>
    </row>
  </sheetData>
  <phoneticPr fontId="0" type="noConversion"/>
  <pageMargins left="0.47" right="0.47" top="0.92" bottom="0.49" header="0.49" footer="0.4921259845"/>
  <pageSetup paperSize="9" scale="84" orientation="portrait" horizontalDpi="1200" verticalDpi="1200"/>
  <headerFooter alignWithMargins="0">
    <oddHeader>&amp;L&amp;"Arial,Bold"Andere Versicherungen der vom BAG anerkannten Krankenversicherer</oddHead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A3942-A247-7543-8FEF-5A465215D3AF}">
  <sheetPr>
    <pageSetUpPr fitToPage="1"/>
  </sheetPr>
  <dimension ref="A1:E43"/>
  <sheetViews>
    <sheetView zoomScale="75" workbookViewId="0">
      <selection activeCell="E3" sqref="E3"/>
    </sheetView>
  </sheetViews>
  <sheetFormatPr baseColWidth="10" defaultColWidth="11.3984375" defaultRowHeight="13"/>
  <cols>
    <col min="1" max="1" width="8.796875" style="2" customWidth="1"/>
    <col min="2" max="2" width="48.796875" style="23" customWidth="1"/>
    <col min="3" max="3" width="16.59765625" style="2" customWidth="1"/>
    <col min="4" max="4" width="16.59765625" style="9" customWidth="1"/>
    <col min="5" max="5" width="15.3984375" style="315" customWidth="1"/>
    <col min="6" max="16384" width="11.3984375" style="2"/>
  </cols>
  <sheetData>
    <row r="1" spans="1:5" s="1" customFormat="1" ht="14" customHeight="1">
      <c r="B1" s="209"/>
      <c r="D1" s="192"/>
      <c r="E1" s="304"/>
    </row>
    <row r="2" spans="1:5" s="1" customFormat="1" ht="25.5" customHeight="1">
      <c r="A2" s="1715" t="s">
        <v>904</v>
      </c>
      <c r="B2" s="1716"/>
      <c r="C2" s="1716"/>
      <c r="D2" s="1716"/>
      <c r="E2" s="21">
        <v>2004</v>
      </c>
    </row>
    <row r="3" spans="1:5" ht="39" customHeight="1">
      <c r="A3" s="316" t="s">
        <v>1127</v>
      </c>
      <c r="B3" s="210"/>
      <c r="C3" s="164" t="s">
        <v>1128</v>
      </c>
      <c r="D3" s="194" t="s">
        <v>1129</v>
      </c>
      <c r="E3" s="305" t="s">
        <v>652</v>
      </c>
    </row>
    <row r="4" spans="1:5" ht="38" customHeight="1">
      <c r="A4" s="306"/>
      <c r="B4" s="307"/>
      <c r="C4" s="168" t="s">
        <v>884</v>
      </c>
      <c r="D4" s="200" t="s">
        <v>884</v>
      </c>
      <c r="E4" s="308" t="s">
        <v>884</v>
      </c>
    </row>
    <row r="5" spans="1:5" ht="30" customHeight="1" thickBot="1">
      <c r="A5" s="148">
        <v>63</v>
      </c>
      <c r="B5" s="148" t="s">
        <v>526</v>
      </c>
      <c r="C5" s="149">
        <v>1782583577.9000001</v>
      </c>
      <c r="D5" s="225">
        <v>74985220.989999995</v>
      </c>
      <c r="E5" s="319">
        <v>1857568798.9000001</v>
      </c>
    </row>
    <row r="6" spans="1:5" ht="20" customHeight="1" thickBot="1">
      <c r="A6" s="152">
        <v>64</v>
      </c>
      <c r="B6" s="152" t="s">
        <v>1130</v>
      </c>
      <c r="C6" s="153">
        <v>-31203950.809999999</v>
      </c>
      <c r="D6" s="228">
        <v>-847504.53</v>
      </c>
      <c r="E6" s="173">
        <v>-32051455.34</v>
      </c>
    </row>
    <row r="7" spans="1:5" ht="20" customHeight="1" thickBot="1">
      <c r="A7" s="152">
        <v>65</v>
      </c>
      <c r="B7" s="152" t="s">
        <v>1131</v>
      </c>
      <c r="C7" s="153">
        <v>-611501.89</v>
      </c>
      <c r="D7" s="228">
        <v>-139830.34</v>
      </c>
      <c r="E7" s="173">
        <v>-751332.23</v>
      </c>
    </row>
    <row r="8" spans="1:5" ht="27" customHeight="1" thickBot="1">
      <c r="A8" s="186" t="s">
        <v>1132</v>
      </c>
      <c r="B8" s="186" t="s">
        <v>1133</v>
      </c>
      <c r="C8" s="153">
        <v>1750768125.2</v>
      </c>
      <c r="D8" s="228">
        <v>73997886.129999995</v>
      </c>
      <c r="E8" s="173">
        <v>1824766011.3</v>
      </c>
    </row>
    <row r="9" spans="1:5" ht="20" customHeight="1" thickBot="1">
      <c r="A9" s="152">
        <v>66</v>
      </c>
      <c r="B9" s="152" t="s">
        <v>1134</v>
      </c>
      <c r="C9" s="153">
        <v>-16247806.58</v>
      </c>
      <c r="D9" s="228">
        <v>-1167835.23</v>
      </c>
      <c r="E9" s="173">
        <v>-17415641.809999999</v>
      </c>
    </row>
    <row r="10" spans="1:5" ht="27" customHeight="1" thickBot="1">
      <c r="A10" s="186" t="s">
        <v>1135</v>
      </c>
      <c r="B10" s="186" t="s">
        <v>1136</v>
      </c>
      <c r="C10" s="153">
        <v>1734520318.5999999</v>
      </c>
      <c r="D10" s="228">
        <v>72830050.900000006</v>
      </c>
      <c r="E10" s="173">
        <v>1807350369.5</v>
      </c>
    </row>
    <row r="11" spans="1:5" ht="20" customHeight="1" thickBot="1">
      <c r="A11" s="152">
        <v>67</v>
      </c>
      <c r="B11" s="152" t="s">
        <v>1137</v>
      </c>
      <c r="C11" s="153">
        <v>-1214135.31</v>
      </c>
      <c r="D11" s="228">
        <v>-85711.89</v>
      </c>
      <c r="E11" s="173">
        <v>-1299847.2</v>
      </c>
    </row>
    <row r="12" spans="1:5" ht="20" customHeight="1" thickBot="1">
      <c r="A12" s="152">
        <v>68</v>
      </c>
      <c r="B12" s="152" t="s">
        <v>1138</v>
      </c>
      <c r="C12" s="153">
        <v>-5462874.9500000002</v>
      </c>
      <c r="D12" s="228">
        <v>-35516.85</v>
      </c>
      <c r="E12" s="173">
        <v>-5498391.7999999998</v>
      </c>
    </row>
    <row r="13" spans="1:5" ht="20" customHeight="1" thickBot="1">
      <c r="A13" s="152">
        <v>69</v>
      </c>
      <c r="B13" s="152" t="s">
        <v>1139</v>
      </c>
      <c r="C13" s="153">
        <v>14403659</v>
      </c>
      <c r="D13" s="228">
        <v>1873721.64</v>
      </c>
      <c r="E13" s="173">
        <v>16277380.640000001</v>
      </c>
    </row>
    <row r="14" spans="1:5" ht="27" customHeight="1" thickBot="1">
      <c r="A14" s="186">
        <v>6</v>
      </c>
      <c r="B14" s="186" t="s">
        <v>1140</v>
      </c>
      <c r="C14" s="153">
        <v>1742246967.3</v>
      </c>
      <c r="D14" s="228">
        <v>74582543.799999997</v>
      </c>
      <c r="E14" s="173">
        <v>1816829511.0999999</v>
      </c>
    </row>
    <row r="15" spans="1:5" ht="20" customHeight="1" thickBot="1">
      <c r="A15" s="152">
        <v>33</v>
      </c>
      <c r="B15" s="152" t="s">
        <v>527</v>
      </c>
      <c r="C15" s="153">
        <v>1375820254.9000001</v>
      </c>
      <c r="D15" s="228">
        <v>41938882.969999999</v>
      </c>
      <c r="E15" s="173">
        <v>1417759137.9000001</v>
      </c>
    </row>
    <row r="16" spans="1:5" ht="20" customHeight="1" thickBot="1">
      <c r="A16" s="152">
        <v>32</v>
      </c>
      <c r="B16" s="152" t="s">
        <v>1141</v>
      </c>
      <c r="C16" s="153">
        <v>-34977016.990000002</v>
      </c>
      <c r="D16" s="228">
        <v>-950465.45</v>
      </c>
      <c r="E16" s="173">
        <v>-35927482.439999998</v>
      </c>
    </row>
    <row r="17" spans="1:5" ht="27" customHeight="1" thickBot="1">
      <c r="A17" s="186" t="s">
        <v>1142</v>
      </c>
      <c r="B17" s="186" t="s">
        <v>1143</v>
      </c>
      <c r="C17" s="153">
        <v>1340843237.9000001</v>
      </c>
      <c r="D17" s="228">
        <v>40988417.520000003</v>
      </c>
      <c r="E17" s="173">
        <v>1381831655.5</v>
      </c>
    </row>
    <row r="18" spans="1:5" ht="20" customHeight="1" thickBot="1">
      <c r="A18" s="152">
        <v>34</v>
      </c>
      <c r="B18" s="152" t="s">
        <v>1144</v>
      </c>
      <c r="C18" s="153">
        <v>7444651.8700000001</v>
      </c>
      <c r="D18" s="228">
        <v>165475.31</v>
      </c>
      <c r="E18" s="173">
        <v>7610127.1799999997</v>
      </c>
    </row>
    <row r="19" spans="1:5" ht="20" customHeight="1" thickBot="1">
      <c r="A19" s="152">
        <v>35</v>
      </c>
      <c r="B19" s="152" t="s">
        <v>1145</v>
      </c>
      <c r="C19" s="153">
        <v>156254262.12</v>
      </c>
      <c r="D19" s="228">
        <v>5649115.9000000004</v>
      </c>
      <c r="E19" s="173">
        <v>161903378.02000001</v>
      </c>
    </row>
    <row r="20" spans="1:5" ht="27" customHeight="1" thickBot="1">
      <c r="A20" s="186" t="s">
        <v>1146</v>
      </c>
      <c r="B20" s="186" t="s">
        <v>1147</v>
      </c>
      <c r="C20" s="153">
        <v>1504542151.9000001</v>
      </c>
      <c r="D20" s="228">
        <v>46803008.729999997</v>
      </c>
      <c r="E20" s="173">
        <v>1551345160.7</v>
      </c>
    </row>
    <row r="21" spans="1:5" ht="20" customHeight="1" thickBot="1">
      <c r="A21" s="152">
        <v>36</v>
      </c>
      <c r="B21" s="152" t="s">
        <v>1148</v>
      </c>
      <c r="C21" s="153">
        <v>-7032422.1399999997</v>
      </c>
      <c r="D21" s="228">
        <v>-160260.85999999999</v>
      </c>
      <c r="E21" s="173">
        <v>-7192683</v>
      </c>
    </row>
    <row r="22" spans="1:5" ht="20" customHeight="1" thickBot="1">
      <c r="A22" s="152">
        <v>37</v>
      </c>
      <c r="B22" s="152" t="s">
        <v>1149</v>
      </c>
      <c r="C22" s="153">
        <v>0</v>
      </c>
      <c r="D22" s="228">
        <v>0</v>
      </c>
      <c r="E22" s="173">
        <v>0</v>
      </c>
    </row>
    <row r="23" spans="1:5" ht="26.25" customHeight="1" thickBot="1">
      <c r="A23" s="186">
        <v>3</v>
      </c>
      <c r="B23" s="186" t="s">
        <v>1150</v>
      </c>
      <c r="C23" s="153">
        <v>1497509729.8</v>
      </c>
      <c r="D23" s="228">
        <v>46642747.869999997</v>
      </c>
      <c r="E23" s="173">
        <v>1544152477.7</v>
      </c>
    </row>
    <row r="24" spans="1:5" ht="20" customHeight="1" thickBot="1">
      <c r="A24" s="152" t="s">
        <v>1151</v>
      </c>
      <c r="B24" s="152" t="s">
        <v>1152</v>
      </c>
      <c r="C24" s="153">
        <v>218175283.99000001</v>
      </c>
      <c r="D24" s="228">
        <v>11336435.390000001</v>
      </c>
      <c r="E24" s="173">
        <v>229511719.38</v>
      </c>
    </row>
    <row r="25" spans="1:5" ht="20" customHeight="1" thickBot="1">
      <c r="A25" s="152">
        <v>48</v>
      </c>
      <c r="B25" s="152" t="s">
        <v>1153</v>
      </c>
      <c r="C25" s="153">
        <v>6502783.5800000001</v>
      </c>
      <c r="D25" s="228">
        <v>1018381.39</v>
      </c>
      <c r="E25" s="173">
        <v>7521164.9699999997</v>
      </c>
    </row>
    <row r="26" spans="1:5" ht="20" customHeight="1" thickBot="1">
      <c r="A26" s="152">
        <v>49</v>
      </c>
      <c r="B26" s="152" t="s">
        <v>1154</v>
      </c>
      <c r="C26" s="153">
        <v>3392764.3</v>
      </c>
      <c r="D26" s="228">
        <v>238275.52</v>
      </c>
      <c r="E26" s="173">
        <v>3631039.82</v>
      </c>
    </row>
    <row r="27" spans="1:5" ht="27" customHeight="1" thickBot="1">
      <c r="A27" s="186">
        <v>4</v>
      </c>
      <c r="B27" s="186" t="s">
        <v>1155</v>
      </c>
      <c r="C27" s="153">
        <v>228070831.87</v>
      </c>
      <c r="D27" s="228">
        <v>12593092.300000001</v>
      </c>
      <c r="E27" s="173">
        <v>240663924.16999999</v>
      </c>
    </row>
    <row r="28" spans="1:5" ht="27" customHeight="1" thickBot="1">
      <c r="A28" s="186" t="s">
        <v>1156</v>
      </c>
      <c r="B28" s="186" t="s">
        <v>1157</v>
      </c>
      <c r="C28" s="153">
        <v>1725580561.7</v>
      </c>
      <c r="D28" s="228">
        <v>59235840.18</v>
      </c>
      <c r="E28" s="173">
        <v>1784816401.8</v>
      </c>
    </row>
    <row r="29" spans="1:5" ht="27" customHeight="1" thickBot="1">
      <c r="A29" s="186"/>
      <c r="B29" s="186" t="s">
        <v>1158</v>
      </c>
      <c r="C29" s="153">
        <v>16666405.689999999</v>
      </c>
      <c r="D29" s="228">
        <v>15346703.630000001</v>
      </c>
      <c r="E29" s="173">
        <v>32013109.32</v>
      </c>
    </row>
    <row r="30" spans="1:5" ht="27" customHeight="1" thickBot="1">
      <c r="A30" s="186">
        <v>7</v>
      </c>
      <c r="B30" s="186" t="s">
        <v>1159</v>
      </c>
      <c r="C30" s="153">
        <v>6677932.6299999999</v>
      </c>
      <c r="D30" s="228">
        <v>-719227.54</v>
      </c>
      <c r="E30" s="173">
        <v>5958705.0899999999</v>
      </c>
    </row>
    <row r="31" spans="1:5" ht="28.5" customHeight="1" thickBot="1">
      <c r="A31" s="349"/>
      <c r="B31" s="349" t="s">
        <v>1160</v>
      </c>
      <c r="C31" s="350">
        <v>23344338.32</v>
      </c>
      <c r="D31" s="351">
        <v>14627476.09</v>
      </c>
      <c r="E31" s="352">
        <v>37971814.409999996</v>
      </c>
    </row>
    <row r="32" spans="1:5" ht="20" customHeight="1">
      <c r="A32" s="353"/>
      <c r="B32" s="353"/>
      <c r="C32" s="354"/>
      <c r="D32" s="354"/>
      <c r="E32" s="355"/>
    </row>
    <row r="33" spans="1:5" ht="23.25" customHeight="1">
      <c r="A33" s="356" t="s">
        <v>1298</v>
      </c>
      <c r="B33" s="357"/>
      <c r="C33" s="357"/>
      <c r="D33" s="357"/>
      <c r="E33" s="357"/>
    </row>
    <row r="34" spans="1:5" ht="19.5" customHeight="1" thickBot="1">
      <c r="A34" s="358"/>
      <c r="B34" s="358" t="s">
        <v>1299</v>
      </c>
      <c r="C34" s="310" t="s">
        <v>1300</v>
      </c>
      <c r="D34" s="311" t="s">
        <v>1300</v>
      </c>
      <c r="E34" s="226">
        <v>465976411.31</v>
      </c>
    </row>
    <row r="35" spans="1:5" ht="19.5" customHeight="1" thickBot="1">
      <c r="A35" s="186"/>
      <c r="B35" s="186" t="s">
        <v>1301</v>
      </c>
      <c r="C35" s="317" t="s">
        <v>1300</v>
      </c>
      <c r="D35" s="318" t="s">
        <v>1300</v>
      </c>
      <c r="E35" s="218">
        <v>341372475.88</v>
      </c>
    </row>
    <row r="36" spans="1:5" ht="15.75" customHeight="1">
      <c r="A36" s="155" t="s">
        <v>148</v>
      </c>
      <c r="B36" s="213"/>
      <c r="C36" s="155"/>
      <c r="D36" s="207"/>
      <c r="E36" s="313"/>
    </row>
    <row r="37" spans="1:5">
      <c r="A37" s="4"/>
    </row>
    <row r="38" spans="1:5">
      <c r="A38" s="4" t="s">
        <v>1302</v>
      </c>
    </row>
    <row r="39" spans="1:5">
      <c r="A39" s="4"/>
    </row>
    <row r="40" spans="1:5">
      <c r="A40" s="2" t="s">
        <v>903</v>
      </c>
    </row>
    <row r="43" spans="1:5">
      <c r="A43" s="2" t="s">
        <v>104</v>
      </c>
    </row>
  </sheetData>
  <mergeCells count="1">
    <mergeCell ref="A2:D2"/>
  </mergeCells>
  <phoneticPr fontId="0" type="noConversion"/>
  <pageMargins left="0.51181102362204722" right="0.47244094488188981" top="0.74" bottom="0.57999999999999996" header="0.41" footer="0.37"/>
  <pageSetup paperSize="9" scale="82" orientation="portrait" horizontalDpi="1200" verticalDpi="1200"/>
  <headerFooter alignWithMargins="0">
    <oddHeader>&amp;L&amp;"Arial,Bold"Andere Versicherungen der vom BAG anerkannten Krankenversicherer</oddHead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E8A82-A3B2-C444-A503-9FAE2B025164}">
  <sheetPr>
    <pageSetUpPr fitToPage="1"/>
  </sheetPr>
  <dimension ref="A1:H37"/>
  <sheetViews>
    <sheetView zoomScale="75" workbookViewId="0">
      <selection activeCell="F2" sqref="F2"/>
    </sheetView>
  </sheetViews>
  <sheetFormatPr baseColWidth="10" defaultColWidth="11.3984375" defaultRowHeight="13"/>
  <cols>
    <col min="1" max="1" width="8.796875" style="2" customWidth="1"/>
    <col min="2" max="2" width="48.796875" style="23" customWidth="1"/>
    <col min="3" max="3" width="17.3984375" style="2" customWidth="1"/>
    <col min="4" max="4" width="17.3984375" style="9" customWidth="1"/>
    <col min="5" max="5" width="17" style="315" customWidth="1"/>
    <col min="6" max="16384" width="11.3984375" style="2"/>
  </cols>
  <sheetData>
    <row r="1" spans="1:8" s="1" customFormat="1" ht="14" customHeight="1">
      <c r="B1" s="209"/>
      <c r="D1" s="192"/>
      <c r="E1" s="304"/>
    </row>
    <row r="2" spans="1:8" s="1" customFormat="1" ht="28" customHeight="1">
      <c r="A2" s="21" t="s">
        <v>1296</v>
      </c>
      <c r="B2" s="209"/>
      <c r="D2" s="192"/>
      <c r="E2" s="21">
        <v>2004</v>
      </c>
    </row>
    <row r="3" spans="1:8" ht="39" customHeight="1">
      <c r="A3" s="316" t="s">
        <v>1127</v>
      </c>
      <c r="B3" s="210"/>
      <c r="C3" s="164" t="s">
        <v>1128</v>
      </c>
      <c r="D3" s="194" t="s">
        <v>1129</v>
      </c>
      <c r="E3" s="305" t="s">
        <v>652</v>
      </c>
      <c r="G3" s="5"/>
      <c r="H3" s="5"/>
    </row>
    <row r="4" spans="1:8" ht="38" customHeight="1">
      <c r="A4" s="306"/>
      <c r="B4" s="307"/>
      <c r="C4" s="168" t="s">
        <v>884</v>
      </c>
      <c r="D4" s="200" t="s">
        <v>884</v>
      </c>
      <c r="E4" s="308" t="s">
        <v>884</v>
      </c>
      <c r="G4" s="344"/>
      <c r="H4" s="345"/>
    </row>
    <row r="5" spans="1:8" ht="30" customHeight="1" thickBot="1">
      <c r="A5" s="148">
        <v>63</v>
      </c>
      <c r="B5" s="148" t="s">
        <v>526</v>
      </c>
      <c r="C5" s="149">
        <v>51611698.399999999</v>
      </c>
      <c r="D5" s="225">
        <v>1118054.7</v>
      </c>
      <c r="E5" s="319">
        <v>52729753.100000001</v>
      </c>
      <c r="G5" s="63"/>
      <c r="H5" s="345"/>
    </row>
    <row r="6" spans="1:8" ht="20" customHeight="1" thickBot="1">
      <c r="A6" s="152">
        <v>64</v>
      </c>
      <c r="B6" s="152" t="s">
        <v>1130</v>
      </c>
      <c r="C6" s="153">
        <v>-54824.11</v>
      </c>
      <c r="D6" s="228">
        <v>-1178.25</v>
      </c>
      <c r="E6" s="173">
        <v>-56002.36</v>
      </c>
      <c r="G6" s="63"/>
      <c r="H6" s="345"/>
    </row>
    <row r="7" spans="1:8" ht="20" customHeight="1" thickBot="1">
      <c r="A7" s="152">
        <v>65</v>
      </c>
      <c r="B7" s="152" t="s">
        <v>1131</v>
      </c>
      <c r="C7" s="153">
        <v>0</v>
      </c>
      <c r="D7" s="228">
        <v>0</v>
      </c>
      <c r="E7" s="173">
        <v>0</v>
      </c>
      <c r="G7" s="63"/>
      <c r="H7" s="345"/>
    </row>
    <row r="8" spans="1:8" ht="27" customHeight="1" thickBot="1">
      <c r="A8" s="186" t="s">
        <v>1132</v>
      </c>
      <c r="B8" s="186" t="s">
        <v>1133</v>
      </c>
      <c r="C8" s="153">
        <v>51556874.289999999</v>
      </c>
      <c r="D8" s="228">
        <v>1116876.45</v>
      </c>
      <c r="E8" s="173">
        <v>52673750.740000002</v>
      </c>
      <c r="G8" s="63"/>
      <c r="H8" s="345"/>
    </row>
    <row r="9" spans="1:8" ht="21" customHeight="1" thickBot="1">
      <c r="A9" s="152">
        <v>66</v>
      </c>
      <c r="B9" s="152" t="s">
        <v>1134</v>
      </c>
      <c r="C9" s="153">
        <v>0</v>
      </c>
      <c r="D9" s="228">
        <v>0</v>
      </c>
      <c r="E9" s="173">
        <v>0</v>
      </c>
      <c r="G9" s="63"/>
      <c r="H9" s="345"/>
    </row>
    <row r="10" spans="1:8" ht="27" customHeight="1" thickBot="1">
      <c r="A10" s="186" t="s">
        <v>1135</v>
      </c>
      <c r="B10" s="186" t="s">
        <v>1136</v>
      </c>
      <c r="C10" s="153">
        <v>51556874.289999999</v>
      </c>
      <c r="D10" s="228">
        <v>1116876.45</v>
      </c>
      <c r="E10" s="173">
        <v>52673750.740000002</v>
      </c>
      <c r="G10" s="63"/>
      <c r="H10" s="345"/>
    </row>
    <row r="11" spans="1:8" ht="20" customHeight="1" thickBot="1">
      <c r="A11" s="152">
        <v>67</v>
      </c>
      <c r="B11" s="152" t="s">
        <v>1137</v>
      </c>
      <c r="C11" s="153">
        <v>33799275.119999997</v>
      </c>
      <c r="D11" s="228">
        <v>721508.88</v>
      </c>
      <c r="E11" s="173">
        <v>34520784</v>
      </c>
      <c r="G11" s="346"/>
      <c r="H11" s="345"/>
    </row>
    <row r="12" spans="1:8" ht="20" customHeight="1" thickBot="1">
      <c r="A12" s="152">
        <v>68</v>
      </c>
      <c r="B12" s="152" t="s">
        <v>1138</v>
      </c>
      <c r="C12" s="153">
        <v>0</v>
      </c>
      <c r="D12" s="228">
        <v>0</v>
      </c>
      <c r="E12" s="173">
        <v>0</v>
      </c>
      <c r="G12" s="63"/>
      <c r="H12" s="345"/>
    </row>
    <row r="13" spans="1:8" ht="20" customHeight="1" thickBot="1">
      <c r="A13" s="152">
        <v>69</v>
      </c>
      <c r="B13" s="152" t="s">
        <v>1139</v>
      </c>
      <c r="C13" s="153">
        <v>3267.33</v>
      </c>
      <c r="D13" s="228">
        <v>66.760000000000005</v>
      </c>
      <c r="E13" s="173">
        <v>3334.09</v>
      </c>
    </row>
    <row r="14" spans="1:8" ht="27" customHeight="1" thickBot="1">
      <c r="A14" s="186">
        <v>6</v>
      </c>
      <c r="B14" s="186" t="s">
        <v>1140</v>
      </c>
      <c r="C14" s="153">
        <v>85359416.739999995</v>
      </c>
      <c r="D14" s="228">
        <v>1838452.09</v>
      </c>
      <c r="E14" s="173">
        <v>87197868.829999998</v>
      </c>
    </row>
    <row r="15" spans="1:8" ht="20" customHeight="1" thickBot="1">
      <c r="A15" s="152">
        <v>33</v>
      </c>
      <c r="B15" s="152" t="s">
        <v>527</v>
      </c>
      <c r="C15" s="153">
        <v>74550411.040000007</v>
      </c>
      <c r="D15" s="228">
        <v>2070565.01</v>
      </c>
      <c r="E15" s="173">
        <v>76620976.049999997</v>
      </c>
    </row>
    <row r="16" spans="1:8" ht="20" customHeight="1" thickBot="1">
      <c r="A16" s="152">
        <v>32</v>
      </c>
      <c r="B16" s="152" t="s">
        <v>1141</v>
      </c>
      <c r="C16" s="153">
        <v>-5859389.4400000004</v>
      </c>
      <c r="D16" s="228">
        <v>-75211.759999999995</v>
      </c>
      <c r="E16" s="173">
        <v>-5934601.2000000002</v>
      </c>
    </row>
    <row r="17" spans="1:5" ht="27" customHeight="1" thickBot="1">
      <c r="A17" s="186" t="s">
        <v>1142</v>
      </c>
      <c r="B17" s="186" t="s">
        <v>1143</v>
      </c>
      <c r="C17" s="153">
        <v>68691021.599999994</v>
      </c>
      <c r="D17" s="228">
        <v>1995353.25</v>
      </c>
      <c r="E17" s="173">
        <v>70686374.849999994</v>
      </c>
    </row>
    <row r="18" spans="1:5" ht="20" customHeight="1" thickBot="1">
      <c r="A18" s="152">
        <v>34</v>
      </c>
      <c r="B18" s="152" t="s">
        <v>1144</v>
      </c>
      <c r="C18" s="153">
        <v>2281485.17</v>
      </c>
      <c r="D18" s="228">
        <v>74479.259999999995</v>
      </c>
      <c r="E18" s="173">
        <v>2355964.4300000002</v>
      </c>
    </row>
    <row r="19" spans="1:5" ht="20" customHeight="1" thickBot="1">
      <c r="A19" s="152">
        <v>35</v>
      </c>
      <c r="B19" s="152" t="s">
        <v>1145</v>
      </c>
      <c r="C19" s="153">
        <v>1855381.17</v>
      </c>
      <c r="D19" s="228">
        <v>51604.56</v>
      </c>
      <c r="E19" s="173">
        <v>1906985.73</v>
      </c>
    </row>
    <row r="20" spans="1:5" ht="27" customHeight="1" thickBot="1">
      <c r="A20" s="186" t="s">
        <v>1146</v>
      </c>
      <c r="B20" s="186" t="s">
        <v>1147</v>
      </c>
      <c r="C20" s="153">
        <v>72827887.939999998</v>
      </c>
      <c r="D20" s="228">
        <v>2121437.0699999998</v>
      </c>
      <c r="E20" s="173">
        <v>74949325.010000005</v>
      </c>
    </row>
    <row r="21" spans="1:5" ht="20" customHeight="1" thickBot="1">
      <c r="A21" s="152">
        <v>36</v>
      </c>
      <c r="B21" s="152" t="s">
        <v>1148</v>
      </c>
      <c r="C21" s="153">
        <v>0</v>
      </c>
      <c r="D21" s="228">
        <v>0</v>
      </c>
      <c r="E21" s="173">
        <v>0</v>
      </c>
    </row>
    <row r="22" spans="1:5" ht="20" customHeight="1" thickBot="1">
      <c r="A22" s="152">
        <v>37</v>
      </c>
      <c r="B22" s="152" t="s">
        <v>1149</v>
      </c>
      <c r="C22" s="153">
        <v>0</v>
      </c>
      <c r="D22" s="228">
        <v>0</v>
      </c>
      <c r="E22" s="173">
        <v>0</v>
      </c>
    </row>
    <row r="23" spans="1:5" ht="27" customHeight="1" thickBot="1">
      <c r="A23" s="186">
        <v>3</v>
      </c>
      <c r="B23" s="186" t="s">
        <v>1150</v>
      </c>
      <c r="C23" s="153">
        <v>72827887.939999998</v>
      </c>
      <c r="D23" s="228">
        <v>2121437.0699999998</v>
      </c>
      <c r="E23" s="173">
        <v>74949325.010000005</v>
      </c>
    </row>
    <row r="24" spans="1:5" ht="20" customHeight="1" thickBot="1">
      <c r="A24" s="152" t="s">
        <v>1151</v>
      </c>
      <c r="B24" s="152" t="s">
        <v>1152</v>
      </c>
      <c r="C24" s="153">
        <v>6610089.6699999999</v>
      </c>
      <c r="D24" s="228">
        <v>136387.71</v>
      </c>
      <c r="E24" s="173">
        <v>6746477.3799999999</v>
      </c>
    </row>
    <row r="25" spans="1:5" ht="20" customHeight="1" thickBot="1">
      <c r="A25" s="152">
        <v>48</v>
      </c>
      <c r="B25" s="152" t="s">
        <v>1153</v>
      </c>
      <c r="C25" s="153">
        <v>352320.84</v>
      </c>
      <c r="D25" s="228">
        <v>7209.31</v>
      </c>
      <c r="E25" s="173">
        <v>359530.15</v>
      </c>
    </row>
    <row r="26" spans="1:5" ht="20" customHeight="1" thickBot="1">
      <c r="A26" s="152">
        <v>49</v>
      </c>
      <c r="B26" s="152" t="s">
        <v>1154</v>
      </c>
      <c r="C26" s="153">
        <v>34565.01</v>
      </c>
      <c r="D26" s="228">
        <v>706.3</v>
      </c>
      <c r="E26" s="173">
        <v>35271.31</v>
      </c>
    </row>
    <row r="27" spans="1:5" ht="27" customHeight="1" thickBot="1">
      <c r="A27" s="186">
        <v>4</v>
      </c>
      <c r="B27" s="186" t="s">
        <v>1155</v>
      </c>
      <c r="C27" s="153">
        <v>6996975.5199999996</v>
      </c>
      <c r="D27" s="228">
        <v>144303.32</v>
      </c>
      <c r="E27" s="173">
        <v>7141278.8399999999</v>
      </c>
    </row>
    <row r="28" spans="1:5" ht="27" customHeight="1" thickBot="1">
      <c r="A28" s="186" t="s">
        <v>1156</v>
      </c>
      <c r="B28" s="186" t="s">
        <v>1157</v>
      </c>
      <c r="C28" s="153">
        <v>79824863.459999993</v>
      </c>
      <c r="D28" s="228">
        <v>2265740.39</v>
      </c>
      <c r="E28" s="173">
        <v>82090603.849999994</v>
      </c>
    </row>
    <row r="29" spans="1:5" ht="27" customHeight="1" thickBot="1">
      <c r="A29" s="186"/>
      <c r="B29" s="186" t="s">
        <v>1158</v>
      </c>
      <c r="C29" s="153">
        <v>5534553.2800000003</v>
      </c>
      <c r="D29" s="228">
        <v>-427288.3</v>
      </c>
      <c r="E29" s="173">
        <v>5107264.9800000004</v>
      </c>
    </row>
    <row r="30" spans="1:5" ht="27" customHeight="1" thickBot="1">
      <c r="A30" s="186">
        <v>7</v>
      </c>
      <c r="B30" s="186" t="s">
        <v>1159</v>
      </c>
      <c r="C30" s="153">
        <v>-313754.65999999997</v>
      </c>
      <c r="D30" s="228">
        <v>-5896.78</v>
      </c>
      <c r="E30" s="173">
        <v>-319651.44</v>
      </c>
    </row>
    <row r="31" spans="1:5" ht="26.25" customHeight="1" thickBot="1">
      <c r="A31" s="312"/>
      <c r="B31" s="312" t="s">
        <v>1160</v>
      </c>
      <c r="C31" s="153">
        <v>5220798.62</v>
      </c>
      <c r="D31" s="228">
        <v>-433185.08</v>
      </c>
      <c r="E31" s="173">
        <v>4787613.54</v>
      </c>
    </row>
    <row r="32" spans="1:5" ht="20.25" customHeight="1">
      <c r="A32" s="155" t="s">
        <v>148</v>
      </c>
      <c r="B32" s="213"/>
      <c r="C32" s="155"/>
      <c r="D32" s="207"/>
      <c r="E32" s="313"/>
    </row>
    <row r="34" spans="1:1">
      <c r="A34" s="2" t="s">
        <v>1297</v>
      </c>
    </row>
    <row r="37" spans="1:1">
      <c r="A37" s="2" t="s">
        <v>104</v>
      </c>
    </row>
  </sheetData>
  <phoneticPr fontId="0" type="noConversion"/>
  <pageMargins left="0.51" right="0.56000000000000005" top="0.74" bottom="0.49" header="0.44" footer="0.4921259845"/>
  <pageSetup paperSize="9" scale="85" orientation="portrait" horizontalDpi="4294967292" verticalDpi="4294967292"/>
  <headerFooter alignWithMargins="0">
    <oddHeader>&amp;L&amp;"Arial,Gras"Andere Versicherungen der vom BAG anerkannten Krankenversicherer</oddHead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472F5-596B-E645-A816-FED3ACF47EA7}">
  <sheetPr>
    <pageSetUpPr fitToPage="1"/>
  </sheetPr>
  <dimension ref="A1:H39"/>
  <sheetViews>
    <sheetView zoomScale="75" workbookViewId="0">
      <selection activeCell="F11" sqref="F11"/>
    </sheetView>
  </sheetViews>
  <sheetFormatPr baseColWidth="10" defaultColWidth="11.3984375" defaultRowHeight="13"/>
  <cols>
    <col min="1" max="1" width="8.796875" style="2" customWidth="1"/>
    <col min="2" max="2" width="48.796875" style="23" customWidth="1"/>
    <col min="3" max="3" width="16.796875" style="2" customWidth="1"/>
    <col min="4" max="4" width="16.796875" style="9" customWidth="1"/>
    <col min="5" max="5" width="16.796875" style="315" customWidth="1"/>
    <col min="6" max="16384" width="11.3984375" style="2"/>
  </cols>
  <sheetData>
    <row r="1" spans="1:8" s="1" customFormat="1" ht="39.75" customHeight="1">
      <c r="A1" s="1723" t="s">
        <v>1295</v>
      </c>
      <c r="B1" s="1726"/>
      <c r="C1" s="1726"/>
      <c r="D1" s="1726"/>
      <c r="E1" s="21">
        <v>2004</v>
      </c>
    </row>
    <row r="2" spans="1:8" s="1" customFormat="1" ht="12" customHeight="1">
      <c r="A2" s="233"/>
      <c r="B2" s="233"/>
      <c r="C2" s="233"/>
      <c r="D2" s="233"/>
      <c r="E2" s="233"/>
    </row>
    <row r="3" spans="1:8" ht="39" customHeight="1">
      <c r="A3" s="316" t="s">
        <v>1127</v>
      </c>
      <c r="B3" s="210"/>
      <c r="C3" s="164" t="s">
        <v>1128</v>
      </c>
      <c r="D3" s="194" t="s">
        <v>1129</v>
      </c>
      <c r="E3" s="305" t="s">
        <v>652</v>
      </c>
      <c r="G3" s="5"/>
      <c r="H3" s="5"/>
    </row>
    <row r="4" spans="1:8" ht="38" customHeight="1">
      <c r="A4" s="306"/>
      <c r="B4" s="307"/>
      <c r="C4" s="168" t="s">
        <v>884</v>
      </c>
      <c r="D4" s="200" t="s">
        <v>884</v>
      </c>
      <c r="E4" s="308" t="s">
        <v>884</v>
      </c>
      <c r="G4" s="344"/>
      <c r="H4" s="345"/>
    </row>
    <row r="5" spans="1:8" ht="30" customHeight="1" thickBot="1">
      <c r="A5" s="148">
        <v>63</v>
      </c>
      <c r="B5" s="148" t="s">
        <v>526</v>
      </c>
      <c r="C5" s="149">
        <v>3700373.9</v>
      </c>
      <c r="D5" s="225">
        <v>200895.75</v>
      </c>
      <c r="E5" s="319">
        <v>3901269.65</v>
      </c>
      <c r="G5" s="63"/>
      <c r="H5" s="345"/>
    </row>
    <row r="6" spans="1:8" ht="20" customHeight="1" thickBot="1">
      <c r="A6" s="152">
        <v>64</v>
      </c>
      <c r="B6" s="152" t="s">
        <v>1130</v>
      </c>
      <c r="C6" s="153">
        <v>-75279.75</v>
      </c>
      <c r="D6" s="228">
        <v>-4101.95</v>
      </c>
      <c r="E6" s="173">
        <v>-79381.7</v>
      </c>
      <c r="G6" s="63"/>
      <c r="H6" s="345"/>
    </row>
    <row r="7" spans="1:8" ht="20" customHeight="1" thickBot="1">
      <c r="A7" s="152">
        <v>65</v>
      </c>
      <c r="B7" s="152" t="s">
        <v>1131</v>
      </c>
      <c r="C7" s="153">
        <v>0</v>
      </c>
      <c r="D7" s="228">
        <v>0</v>
      </c>
      <c r="E7" s="173">
        <v>0</v>
      </c>
      <c r="G7" s="63"/>
      <c r="H7" s="345"/>
    </row>
    <row r="8" spans="1:8" ht="27" customHeight="1" thickBot="1">
      <c r="A8" s="186" t="s">
        <v>1132</v>
      </c>
      <c r="B8" s="186" t="s">
        <v>1133</v>
      </c>
      <c r="C8" s="153">
        <v>3625094.15</v>
      </c>
      <c r="D8" s="228">
        <v>196793.8</v>
      </c>
      <c r="E8" s="173">
        <v>3821887.95</v>
      </c>
      <c r="G8" s="63"/>
      <c r="H8" s="345"/>
    </row>
    <row r="9" spans="1:8" ht="20" customHeight="1" thickBot="1">
      <c r="A9" s="152">
        <v>66</v>
      </c>
      <c r="B9" s="152" t="s">
        <v>1134</v>
      </c>
      <c r="C9" s="153">
        <v>-7640.4</v>
      </c>
      <c r="D9" s="228">
        <v>-402.1</v>
      </c>
      <c r="E9" s="173">
        <v>-8042.5</v>
      </c>
      <c r="G9" s="63"/>
      <c r="H9" s="345"/>
    </row>
    <row r="10" spans="1:8" ht="27" customHeight="1" thickBot="1">
      <c r="A10" s="186" t="s">
        <v>1135</v>
      </c>
      <c r="B10" s="186" t="s">
        <v>1136</v>
      </c>
      <c r="C10" s="153">
        <v>3617453.75</v>
      </c>
      <c r="D10" s="228">
        <v>196391.7</v>
      </c>
      <c r="E10" s="173">
        <v>3813845.45</v>
      </c>
      <c r="G10" s="63"/>
      <c r="H10" s="345"/>
    </row>
    <row r="11" spans="1:8" ht="21" customHeight="1" thickBot="1">
      <c r="A11" s="152">
        <v>67</v>
      </c>
      <c r="B11" s="152" t="s">
        <v>1137</v>
      </c>
      <c r="C11" s="153">
        <v>0</v>
      </c>
      <c r="D11" s="228">
        <v>0</v>
      </c>
      <c r="E11" s="173">
        <v>0</v>
      </c>
      <c r="G11" s="346"/>
      <c r="H11" s="345"/>
    </row>
    <row r="12" spans="1:8" ht="21" customHeight="1" thickBot="1">
      <c r="A12" s="152">
        <v>68</v>
      </c>
      <c r="B12" s="152" t="s">
        <v>1138</v>
      </c>
      <c r="C12" s="153">
        <v>0</v>
      </c>
      <c r="D12" s="228">
        <v>0</v>
      </c>
      <c r="E12" s="173">
        <v>0</v>
      </c>
      <c r="G12" s="63"/>
      <c r="H12" s="345"/>
    </row>
    <row r="13" spans="1:8" ht="21" customHeight="1" thickBot="1">
      <c r="A13" s="152">
        <v>69</v>
      </c>
      <c r="B13" s="152" t="s">
        <v>1139</v>
      </c>
      <c r="C13" s="153">
        <v>331.6</v>
      </c>
      <c r="D13" s="228">
        <v>18.07</v>
      </c>
      <c r="E13" s="173">
        <v>349.67</v>
      </c>
    </row>
    <row r="14" spans="1:8" ht="27" customHeight="1" thickBot="1">
      <c r="A14" s="186">
        <v>6</v>
      </c>
      <c r="B14" s="186" t="s">
        <v>1140</v>
      </c>
      <c r="C14" s="153">
        <v>3617785.35</v>
      </c>
      <c r="D14" s="228">
        <v>196409.77</v>
      </c>
      <c r="E14" s="173">
        <v>3814195.12</v>
      </c>
    </row>
    <row r="15" spans="1:8" ht="20" customHeight="1" thickBot="1">
      <c r="A15" s="152">
        <v>33</v>
      </c>
      <c r="B15" s="152" t="s">
        <v>527</v>
      </c>
      <c r="C15" s="153">
        <v>7000459.75</v>
      </c>
      <c r="D15" s="228">
        <v>99565.65</v>
      </c>
      <c r="E15" s="173">
        <v>7100025.4000000004</v>
      </c>
    </row>
    <row r="16" spans="1:8" ht="20" customHeight="1" thickBot="1">
      <c r="A16" s="152">
        <v>32</v>
      </c>
      <c r="B16" s="152" t="s">
        <v>1141</v>
      </c>
      <c r="C16" s="153">
        <v>-195586.15</v>
      </c>
      <c r="D16" s="228">
        <v>-5540</v>
      </c>
      <c r="E16" s="173">
        <v>-201126.15</v>
      </c>
    </row>
    <row r="17" spans="1:5" ht="27" customHeight="1" thickBot="1">
      <c r="A17" s="186" t="s">
        <v>1142</v>
      </c>
      <c r="B17" s="186" t="s">
        <v>1143</v>
      </c>
      <c r="C17" s="153">
        <v>6804873.5999999996</v>
      </c>
      <c r="D17" s="228">
        <v>94025.65</v>
      </c>
      <c r="E17" s="173">
        <v>6898899.25</v>
      </c>
    </row>
    <row r="18" spans="1:5" ht="20" customHeight="1" thickBot="1">
      <c r="A18" s="152">
        <v>34</v>
      </c>
      <c r="B18" s="152" t="s">
        <v>1144</v>
      </c>
      <c r="C18" s="153">
        <v>51675.9</v>
      </c>
      <c r="D18" s="228">
        <v>586.03</v>
      </c>
      <c r="E18" s="173">
        <v>52261.93</v>
      </c>
    </row>
    <row r="19" spans="1:5" ht="20" customHeight="1" thickBot="1">
      <c r="A19" s="152">
        <v>35</v>
      </c>
      <c r="B19" s="152" t="s">
        <v>1145</v>
      </c>
      <c r="C19" s="153">
        <v>870557.66</v>
      </c>
      <c r="D19" s="228">
        <v>12876.08</v>
      </c>
      <c r="E19" s="173">
        <v>883433.74</v>
      </c>
    </row>
    <row r="20" spans="1:5" ht="27" customHeight="1" thickBot="1">
      <c r="A20" s="186" t="s">
        <v>1146</v>
      </c>
      <c r="B20" s="186" t="s">
        <v>1147</v>
      </c>
      <c r="C20" s="153">
        <v>7727107.1600000001</v>
      </c>
      <c r="D20" s="228">
        <v>107487.76</v>
      </c>
      <c r="E20" s="173">
        <v>7834594.9199999999</v>
      </c>
    </row>
    <row r="21" spans="1:5" ht="20" customHeight="1" thickBot="1">
      <c r="A21" s="152">
        <v>36</v>
      </c>
      <c r="B21" s="152" t="s">
        <v>1148</v>
      </c>
      <c r="C21" s="153">
        <v>0</v>
      </c>
      <c r="D21" s="228">
        <v>0</v>
      </c>
      <c r="E21" s="173">
        <v>0</v>
      </c>
    </row>
    <row r="22" spans="1:5" ht="20" customHeight="1" thickBot="1">
      <c r="A22" s="152">
        <v>37</v>
      </c>
      <c r="B22" s="152" t="s">
        <v>1149</v>
      </c>
      <c r="C22" s="153">
        <v>0</v>
      </c>
      <c r="D22" s="228">
        <v>0</v>
      </c>
      <c r="E22" s="173">
        <v>0</v>
      </c>
    </row>
    <row r="23" spans="1:5" ht="27" customHeight="1" thickBot="1">
      <c r="A23" s="186">
        <v>3</v>
      </c>
      <c r="B23" s="186" t="s">
        <v>1150</v>
      </c>
      <c r="C23" s="153">
        <v>7727107.1600000001</v>
      </c>
      <c r="D23" s="228">
        <v>107487.76</v>
      </c>
      <c r="E23" s="173">
        <v>7834594.9199999999</v>
      </c>
    </row>
    <row r="24" spans="1:5" ht="20" customHeight="1" thickBot="1">
      <c r="A24" s="152" t="s">
        <v>1151</v>
      </c>
      <c r="B24" s="152" t="s">
        <v>1152</v>
      </c>
      <c r="C24" s="153">
        <v>5180.71</v>
      </c>
      <c r="D24" s="228">
        <v>282.35000000000002</v>
      </c>
      <c r="E24" s="173">
        <v>5463.06</v>
      </c>
    </row>
    <row r="25" spans="1:5" ht="20" customHeight="1" thickBot="1">
      <c r="A25" s="152">
        <v>48</v>
      </c>
      <c r="B25" s="152" t="s">
        <v>1153</v>
      </c>
      <c r="C25" s="153">
        <v>301806.28999999998</v>
      </c>
      <c r="D25" s="228">
        <v>16105.31</v>
      </c>
      <c r="E25" s="173">
        <v>317911.59999999998</v>
      </c>
    </row>
    <row r="26" spans="1:5" ht="20" customHeight="1" thickBot="1">
      <c r="A26" s="152">
        <v>49</v>
      </c>
      <c r="B26" s="152" t="s">
        <v>1154</v>
      </c>
      <c r="C26" s="153">
        <v>93</v>
      </c>
      <c r="D26" s="228">
        <v>5</v>
      </c>
      <c r="E26" s="173">
        <v>98</v>
      </c>
    </row>
    <row r="27" spans="1:5" ht="27" customHeight="1" thickBot="1">
      <c r="A27" s="186">
        <v>4</v>
      </c>
      <c r="B27" s="186" t="s">
        <v>1155</v>
      </c>
      <c r="C27" s="153">
        <v>307080</v>
      </c>
      <c r="D27" s="228">
        <v>16392.66</v>
      </c>
      <c r="E27" s="173">
        <v>323472.65999999997</v>
      </c>
    </row>
    <row r="28" spans="1:5" ht="27" customHeight="1" thickBot="1">
      <c r="A28" s="186" t="s">
        <v>1156</v>
      </c>
      <c r="B28" s="186" t="s">
        <v>1157</v>
      </c>
      <c r="C28" s="153">
        <v>8034187.1600000001</v>
      </c>
      <c r="D28" s="228">
        <v>123880.42</v>
      </c>
      <c r="E28" s="173">
        <v>8158067.5800000001</v>
      </c>
    </row>
    <row r="29" spans="1:5" ht="27" customHeight="1" thickBot="1">
      <c r="A29" s="186"/>
      <c r="B29" s="186" t="s">
        <v>1158</v>
      </c>
      <c r="C29" s="153">
        <v>-4416401.8099999996</v>
      </c>
      <c r="D29" s="228">
        <v>72529.350000000006</v>
      </c>
      <c r="E29" s="173">
        <v>-4343872.46</v>
      </c>
    </row>
    <row r="30" spans="1:5" ht="27" customHeight="1" thickBot="1">
      <c r="A30" s="186">
        <v>7</v>
      </c>
      <c r="B30" s="186" t="s">
        <v>1159</v>
      </c>
      <c r="C30" s="153">
        <v>54880.77</v>
      </c>
      <c r="D30" s="228">
        <v>3021.13</v>
      </c>
      <c r="E30" s="173">
        <v>57901.9</v>
      </c>
    </row>
    <row r="31" spans="1:5" ht="27.75" customHeight="1" thickBot="1">
      <c r="A31" s="312"/>
      <c r="B31" s="312" t="s">
        <v>1160</v>
      </c>
      <c r="C31" s="153">
        <v>-4361521.04</v>
      </c>
      <c r="D31" s="228">
        <v>75550.48</v>
      </c>
      <c r="E31" s="173">
        <v>-4285970.5599999996</v>
      </c>
    </row>
    <row r="32" spans="1:5" ht="19.5" customHeight="1">
      <c r="A32" s="155" t="s">
        <v>148</v>
      </c>
      <c r="B32" s="213"/>
      <c r="C32" s="155"/>
      <c r="D32" s="207"/>
      <c r="E32" s="313"/>
    </row>
    <row r="34" spans="1:1">
      <c r="A34" s="347" t="s">
        <v>1293</v>
      </c>
    </row>
    <row r="35" spans="1:1">
      <c r="A35" s="348"/>
    </row>
    <row r="36" spans="1:1">
      <c r="A36" s="2" t="s">
        <v>1294</v>
      </c>
    </row>
    <row r="39" spans="1:1">
      <c r="A39" s="2" t="s">
        <v>104</v>
      </c>
    </row>
  </sheetData>
  <mergeCells count="1">
    <mergeCell ref="A1:D1"/>
  </mergeCells>
  <phoneticPr fontId="0" type="noConversion"/>
  <pageMargins left="0.53" right="0.57999999999999996" top="0.92" bottom="0.49" header="0.49" footer="0.4921259845"/>
  <pageSetup paperSize="9" scale="86" orientation="portrait" horizontalDpi="4294967292" verticalDpi="4294967292"/>
  <headerFooter alignWithMargins="0">
    <oddHeader>&amp;L&amp;"Arial,Gras"Andere Versicherungen der vom BAG anerkannten Krankenversicherer</oddHead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78508-25E6-5841-A953-A6B38AD86B94}">
  <sheetPr>
    <pageSetUpPr fitToPage="1"/>
  </sheetPr>
  <dimension ref="A1:B17"/>
  <sheetViews>
    <sheetView workbookViewId="0">
      <selection activeCell="A14" sqref="A14:B14"/>
    </sheetView>
  </sheetViews>
  <sheetFormatPr baseColWidth="10" defaultColWidth="11.3984375" defaultRowHeight="13"/>
  <cols>
    <col min="1" max="1" width="5.59765625" style="288" customWidth="1"/>
    <col min="2" max="16384" width="11.3984375" style="288"/>
  </cols>
  <sheetData>
    <row r="1" spans="1:2" ht="16">
      <c r="A1" s="287" t="s">
        <v>1103</v>
      </c>
    </row>
    <row r="2" spans="1:2" ht="16">
      <c r="A2" s="287"/>
    </row>
    <row r="3" spans="1:2">
      <c r="A3" s="289">
        <v>8.01</v>
      </c>
      <c r="B3" s="290" t="s">
        <v>1104</v>
      </c>
    </row>
    <row r="4" spans="1:2">
      <c r="A4" s="289">
        <v>8.02</v>
      </c>
      <c r="B4" s="291" t="s">
        <v>1114</v>
      </c>
    </row>
    <row r="5" spans="1:2">
      <c r="A5" s="289">
        <v>8.0299999999999994</v>
      </c>
      <c r="B5" s="290" t="s">
        <v>1105</v>
      </c>
    </row>
    <row r="6" spans="1:2">
      <c r="A6" s="289">
        <v>8.0399999999999991</v>
      </c>
      <c r="B6" s="290" t="s">
        <v>1106</v>
      </c>
    </row>
    <row r="7" spans="1:2">
      <c r="A7" s="289">
        <v>8.0500000000000007</v>
      </c>
      <c r="B7" s="290" t="s">
        <v>1107</v>
      </c>
    </row>
    <row r="8" spans="1:2">
      <c r="A8" s="289">
        <v>8.06</v>
      </c>
      <c r="B8" s="290" t="s">
        <v>1108</v>
      </c>
    </row>
    <row r="9" spans="1:2">
      <c r="A9" s="289">
        <v>8.07</v>
      </c>
      <c r="B9" s="290" t="s">
        <v>1109</v>
      </c>
    </row>
    <row r="10" spans="1:2">
      <c r="A10" s="289">
        <v>8.08</v>
      </c>
      <c r="B10" s="290" t="s">
        <v>1110</v>
      </c>
    </row>
    <row r="11" spans="1:2">
      <c r="A11" s="289">
        <v>8.09</v>
      </c>
      <c r="B11" s="290" t="s">
        <v>1111</v>
      </c>
    </row>
    <row r="12" spans="1:2">
      <c r="A12" s="289">
        <v>8.1</v>
      </c>
      <c r="B12" s="290" t="s">
        <v>1112</v>
      </c>
    </row>
    <row r="13" spans="1:2">
      <c r="A13" s="289">
        <v>8.11</v>
      </c>
      <c r="B13" s="291" t="s">
        <v>1113</v>
      </c>
    </row>
    <row r="14" spans="1:2">
      <c r="A14" s="289"/>
      <c r="B14" s="291"/>
    </row>
    <row r="17" spans="1:1">
      <c r="A17" s="292" t="s">
        <v>104</v>
      </c>
    </row>
  </sheetData>
  <phoneticPr fontId="39" type="noConversion"/>
  <pageMargins left="0.54" right="0.53" top="0.65" bottom="0.984251969" header="0.38" footer="0.4921259845"/>
  <pageSetup paperSize="9" orientation="portrait"/>
  <headerFooter alignWithMargins="0"/>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E5938-A69F-E640-AC33-511F72778FEF}">
  <sheetPr>
    <pageSetUpPr fitToPage="1"/>
  </sheetPr>
  <dimension ref="A1:F21"/>
  <sheetViews>
    <sheetView zoomScale="75" workbookViewId="0">
      <selection activeCell="E20" sqref="E20"/>
    </sheetView>
  </sheetViews>
  <sheetFormatPr baseColWidth="10" defaultColWidth="11.3984375" defaultRowHeight="13"/>
  <cols>
    <col min="1" max="1" width="12.796875" style="2" customWidth="1"/>
    <col min="2" max="2" width="13.19921875" style="23" customWidth="1"/>
    <col min="3" max="4" width="13.19921875" style="2" customWidth="1"/>
    <col min="5" max="5" width="15.3984375" style="23" customWidth="1"/>
    <col min="6" max="6" width="14.3984375" style="23" customWidth="1"/>
    <col min="7" max="7" width="22.19921875" style="2" customWidth="1"/>
    <col min="8" max="16384" width="11.3984375" style="2"/>
  </cols>
  <sheetData>
    <row r="1" spans="1:6" s="1" customFormat="1" ht="14" customHeight="1">
      <c r="B1" s="209"/>
      <c r="E1" s="209"/>
      <c r="F1" s="209"/>
    </row>
    <row r="2" spans="1:6" s="1" customFormat="1" ht="28" customHeight="1">
      <c r="A2" s="21" t="s">
        <v>1249</v>
      </c>
      <c r="B2" s="209"/>
      <c r="C2" s="21"/>
      <c r="D2" s="21"/>
      <c r="E2" s="209"/>
      <c r="F2" s="370">
        <v>2004</v>
      </c>
    </row>
    <row r="3" spans="1:6" ht="24" customHeight="1">
      <c r="A3" s="139" t="s">
        <v>1250</v>
      </c>
      <c r="B3" s="360"/>
      <c r="C3" s="139"/>
      <c r="D3" s="163"/>
      <c r="E3" s="139" t="s">
        <v>1251</v>
      </c>
      <c r="F3" s="360"/>
    </row>
    <row r="4" spans="1:6" ht="15" customHeight="1">
      <c r="A4" s="165"/>
      <c r="B4" s="390" t="s">
        <v>1252</v>
      </c>
      <c r="C4" s="144" t="s">
        <v>1253</v>
      </c>
      <c r="D4" s="166" t="s">
        <v>1254</v>
      </c>
      <c r="E4" s="142" t="s">
        <v>1255</v>
      </c>
      <c r="F4" s="179" t="s">
        <v>539</v>
      </c>
    </row>
    <row r="5" spans="1:6" ht="15" customHeight="1">
      <c r="A5" s="165"/>
      <c r="B5" s="390" t="s">
        <v>2038</v>
      </c>
      <c r="C5" s="144"/>
      <c r="D5" s="166"/>
      <c r="E5" s="142" t="s">
        <v>1256</v>
      </c>
      <c r="F5" s="179" t="s">
        <v>542</v>
      </c>
    </row>
    <row r="6" spans="1:6" ht="24" customHeight="1">
      <c r="A6" s="167"/>
      <c r="B6" s="168"/>
      <c r="C6" s="147"/>
      <c r="D6" s="168"/>
      <c r="E6" s="145" t="s">
        <v>542</v>
      </c>
      <c r="F6" s="180"/>
    </row>
    <row r="7" spans="1:6" ht="17.25" customHeight="1" thickBot="1">
      <c r="A7" s="391">
        <v>1996</v>
      </c>
      <c r="B7" s="310">
        <v>159</v>
      </c>
      <c r="C7" s="311">
        <v>0</v>
      </c>
      <c r="D7" s="310">
        <v>25</v>
      </c>
      <c r="E7" s="311">
        <v>145</v>
      </c>
      <c r="F7" s="310">
        <v>150</v>
      </c>
    </row>
    <row r="8" spans="1:6" ht="17.25" customHeight="1" thickBot="1">
      <c r="A8" s="152">
        <v>1997</v>
      </c>
      <c r="B8" s="317">
        <v>142</v>
      </c>
      <c r="C8" s="318">
        <v>1</v>
      </c>
      <c r="D8" s="317">
        <v>18</v>
      </c>
      <c r="E8" s="318">
        <v>129</v>
      </c>
      <c r="F8" s="317">
        <v>134</v>
      </c>
    </row>
    <row r="9" spans="1:6" ht="17.25" customHeight="1" thickBot="1">
      <c r="A9" s="152">
        <v>1998</v>
      </c>
      <c r="B9" s="317">
        <v>127</v>
      </c>
      <c r="C9" s="318">
        <v>0</v>
      </c>
      <c r="D9" s="317">
        <v>15</v>
      </c>
      <c r="E9" s="318">
        <v>118</v>
      </c>
      <c r="F9" s="317">
        <v>115</v>
      </c>
    </row>
    <row r="10" spans="1:6" ht="17.25" customHeight="1" thickBot="1">
      <c r="A10" s="152">
        <v>1999</v>
      </c>
      <c r="B10" s="317">
        <v>119</v>
      </c>
      <c r="C10" s="318">
        <v>2</v>
      </c>
      <c r="D10" s="317">
        <v>10</v>
      </c>
      <c r="E10" s="318">
        <v>109</v>
      </c>
      <c r="F10" s="317">
        <v>109</v>
      </c>
    </row>
    <row r="11" spans="1:6" ht="17.25" customHeight="1" thickBot="1">
      <c r="A11" s="152">
        <v>2000</v>
      </c>
      <c r="B11" s="317">
        <v>110</v>
      </c>
      <c r="C11" s="318">
        <v>0</v>
      </c>
      <c r="D11" s="317">
        <v>9</v>
      </c>
      <c r="E11" s="318">
        <v>101</v>
      </c>
      <c r="F11" s="317">
        <v>102</v>
      </c>
    </row>
    <row r="12" spans="1:6" ht="17.25" customHeight="1" thickBot="1">
      <c r="A12" s="152">
        <v>2001</v>
      </c>
      <c r="B12" s="317">
        <v>108</v>
      </c>
      <c r="C12" s="318">
        <v>0</v>
      </c>
      <c r="D12" s="317">
        <v>2</v>
      </c>
      <c r="E12" s="1672">
        <v>99</v>
      </c>
      <c r="F12" s="317">
        <v>102</v>
      </c>
    </row>
    <row r="13" spans="1:6" ht="17.25" customHeight="1" thickBot="1">
      <c r="A13" s="391">
        <v>2002</v>
      </c>
      <c r="B13" s="310">
        <v>101</v>
      </c>
      <c r="C13" s="311">
        <v>1</v>
      </c>
      <c r="D13" s="310">
        <v>8</v>
      </c>
      <c r="E13" s="311">
        <v>93</v>
      </c>
      <c r="F13" s="310">
        <v>93</v>
      </c>
    </row>
    <row r="14" spans="1:6" ht="17.25" customHeight="1" thickBot="1">
      <c r="A14" s="391">
        <v>2003</v>
      </c>
      <c r="B14" s="310">
        <v>99</v>
      </c>
      <c r="C14" s="311">
        <v>2</v>
      </c>
      <c r="D14" s="310">
        <v>3</v>
      </c>
      <c r="E14" s="311">
        <v>93</v>
      </c>
      <c r="F14" s="310">
        <v>92</v>
      </c>
    </row>
    <row r="15" spans="1:6" ht="25.5" customHeight="1" thickBot="1">
      <c r="A15" s="187">
        <v>2004</v>
      </c>
      <c r="B15" s="392">
        <v>98</v>
      </c>
      <c r="C15" s="227">
        <v>0</v>
      </c>
      <c r="D15" s="392">
        <v>2</v>
      </c>
      <c r="E15" s="393">
        <v>92</v>
      </c>
      <c r="F15" s="392">
        <v>93</v>
      </c>
    </row>
    <row r="16" spans="1:6" ht="20" customHeight="1">
      <c r="A16" s="155" t="s">
        <v>2046</v>
      </c>
      <c r="B16" s="213"/>
      <c r="C16" s="155"/>
      <c r="D16" s="155"/>
      <c r="E16" s="213"/>
      <c r="F16" s="213"/>
    </row>
    <row r="17" spans="1:6" ht="12.75" customHeight="1">
      <c r="A17" s="4"/>
      <c r="B17" s="214"/>
      <c r="C17" s="4"/>
      <c r="D17" s="4"/>
      <c r="E17" s="214"/>
      <c r="F17" s="214"/>
    </row>
    <row r="18" spans="1:6" ht="12" customHeight="1">
      <c r="A18" s="394" t="s">
        <v>1257</v>
      </c>
    </row>
    <row r="21" spans="1:6">
      <c r="A21" s="2" t="s">
        <v>104</v>
      </c>
    </row>
  </sheetData>
  <phoneticPr fontId="0" type="noConversion"/>
  <pageMargins left="0.56000000000000005" right="0.42" top="0.76" bottom="0.49" header="0.44" footer="0.4921259845"/>
  <pageSetup paperSize="9" scale="90" orientation="portrait" horizontalDpi="1200" verticalDpi="1200"/>
  <headerFooter alignWithMargins="0">
    <oddHeader>&amp;L&amp;"Arial,Bold"Gesamtgeschäft der vom BAG anerkannten Krankenversicherer</oddHead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21CAC-2AA3-0848-94DF-18F4CE316AAA}">
  <sheetPr>
    <pageSetUpPr fitToPage="1"/>
  </sheetPr>
  <dimension ref="A1:D27"/>
  <sheetViews>
    <sheetView topLeftCell="A15" zoomScale="75" workbookViewId="0">
      <selection activeCell="A3" sqref="A3"/>
    </sheetView>
  </sheetViews>
  <sheetFormatPr baseColWidth="10" defaultColWidth="11.3984375" defaultRowHeight="13"/>
  <cols>
    <col min="1" max="1" width="10.59765625" style="2" customWidth="1"/>
    <col min="2" max="2" width="60.796875" style="23" customWidth="1"/>
    <col min="3" max="3" width="18.59765625" style="9" customWidth="1"/>
    <col min="4" max="4" width="18.3984375" style="342" customWidth="1"/>
    <col min="5" max="16384" width="11.3984375" style="2"/>
  </cols>
  <sheetData>
    <row r="1" spans="1:4" s="1" customFormat="1" ht="14" customHeight="1">
      <c r="B1" s="209"/>
      <c r="C1" s="192"/>
      <c r="D1" s="320"/>
    </row>
    <row r="2" spans="1:4" s="1" customFormat="1" ht="28" customHeight="1">
      <c r="A2" s="21" t="s">
        <v>125</v>
      </c>
      <c r="B2" s="209"/>
      <c r="C2" s="192"/>
      <c r="D2" s="370">
        <v>2004</v>
      </c>
    </row>
    <row r="3" spans="1:4" ht="27.75" customHeight="1">
      <c r="A3" s="139"/>
      <c r="B3" s="210"/>
      <c r="C3" s="371" t="s">
        <v>1231</v>
      </c>
      <c r="D3" s="322" t="s">
        <v>1231</v>
      </c>
    </row>
    <row r="4" spans="1:4" ht="27.75" customHeight="1">
      <c r="A4" s="306"/>
      <c r="B4" s="307"/>
      <c r="C4" s="198" t="s">
        <v>884</v>
      </c>
      <c r="D4" s="326" t="s">
        <v>884</v>
      </c>
    </row>
    <row r="5" spans="1:4" ht="33" customHeight="1" thickBot="1">
      <c r="A5" s="372"/>
      <c r="B5" s="372" t="s">
        <v>1232</v>
      </c>
      <c r="C5" s="373"/>
      <c r="D5" s="374"/>
    </row>
    <row r="6" spans="1:4" ht="21.75" customHeight="1" thickBot="1">
      <c r="A6" s="375">
        <v>800</v>
      </c>
      <c r="B6" s="152" t="s">
        <v>1233</v>
      </c>
      <c r="C6" s="153" t="s">
        <v>1300</v>
      </c>
      <c r="D6" s="376">
        <v>620497260.51999998</v>
      </c>
    </row>
    <row r="7" spans="1:4" ht="23.25" customHeight="1" thickBot="1">
      <c r="A7" s="375">
        <v>800</v>
      </c>
      <c r="B7" s="377" t="s">
        <v>1234</v>
      </c>
      <c r="C7" s="153">
        <v>12076418.560000001</v>
      </c>
      <c r="D7" s="376" t="s">
        <v>1300</v>
      </c>
    </row>
    <row r="8" spans="1:4" ht="46.5" customHeight="1" thickBot="1">
      <c r="A8" s="375"/>
      <c r="B8" s="152"/>
      <c r="C8" s="378" t="s">
        <v>1235</v>
      </c>
      <c r="D8" s="379" t="s">
        <v>1236</v>
      </c>
    </row>
    <row r="9" spans="1:4" ht="26.25" customHeight="1" thickBot="1">
      <c r="A9" s="375"/>
      <c r="B9" s="380" t="s">
        <v>1237</v>
      </c>
      <c r="C9" s="153"/>
      <c r="D9" s="376"/>
    </row>
    <row r="10" spans="1:4" ht="21.75" customHeight="1" thickBot="1">
      <c r="A10" s="375">
        <v>280</v>
      </c>
      <c r="B10" s="377" t="s">
        <v>1238</v>
      </c>
      <c r="C10" s="153">
        <v>1780019.39</v>
      </c>
      <c r="D10" s="381">
        <v>226713</v>
      </c>
    </row>
    <row r="11" spans="1:4" ht="24" customHeight="1" thickBot="1">
      <c r="A11" s="375">
        <v>281</v>
      </c>
      <c r="B11" s="377" t="s">
        <v>1239</v>
      </c>
      <c r="C11" s="153">
        <v>-12800000</v>
      </c>
      <c r="D11" s="381">
        <v>1000000</v>
      </c>
    </row>
    <row r="12" spans="1:4" ht="21.75" customHeight="1" thickBot="1">
      <c r="A12" s="375">
        <v>282</v>
      </c>
      <c r="B12" s="152" t="s">
        <v>1240</v>
      </c>
      <c r="C12" s="153">
        <v>0</v>
      </c>
      <c r="D12" s="381">
        <v>2013000</v>
      </c>
    </row>
    <row r="13" spans="1:4" ht="28.5" customHeight="1" thickBot="1">
      <c r="A13" s="382"/>
      <c r="B13" s="383" t="s">
        <v>1241</v>
      </c>
      <c r="C13" s="153"/>
      <c r="D13" s="381"/>
    </row>
    <row r="14" spans="1:4" s="384" customFormat="1" ht="24.75" customHeight="1" thickBot="1">
      <c r="A14" s="375">
        <v>290</v>
      </c>
      <c r="B14" s="377" t="s">
        <v>1242</v>
      </c>
      <c r="C14" s="153">
        <v>557696358.14999998</v>
      </c>
      <c r="D14" s="381">
        <v>22438520.550000001</v>
      </c>
    </row>
    <row r="15" spans="1:4" s="384" customFormat="1" ht="30.75" customHeight="1" thickBot="1">
      <c r="A15" s="375">
        <v>290.5</v>
      </c>
      <c r="B15" s="377" t="s">
        <v>1243</v>
      </c>
      <c r="C15" s="153">
        <v>5542744.4699999997</v>
      </c>
      <c r="D15" s="381">
        <v>1057041.73</v>
      </c>
    </row>
    <row r="16" spans="1:4" ht="25.5" customHeight="1" thickBot="1">
      <c r="A16" s="375">
        <v>291</v>
      </c>
      <c r="B16" s="377" t="s">
        <v>1244</v>
      </c>
      <c r="C16" s="153">
        <v>44719298.030000001</v>
      </c>
      <c r="D16" s="381">
        <v>1587782.75</v>
      </c>
    </row>
    <row r="17" spans="1:4" ht="24" customHeight="1" thickBot="1">
      <c r="A17" s="375">
        <v>292</v>
      </c>
      <c r="B17" s="377" t="s">
        <v>1245</v>
      </c>
      <c r="C17" s="153">
        <v>2123086.69</v>
      </c>
      <c r="D17" s="381">
        <v>0</v>
      </c>
    </row>
    <row r="18" spans="1:4" ht="22.5" customHeight="1" thickBot="1">
      <c r="A18" s="375">
        <v>293</v>
      </c>
      <c r="B18" s="377" t="s">
        <v>1246</v>
      </c>
      <c r="C18" s="153">
        <v>40473013.149999999</v>
      </c>
      <c r="D18" s="381">
        <v>2790620.99</v>
      </c>
    </row>
    <row r="19" spans="1:4" ht="13.5" customHeight="1" thickBot="1">
      <c r="A19" s="375"/>
      <c r="B19" s="152"/>
      <c r="C19" s="153"/>
      <c r="D19" s="381"/>
    </row>
    <row r="20" spans="1:4" s="219" customFormat="1" ht="33" customHeight="1" thickBot="1">
      <c r="A20" s="385"/>
      <c r="B20" s="386" t="s">
        <v>1247</v>
      </c>
      <c r="C20" s="173">
        <v>651610938.44000006</v>
      </c>
      <c r="D20" s="387">
        <v>651610939.53999996</v>
      </c>
    </row>
    <row r="21" spans="1:4" ht="2.25" customHeight="1" thickBot="1">
      <c r="A21" s="388"/>
      <c r="B21" s="389"/>
      <c r="C21" s="218"/>
      <c r="D21" s="212"/>
    </row>
    <row r="22" spans="1:4" ht="19.5" customHeight="1">
      <c r="A22" s="155" t="s">
        <v>146</v>
      </c>
      <c r="B22" s="213"/>
      <c r="C22" s="207"/>
      <c r="D22" s="339"/>
    </row>
    <row r="23" spans="1:4" ht="14.25" customHeight="1">
      <c r="A23" s="4"/>
      <c r="B23" s="214"/>
      <c r="C23" s="208"/>
      <c r="D23" s="341"/>
    </row>
    <row r="24" spans="1:4">
      <c r="A24" s="2" t="s">
        <v>1248</v>
      </c>
    </row>
    <row r="27" spans="1:4">
      <c r="A27" s="231" t="s">
        <v>104</v>
      </c>
    </row>
  </sheetData>
  <phoneticPr fontId="0" type="noConversion"/>
  <pageMargins left="0.78740157480314965" right="0.78740157480314965" top="1.05" bottom="0.49" header="0.56000000000000005" footer="0.4921259845"/>
  <pageSetup paperSize="9" scale="80" orientation="portrait" horizontalDpi="1200" verticalDpi="1200"/>
  <headerFooter alignWithMargins="0">
    <oddHeader>&amp;L&amp;"Arial,Bold"Gesamtgeschäft der vom BAG anerkannten Krankenversicherer</oddHead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E16C4-751E-DF48-A6F9-D2DE8B5A43A2}">
  <sheetPr>
    <pageSetUpPr fitToPage="1"/>
  </sheetPr>
  <dimension ref="A1:L24"/>
  <sheetViews>
    <sheetView zoomScale="75" workbookViewId="0">
      <selection activeCell="A3" sqref="A3"/>
    </sheetView>
  </sheetViews>
  <sheetFormatPr baseColWidth="10" defaultColWidth="11.3984375" defaultRowHeight="13"/>
  <cols>
    <col min="1" max="1" width="14.59765625" style="2" customWidth="1"/>
    <col min="2" max="7" width="12.796875" style="2" customWidth="1"/>
    <col min="8" max="8" width="13.796875" style="342" customWidth="1"/>
    <col min="9" max="16384" width="11.3984375" style="2"/>
  </cols>
  <sheetData>
    <row r="1" spans="1:12" s="1" customFormat="1" ht="14" customHeight="1">
      <c r="H1" s="320"/>
    </row>
    <row r="2" spans="1:12" s="1" customFormat="1" ht="28" customHeight="1">
      <c r="A2" s="21" t="s">
        <v>1258</v>
      </c>
      <c r="B2" s="21"/>
      <c r="H2" s="370">
        <v>2004</v>
      </c>
    </row>
    <row r="3" spans="1:12" ht="24" customHeight="1">
      <c r="A3" s="139" t="s">
        <v>1267</v>
      </c>
      <c r="B3" s="395" t="s">
        <v>1259</v>
      </c>
      <c r="C3" s="396"/>
      <c r="D3" s="395" t="s">
        <v>1260</v>
      </c>
      <c r="E3" s="396"/>
      <c r="F3" s="397" t="s">
        <v>1261</v>
      </c>
      <c r="G3" s="396"/>
      <c r="H3" s="398" t="s">
        <v>451</v>
      </c>
    </row>
    <row r="4" spans="1:12" ht="15" customHeight="1">
      <c r="A4" s="165"/>
      <c r="B4" s="271" t="s">
        <v>1262</v>
      </c>
      <c r="C4" s="399" t="s">
        <v>1263</v>
      </c>
      <c r="D4" s="271" t="s">
        <v>1262</v>
      </c>
      <c r="E4" s="399" t="s">
        <v>1263</v>
      </c>
      <c r="F4" s="271" t="s">
        <v>1262</v>
      </c>
      <c r="G4" s="399" t="s">
        <v>1263</v>
      </c>
      <c r="H4" s="400" t="s">
        <v>486</v>
      </c>
    </row>
    <row r="5" spans="1:12" ht="15" customHeight="1">
      <c r="A5" s="165"/>
      <c r="B5" s="401"/>
      <c r="C5" s="402"/>
      <c r="D5" s="403"/>
      <c r="E5" s="402"/>
      <c r="F5" s="403"/>
      <c r="G5" s="402"/>
      <c r="H5" s="400" t="s">
        <v>1268</v>
      </c>
    </row>
    <row r="6" spans="1:12" ht="24" customHeight="1">
      <c r="A6" s="167"/>
      <c r="B6" s="404"/>
      <c r="C6" s="147"/>
      <c r="D6" s="168"/>
      <c r="E6" s="147"/>
      <c r="F6" s="168"/>
      <c r="G6" s="147"/>
      <c r="H6" s="405"/>
    </row>
    <row r="7" spans="1:12" ht="21.75" customHeight="1" thickBot="1">
      <c r="A7" s="169">
        <v>1996</v>
      </c>
      <c r="B7" s="406">
        <v>5252</v>
      </c>
      <c r="C7" s="225">
        <v>5728</v>
      </c>
      <c r="D7" s="149">
        <v>5623</v>
      </c>
      <c r="E7" s="225">
        <v>7761</v>
      </c>
      <c r="F7" s="149">
        <v>10875</v>
      </c>
      <c r="G7" s="225">
        <v>13489</v>
      </c>
      <c r="H7" s="407">
        <v>6.9028372166745913E-2</v>
      </c>
      <c r="J7" s="10"/>
      <c r="K7" s="10"/>
      <c r="L7" s="10"/>
    </row>
    <row r="8" spans="1:12" ht="20" customHeight="1" thickBot="1">
      <c r="A8" s="171">
        <v>1997</v>
      </c>
      <c r="B8" s="408">
        <v>5702</v>
      </c>
      <c r="C8" s="228">
        <v>6184</v>
      </c>
      <c r="D8" s="153">
        <v>4631</v>
      </c>
      <c r="E8" s="228">
        <v>6865</v>
      </c>
      <c r="F8" s="153">
        <v>10333</v>
      </c>
      <c r="G8" s="228">
        <v>13049</v>
      </c>
      <c r="H8" s="409">
        <v>-3.2619171176514195E-2</v>
      </c>
    </row>
    <row r="9" spans="1:12" ht="20" customHeight="1" thickBot="1">
      <c r="A9" s="171">
        <v>1998</v>
      </c>
      <c r="B9" s="408">
        <v>5440</v>
      </c>
      <c r="C9" s="228">
        <v>5884</v>
      </c>
      <c r="D9" s="153">
        <v>4852</v>
      </c>
      <c r="E9" s="228">
        <v>6728</v>
      </c>
      <c r="F9" s="153">
        <v>10292</v>
      </c>
      <c r="G9" s="228">
        <v>12612</v>
      </c>
      <c r="H9" s="409">
        <v>-3.348915625718446E-2</v>
      </c>
    </row>
    <row r="10" spans="1:12" ht="20" customHeight="1" thickBot="1">
      <c r="A10" s="171">
        <v>1999</v>
      </c>
      <c r="B10" s="408">
        <v>5286</v>
      </c>
      <c r="C10" s="228">
        <v>5825</v>
      </c>
      <c r="D10" s="153">
        <v>4444</v>
      </c>
      <c r="E10" s="228">
        <v>6096</v>
      </c>
      <c r="F10" s="153">
        <v>9729</v>
      </c>
      <c r="G10" s="228">
        <v>11920</v>
      </c>
      <c r="H10" s="409">
        <v>-5.4868379321281323E-2</v>
      </c>
    </row>
    <row r="11" spans="1:12" ht="20" customHeight="1" thickBot="1">
      <c r="A11" s="171">
        <v>2000</v>
      </c>
      <c r="B11" s="408">
        <v>4367</v>
      </c>
      <c r="C11" s="228">
        <v>4846</v>
      </c>
      <c r="D11" s="153">
        <v>5837</v>
      </c>
      <c r="E11" s="228">
        <v>7246</v>
      </c>
      <c r="F11" s="153">
        <v>10204</v>
      </c>
      <c r="G11" s="228">
        <v>12092</v>
      </c>
      <c r="H11" s="409">
        <v>1.4429530201342283E-2</v>
      </c>
    </row>
    <row r="12" spans="1:12" ht="20" customHeight="1" thickBot="1">
      <c r="A12" s="171">
        <v>2001</v>
      </c>
      <c r="B12" s="408">
        <v>4317</v>
      </c>
      <c r="C12" s="228">
        <v>4736</v>
      </c>
      <c r="D12" s="153">
        <v>3995</v>
      </c>
      <c r="E12" s="228">
        <v>4942</v>
      </c>
      <c r="F12" s="153">
        <v>8312</v>
      </c>
      <c r="G12" s="228">
        <v>9678</v>
      </c>
      <c r="H12" s="409">
        <v>-0.19963612305656633</v>
      </c>
    </row>
    <row r="13" spans="1:12" ht="21.75" customHeight="1" thickBot="1">
      <c r="A13" s="171">
        <v>2002</v>
      </c>
      <c r="B13" s="408">
        <v>4346</v>
      </c>
      <c r="C13" s="228">
        <v>4839</v>
      </c>
      <c r="D13" s="153">
        <v>3951</v>
      </c>
      <c r="E13" s="228">
        <v>4838</v>
      </c>
      <c r="F13" s="153">
        <v>8297</v>
      </c>
      <c r="G13" s="228">
        <v>9677</v>
      </c>
      <c r="H13" s="409">
        <v>-1.0332713370531102E-4</v>
      </c>
    </row>
    <row r="14" spans="1:12" ht="21.75" customHeight="1" thickBot="1">
      <c r="A14" s="171">
        <v>2003</v>
      </c>
      <c r="B14" s="408">
        <v>5023</v>
      </c>
      <c r="C14" s="228">
        <v>5690</v>
      </c>
      <c r="D14" s="153">
        <v>2968</v>
      </c>
      <c r="E14" s="228">
        <v>3779</v>
      </c>
      <c r="F14" s="153">
        <v>7991</v>
      </c>
      <c r="G14" s="228">
        <v>9469</v>
      </c>
      <c r="H14" s="409">
        <v>-2.1494264751472564E-2</v>
      </c>
    </row>
    <row r="15" spans="1:12" s="412" customFormat="1" ht="26.25" customHeight="1" thickBot="1">
      <c r="A15" s="369">
        <v>2004</v>
      </c>
      <c r="B15" s="410">
        <v>5428</v>
      </c>
      <c r="C15" s="229">
        <v>6333</v>
      </c>
      <c r="D15" s="218">
        <v>2801</v>
      </c>
      <c r="E15" s="229">
        <v>3511</v>
      </c>
      <c r="F15" s="218">
        <v>8229</v>
      </c>
      <c r="G15" s="229">
        <v>9844</v>
      </c>
      <c r="H15" s="411">
        <v>3.9602914774527403E-2</v>
      </c>
    </row>
    <row r="16" spans="1:12" ht="20.25" customHeight="1">
      <c r="A16" s="155" t="s">
        <v>146</v>
      </c>
      <c r="B16" s="155"/>
      <c r="C16" s="155"/>
      <c r="D16" s="155"/>
      <c r="E16" s="155"/>
      <c r="F16" s="155"/>
      <c r="G16" s="155"/>
      <c r="H16" s="339"/>
    </row>
    <row r="17" spans="1:8" ht="14.25" customHeight="1">
      <c r="A17" s="4"/>
      <c r="B17" s="4"/>
      <c r="C17" s="4"/>
      <c r="D17" s="4"/>
      <c r="E17" s="4"/>
      <c r="F17" s="4"/>
      <c r="G17" s="4"/>
      <c r="H17" s="341"/>
    </row>
    <row r="18" spans="1:8">
      <c r="A18" s="2" t="s">
        <v>1264</v>
      </c>
    </row>
    <row r="19" spans="1:8">
      <c r="A19" s="2" t="s">
        <v>1265</v>
      </c>
    </row>
    <row r="21" spans="1:8">
      <c r="A21" s="2" t="s">
        <v>1266</v>
      </c>
    </row>
    <row r="24" spans="1:8">
      <c r="A24" s="2" t="s">
        <v>104</v>
      </c>
    </row>
  </sheetData>
  <phoneticPr fontId="0" type="noConversion"/>
  <pageMargins left="0.69" right="0.69" top="1.03" bottom="0.49" header="0.61" footer="0.4921259845"/>
  <pageSetup paperSize="9" scale="85" orientation="portrait" horizontalDpi="4294967292" verticalDpi="4294967292"/>
  <headerFooter alignWithMargins="0">
    <oddHeader>&amp;L&amp;"Arial,Bold"Gesamtgeschäft der vom BAG anerkannten Krankenversicherer</oddHead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65B0B-F2F5-B941-8EFA-3BA0748C70B3}">
  <sheetPr>
    <pageSetUpPr fitToPage="1"/>
  </sheetPr>
  <dimension ref="A1:K26"/>
  <sheetViews>
    <sheetView zoomScale="75" workbookViewId="0">
      <selection activeCell="I5" sqref="I5"/>
    </sheetView>
  </sheetViews>
  <sheetFormatPr baseColWidth="10" defaultColWidth="11.3984375" defaultRowHeight="13"/>
  <cols>
    <col min="1" max="1" width="15.796875" style="2" customWidth="1"/>
    <col min="2" max="2" width="16.796875" style="2" customWidth="1"/>
    <col min="3" max="3" width="12.796875" style="342" customWidth="1"/>
    <col min="4" max="4" width="16.796875" style="2" customWidth="1"/>
    <col min="5" max="5" width="12.796875" style="342" customWidth="1"/>
    <col min="6" max="6" width="16.796875" style="2" customWidth="1"/>
    <col min="7" max="7" width="14" style="342" customWidth="1"/>
    <col min="8" max="8" width="10.3984375" style="2" customWidth="1"/>
    <col min="9" max="16384" width="11.3984375" style="2"/>
  </cols>
  <sheetData>
    <row r="1" spans="1:11" s="1" customFormat="1" ht="14" customHeight="1">
      <c r="C1" s="320"/>
      <c r="E1" s="320"/>
      <c r="G1" s="320"/>
    </row>
    <row r="2" spans="1:11" s="1" customFormat="1" ht="28" customHeight="1">
      <c r="A2" s="21" t="s">
        <v>1269</v>
      </c>
      <c r="C2" s="320"/>
      <c r="E2" s="320"/>
      <c r="G2" s="370">
        <v>2004</v>
      </c>
    </row>
    <row r="3" spans="1:11" ht="24" customHeight="1">
      <c r="A3" s="139" t="s">
        <v>1267</v>
      </c>
      <c r="B3" s="164" t="s">
        <v>925</v>
      </c>
      <c r="C3" s="322" t="s">
        <v>451</v>
      </c>
      <c r="D3" s="164" t="s">
        <v>926</v>
      </c>
      <c r="E3" s="322" t="s">
        <v>451</v>
      </c>
      <c r="F3" s="164" t="s">
        <v>529</v>
      </c>
      <c r="G3" s="322" t="s">
        <v>451</v>
      </c>
    </row>
    <row r="4" spans="1:11" ht="15" customHeight="1">
      <c r="A4" s="165"/>
      <c r="B4" s="166" t="s">
        <v>529</v>
      </c>
      <c r="C4" s="324" t="s">
        <v>486</v>
      </c>
      <c r="D4" s="166" t="s">
        <v>927</v>
      </c>
      <c r="E4" s="324" t="s">
        <v>486</v>
      </c>
      <c r="F4" s="166" t="s">
        <v>928</v>
      </c>
      <c r="G4" s="324" t="s">
        <v>486</v>
      </c>
    </row>
    <row r="5" spans="1:11" ht="15" customHeight="1">
      <c r="A5" s="165"/>
      <c r="B5" s="166" t="s">
        <v>929</v>
      </c>
      <c r="C5" s="324" t="s">
        <v>454</v>
      </c>
      <c r="D5" s="166" t="s">
        <v>930</v>
      </c>
      <c r="E5" s="324" t="s">
        <v>454</v>
      </c>
      <c r="F5" s="166" t="s">
        <v>1363</v>
      </c>
      <c r="G5" s="324" t="s">
        <v>454</v>
      </c>
    </row>
    <row r="6" spans="1:11" ht="24" customHeight="1">
      <c r="A6" s="167"/>
      <c r="B6" s="168"/>
      <c r="C6" s="326"/>
      <c r="D6" s="168" t="s">
        <v>931</v>
      </c>
      <c r="E6" s="326"/>
      <c r="F6" s="168"/>
      <c r="G6" s="326"/>
    </row>
    <row r="7" spans="1:11" ht="20" customHeight="1" thickBot="1">
      <c r="A7" s="169">
        <v>1996</v>
      </c>
      <c r="B7" s="149">
        <v>16879057940.52</v>
      </c>
      <c r="C7" s="329">
        <v>3.1990175768496547E-2</v>
      </c>
      <c r="D7" s="149">
        <v>17192470827.740002</v>
      </c>
      <c r="E7" s="329">
        <v>6.792517720196245E-2</v>
      </c>
      <c r="F7" s="149">
        <v>-313412887.24000007</v>
      </c>
      <c r="G7" s="329">
        <v>-2.2198566405891191</v>
      </c>
      <c r="I7" s="10"/>
      <c r="J7" s="10"/>
      <c r="K7" s="10"/>
    </row>
    <row r="8" spans="1:11" ht="20" customHeight="1" thickBot="1">
      <c r="A8" s="171">
        <v>1997</v>
      </c>
      <c r="B8" s="153">
        <v>17865032287.75</v>
      </c>
      <c r="C8" s="331">
        <v>5.8414062603758338E-2</v>
      </c>
      <c r="D8" s="153">
        <v>17672056997.619999</v>
      </c>
      <c r="E8" s="331">
        <v>2.7895127738485754E-2</v>
      </c>
      <c r="F8" s="153">
        <v>192975290.09999996</v>
      </c>
      <c r="G8" s="331">
        <v>1.6157222563481461</v>
      </c>
    </row>
    <row r="9" spans="1:11" ht="20" customHeight="1" thickBot="1">
      <c r="A9" s="171">
        <v>1998</v>
      </c>
      <c r="B9" s="153">
        <v>18556339847.599998</v>
      </c>
      <c r="C9" s="331">
        <v>3.8696127088671761E-2</v>
      </c>
      <c r="D9" s="153">
        <v>18402610160.25</v>
      </c>
      <c r="E9" s="331">
        <v>4.1339452601832881E-2</v>
      </c>
      <c r="F9" s="153">
        <v>153728761.16999999</v>
      </c>
      <c r="G9" s="331">
        <v>-0.20337592916514022</v>
      </c>
    </row>
    <row r="10" spans="1:11" ht="19.5" customHeight="1" thickBot="1">
      <c r="A10" s="171">
        <v>1999</v>
      </c>
      <c r="B10" s="153">
        <v>18130009685.380001</v>
      </c>
      <c r="C10" s="331">
        <v>-2.2974905920099174E-2</v>
      </c>
      <c r="D10" s="153">
        <v>18002606410.59</v>
      </c>
      <c r="E10" s="331">
        <v>-2.1736250791423915E-2</v>
      </c>
      <c r="F10" s="153">
        <v>127403274.93000001</v>
      </c>
      <c r="G10" s="331">
        <v>-0.17124633048260959</v>
      </c>
    </row>
    <row r="11" spans="1:11" ht="19.5" customHeight="1" thickBot="1">
      <c r="A11" s="171">
        <v>2000</v>
      </c>
      <c r="B11" s="153">
        <v>17664531028.940002</v>
      </c>
      <c r="C11" s="331">
        <v>-2.5674484708927629E-2</v>
      </c>
      <c r="D11" s="153">
        <v>17831851511.68</v>
      </c>
      <c r="E11" s="331">
        <v>-9.4850098377729126E-3</v>
      </c>
      <c r="F11" s="153">
        <v>-167299750.25</v>
      </c>
      <c r="G11" s="331">
        <v>-2.3131510971120686</v>
      </c>
    </row>
    <row r="12" spans="1:11" ht="19.5" customHeight="1" thickBot="1">
      <c r="A12" s="171">
        <v>2001</v>
      </c>
      <c r="B12" s="153">
        <v>16854501683</v>
      </c>
      <c r="C12" s="331">
        <v>-4.5856261035909875E-2</v>
      </c>
      <c r="D12" s="153">
        <v>17581378780</v>
      </c>
      <c r="E12" s="331">
        <v>-1.4046367059300529E-2</v>
      </c>
      <c r="F12" s="153">
        <v>-724676858.32999992</v>
      </c>
      <c r="G12" s="331">
        <v>-3.3316075322712559</v>
      </c>
    </row>
    <row r="13" spans="1:11" ht="19.5" customHeight="1" thickBot="1">
      <c r="A13" s="171">
        <v>2002</v>
      </c>
      <c r="B13" s="153">
        <v>17923033692</v>
      </c>
      <c r="C13" s="331">
        <v>6.339742515661298E-2</v>
      </c>
      <c r="D13" s="153">
        <v>18156411305</v>
      </c>
      <c r="E13" s="331">
        <v>3.2706907245189334E-2</v>
      </c>
      <c r="F13" s="153">
        <v>-233377612.33999997</v>
      </c>
      <c r="G13" s="331">
        <v>0.67795630610060742</v>
      </c>
    </row>
    <row r="14" spans="1:11" ht="19.5" customHeight="1" thickBot="1">
      <c r="A14" s="171">
        <v>2003</v>
      </c>
      <c r="B14" s="153">
        <v>19735068495</v>
      </c>
      <c r="C14" s="331">
        <v>0.1011008981034727</v>
      </c>
      <c r="D14" s="153">
        <v>19234994873</v>
      </c>
      <c r="E14" s="331">
        <v>5.9405107643875334E-2</v>
      </c>
      <c r="F14" s="153">
        <v>500073622.12000006</v>
      </c>
      <c r="G14" s="331">
        <v>3.1427660395782078</v>
      </c>
    </row>
    <row r="15" spans="1:11" s="412" customFormat="1" ht="26.25" customHeight="1" thickBot="1">
      <c r="A15" s="369">
        <v>2004</v>
      </c>
      <c r="B15" s="218">
        <v>20469211172</v>
      </c>
      <c r="C15" s="413">
        <v>3.7199905193437736E-2</v>
      </c>
      <c r="D15" s="218">
        <v>19860790330</v>
      </c>
      <c r="E15" s="413">
        <v>3.253421491047153E-2</v>
      </c>
      <c r="F15" s="218">
        <v>608420841.96000004</v>
      </c>
      <c r="G15" s="413">
        <v>0.21666253736934848</v>
      </c>
      <c r="I15" s="414"/>
    </row>
    <row r="16" spans="1:11" ht="20" customHeight="1">
      <c r="A16" s="155" t="s">
        <v>146</v>
      </c>
      <c r="B16" s="155"/>
      <c r="C16" s="339"/>
      <c r="D16" s="155"/>
      <c r="E16" s="339"/>
      <c r="F16" s="155"/>
      <c r="G16" s="339"/>
    </row>
    <row r="17" spans="1:7" ht="13.5" customHeight="1">
      <c r="A17" s="4"/>
      <c r="B17" s="4"/>
      <c r="C17" s="341"/>
      <c r="D17" s="4"/>
      <c r="E17" s="341"/>
      <c r="F17" s="4"/>
      <c r="G17" s="341"/>
    </row>
    <row r="18" spans="1:7">
      <c r="A18" s="4" t="s">
        <v>1360</v>
      </c>
    </row>
    <row r="19" spans="1:7">
      <c r="A19" s="2" t="s">
        <v>1226</v>
      </c>
    </row>
    <row r="20" spans="1:7">
      <c r="A20" s="2" t="s">
        <v>1364</v>
      </c>
    </row>
    <row r="21" spans="1:7">
      <c r="A21" s="2" t="s">
        <v>1361</v>
      </c>
    </row>
    <row r="23" spans="1:7">
      <c r="A23" s="2" t="s">
        <v>1362</v>
      </c>
    </row>
    <row r="26" spans="1:7">
      <c r="A26" s="2" t="s">
        <v>104</v>
      </c>
    </row>
  </sheetData>
  <phoneticPr fontId="0" type="noConversion"/>
  <pageMargins left="0.67" right="0.78740157480314965" top="1.1000000000000001" bottom="0.49" header="0.59" footer="0.4921259845"/>
  <pageSetup paperSize="9" scale="76" orientation="portrait" horizontalDpi="4294967292" verticalDpi="4294967292"/>
  <headerFooter alignWithMargins="0">
    <oddHeader>&amp;L&amp;"Arial,Bold"Gesamtgeschäft der vom BAG anerkannten Krankenversicherer</oddHead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8F90E-3B1A-C242-A2D0-ACD03F991548}">
  <sheetPr>
    <pageSetUpPr fitToPage="1"/>
  </sheetPr>
  <dimension ref="A1:D48"/>
  <sheetViews>
    <sheetView topLeftCell="A5" zoomScale="75" workbookViewId="0">
      <selection activeCell="G36" sqref="G36"/>
    </sheetView>
  </sheetViews>
  <sheetFormatPr baseColWidth="10" defaultColWidth="11.3984375" defaultRowHeight="13"/>
  <cols>
    <col min="1" max="1" width="10.796875" style="2" customWidth="1"/>
    <col min="2" max="2" width="60.3984375" style="23" customWidth="1"/>
    <col min="3" max="3" width="18.3984375" style="9" customWidth="1"/>
    <col min="4" max="4" width="17" style="342" customWidth="1"/>
    <col min="5" max="16384" width="11.3984375" style="2"/>
  </cols>
  <sheetData>
    <row r="1" spans="1:4" s="1" customFormat="1" ht="14" customHeight="1">
      <c r="B1" s="209"/>
      <c r="C1" s="192"/>
      <c r="D1" s="320"/>
    </row>
    <row r="2" spans="1:4" s="1" customFormat="1" ht="28" customHeight="1">
      <c r="A2" s="21" t="s">
        <v>1365</v>
      </c>
      <c r="B2" s="209"/>
      <c r="C2" s="192"/>
      <c r="D2" s="370">
        <v>2004</v>
      </c>
    </row>
    <row r="3" spans="1:4" ht="39" customHeight="1">
      <c r="A3" s="139" t="s">
        <v>1127</v>
      </c>
      <c r="B3" s="210"/>
      <c r="C3" s="140" t="s">
        <v>1231</v>
      </c>
      <c r="D3" s="322" t="s">
        <v>1366</v>
      </c>
    </row>
    <row r="4" spans="1:4" ht="38" customHeight="1">
      <c r="A4" s="306"/>
      <c r="B4" s="307"/>
      <c r="C4" s="146" t="s">
        <v>884</v>
      </c>
      <c r="D4" s="326" t="s">
        <v>2077</v>
      </c>
    </row>
    <row r="5" spans="1:4" ht="30" customHeight="1" thickBot="1">
      <c r="A5" s="148">
        <v>60</v>
      </c>
      <c r="B5" s="148" t="s">
        <v>667</v>
      </c>
      <c r="C5" s="149">
        <v>356589528.02999997</v>
      </c>
      <c r="D5" s="329">
        <v>1.7420775282136015E-2</v>
      </c>
    </row>
    <row r="6" spans="1:4" ht="16" customHeight="1" thickBot="1">
      <c r="A6" s="152">
        <v>600</v>
      </c>
      <c r="B6" s="152" t="s">
        <v>1367</v>
      </c>
      <c r="C6" s="153">
        <v>363511045.13999999</v>
      </c>
      <c r="D6" s="331">
        <v>1.7758918117824183E-2</v>
      </c>
    </row>
    <row r="7" spans="1:4" ht="16" customHeight="1" thickBot="1">
      <c r="A7" s="152">
        <v>601</v>
      </c>
      <c r="B7" s="152" t="s">
        <v>1368</v>
      </c>
      <c r="C7" s="153">
        <v>-6921517.1100000003</v>
      </c>
      <c r="D7" s="331">
        <v>-3.3814283568816758E-4</v>
      </c>
    </row>
    <row r="8" spans="1:4" ht="19.5" customHeight="1" thickBot="1">
      <c r="A8" s="152">
        <v>61</v>
      </c>
      <c r="B8" s="152" t="s">
        <v>858</v>
      </c>
      <c r="C8" s="153">
        <v>18068885365</v>
      </c>
      <c r="D8" s="331">
        <v>0.88273481636246809</v>
      </c>
    </row>
    <row r="9" spans="1:4" ht="18" customHeight="1" thickBot="1">
      <c r="A9" s="152">
        <v>63</v>
      </c>
      <c r="B9" s="152" t="s">
        <v>859</v>
      </c>
      <c r="C9" s="153">
        <v>1914199821.5</v>
      </c>
      <c r="D9" s="331">
        <v>9.3516052251121889E-2</v>
      </c>
    </row>
    <row r="10" spans="1:4" ht="21.75" customHeight="1" thickBot="1">
      <c r="A10" s="186" t="s">
        <v>1369</v>
      </c>
      <c r="B10" s="186" t="s">
        <v>1370</v>
      </c>
      <c r="C10" s="153">
        <v>20339674714</v>
      </c>
      <c r="D10" s="331">
        <v>0.99367164386983342</v>
      </c>
    </row>
    <row r="11" spans="1:4" ht="16" customHeight="1" thickBot="1">
      <c r="A11" s="152">
        <v>64</v>
      </c>
      <c r="B11" s="152" t="s">
        <v>1371</v>
      </c>
      <c r="C11" s="153">
        <v>-93799224.659999996</v>
      </c>
      <c r="D11" s="331">
        <v>-4.5824542954693197E-3</v>
      </c>
    </row>
    <row r="12" spans="1:4" ht="16" customHeight="1" thickBot="1">
      <c r="A12" s="152">
        <v>65</v>
      </c>
      <c r="B12" s="152" t="s">
        <v>1372</v>
      </c>
      <c r="C12" s="153">
        <v>8099177.8499999996</v>
      </c>
      <c r="D12" s="331">
        <v>3.9567610993622123E-4</v>
      </c>
    </row>
    <row r="13" spans="1:4" ht="21.75" customHeight="1" thickBot="1">
      <c r="A13" s="186" t="s">
        <v>1373</v>
      </c>
      <c r="B13" s="186" t="s">
        <v>1133</v>
      </c>
      <c r="C13" s="153">
        <v>20253974667</v>
      </c>
      <c r="D13" s="331">
        <v>0.98948486567501814</v>
      </c>
    </row>
    <row r="14" spans="1:4" ht="16" customHeight="1" thickBot="1">
      <c r="A14" s="152">
        <v>66</v>
      </c>
      <c r="B14" s="152" t="s">
        <v>1374</v>
      </c>
      <c r="C14" s="153">
        <v>-34178690.729999997</v>
      </c>
      <c r="D14" s="331">
        <v>-1.6697610104659678E-3</v>
      </c>
    </row>
    <row r="15" spans="1:4" ht="21.75" customHeight="1" thickBot="1">
      <c r="A15" s="186" t="s">
        <v>1375</v>
      </c>
      <c r="B15" s="186" t="s">
        <v>1136</v>
      </c>
      <c r="C15" s="153">
        <v>20219795977</v>
      </c>
      <c r="D15" s="331">
        <v>0.9878151047002155</v>
      </c>
    </row>
    <row r="16" spans="1:4" ht="16" customHeight="1" thickBot="1">
      <c r="A16" s="152">
        <v>67</v>
      </c>
      <c r="B16" s="152" t="s">
        <v>1376</v>
      </c>
      <c r="C16" s="153">
        <v>1557649676.75</v>
      </c>
      <c r="D16" s="331">
        <v>7.6097200994277775E-2</v>
      </c>
    </row>
    <row r="17" spans="1:4" ht="16" customHeight="1" thickBot="1">
      <c r="A17" s="152">
        <v>670</v>
      </c>
      <c r="B17" s="152" t="s">
        <v>1377</v>
      </c>
      <c r="C17" s="153">
        <v>1492569384.9000001</v>
      </c>
      <c r="D17" s="331">
        <v>7.2917777454057336E-2</v>
      </c>
    </row>
    <row r="18" spans="1:4" ht="16" customHeight="1" thickBot="1">
      <c r="A18" s="152">
        <v>672</v>
      </c>
      <c r="B18" s="152" t="s">
        <v>1378</v>
      </c>
      <c r="C18" s="153">
        <v>63684135.710000001</v>
      </c>
      <c r="D18" s="331">
        <v>3.111215922043642E-3</v>
      </c>
    </row>
    <row r="19" spans="1:4" ht="16" customHeight="1" thickBot="1">
      <c r="A19" s="152">
        <v>673</v>
      </c>
      <c r="B19" s="152" t="s">
        <v>1379</v>
      </c>
      <c r="C19" s="153">
        <v>19360401.09</v>
      </c>
      <c r="D19" s="331">
        <v>9.458303462364612E-4</v>
      </c>
    </row>
    <row r="20" spans="1:4" ht="16" customHeight="1" thickBot="1">
      <c r="A20" s="152">
        <v>675</v>
      </c>
      <c r="B20" s="152" t="s">
        <v>1380</v>
      </c>
      <c r="C20" s="153">
        <v>-17964244.949999999</v>
      </c>
      <c r="D20" s="331">
        <v>-8.7762272805966431E-4</v>
      </c>
    </row>
    <row r="21" spans="1:4" ht="16" customHeight="1" thickBot="1">
      <c r="A21" s="152">
        <v>68</v>
      </c>
      <c r="B21" s="152" t="s">
        <v>1381</v>
      </c>
      <c r="C21" s="153">
        <v>-1526417864</v>
      </c>
      <c r="D21" s="331">
        <v>-7.4571406351408367E-2</v>
      </c>
    </row>
    <row r="22" spans="1:4" ht="21.75" customHeight="1" thickBot="1">
      <c r="A22" s="186" t="s">
        <v>1382</v>
      </c>
      <c r="B22" s="186" t="s">
        <v>1383</v>
      </c>
      <c r="C22" s="153">
        <v>31231812.960000001</v>
      </c>
      <c r="D22" s="331">
        <v>1.5257946531287074E-3</v>
      </c>
    </row>
    <row r="23" spans="1:4" ht="16" customHeight="1" thickBot="1">
      <c r="A23" s="152">
        <v>69</v>
      </c>
      <c r="B23" s="152" t="s">
        <v>1139</v>
      </c>
      <c r="C23" s="153">
        <v>71377637.349999994</v>
      </c>
      <c r="D23" s="331">
        <v>3.4870731827535222E-3</v>
      </c>
    </row>
    <row r="24" spans="1:4" ht="21.75" customHeight="1" thickBot="1">
      <c r="A24" s="186">
        <v>6</v>
      </c>
      <c r="B24" s="186" t="s">
        <v>1140</v>
      </c>
      <c r="C24" s="153">
        <v>20322405427</v>
      </c>
      <c r="D24" s="331">
        <v>0.99282797252095301</v>
      </c>
    </row>
    <row r="25" spans="1:4" ht="16" customHeight="1" thickBot="1">
      <c r="A25" s="152">
        <v>70</v>
      </c>
      <c r="B25" s="152" t="s">
        <v>1384</v>
      </c>
      <c r="C25" s="153">
        <v>15655207.26</v>
      </c>
      <c r="D25" s="331">
        <v>7.6481732141270222E-4</v>
      </c>
    </row>
    <row r="26" spans="1:4" ht="16" customHeight="1" thickBot="1">
      <c r="A26" s="152">
        <v>701</v>
      </c>
      <c r="B26" s="152" t="s">
        <v>1385</v>
      </c>
      <c r="C26" s="153">
        <v>15655207.26</v>
      </c>
      <c r="D26" s="331">
        <v>7.6481732141270222E-4</v>
      </c>
    </row>
    <row r="27" spans="1:4" ht="16" customHeight="1" thickBot="1">
      <c r="A27" s="152">
        <v>72</v>
      </c>
      <c r="B27" s="152" t="s">
        <v>1386</v>
      </c>
      <c r="C27" s="153">
        <v>147367258.89000005</v>
      </c>
      <c r="D27" s="331">
        <v>7.1994596006506057E-3</v>
      </c>
    </row>
    <row r="28" spans="1:4" ht="16" customHeight="1" thickBot="1">
      <c r="A28" s="152">
        <v>720</v>
      </c>
      <c r="B28" s="152" t="s">
        <v>1387</v>
      </c>
      <c r="C28" s="153">
        <v>305371709.66000003</v>
      </c>
      <c r="D28" s="331">
        <v>1.4918587096200388E-2</v>
      </c>
    </row>
    <row r="29" spans="1:4" ht="16" customHeight="1" thickBot="1">
      <c r="A29" s="152">
        <v>721</v>
      </c>
      <c r="B29" s="152" t="s">
        <v>1388</v>
      </c>
      <c r="C29" s="153">
        <v>-102175823.59999999</v>
      </c>
      <c r="D29" s="331">
        <v>-4.9916834968104255E-3</v>
      </c>
    </row>
    <row r="30" spans="1:4" ht="16" customHeight="1" thickBot="1">
      <c r="A30" s="152">
        <v>722</v>
      </c>
      <c r="B30" s="152" t="s">
        <v>1389</v>
      </c>
      <c r="C30" s="153">
        <v>-55358334.57</v>
      </c>
      <c r="D30" s="331">
        <v>-2.7044683893693525E-3</v>
      </c>
    </row>
    <row r="31" spans="1:4" ht="16" customHeight="1" thickBot="1">
      <c r="A31" s="152">
        <v>723</v>
      </c>
      <c r="B31" s="152" t="s">
        <v>1390</v>
      </c>
      <c r="C31" s="153">
        <v>339052.3</v>
      </c>
      <c r="D31" s="331">
        <v>1.6564013979385408E-5</v>
      </c>
    </row>
    <row r="32" spans="1:4" ht="16" customHeight="1" thickBot="1">
      <c r="A32" s="152">
        <v>724</v>
      </c>
      <c r="B32" s="152" t="s">
        <v>1391</v>
      </c>
      <c r="C32" s="153">
        <v>-809344.9</v>
      </c>
      <c r="D32" s="331">
        <v>-3.9539623349389713E-5</v>
      </c>
    </row>
    <row r="33" spans="1:4" ht="16" customHeight="1" thickBot="1">
      <c r="A33" s="152">
        <v>76</v>
      </c>
      <c r="B33" s="152" t="s">
        <v>846</v>
      </c>
      <c r="C33" s="153">
        <v>-16216721.15</v>
      </c>
      <c r="D33" s="331">
        <v>-7.9224944301629875E-4</v>
      </c>
    </row>
    <row r="34" spans="1:4" ht="21.75" customHeight="1" thickBot="1">
      <c r="A34" s="186">
        <v>7</v>
      </c>
      <c r="B34" s="186" t="s">
        <v>847</v>
      </c>
      <c r="C34" s="153">
        <v>146805745.03999999</v>
      </c>
      <c r="D34" s="331">
        <v>7.1720274810011617E-3</v>
      </c>
    </row>
    <row r="35" spans="1:4" s="219" customFormat="1" ht="21.75" customHeight="1" thickBot="1">
      <c r="A35" s="388" t="s">
        <v>848</v>
      </c>
      <c r="B35" s="388" t="s">
        <v>849</v>
      </c>
      <c r="C35" s="173">
        <v>20469211172</v>
      </c>
      <c r="D35" s="415">
        <v>1</v>
      </c>
    </row>
    <row r="36" spans="1:4" ht="21.75" customHeight="1" thickBot="1">
      <c r="A36" s="186" t="s">
        <v>850</v>
      </c>
      <c r="B36" s="186" t="s">
        <v>851</v>
      </c>
      <c r="C36" s="153">
        <v>12076418.560000001</v>
      </c>
      <c r="D36" s="331" t="s">
        <v>2115</v>
      </c>
    </row>
    <row r="37" spans="1:4" s="412" customFormat="1" ht="35.25" customHeight="1" thickBot="1">
      <c r="A37" s="312"/>
      <c r="B37" s="312" t="s">
        <v>852</v>
      </c>
      <c r="C37" s="317">
        <v>20481287591</v>
      </c>
      <c r="D37" s="336" t="s">
        <v>2115</v>
      </c>
    </row>
    <row r="38" spans="1:4" ht="20" customHeight="1">
      <c r="A38" s="155" t="s">
        <v>146</v>
      </c>
      <c r="B38" s="213"/>
      <c r="C38" s="207"/>
      <c r="D38" s="339"/>
    </row>
    <row r="39" spans="1:4" ht="11.25" customHeight="1">
      <c r="A39" s="4"/>
      <c r="B39" s="214"/>
      <c r="C39" s="208"/>
      <c r="D39" s="341"/>
    </row>
    <row r="40" spans="1:4" ht="11.25" customHeight="1">
      <c r="A40" s="4" t="s">
        <v>853</v>
      </c>
      <c r="B40" s="214"/>
      <c r="C40" s="208"/>
      <c r="D40" s="341"/>
    </row>
    <row r="41" spans="1:4" ht="11.25" customHeight="1">
      <c r="A41" s="4" t="s">
        <v>854</v>
      </c>
      <c r="B41" s="214"/>
      <c r="C41" s="208"/>
      <c r="D41" s="341"/>
    </row>
    <row r="42" spans="1:4">
      <c r="A42" s="4" t="s">
        <v>855</v>
      </c>
    </row>
    <row r="43" spans="1:4">
      <c r="A43" s="2" t="s">
        <v>856</v>
      </c>
    </row>
    <row r="45" spans="1:4">
      <c r="A45" s="2" t="s">
        <v>857</v>
      </c>
    </row>
    <row r="48" spans="1:4">
      <c r="A48" s="231" t="s">
        <v>104</v>
      </c>
    </row>
  </sheetData>
  <phoneticPr fontId="0" type="noConversion"/>
  <pageMargins left="0.69" right="0.71" top="0.85" bottom="0.49" header="0.44" footer="0.4921259845"/>
  <pageSetup paperSize="9" scale="83" orientation="portrait" horizontalDpi="4294967292" verticalDpi="4294967292"/>
  <headerFooter alignWithMargins="0">
    <oddHeader>&amp;L&amp;"Arial,Bold"Gesamtgeschäft der vom BAG anerkannten Krankenversicherer</oddHead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F5342-BBC3-7E4A-BD11-E19186F12DE6}">
  <sheetPr>
    <pageSetUpPr fitToPage="1"/>
  </sheetPr>
  <dimension ref="A1:D41"/>
  <sheetViews>
    <sheetView topLeftCell="A18" zoomScale="75" workbookViewId="0">
      <selection activeCell="A37" sqref="A37"/>
    </sheetView>
  </sheetViews>
  <sheetFormatPr baseColWidth="10" defaultColWidth="11.3984375" defaultRowHeight="13"/>
  <cols>
    <col min="1" max="1" width="10.59765625" style="2" customWidth="1"/>
    <col min="2" max="2" width="60.796875" style="23" customWidth="1"/>
    <col min="3" max="3" width="17" style="9" customWidth="1"/>
    <col min="4" max="4" width="17" style="425" customWidth="1"/>
    <col min="5" max="16384" width="11.3984375" style="2"/>
  </cols>
  <sheetData>
    <row r="1" spans="1:4" s="1" customFormat="1" ht="14" customHeight="1">
      <c r="B1" s="209"/>
      <c r="C1" s="192"/>
      <c r="D1" s="416"/>
    </row>
    <row r="2" spans="1:4" s="1" customFormat="1" ht="28" customHeight="1">
      <c r="A2" s="21" t="s">
        <v>860</v>
      </c>
      <c r="B2" s="209"/>
      <c r="C2" s="192"/>
      <c r="D2" s="370">
        <v>2004</v>
      </c>
    </row>
    <row r="3" spans="1:4" ht="39" customHeight="1">
      <c r="A3" s="139" t="s">
        <v>1127</v>
      </c>
      <c r="B3" s="210"/>
      <c r="C3" s="140" t="s">
        <v>1231</v>
      </c>
      <c r="D3" s="417" t="s">
        <v>1366</v>
      </c>
    </row>
    <row r="4" spans="1:4" ht="38" customHeight="1">
      <c r="A4" s="306"/>
      <c r="B4" s="307"/>
      <c r="C4" s="146" t="s">
        <v>884</v>
      </c>
      <c r="D4" s="199" t="s">
        <v>2077</v>
      </c>
    </row>
    <row r="5" spans="1:4" ht="30" customHeight="1" thickBot="1">
      <c r="A5" s="148">
        <v>30</v>
      </c>
      <c r="B5" s="148" t="s">
        <v>667</v>
      </c>
      <c r="C5" s="149">
        <v>277935154.25</v>
      </c>
      <c r="D5" s="329">
        <v>1.3994163859137826E-2</v>
      </c>
    </row>
    <row r="6" spans="1:4" ht="16" customHeight="1" thickBot="1">
      <c r="A6" s="152">
        <v>31</v>
      </c>
      <c r="B6" s="152" t="s">
        <v>858</v>
      </c>
      <c r="C6" s="149">
        <v>19163006071</v>
      </c>
      <c r="D6" s="329">
        <v>0.96486623908687119</v>
      </c>
    </row>
    <row r="7" spans="1:4" ht="16" customHeight="1" thickBot="1">
      <c r="A7" s="152">
        <v>32</v>
      </c>
      <c r="B7" s="152" t="s">
        <v>861</v>
      </c>
      <c r="C7" s="149">
        <v>-2876758826</v>
      </c>
      <c r="D7" s="329">
        <v>-0.14484614047078559</v>
      </c>
    </row>
    <row r="8" spans="1:4" ht="18.75" customHeight="1" thickBot="1">
      <c r="A8" s="152">
        <v>33</v>
      </c>
      <c r="B8" s="152" t="s">
        <v>859</v>
      </c>
      <c r="C8" s="149">
        <v>1501480139.2</v>
      </c>
      <c r="D8" s="329">
        <v>7.5600221051223396E-2</v>
      </c>
    </row>
    <row r="9" spans="1:4" ht="21.75" customHeight="1" thickBot="1">
      <c r="A9" s="186" t="s">
        <v>862</v>
      </c>
      <c r="B9" s="186" t="s">
        <v>1143</v>
      </c>
      <c r="C9" s="149">
        <v>18065662539</v>
      </c>
      <c r="D9" s="329">
        <v>0.90961448355413965</v>
      </c>
    </row>
    <row r="10" spans="1:4" ht="16" customHeight="1" thickBot="1">
      <c r="A10" s="152">
        <v>34</v>
      </c>
      <c r="B10" s="152" t="s">
        <v>1144</v>
      </c>
      <c r="C10" s="149">
        <v>126388711.95</v>
      </c>
      <c r="D10" s="329">
        <v>6.36373023681178E-3</v>
      </c>
    </row>
    <row r="11" spans="1:4" ht="39" customHeight="1" thickBot="1">
      <c r="A11" s="418">
        <v>35</v>
      </c>
      <c r="B11" s="418" t="s">
        <v>25</v>
      </c>
      <c r="C11" s="310">
        <v>435237138.98000002</v>
      </c>
      <c r="D11" s="419">
        <v>2.1914391710916373E-2</v>
      </c>
    </row>
    <row r="12" spans="1:4" ht="21.75" customHeight="1" thickBot="1">
      <c r="A12" s="186" t="s">
        <v>26</v>
      </c>
      <c r="B12" s="186" t="s">
        <v>1147</v>
      </c>
      <c r="C12" s="149">
        <v>18627288390</v>
      </c>
      <c r="D12" s="329">
        <v>0.93789260550539233</v>
      </c>
    </row>
    <row r="13" spans="1:4" ht="16" customHeight="1" thickBot="1">
      <c r="A13" s="152">
        <v>36</v>
      </c>
      <c r="B13" s="152" t="s">
        <v>27</v>
      </c>
      <c r="C13" s="149">
        <v>-24672328.850000001</v>
      </c>
      <c r="D13" s="329">
        <v>-1.2422631949712548E-3</v>
      </c>
    </row>
    <row r="14" spans="1:4" ht="16" customHeight="1" thickBot="1">
      <c r="A14" s="186">
        <v>37</v>
      </c>
      <c r="B14" s="186" t="s">
        <v>1149</v>
      </c>
      <c r="C14" s="149">
        <v>-28086255.449999999</v>
      </c>
      <c r="D14" s="329">
        <v>-1.4141559818782901E-3</v>
      </c>
    </row>
    <row r="15" spans="1:4" ht="21.75" customHeight="1" thickBot="1">
      <c r="A15" s="186">
        <v>3</v>
      </c>
      <c r="B15" s="186" t="s">
        <v>1150</v>
      </c>
      <c r="C15" s="149">
        <v>18574529805</v>
      </c>
      <c r="D15" s="329">
        <v>0.93523618629329741</v>
      </c>
    </row>
    <row r="16" spans="1:4" ht="16" customHeight="1" thickBot="1">
      <c r="A16" s="152">
        <v>400</v>
      </c>
      <c r="B16" s="152" t="s">
        <v>28</v>
      </c>
      <c r="C16" s="149">
        <v>917616397.91999996</v>
      </c>
      <c r="D16" s="329">
        <v>4.6202411015533837E-2</v>
      </c>
    </row>
    <row r="17" spans="1:4" ht="16" customHeight="1" thickBot="1">
      <c r="A17" s="152">
        <v>410</v>
      </c>
      <c r="B17" s="152" t="s">
        <v>29</v>
      </c>
      <c r="C17" s="149">
        <v>94490675.5</v>
      </c>
      <c r="D17" s="329">
        <v>4.7576493145527303E-3</v>
      </c>
    </row>
    <row r="18" spans="1:4" ht="16" customHeight="1" thickBot="1">
      <c r="A18" s="152">
        <v>420</v>
      </c>
      <c r="B18" s="152" t="s">
        <v>30</v>
      </c>
      <c r="C18" s="149">
        <v>144194705.91999999</v>
      </c>
      <c r="D18" s="329">
        <v>7.2602702875419756E-3</v>
      </c>
    </row>
    <row r="19" spans="1:4" ht="16" customHeight="1" thickBot="1">
      <c r="A19" s="152">
        <v>430</v>
      </c>
      <c r="B19" s="152" t="s">
        <v>31</v>
      </c>
      <c r="C19" s="149">
        <v>58660500.68</v>
      </c>
      <c r="D19" s="329">
        <v>2.9535834025392481E-3</v>
      </c>
    </row>
    <row r="20" spans="1:4" ht="16" customHeight="1" thickBot="1">
      <c r="A20" s="186">
        <v>450</v>
      </c>
      <c r="B20" s="186" t="s">
        <v>32</v>
      </c>
      <c r="C20" s="149">
        <v>105180471.64</v>
      </c>
      <c r="D20" s="329">
        <v>5.2958855056801759E-3</v>
      </c>
    </row>
    <row r="21" spans="1:4" ht="16" customHeight="1" thickBot="1">
      <c r="A21" s="152">
        <v>453</v>
      </c>
      <c r="B21" s="152" t="s">
        <v>33</v>
      </c>
      <c r="C21" s="149">
        <v>26467357.18</v>
      </c>
      <c r="D21" s="329">
        <v>1.3326437035096578E-3</v>
      </c>
    </row>
    <row r="22" spans="1:4" ht="16" customHeight="1" thickBot="1">
      <c r="A22" s="186">
        <v>460</v>
      </c>
      <c r="B22" s="186" t="s">
        <v>34</v>
      </c>
      <c r="C22" s="149">
        <v>362707613.02999997</v>
      </c>
      <c r="D22" s="329">
        <v>1.8262496456756056E-2</v>
      </c>
    </row>
    <row r="23" spans="1:4" ht="16" customHeight="1" thickBot="1">
      <c r="A23" s="152">
        <v>470</v>
      </c>
      <c r="B23" s="152" t="s">
        <v>1309</v>
      </c>
      <c r="C23" s="149">
        <v>-529444673.89999998</v>
      </c>
      <c r="D23" s="329">
        <v>-2.6657784766010367E-2</v>
      </c>
    </row>
    <row r="24" spans="1:4" ht="21.75" customHeight="1" thickBot="1">
      <c r="A24" s="186" t="s">
        <v>1310</v>
      </c>
      <c r="B24" s="186" t="s">
        <v>1311</v>
      </c>
      <c r="C24" s="149">
        <v>1179873047.9000001</v>
      </c>
      <c r="D24" s="329">
        <v>5.9407154916578796E-2</v>
      </c>
    </row>
    <row r="25" spans="1:4" ht="16" customHeight="1" thickBot="1">
      <c r="A25" s="152">
        <v>48</v>
      </c>
      <c r="B25" s="152" t="s">
        <v>1153</v>
      </c>
      <c r="C25" s="149">
        <v>96973402.840000004</v>
      </c>
      <c r="D25" s="329">
        <v>4.8826557870418844E-3</v>
      </c>
    </row>
    <row r="26" spans="1:4" ht="16" customHeight="1" thickBot="1">
      <c r="A26" s="152">
        <v>49</v>
      </c>
      <c r="B26" s="152" t="s">
        <v>1154</v>
      </c>
      <c r="C26" s="149">
        <v>9414074.0099999998</v>
      </c>
      <c r="D26" s="329">
        <v>4.740029904942861E-4</v>
      </c>
    </row>
    <row r="27" spans="1:4" ht="21.75" customHeight="1" thickBot="1">
      <c r="A27" s="186">
        <v>4</v>
      </c>
      <c r="B27" s="186" t="s">
        <v>1155</v>
      </c>
      <c r="C27" s="149">
        <v>1286260524.8</v>
      </c>
      <c r="D27" s="329">
        <v>6.4763813696632477E-2</v>
      </c>
    </row>
    <row r="28" spans="1:4" s="219" customFormat="1" ht="21.75" customHeight="1" thickBot="1">
      <c r="A28" s="388" t="s">
        <v>1312</v>
      </c>
      <c r="B28" s="388" t="s">
        <v>1157</v>
      </c>
      <c r="C28" s="319">
        <v>19860790330</v>
      </c>
      <c r="D28" s="420">
        <v>1</v>
      </c>
    </row>
    <row r="29" spans="1:4" ht="21.75" customHeight="1" thickBot="1">
      <c r="A29" s="186" t="s">
        <v>850</v>
      </c>
      <c r="B29" s="186" t="s">
        <v>1313</v>
      </c>
      <c r="C29" s="310">
        <v>620497260.51999998</v>
      </c>
      <c r="D29" s="421" t="s">
        <v>2115</v>
      </c>
    </row>
    <row r="30" spans="1:4" ht="35.25" customHeight="1" thickBot="1">
      <c r="A30" s="312"/>
      <c r="B30" s="312" t="s">
        <v>852</v>
      </c>
      <c r="C30" s="310">
        <v>20481287591</v>
      </c>
      <c r="D30" s="422" t="s">
        <v>2115</v>
      </c>
    </row>
    <row r="31" spans="1:4" ht="20" customHeight="1">
      <c r="A31" s="155" t="s">
        <v>146</v>
      </c>
      <c r="B31" s="213"/>
      <c r="C31" s="207"/>
      <c r="D31" s="423"/>
    </row>
    <row r="32" spans="1:4" ht="15.75" customHeight="1">
      <c r="A32" s="4"/>
      <c r="B32" s="214"/>
      <c r="C32" s="208"/>
      <c r="D32" s="424"/>
    </row>
    <row r="33" spans="1:4" ht="15.75" customHeight="1">
      <c r="A33" s="4" t="s">
        <v>853</v>
      </c>
      <c r="B33" s="214"/>
      <c r="C33" s="208"/>
      <c r="D33" s="424"/>
    </row>
    <row r="34" spans="1:4" ht="15.75" customHeight="1">
      <c r="A34" s="4" t="s">
        <v>854</v>
      </c>
      <c r="B34" s="214"/>
      <c r="C34" s="208"/>
      <c r="D34" s="424"/>
    </row>
    <row r="35" spans="1:4">
      <c r="A35" s="4" t="s">
        <v>855</v>
      </c>
    </row>
    <row r="36" spans="1:4">
      <c r="A36" s="2" t="s">
        <v>1314</v>
      </c>
    </row>
    <row r="38" spans="1:4">
      <c r="A38" s="2" t="s">
        <v>1315</v>
      </c>
    </row>
    <row r="41" spans="1:4">
      <c r="A41" s="231" t="s">
        <v>104</v>
      </c>
    </row>
  </sheetData>
  <phoneticPr fontId="0" type="noConversion"/>
  <pageMargins left="0.65" right="0.74" top="0.83" bottom="0.49" header="0.53" footer="0.4921259845"/>
  <pageSetup paperSize="9" scale="85" orientation="portrait" horizontalDpi="4294967292" verticalDpi="4294967292"/>
  <headerFooter alignWithMargins="0">
    <oddHeader>&amp;L&amp;"Arial,Bold"Gesamtgeschäft der vom BAG anerkannten Krankenversicherer</oddHeader>
  </headerFooter>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11C63-ADB1-7647-BAD1-6982FB023CD4}">
  <dimension ref="A1:K25"/>
  <sheetViews>
    <sheetView topLeftCell="A2" zoomScale="75" workbookViewId="0">
      <selection activeCell="A21" sqref="A21"/>
    </sheetView>
  </sheetViews>
  <sheetFormatPr baseColWidth="10" defaultColWidth="11.3984375" defaultRowHeight="13"/>
  <cols>
    <col min="1" max="1" width="13.796875" style="2" customWidth="1"/>
    <col min="2" max="3" width="15.796875" style="2" customWidth="1"/>
    <col min="4" max="4" width="16.19921875" style="2" customWidth="1"/>
    <col min="5" max="5" width="15.796875" style="2" customWidth="1"/>
    <col min="6" max="6" width="16.19921875" style="2" customWidth="1"/>
    <col min="7" max="7" width="13" style="342" customWidth="1"/>
    <col min="8" max="16384" width="11.3984375" style="2"/>
  </cols>
  <sheetData>
    <row r="1" spans="1:11" s="1" customFormat="1" ht="14" customHeight="1">
      <c r="G1" s="320"/>
    </row>
    <row r="2" spans="1:11" s="1" customFormat="1" ht="28" customHeight="1">
      <c r="A2" s="21" t="s">
        <v>1316</v>
      </c>
      <c r="G2" s="370">
        <v>2004</v>
      </c>
    </row>
    <row r="3" spans="1:11" ht="24" customHeight="1">
      <c r="A3" s="139" t="s">
        <v>1267</v>
      </c>
      <c r="B3" s="164" t="s">
        <v>1317</v>
      </c>
      <c r="C3" s="141"/>
      <c r="D3" s="164" t="s">
        <v>1318</v>
      </c>
      <c r="E3" s="141"/>
      <c r="F3" s="164" t="s">
        <v>1319</v>
      </c>
      <c r="G3" s="322" t="s">
        <v>451</v>
      </c>
    </row>
    <row r="4" spans="1:11" ht="15" customHeight="1">
      <c r="A4" s="165"/>
      <c r="B4" s="166" t="s">
        <v>1320</v>
      </c>
      <c r="C4" s="144" t="s">
        <v>1321</v>
      </c>
      <c r="D4" s="166" t="s">
        <v>1322</v>
      </c>
      <c r="E4" s="144" t="s">
        <v>1323</v>
      </c>
      <c r="F4" s="166" t="s">
        <v>1324</v>
      </c>
      <c r="G4" s="324" t="s">
        <v>486</v>
      </c>
    </row>
    <row r="5" spans="1:11" ht="15" customHeight="1">
      <c r="A5" s="165"/>
      <c r="B5" s="166" t="s">
        <v>1325</v>
      </c>
      <c r="C5" s="144" t="s">
        <v>1325</v>
      </c>
      <c r="D5" s="166" t="s">
        <v>1326</v>
      </c>
      <c r="E5" s="144" t="s">
        <v>535</v>
      </c>
      <c r="F5" s="166"/>
      <c r="G5" s="324" t="s">
        <v>454</v>
      </c>
    </row>
    <row r="6" spans="1:11" ht="24" customHeight="1">
      <c r="A6" s="167"/>
      <c r="B6" s="168"/>
      <c r="C6" s="147"/>
      <c r="D6" s="168"/>
      <c r="E6" s="147"/>
      <c r="F6" s="168"/>
      <c r="G6" s="326"/>
    </row>
    <row r="7" spans="1:11" ht="20" customHeight="1" thickBot="1">
      <c r="A7" s="169">
        <v>1996</v>
      </c>
      <c r="B7" s="149">
        <v>4170906498.3500004</v>
      </c>
      <c r="C7" s="225">
        <v>8662528518.7900009</v>
      </c>
      <c r="D7" s="149">
        <v>8044141952.3000002</v>
      </c>
      <c r="E7" s="225">
        <v>4789293064.8400002</v>
      </c>
      <c r="F7" s="149">
        <v>12833435017.170002</v>
      </c>
      <c r="G7" s="329">
        <v>-6.5875098254165963E-3</v>
      </c>
      <c r="I7" s="10"/>
      <c r="J7" s="10"/>
      <c r="K7" s="10"/>
    </row>
    <row r="8" spans="1:11" ht="20" customHeight="1" thickBot="1">
      <c r="A8" s="171">
        <v>1997</v>
      </c>
      <c r="B8" s="153">
        <v>4394709847.7299995</v>
      </c>
      <c r="C8" s="228">
        <v>9362350997.4099998</v>
      </c>
      <c r="D8" s="153">
        <v>9077911654.8700008</v>
      </c>
      <c r="E8" s="228">
        <v>4679149190.2700005</v>
      </c>
      <c r="F8" s="153">
        <v>13757060845.139999</v>
      </c>
      <c r="G8" s="331">
        <v>7.1970273487516612E-2</v>
      </c>
    </row>
    <row r="9" spans="1:11" ht="20" customHeight="1" thickBot="1">
      <c r="A9" s="171">
        <v>1998</v>
      </c>
      <c r="B9" s="153">
        <v>4492004206.21</v>
      </c>
      <c r="C9" s="228">
        <v>10278585833.719999</v>
      </c>
      <c r="D9" s="153">
        <v>9968547987.1800003</v>
      </c>
      <c r="E9" s="228">
        <v>4802042053.0199995</v>
      </c>
      <c r="F9" s="153">
        <v>14770590039.959999</v>
      </c>
      <c r="G9" s="331">
        <v>7.367338170769612E-2</v>
      </c>
    </row>
    <row r="10" spans="1:11" ht="20" customHeight="1" thickBot="1">
      <c r="A10" s="171">
        <v>1999</v>
      </c>
      <c r="B10" s="153">
        <v>4039072052.96</v>
      </c>
      <c r="C10" s="228">
        <v>10698624229.800001</v>
      </c>
      <c r="D10" s="153">
        <v>9829333068.8500004</v>
      </c>
      <c r="E10" s="228">
        <v>4908363213.9400005</v>
      </c>
      <c r="F10" s="153">
        <v>14737696282.75</v>
      </c>
      <c r="G10" s="331">
        <v>-2.2269765203021073E-3</v>
      </c>
    </row>
    <row r="11" spans="1:11" ht="20" customHeight="1" thickBot="1">
      <c r="A11" s="171">
        <v>2000</v>
      </c>
      <c r="B11" s="153">
        <v>4332012500.6399994</v>
      </c>
      <c r="C11" s="228">
        <v>10499430512.299999</v>
      </c>
      <c r="D11" s="153">
        <v>10459056308.799999</v>
      </c>
      <c r="E11" s="228">
        <v>4372386704.1300001</v>
      </c>
      <c r="F11" s="153">
        <v>14831443012.869999</v>
      </c>
      <c r="G11" s="331">
        <v>6.3610165606226036E-3</v>
      </c>
    </row>
    <row r="12" spans="1:11" ht="20" customHeight="1" thickBot="1">
      <c r="A12" s="171">
        <v>2001</v>
      </c>
      <c r="B12" s="153">
        <v>4480221295.5</v>
      </c>
      <c r="C12" s="228">
        <v>9101419286.2999992</v>
      </c>
      <c r="D12" s="153">
        <v>10583525388</v>
      </c>
      <c r="E12" s="228">
        <v>2998115193.5</v>
      </c>
      <c r="F12" s="153">
        <v>13581640582</v>
      </c>
      <c r="G12" s="331">
        <v>-8.4267082426536757E-2</v>
      </c>
    </row>
    <row r="13" spans="1:11" ht="20" customHeight="1" thickBot="1">
      <c r="A13" s="171">
        <v>2002</v>
      </c>
      <c r="B13" s="153">
        <v>5055018753.3999996</v>
      </c>
      <c r="C13" s="228">
        <v>8256319714.8999996</v>
      </c>
      <c r="D13" s="153">
        <v>10485582893</v>
      </c>
      <c r="E13" s="228">
        <v>2730316146</v>
      </c>
      <c r="F13" s="153">
        <v>13311318468</v>
      </c>
      <c r="G13" s="331">
        <v>-1.990349489576855E-2</v>
      </c>
    </row>
    <row r="14" spans="1:11" ht="20" customHeight="1" thickBot="1">
      <c r="A14" s="171">
        <v>2003</v>
      </c>
      <c r="B14" s="153">
        <v>6067195996.1999998</v>
      </c>
      <c r="C14" s="228">
        <v>8398494201.8000002</v>
      </c>
      <c r="D14" s="153">
        <v>11252005747</v>
      </c>
      <c r="E14" s="228">
        <v>3213684450.5</v>
      </c>
      <c r="F14" s="153">
        <v>14465690198</v>
      </c>
      <c r="G14" s="331">
        <v>8.6721066194537691E-2</v>
      </c>
    </row>
    <row r="15" spans="1:11" s="412" customFormat="1" ht="27.75" customHeight="1" thickBot="1">
      <c r="A15" s="369">
        <v>2004</v>
      </c>
      <c r="B15" s="218">
        <v>6542917290.8000002</v>
      </c>
      <c r="C15" s="229">
        <v>8401476716.8999996</v>
      </c>
      <c r="D15" s="218">
        <v>11192037166</v>
      </c>
      <c r="E15" s="229">
        <v>3752356842.1999998</v>
      </c>
      <c r="F15" s="218">
        <v>14944394008</v>
      </c>
      <c r="G15" s="413">
        <v>3.3092358777750179E-2</v>
      </c>
    </row>
    <row r="16" spans="1:11" ht="20" customHeight="1">
      <c r="A16" s="155" t="s">
        <v>146</v>
      </c>
      <c r="B16" s="155"/>
      <c r="C16" s="155"/>
      <c r="D16" s="155"/>
      <c r="E16" s="155"/>
      <c r="F16" s="155"/>
      <c r="G16" s="339"/>
    </row>
    <row r="17" spans="1:7" ht="10.5" customHeight="1">
      <c r="A17" s="4"/>
      <c r="B17" s="4"/>
      <c r="C17" s="4"/>
      <c r="D17" s="4"/>
      <c r="E17" s="4"/>
      <c r="F17" s="4"/>
      <c r="G17" s="341"/>
    </row>
    <row r="18" spans="1:7">
      <c r="A18" s="4" t="s">
        <v>1327</v>
      </c>
    </row>
    <row r="19" spans="1:7">
      <c r="A19" s="2" t="s">
        <v>1342</v>
      </c>
    </row>
    <row r="20" spans="1:7">
      <c r="A20" s="2" t="s">
        <v>1343</v>
      </c>
    </row>
    <row r="22" spans="1:7">
      <c r="A22" s="2" t="s">
        <v>1344</v>
      </c>
    </row>
    <row r="25" spans="1:7">
      <c r="A25" s="2" t="s">
        <v>104</v>
      </c>
    </row>
  </sheetData>
  <phoneticPr fontId="0" type="noConversion"/>
  <pageMargins left="0.65" right="0.61" top="0.99" bottom="0.49" header="0.56000000000000005" footer="0.4921259845"/>
  <pageSetup paperSize="9" scale="80" orientation="portrait" horizontalDpi="4294967292" verticalDpi="4294967292"/>
  <headerFooter alignWithMargins="0">
    <oddHeader>&amp;L&amp;"Arial,Bold"Gesamtgeschäft der vom BAG anerkannten Krankenversicherer</oddHeader>
  </headerFooter>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DD816-F02A-AA45-95B2-D7EFF3854BE4}">
  <sheetPr>
    <pageSetUpPr fitToPage="1"/>
  </sheetPr>
  <dimension ref="A1:I23"/>
  <sheetViews>
    <sheetView topLeftCell="A6" zoomScale="75" workbookViewId="0">
      <selection activeCell="H4" sqref="H4"/>
    </sheetView>
  </sheetViews>
  <sheetFormatPr baseColWidth="10" defaultColWidth="11.3984375" defaultRowHeight="13"/>
  <cols>
    <col min="1" max="1" width="14.19921875" style="2" customWidth="1"/>
    <col min="2" max="2" width="18.796875" style="2" customWidth="1"/>
    <col min="3" max="3" width="15.59765625" style="342" customWidth="1"/>
    <col min="4" max="4" width="16.19921875" style="342" customWidth="1"/>
    <col min="5" max="5" width="16.796875" style="342" customWidth="1"/>
    <col min="6" max="6" width="29.796875" style="2" customWidth="1"/>
    <col min="7" max="16384" width="11.3984375" style="2"/>
  </cols>
  <sheetData>
    <row r="1" spans="1:9" s="1" customFormat="1" ht="14" customHeight="1">
      <c r="C1" s="320"/>
      <c r="D1" s="320"/>
      <c r="E1" s="320"/>
    </row>
    <row r="2" spans="1:9" s="1" customFormat="1" ht="42" customHeight="1">
      <c r="A2" s="1715" t="s">
        <v>1345</v>
      </c>
      <c r="B2" s="1716"/>
      <c r="C2" s="1716"/>
      <c r="D2" s="1716"/>
      <c r="E2" s="370">
        <v>2004</v>
      </c>
    </row>
    <row r="3" spans="1:9" ht="24" customHeight="1">
      <c r="A3" s="139" t="s">
        <v>1346</v>
      </c>
      <c r="B3" s="164" t="s">
        <v>1347</v>
      </c>
      <c r="C3" s="322" t="s">
        <v>451</v>
      </c>
      <c r="D3" s="426" t="s">
        <v>1348</v>
      </c>
      <c r="E3" s="322" t="s">
        <v>451</v>
      </c>
    </row>
    <row r="4" spans="1:9" ht="15" customHeight="1">
      <c r="A4" s="165"/>
      <c r="B4" s="166" t="s">
        <v>884</v>
      </c>
      <c r="C4" s="324" t="s">
        <v>486</v>
      </c>
      <c r="D4" s="427" t="s">
        <v>1351</v>
      </c>
      <c r="E4" s="324" t="s">
        <v>486</v>
      </c>
    </row>
    <row r="5" spans="1:9" ht="15" customHeight="1">
      <c r="A5" s="165"/>
      <c r="B5" s="166"/>
      <c r="C5" s="324" t="s">
        <v>454</v>
      </c>
      <c r="D5" s="427"/>
      <c r="E5" s="324" t="s">
        <v>454</v>
      </c>
    </row>
    <row r="6" spans="1:9" ht="24" customHeight="1">
      <c r="A6" s="167"/>
      <c r="B6" s="168"/>
      <c r="C6" s="326"/>
      <c r="D6" s="405"/>
      <c r="E6" s="326"/>
    </row>
    <row r="7" spans="1:9" ht="20" customHeight="1" thickBot="1">
      <c r="A7" s="169">
        <v>1996</v>
      </c>
      <c r="B7" s="149">
        <v>4007836659.5999999</v>
      </c>
      <c r="C7" s="329">
        <v>-1.767505493939879E-2</v>
      </c>
      <c r="D7" s="407">
        <v>0.24196501185861982</v>
      </c>
      <c r="E7" s="329">
        <v>-0.13361491714857204</v>
      </c>
      <c r="G7" s="10"/>
      <c r="H7" s="10"/>
      <c r="I7" s="10"/>
    </row>
    <row r="8" spans="1:9" ht="20" customHeight="1" thickBot="1">
      <c r="A8" s="171">
        <v>1997</v>
      </c>
      <c r="B8" s="153">
        <v>4017395607.9000001</v>
      </c>
      <c r="C8" s="331">
        <v>2.3850643406595857E-3</v>
      </c>
      <c r="D8" s="409">
        <v>0.22399999999999998</v>
      </c>
      <c r="E8" s="331">
        <v>-7.42463206586116E-2</v>
      </c>
    </row>
    <row r="9" spans="1:9" ht="20" customHeight="1" thickBot="1">
      <c r="A9" s="171">
        <v>1998</v>
      </c>
      <c r="B9" s="153">
        <v>4117666794.6999998</v>
      </c>
      <c r="C9" s="331">
        <v>2.4959251362455224E-2</v>
      </c>
      <c r="D9" s="409">
        <v>0.22</v>
      </c>
      <c r="E9" s="331">
        <v>-1.7857142857142752E-2</v>
      </c>
    </row>
    <row r="10" spans="1:9" ht="20" customHeight="1" thickBot="1">
      <c r="A10" s="171">
        <v>1999</v>
      </c>
      <c r="B10" s="153">
        <v>4531003557.1000004</v>
      </c>
      <c r="C10" s="331">
        <v>0.10038130402683906</v>
      </c>
      <c r="D10" s="409">
        <v>0.248</v>
      </c>
      <c r="E10" s="331">
        <v>0.12727272727272726</v>
      </c>
    </row>
    <row r="11" spans="1:9" ht="20" customHeight="1" thickBot="1">
      <c r="A11" s="171">
        <v>2000</v>
      </c>
      <c r="B11" s="153">
        <v>4046317342.6999998</v>
      </c>
      <c r="C11" s="331">
        <v>-0.10697105139997211</v>
      </c>
      <c r="D11" s="409">
        <v>0.22899999999999998</v>
      </c>
      <c r="E11" s="331">
        <v>-7.6612903225806522E-2</v>
      </c>
    </row>
    <row r="12" spans="1:9" ht="20" customHeight="1" thickBot="1">
      <c r="A12" s="171">
        <v>2001</v>
      </c>
      <c r="B12" s="153">
        <v>2721453787.0999999</v>
      </c>
      <c r="C12" s="331">
        <v>-0.32742453035479263</v>
      </c>
      <c r="D12" s="409">
        <v>0.16266572127677031</v>
      </c>
      <c r="E12" s="331">
        <v>-0.28966933940274964</v>
      </c>
    </row>
    <row r="13" spans="1:9" ht="20" customHeight="1" thickBot="1">
      <c r="A13" s="171">
        <v>2002</v>
      </c>
      <c r="B13" s="153">
        <v>2517283980.4000001</v>
      </c>
      <c r="C13" s="331">
        <v>-7.5022330957000949E-2</v>
      </c>
      <c r="D13" s="409">
        <v>0.13972376589664312</v>
      </c>
      <c r="E13" s="331">
        <v>-0.14103743062800686</v>
      </c>
    </row>
    <row r="14" spans="1:9" ht="20" customHeight="1" thickBot="1">
      <c r="A14" s="171">
        <v>2003</v>
      </c>
      <c r="B14" s="153">
        <v>3007478271.7600007</v>
      </c>
      <c r="C14" s="331">
        <v>0.19473142290529655</v>
      </c>
      <c r="D14" s="409">
        <v>0.15444074863234167</v>
      </c>
      <c r="E14" s="331">
        <v>0.10532913023962608</v>
      </c>
    </row>
    <row r="15" spans="1:9" s="412" customFormat="1" ht="28.5" customHeight="1" thickBot="1">
      <c r="A15" s="369">
        <v>2004</v>
      </c>
      <c r="B15" s="218">
        <v>3581787875.8600006</v>
      </c>
      <c r="C15" s="413">
        <v>0.19096051648742562</v>
      </c>
      <c r="D15" s="411">
        <v>0.17609858201884715</v>
      </c>
      <c r="E15" s="413">
        <v>0.14023393164237799</v>
      </c>
    </row>
    <row r="16" spans="1:9" ht="20" customHeight="1">
      <c r="A16" s="155" t="s">
        <v>146</v>
      </c>
      <c r="B16" s="155"/>
      <c r="C16" s="339"/>
      <c r="D16" s="339"/>
      <c r="E16" s="339"/>
    </row>
    <row r="17" spans="1:5" ht="11.25" customHeight="1">
      <c r="A17" s="4"/>
      <c r="B17" s="4"/>
      <c r="C17" s="341"/>
      <c r="D17" s="341"/>
      <c r="E17" s="341"/>
    </row>
    <row r="18" spans="1:5">
      <c r="A18" s="2" t="s">
        <v>1349</v>
      </c>
    </row>
    <row r="20" spans="1:5">
      <c r="A20" s="2" t="s">
        <v>1350</v>
      </c>
    </row>
    <row r="23" spans="1:5">
      <c r="A23" s="2" t="s">
        <v>104</v>
      </c>
    </row>
  </sheetData>
  <mergeCells count="1">
    <mergeCell ref="A2:D2"/>
  </mergeCells>
  <phoneticPr fontId="0" type="noConversion"/>
  <pageMargins left="0.69" right="0.56000000000000005" top="1.08" bottom="0.49" header="0.53" footer="0.4921259845"/>
  <pageSetup paperSize="9" scale="81" orientation="portrait" horizontalDpi="4294967292" verticalDpi="4294967292"/>
  <headerFooter alignWithMargins="0">
    <oddHeader>&amp;L&amp;"Arial,Bold"Gesamtgeschäft der vom BAG anerkannten Krankenversicherer</oddHeader>
  </headerFooter>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4ECC-7162-9045-AF57-07D0FEEF84E8}">
  <sheetPr>
    <pageSetUpPr fitToPage="1"/>
  </sheetPr>
  <dimension ref="A1:D33"/>
  <sheetViews>
    <sheetView topLeftCell="A13" zoomScale="75" workbookViewId="0">
      <selection activeCell="C17" sqref="C17"/>
    </sheetView>
  </sheetViews>
  <sheetFormatPr baseColWidth="10" defaultColWidth="11.3984375" defaultRowHeight="13"/>
  <cols>
    <col min="1" max="1" width="10.59765625" style="2" customWidth="1"/>
    <col min="2" max="2" width="60.796875" style="23" customWidth="1"/>
    <col min="3" max="3" width="17" style="9" customWidth="1"/>
    <col min="4" max="4" width="17" style="342" customWidth="1"/>
    <col min="5" max="16384" width="11.3984375" style="2"/>
  </cols>
  <sheetData>
    <row r="1" spans="1:4" s="1" customFormat="1" ht="14" customHeight="1">
      <c r="B1" s="209"/>
      <c r="C1" s="192"/>
      <c r="D1" s="320"/>
    </row>
    <row r="2" spans="1:4" s="1" customFormat="1" ht="28" customHeight="1">
      <c r="A2" s="21" t="s">
        <v>349</v>
      </c>
      <c r="B2" s="209"/>
      <c r="C2" s="192"/>
      <c r="D2" s="370">
        <v>2004</v>
      </c>
    </row>
    <row r="3" spans="1:4" ht="39" customHeight="1">
      <c r="A3" s="139" t="s">
        <v>1127</v>
      </c>
      <c r="B3" s="210"/>
      <c r="C3" s="140" t="s">
        <v>1231</v>
      </c>
      <c r="D3" s="322" t="s">
        <v>1366</v>
      </c>
    </row>
    <row r="4" spans="1:4" ht="38" customHeight="1">
      <c r="A4" s="306"/>
      <c r="B4" s="307"/>
      <c r="C4" s="146" t="s">
        <v>884</v>
      </c>
      <c r="D4" s="326" t="s">
        <v>2077</v>
      </c>
    </row>
    <row r="5" spans="1:4" ht="30" customHeight="1" thickBot="1">
      <c r="A5" s="148"/>
      <c r="B5" s="428" t="s">
        <v>350</v>
      </c>
      <c r="C5" s="319">
        <v>6542917290.8000002</v>
      </c>
      <c r="D5" s="329">
        <v>0.4378175044968341</v>
      </c>
    </row>
    <row r="6" spans="1:4" ht="21.75" customHeight="1" thickBot="1">
      <c r="A6" s="152">
        <v>10</v>
      </c>
      <c r="B6" s="152" t="s">
        <v>351</v>
      </c>
      <c r="C6" s="149">
        <v>2646971690.3000002</v>
      </c>
      <c r="D6" s="331">
        <v>0.17712138002270478</v>
      </c>
    </row>
    <row r="7" spans="1:4" ht="21.75" customHeight="1" thickBot="1">
      <c r="A7" s="152">
        <v>11</v>
      </c>
      <c r="B7" s="152" t="s">
        <v>352</v>
      </c>
      <c r="C7" s="149">
        <v>2839481691.5999999</v>
      </c>
      <c r="D7" s="331">
        <v>0.19000313362187687</v>
      </c>
    </row>
    <row r="8" spans="1:4" ht="18.75" customHeight="1" thickBot="1">
      <c r="A8" s="152"/>
      <c r="B8" s="432" t="s">
        <v>353</v>
      </c>
      <c r="C8" s="436">
        <v>3053845756.3000002</v>
      </c>
      <c r="D8" s="331">
        <v>0.2043472458411644</v>
      </c>
    </row>
    <row r="9" spans="1:4" ht="18.75" customHeight="1" thickBot="1">
      <c r="A9" s="152"/>
      <c r="B9" s="432" t="s">
        <v>354</v>
      </c>
      <c r="C9" s="436">
        <v>-214364064.69999999</v>
      </c>
      <c r="D9" s="331">
        <v>-1.434411221928752E-2</v>
      </c>
    </row>
    <row r="10" spans="1:4" ht="21.75" customHeight="1" thickBot="1">
      <c r="A10" s="152">
        <v>12</v>
      </c>
      <c r="B10" s="152" t="s">
        <v>355</v>
      </c>
      <c r="C10" s="149">
        <v>346522837.51999998</v>
      </c>
      <c r="D10" s="331">
        <v>2.3187480023244847E-2</v>
      </c>
    </row>
    <row r="11" spans="1:4" ht="18.75" customHeight="1" thickBot="1">
      <c r="A11" s="152"/>
      <c r="B11" s="432" t="s">
        <v>1790</v>
      </c>
      <c r="C11" s="436">
        <v>368345012.08999997</v>
      </c>
      <c r="D11" s="331">
        <v>2.4647704811102969E-2</v>
      </c>
    </row>
    <row r="12" spans="1:4" ht="18.75" customHeight="1" thickBot="1">
      <c r="A12" s="152"/>
      <c r="B12" s="432" t="s">
        <v>1791</v>
      </c>
      <c r="C12" s="436">
        <v>-21822174.57</v>
      </c>
      <c r="D12" s="331">
        <v>-1.4602247878581227E-3</v>
      </c>
    </row>
    <row r="13" spans="1:4" ht="24" customHeight="1" thickBot="1">
      <c r="A13" s="152">
        <v>13</v>
      </c>
      <c r="B13" s="152" t="s">
        <v>1792</v>
      </c>
      <c r="C13" s="149">
        <v>6786621.1600000001</v>
      </c>
      <c r="D13" s="331">
        <v>4.541248816356823E-4</v>
      </c>
    </row>
    <row r="14" spans="1:4" ht="28.5" customHeight="1" thickBot="1">
      <c r="A14" s="152">
        <v>14</v>
      </c>
      <c r="B14" s="377" t="s">
        <v>1793</v>
      </c>
      <c r="C14" s="149">
        <v>431689826.19</v>
      </c>
      <c r="D14" s="331">
        <v>2.8886405561771775E-2</v>
      </c>
    </row>
    <row r="15" spans="1:4" ht="30.75" customHeight="1" thickBot="1">
      <c r="A15" s="152">
        <v>15</v>
      </c>
      <c r="B15" s="377" t="s">
        <v>1794</v>
      </c>
      <c r="C15" s="149">
        <v>22220900.309999999</v>
      </c>
      <c r="D15" s="331">
        <v>1.4869054106914443E-3</v>
      </c>
    </row>
    <row r="16" spans="1:4" ht="21.75" customHeight="1" thickBot="1">
      <c r="A16" s="152">
        <v>16</v>
      </c>
      <c r="B16" s="152" t="s">
        <v>1795</v>
      </c>
      <c r="C16" s="149">
        <v>249243723.74000001</v>
      </c>
      <c r="D16" s="331">
        <v>1.6678074976246973E-2</v>
      </c>
    </row>
    <row r="17" spans="1:4" ht="30" customHeight="1" thickBot="1">
      <c r="A17" s="152"/>
      <c r="B17" s="386" t="s">
        <v>1796</v>
      </c>
      <c r="C17" s="319">
        <v>8401476716.8999996</v>
      </c>
      <c r="D17" s="331">
        <v>0.56218249548309152</v>
      </c>
    </row>
    <row r="18" spans="1:4" ht="21.75" customHeight="1" thickBot="1">
      <c r="A18" s="152">
        <v>17</v>
      </c>
      <c r="B18" s="152" t="s">
        <v>1797</v>
      </c>
      <c r="C18" s="149">
        <v>7386419875.8000002</v>
      </c>
      <c r="D18" s="331">
        <v>0.49426024714323769</v>
      </c>
    </row>
    <row r="19" spans="1:4" ht="18.75" customHeight="1" thickBot="1">
      <c r="A19" s="152"/>
      <c r="B19" s="432" t="s">
        <v>1798</v>
      </c>
      <c r="C19" s="436">
        <v>7761410821.1999998</v>
      </c>
      <c r="D19" s="331">
        <v>0.51935266274732705</v>
      </c>
    </row>
    <row r="20" spans="1:4" ht="18.75" customHeight="1" thickBot="1">
      <c r="A20" s="186"/>
      <c r="B20" s="437" t="s">
        <v>1799</v>
      </c>
      <c r="C20" s="436">
        <v>-374990945.39999998</v>
      </c>
      <c r="D20" s="331">
        <v>-2.5092415604089445E-2</v>
      </c>
    </row>
    <row r="21" spans="1:4" ht="21.75" customHeight="1" thickBot="1">
      <c r="A21" s="152">
        <v>18</v>
      </c>
      <c r="B21" s="152" t="s">
        <v>339</v>
      </c>
      <c r="C21" s="149">
        <v>876339664.92999995</v>
      </c>
      <c r="D21" s="331">
        <v>5.864002678602289E-2</v>
      </c>
    </row>
    <row r="22" spans="1:4" ht="18.75" customHeight="1" thickBot="1">
      <c r="A22" s="186"/>
      <c r="B22" s="437" t="s">
        <v>1800</v>
      </c>
      <c r="C22" s="436">
        <v>1321286035.5</v>
      </c>
      <c r="D22" s="331">
        <v>8.8413490355827878E-2</v>
      </c>
    </row>
    <row r="23" spans="1:4" ht="18.75" customHeight="1" thickBot="1">
      <c r="A23" s="152"/>
      <c r="B23" s="432" t="s">
        <v>1801</v>
      </c>
      <c r="C23" s="436">
        <v>-444946370.5</v>
      </c>
      <c r="D23" s="331">
        <v>-2.977346356512096E-2</v>
      </c>
    </row>
    <row r="24" spans="1:4" ht="21.75" customHeight="1" thickBot="1">
      <c r="A24" s="152">
        <v>19</v>
      </c>
      <c r="B24" s="152" t="s">
        <v>1802</v>
      </c>
      <c r="C24" s="149">
        <v>138717176.18000001</v>
      </c>
      <c r="D24" s="331">
        <v>9.2822215545001179E-3</v>
      </c>
    </row>
    <row r="25" spans="1:4" ht="18.75" customHeight="1" thickBot="1">
      <c r="A25" s="152"/>
      <c r="B25" s="432" t="s">
        <v>1803</v>
      </c>
      <c r="C25" s="436">
        <v>757971522.70000005</v>
      </c>
      <c r="D25" s="331">
        <v>5.0719455221419109E-2</v>
      </c>
    </row>
    <row r="26" spans="1:4" ht="18.75" customHeight="1" thickBot="1">
      <c r="A26" s="152"/>
      <c r="B26" s="432" t="s">
        <v>1799</v>
      </c>
      <c r="C26" s="436">
        <v>-619254346.5</v>
      </c>
      <c r="D26" s="331">
        <v>-4.1437233665580692E-2</v>
      </c>
    </row>
    <row r="27" spans="1:4" s="205" customFormat="1" ht="36" customHeight="1" thickBot="1">
      <c r="A27" s="187">
        <v>1</v>
      </c>
      <c r="B27" s="187" t="s">
        <v>1804</v>
      </c>
      <c r="C27" s="226">
        <v>14944394008</v>
      </c>
      <c r="D27" s="413">
        <v>1</v>
      </c>
    </row>
    <row r="28" spans="1:4" ht="18.75" customHeight="1">
      <c r="A28" s="155" t="s">
        <v>146</v>
      </c>
      <c r="B28" s="213"/>
      <c r="C28" s="207"/>
      <c r="D28" s="339"/>
    </row>
    <row r="30" spans="1:4">
      <c r="A30" s="2" t="s">
        <v>1805</v>
      </c>
    </row>
    <row r="33" spans="1:1">
      <c r="A33" s="231" t="s">
        <v>104</v>
      </c>
    </row>
  </sheetData>
  <phoneticPr fontId="0" type="noConversion"/>
  <pageMargins left="0.78740157480314965" right="0.78740157480314965" top="0.87" bottom="0.49" header="0.47" footer="0.4921259845"/>
  <pageSetup paperSize="9" scale="82" orientation="portrait" horizontalDpi="4294967292" verticalDpi="4294967292"/>
  <headerFooter alignWithMargins="0">
    <oddHeader>&amp;L&amp;"Arial,Bold"Gesamtgeschäft der vom BAG anerkannten Krankenversicherer</oddHeader>
  </headerFooter>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8C406-94AB-414B-AE76-B1DBCAE01377}">
  <sheetPr>
    <pageSetUpPr fitToPage="1"/>
  </sheetPr>
  <dimension ref="A1:D44"/>
  <sheetViews>
    <sheetView zoomScale="75" workbookViewId="0"/>
  </sheetViews>
  <sheetFormatPr baseColWidth="10" defaultColWidth="11.3984375" defaultRowHeight="13"/>
  <cols>
    <col min="1" max="1" width="10.59765625" style="2" customWidth="1"/>
    <col min="2" max="2" width="60.796875" style="23" customWidth="1"/>
    <col min="3" max="3" width="17.3984375" style="161" customWidth="1"/>
    <col min="4" max="4" width="16.796875" style="342" customWidth="1"/>
    <col min="5" max="16384" width="11.3984375" style="2"/>
  </cols>
  <sheetData>
    <row r="1" spans="1:4" s="1" customFormat="1" ht="14" customHeight="1">
      <c r="B1" s="209"/>
      <c r="C1" s="216"/>
      <c r="D1" s="320"/>
    </row>
    <row r="2" spans="1:4" s="1" customFormat="1" ht="28" customHeight="1">
      <c r="A2" s="21" t="s">
        <v>1352</v>
      </c>
      <c r="B2" s="209"/>
      <c r="C2" s="216"/>
      <c r="D2" s="370">
        <v>2004</v>
      </c>
    </row>
    <row r="3" spans="1:4" ht="39" customHeight="1">
      <c r="A3" s="139" t="s">
        <v>1127</v>
      </c>
      <c r="B3" s="210"/>
      <c r="C3" s="140" t="s">
        <v>1231</v>
      </c>
      <c r="D3" s="322" t="s">
        <v>1366</v>
      </c>
    </row>
    <row r="4" spans="1:4" ht="38" customHeight="1">
      <c r="A4" s="306"/>
      <c r="B4" s="307"/>
      <c r="C4" s="146" t="s">
        <v>884</v>
      </c>
      <c r="D4" s="326" t="s">
        <v>2077</v>
      </c>
    </row>
    <row r="5" spans="1:4" ht="30" customHeight="1" thickBot="1">
      <c r="A5" s="148"/>
      <c r="B5" s="428" t="s">
        <v>1353</v>
      </c>
      <c r="C5" s="319">
        <v>11192037166</v>
      </c>
      <c r="D5" s="329">
        <v>0.74891207766662893</v>
      </c>
    </row>
    <row r="6" spans="1:4" ht="21.75" customHeight="1" thickBot="1">
      <c r="A6" s="152">
        <v>20</v>
      </c>
      <c r="B6" s="152" t="s">
        <v>1354</v>
      </c>
      <c r="C6" s="149">
        <v>397333473.64999998</v>
      </c>
      <c r="D6" s="329">
        <v>2.658745971481348E-2</v>
      </c>
    </row>
    <row r="7" spans="1:4" ht="21.75" customHeight="1" thickBot="1">
      <c r="A7" s="152">
        <v>21</v>
      </c>
      <c r="B7" s="152" t="s">
        <v>1355</v>
      </c>
      <c r="C7" s="149">
        <v>3447294774</v>
      </c>
      <c r="D7" s="329">
        <v>0.23067477825829549</v>
      </c>
    </row>
    <row r="8" spans="1:4" ht="31.5" customHeight="1" thickBot="1">
      <c r="A8" s="152">
        <v>215</v>
      </c>
      <c r="B8" s="377" t="s">
        <v>1356</v>
      </c>
      <c r="C8" s="149">
        <v>2577884.1</v>
      </c>
      <c r="D8" s="329">
        <v>1.7249840298777007E-4</v>
      </c>
    </row>
    <row r="9" spans="1:4" ht="21.75" customHeight="1" thickBot="1">
      <c r="A9" s="152">
        <v>22</v>
      </c>
      <c r="B9" s="152" t="s">
        <v>1357</v>
      </c>
      <c r="C9" s="149">
        <v>314730062.85000002</v>
      </c>
      <c r="D9" s="329">
        <v>2.1060075281842772E-2</v>
      </c>
    </row>
    <row r="10" spans="1:4" ht="21.75" customHeight="1" thickBot="1">
      <c r="A10" s="152">
        <v>23</v>
      </c>
      <c r="B10" s="152" t="s">
        <v>1358</v>
      </c>
      <c r="C10" s="149">
        <v>20073800.079999998</v>
      </c>
      <c r="D10" s="329">
        <v>1.3432327914570598E-3</v>
      </c>
    </row>
    <row r="11" spans="1:4" ht="21.75" customHeight="1" thickBot="1">
      <c r="A11" s="152">
        <v>24</v>
      </c>
      <c r="B11" s="152" t="s">
        <v>1359</v>
      </c>
      <c r="C11" s="149">
        <v>30923304.66</v>
      </c>
      <c r="D11" s="329">
        <v>2.0692243956794906E-3</v>
      </c>
    </row>
    <row r="12" spans="1:4" ht="21.75" customHeight="1" thickBot="1">
      <c r="A12" s="152">
        <v>25</v>
      </c>
      <c r="B12" s="152" t="s">
        <v>1422</v>
      </c>
      <c r="C12" s="149">
        <v>40692475.140000001</v>
      </c>
      <c r="D12" s="329">
        <v>2.7229257418010123E-3</v>
      </c>
    </row>
    <row r="13" spans="1:4" ht="21.75" customHeight="1" thickBot="1">
      <c r="A13" s="152">
        <v>26</v>
      </c>
      <c r="B13" s="152" t="s">
        <v>1423</v>
      </c>
      <c r="C13" s="149">
        <v>597430200.78999996</v>
      </c>
      <c r="D13" s="329">
        <v>3.9976876979433557E-2</v>
      </c>
    </row>
    <row r="14" spans="1:4" s="384" customFormat="1" ht="47.25" customHeight="1" thickBot="1">
      <c r="A14" s="377">
        <v>27</v>
      </c>
      <c r="B14" s="377" t="s">
        <v>1424</v>
      </c>
      <c r="C14" s="149">
        <v>6340981190.5</v>
      </c>
      <c r="D14" s="329">
        <v>0.42430500608492788</v>
      </c>
    </row>
    <row r="15" spans="1:4" s="384" customFormat="1" ht="21" customHeight="1" thickBot="1">
      <c r="A15" s="429">
        <v>270</v>
      </c>
      <c r="B15" s="430" t="s">
        <v>1425</v>
      </c>
      <c r="C15" s="149">
        <v>4487986097.3999996</v>
      </c>
      <c r="D15" s="329">
        <v>0.30031235090546332</v>
      </c>
    </row>
    <row r="16" spans="1:4" ht="18.75" customHeight="1" thickBot="1">
      <c r="A16" s="431">
        <v>270.10000000000002</v>
      </c>
      <c r="B16" s="432" t="s">
        <v>1426</v>
      </c>
      <c r="C16" s="149">
        <v>249831155.47999999</v>
      </c>
      <c r="D16" s="329">
        <v>1.6717382808982481E-2</v>
      </c>
    </row>
    <row r="17" spans="1:4" ht="31.5" customHeight="1" thickBot="1">
      <c r="A17" s="431">
        <v>270.2</v>
      </c>
      <c r="B17" s="430" t="s">
        <v>1427</v>
      </c>
      <c r="C17" s="149">
        <v>10369977.25</v>
      </c>
      <c r="D17" s="329">
        <v>6.9390416529762039E-4</v>
      </c>
    </row>
    <row r="18" spans="1:4" ht="30.75" customHeight="1" thickBot="1">
      <c r="A18" s="431">
        <v>270.3</v>
      </c>
      <c r="B18" s="430" t="s">
        <v>308</v>
      </c>
      <c r="C18" s="149">
        <v>1511715.42</v>
      </c>
      <c r="D18" s="329">
        <v>1.0115602005613287E-4</v>
      </c>
    </row>
    <row r="19" spans="1:4" ht="18.75" customHeight="1" thickBot="1">
      <c r="A19" s="431">
        <v>271</v>
      </c>
      <c r="B19" s="432" t="s">
        <v>309</v>
      </c>
      <c r="C19" s="149">
        <v>87253435.959999993</v>
      </c>
      <c r="D19" s="329">
        <v>5.8385395830230172E-3</v>
      </c>
    </row>
    <row r="20" spans="1:4" ht="18.75" customHeight="1" thickBot="1">
      <c r="A20" s="431">
        <v>272</v>
      </c>
      <c r="B20" s="432" t="s">
        <v>310</v>
      </c>
      <c r="C20" s="149">
        <v>1514000</v>
      </c>
      <c r="D20" s="329">
        <v>1.0130889209622878E-4</v>
      </c>
    </row>
    <row r="21" spans="1:4" ht="18.75" customHeight="1" thickBot="1">
      <c r="A21" s="431">
        <v>273</v>
      </c>
      <c r="B21" s="432" t="s">
        <v>311</v>
      </c>
      <c r="C21" s="149">
        <v>1071975392</v>
      </c>
      <c r="D21" s="329">
        <v>7.1730937462312128E-2</v>
      </c>
    </row>
    <row r="22" spans="1:4" ht="18.75" customHeight="1" thickBot="1">
      <c r="A22" s="431">
        <v>273.10000000000002</v>
      </c>
      <c r="B22" s="432" t="s">
        <v>312</v>
      </c>
      <c r="C22" s="149">
        <v>157469074.47</v>
      </c>
      <c r="D22" s="329">
        <v>1.0536999652558946E-2</v>
      </c>
    </row>
    <row r="23" spans="1:4" ht="18.75" customHeight="1" thickBot="1">
      <c r="A23" s="431">
        <v>274</v>
      </c>
      <c r="B23" s="432" t="s">
        <v>313</v>
      </c>
      <c r="C23" s="149">
        <v>261031961.16</v>
      </c>
      <c r="D23" s="329">
        <v>1.7466881629343081E-2</v>
      </c>
    </row>
    <row r="24" spans="1:4" ht="18.75" customHeight="1" thickBot="1">
      <c r="A24" s="431">
        <v>279</v>
      </c>
      <c r="B24" s="432" t="s">
        <v>314</v>
      </c>
      <c r="C24" s="149">
        <v>12038381.35</v>
      </c>
      <c r="D24" s="329">
        <v>8.0554496512576148E-4</v>
      </c>
    </row>
    <row r="25" spans="1:4" ht="21.75" customHeight="1" thickBot="1">
      <c r="A25" s="152"/>
      <c r="B25" s="432" t="s">
        <v>315</v>
      </c>
      <c r="C25" s="149">
        <v>3752356842.1999998</v>
      </c>
      <c r="D25" s="329">
        <v>0.25108792234675398</v>
      </c>
    </row>
    <row r="26" spans="1:4" ht="21.75" customHeight="1" thickBot="1">
      <c r="A26" s="152">
        <v>28</v>
      </c>
      <c r="B26" s="386" t="s">
        <v>316</v>
      </c>
      <c r="C26" s="149">
        <v>170568966.31</v>
      </c>
      <c r="D26" s="329">
        <v>1.1413575299118277E-2</v>
      </c>
    </row>
    <row r="27" spans="1:4" ht="18.75" customHeight="1" thickBot="1">
      <c r="A27" s="431">
        <v>280</v>
      </c>
      <c r="B27" s="432" t="s">
        <v>317</v>
      </c>
      <c r="C27" s="149">
        <v>106847113.86</v>
      </c>
      <c r="D27" s="329">
        <v>7.1496451313317116E-3</v>
      </c>
    </row>
    <row r="28" spans="1:4" ht="18.75" customHeight="1" thickBot="1">
      <c r="A28" s="431">
        <v>281</v>
      </c>
      <c r="B28" s="432" t="s">
        <v>318</v>
      </c>
      <c r="C28" s="149">
        <v>36939046.969999999</v>
      </c>
      <c r="D28" s="329">
        <v>2.4717661318502354E-3</v>
      </c>
    </row>
    <row r="29" spans="1:4" ht="18.75" customHeight="1" thickBot="1">
      <c r="A29" s="431">
        <v>282</v>
      </c>
      <c r="B29" s="432" t="s">
        <v>319</v>
      </c>
      <c r="C29" s="149">
        <v>26782805.48</v>
      </c>
      <c r="D29" s="329">
        <v>1.7921640359363309E-3</v>
      </c>
    </row>
    <row r="30" spans="1:4" ht="21.75" customHeight="1" thickBot="1">
      <c r="A30" s="152">
        <v>29</v>
      </c>
      <c r="B30" s="386" t="s">
        <v>1347</v>
      </c>
      <c r="C30" s="149">
        <v>3581787875.9000001</v>
      </c>
      <c r="D30" s="329">
        <v>0.2396743470483049</v>
      </c>
    </row>
    <row r="31" spans="1:4" ht="30" customHeight="1" thickBot="1">
      <c r="A31" s="431">
        <v>290</v>
      </c>
      <c r="B31" s="430" t="s">
        <v>320</v>
      </c>
      <c r="C31" s="149">
        <v>2874859515</v>
      </c>
      <c r="D31" s="329">
        <v>0.19237043090947928</v>
      </c>
    </row>
    <row r="32" spans="1:4" ht="30.75" customHeight="1" thickBot="1">
      <c r="A32" s="431">
        <v>290.5</v>
      </c>
      <c r="B32" s="430" t="s">
        <v>1243</v>
      </c>
      <c r="C32" s="149">
        <v>9854420.2599999998</v>
      </c>
      <c r="D32" s="329">
        <v>6.5940581161904276E-4</v>
      </c>
    </row>
    <row r="33" spans="1:4" ht="18.75" customHeight="1" thickBot="1">
      <c r="A33" s="431">
        <v>290.89999999999998</v>
      </c>
      <c r="B33" s="432" t="s">
        <v>321</v>
      </c>
      <c r="C33" s="149">
        <v>93621500</v>
      </c>
      <c r="D33" s="329">
        <v>6.2646568305066595E-3</v>
      </c>
    </row>
    <row r="34" spans="1:4" ht="18.75" customHeight="1" thickBot="1">
      <c r="A34" s="431">
        <v>291</v>
      </c>
      <c r="B34" s="432" t="s">
        <v>322</v>
      </c>
      <c r="C34" s="149">
        <v>297296885.97000003</v>
      </c>
      <c r="D34" s="329">
        <v>1.9893539062932342E-2</v>
      </c>
    </row>
    <row r="35" spans="1:4" ht="18.75" customHeight="1" thickBot="1">
      <c r="A35" s="431">
        <v>292</v>
      </c>
      <c r="B35" s="432" t="s">
        <v>323</v>
      </c>
      <c r="C35" s="149">
        <v>-1199238.7</v>
      </c>
      <c r="D35" s="329">
        <v>-8.0246726589116039E-5</v>
      </c>
    </row>
    <row r="36" spans="1:4" ht="18.75" customHeight="1" thickBot="1">
      <c r="A36" s="431">
        <v>293</v>
      </c>
      <c r="B36" s="432" t="s">
        <v>324</v>
      </c>
      <c r="C36" s="149">
        <v>307116677.93000001</v>
      </c>
      <c r="D36" s="329">
        <v>2.0550627731415205E-2</v>
      </c>
    </row>
    <row r="37" spans="1:4" ht="18.75" customHeight="1" thickBot="1">
      <c r="A37" s="431">
        <v>299</v>
      </c>
      <c r="B37" s="432" t="s">
        <v>325</v>
      </c>
      <c r="C37" s="149">
        <v>238115.4</v>
      </c>
      <c r="D37" s="329">
        <v>1.5933426264894555E-5</v>
      </c>
    </row>
    <row r="38" spans="1:4" s="205" customFormat="1" ht="35.25" customHeight="1" thickBot="1">
      <c r="A38" s="187">
        <v>2</v>
      </c>
      <c r="B38" s="187" t="s">
        <v>326</v>
      </c>
      <c r="C38" s="226">
        <v>14944394008</v>
      </c>
      <c r="D38" s="433">
        <v>1</v>
      </c>
    </row>
    <row r="39" spans="1:4" ht="19.5" customHeight="1">
      <c r="A39" s="155" t="s">
        <v>146</v>
      </c>
      <c r="B39" s="213"/>
      <c r="C39" s="156"/>
      <c r="D39" s="339"/>
    </row>
    <row r="41" spans="1:4">
      <c r="A41" s="2" t="s">
        <v>327</v>
      </c>
    </row>
    <row r="44" spans="1:4">
      <c r="A44" s="231" t="s">
        <v>104</v>
      </c>
    </row>
  </sheetData>
  <phoneticPr fontId="0" type="noConversion"/>
  <pageMargins left="0.62" right="0.69" top="0.85" bottom="0.49" header="0.47" footer="0.4921259845"/>
  <pageSetup paperSize="9" scale="77" orientation="portrait" horizontalDpi="4294967292" verticalDpi="4294967292"/>
  <headerFooter alignWithMargins="0">
    <oddHeader>&amp;L&amp;"Arial,Bold"Gesamtgeschäft der vom BAG anerkannten Krankenversicherer</oddHead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52621-6EDB-F74F-B339-D77E9B66F36A}">
  <sheetPr>
    <pageSetUpPr fitToPage="1"/>
  </sheetPr>
  <dimension ref="A1:D31"/>
  <sheetViews>
    <sheetView topLeftCell="A16" zoomScale="75" workbookViewId="0">
      <selection activeCell="A3" sqref="A3"/>
    </sheetView>
  </sheetViews>
  <sheetFormatPr baseColWidth="10" defaultColWidth="11.3984375" defaultRowHeight="13"/>
  <cols>
    <col min="1" max="1" width="10.59765625" style="2" customWidth="1"/>
    <col min="2" max="2" width="60.796875" style="23" customWidth="1"/>
    <col min="3" max="3" width="17.19921875" style="9" customWidth="1"/>
    <col min="4" max="4" width="16.796875" style="342" customWidth="1"/>
    <col min="5" max="16384" width="11.3984375" style="2"/>
  </cols>
  <sheetData>
    <row r="1" spans="1:4" s="1" customFormat="1" ht="14" customHeight="1">
      <c r="B1" s="209"/>
      <c r="C1" s="192"/>
      <c r="D1" s="320"/>
    </row>
    <row r="2" spans="1:4" s="1" customFormat="1" ht="28" customHeight="1">
      <c r="A2" s="21" t="s">
        <v>328</v>
      </c>
      <c r="B2" s="209"/>
      <c r="C2" s="192"/>
      <c r="D2" s="370">
        <v>2004</v>
      </c>
    </row>
    <row r="3" spans="1:4" ht="39" customHeight="1">
      <c r="A3" s="139" t="s">
        <v>1127</v>
      </c>
      <c r="B3" s="210"/>
      <c r="C3" s="140" t="s">
        <v>1231</v>
      </c>
      <c r="D3" s="322" t="s">
        <v>1366</v>
      </c>
    </row>
    <row r="4" spans="1:4" ht="38" customHeight="1">
      <c r="A4" s="306"/>
      <c r="B4" s="307"/>
      <c r="C4" s="146" t="s">
        <v>884</v>
      </c>
      <c r="D4" s="326" t="s">
        <v>2077</v>
      </c>
    </row>
    <row r="5" spans="1:4" ht="39" customHeight="1" thickBot="1">
      <c r="A5" s="372">
        <v>17</v>
      </c>
      <c r="B5" s="434" t="s">
        <v>329</v>
      </c>
      <c r="C5" s="373"/>
      <c r="D5" s="374"/>
    </row>
    <row r="6" spans="1:4" ht="21.75" customHeight="1" thickBot="1">
      <c r="A6" s="431">
        <v>170</v>
      </c>
      <c r="B6" s="432" t="s">
        <v>330</v>
      </c>
      <c r="C6" s="153"/>
      <c r="D6" s="211"/>
    </row>
    <row r="7" spans="1:4" ht="33.75" customHeight="1" thickBot="1">
      <c r="A7" s="375"/>
      <c r="B7" s="377" t="s">
        <v>331</v>
      </c>
      <c r="C7" s="153">
        <v>2088508032.5</v>
      </c>
      <c r="D7" s="211">
        <v>0.25276156497264679</v>
      </c>
    </row>
    <row r="8" spans="1:4" ht="18" customHeight="1" thickBot="1">
      <c r="A8" s="375"/>
      <c r="B8" s="377" t="s">
        <v>332</v>
      </c>
      <c r="C8" s="153">
        <v>5271429946.8999996</v>
      </c>
      <c r="D8" s="211">
        <v>0.63797450729800831</v>
      </c>
    </row>
    <row r="9" spans="1:4" ht="19.5" customHeight="1" thickBot="1">
      <c r="A9" s="375"/>
      <c r="B9" s="377" t="s">
        <v>333</v>
      </c>
      <c r="C9" s="153">
        <v>276525466.97000003</v>
      </c>
      <c r="D9" s="211">
        <v>3.3466478796570852E-2</v>
      </c>
    </row>
    <row r="10" spans="1:4" ht="28.5" customHeight="1" thickBot="1">
      <c r="A10" s="375"/>
      <c r="B10" s="377" t="s">
        <v>334</v>
      </c>
      <c r="C10" s="153">
        <v>1000000</v>
      </c>
      <c r="D10" s="211">
        <v>1.2102494270519248E-4</v>
      </c>
    </row>
    <row r="11" spans="1:4" ht="30.75" customHeight="1" thickBot="1">
      <c r="A11" s="375"/>
      <c r="B11" s="377" t="s">
        <v>335</v>
      </c>
      <c r="C11" s="153">
        <v>66004694.399999999</v>
      </c>
      <c r="D11" s="211">
        <v>7.9882143580337385E-3</v>
      </c>
    </row>
    <row r="12" spans="1:4" ht="21.75" customHeight="1" thickBot="1">
      <c r="A12" s="375"/>
      <c r="B12" s="152" t="s">
        <v>336</v>
      </c>
      <c r="C12" s="153">
        <v>57942680.310000002</v>
      </c>
      <c r="D12" s="211">
        <v>7.0125095647030344E-3</v>
      </c>
    </row>
    <row r="13" spans="1:4" ht="21.75" customHeight="1" thickBot="1">
      <c r="A13" s="382">
        <v>170</v>
      </c>
      <c r="B13" s="377" t="s">
        <v>652</v>
      </c>
      <c r="C13" s="435">
        <v>7761410821.1000004</v>
      </c>
      <c r="D13" s="211">
        <v>0.93932429993508848</v>
      </c>
    </row>
    <row r="14" spans="1:4" s="384" customFormat="1" ht="23.25" customHeight="1" thickBot="1">
      <c r="A14" s="375">
        <v>179</v>
      </c>
      <c r="B14" s="152" t="s">
        <v>337</v>
      </c>
      <c r="C14" s="153">
        <v>-374990945.39999998</v>
      </c>
      <c r="D14" s="211">
        <v>-4.5383257682000959E-2</v>
      </c>
    </row>
    <row r="15" spans="1:4" s="384" customFormat="1" ht="27.75" customHeight="1" thickBot="1">
      <c r="A15" s="386">
        <v>17</v>
      </c>
      <c r="B15" s="386" t="s">
        <v>338</v>
      </c>
      <c r="C15" s="173">
        <v>7386419875.6999998</v>
      </c>
      <c r="D15" s="374">
        <v>0.89394104225308746</v>
      </c>
    </row>
    <row r="16" spans="1:4" ht="24.75" customHeight="1" thickBot="1">
      <c r="A16" s="380">
        <v>18</v>
      </c>
      <c r="B16" s="383" t="s">
        <v>339</v>
      </c>
      <c r="C16" s="153"/>
      <c r="D16" s="211"/>
    </row>
    <row r="17" spans="1:4" ht="16.5" customHeight="1" thickBot="1">
      <c r="A17" s="375">
        <v>180</v>
      </c>
      <c r="B17" s="377" t="s">
        <v>340</v>
      </c>
      <c r="C17" s="153">
        <v>57539519.75</v>
      </c>
      <c r="D17" s="211">
        <v>6.9637170810280414E-3</v>
      </c>
    </row>
    <row r="18" spans="1:4" ht="22.5" customHeight="1" thickBot="1">
      <c r="A18" s="375"/>
      <c r="B18" s="377" t="s">
        <v>341</v>
      </c>
      <c r="C18" s="153">
        <v>578115331.85000002</v>
      </c>
      <c r="D18" s="211">
        <v>6.9966374914139595E-2</v>
      </c>
    </row>
    <row r="19" spans="1:4" ht="18.75" customHeight="1" thickBot="1">
      <c r="A19" s="375"/>
      <c r="B19" s="152" t="s">
        <v>342</v>
      </c>
      <c r="C19" s="153">
        <v>685631183.86000001</v>
      </c>
      <c r="D19" s="211">
        <v>8.2978474743549788E-2</v>
      </c>
    </row>
    <row r="20" spans="1:4" ht="18.75" customHeight="1" thickBot="1">
      <c r="A20" s="375">
        <v>180</v>
      </c>
      <c r="B20" s="152" t="s">
        <v>652</v>
      </c>
      <c r="C20" s="153">
        <v>1321286035.5</v>
      </c>
      <c r="D20" s="211">
        <v>0.15990856674355841</v>
      </c>
    </row>
    <row r="21" spans="1:4" ht="21" customHeight="1" thickBot="1">
      <c r="A21" s="375">
        <v>189</v>
      </c>
      <c r="B21" s="152" t="s">
        <v>343</v>
      </c>
      <c r="C21" s="153">
        <v>-444946370.5</v>
      </c>
      <c r="D21" s="211">
        <v>-5.3849608996645842E-2</v>
      </c>
    </row>
    <row r="22" spans="1:4" ht="30.75" customHeight="1" thickBot="1">
      <c r="A22" s="386">
        <v>18</v>
      </c>
      <c r="B22" s="386" t="s">
        <v>344</v>
      </c>
      <c r="C22" s="173">
        <v>876339664.92999995</v>
      </c>
      <c r="D22" s="374">
        <v>0.10605895773844082</v>
      </c>
    </row>
    <row r="23" spans="1:4" ht="39" customHeight="1" thickBot="1">
      <c r="A23" s="388" t="s">
        <v>345</v>
      </c>
      <c r="B23" s="389" t="s">
        <v>346</v>
      </c>
      <c r="C23" s="218">
        <v>8262759540.6999998</v>
      </c>
      <c r="D23" s="212">
        <v>1</v>
      </c>
    </row>
    <row r="24" spans="1:4" ht="19.5" customHeight="1">
      <c r="A24" s="155" t="s">
        <v>146</v>
      </c>
      <c r="B24" s="213"/>
      <c r="C24" s="207"/>
      <c r="D24" s="339"/>
    </row>
    <row r="25" spans="1:4" ht="14.25" customHeight="1">
      <c r="A25" s="4"/>
      <c r="B25" s="214"/>
      <c r="C25" s="208"/>
      <c r="D25" s="341"/>
    </row>
    <row r="26" spans="1:4" ht="14.25" customHeight="1">
      <c r="A26" s="4" t="s">
        <v>347</v>
      </c>
      <c r="B26" s="214"/>
      <c r="C26" s="208"/>
      <c r="D26" s="341"/>
    </row>
    <row r="28" spans="1:4">
      <c r="A28" s="2" t="s">
        <v>348</v>
      </c>
    </row>
    <row r="31" spans="1:4">
      <c r="A31" s="231" t="s">
        <v>104</v>
      </c>
    </row>
  </sheetData>
  <phoneticPr fontId="0" type="noConversion"/>
  <pageMargins left="0.78740157480314965" right="0.83" top="0.92" bottom="0.49" header="0.53" footer="0.4921259845"/>
  <pageSetup paperSize="9" scale="82" orientation="portrait" horizontalDpi="1200" verticalDpi="1200"/>
  <headerFooter alignWithMargins="0">
    <oddHeader>&amp;L&amp;"Arial,Bold"Gesamtgeschäft der vom BAG anerkannten Krankenversicherer</oddHeader>
  </headerFooter>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E13AF-7174-A44A-8454-758373524F96}">
  <sheetPr>
    <pageSetUpPr fitToPage="1"/>
  </sheetPr>
  <dimension ref="A1:B27"/>
  <sheetViews>
    <sheetView topLeftCell="A4" workbookViewId="0">
      <selection activeCell="B23" sqref="B23"/>
    </sheetView>
  </sheetViews>
  <sheetFormatPr baseColWidth="10" defaultColWidth="11.3984375" defaultRowHeight="13"/>
  <cols>
    <col min="1" max="1" width="5.59765625" style="699" customWidth="1"/>
    <col min="2" max="8" width="11.3984375" style="699"/>
    <col min="9" max="9" width="10.796875" style="699" customWidth="1"/>
    <col min="10" max="10" width="7.59765625" style="699" customWidth="1"/>
    <col min="11" max="16384" width="11.3984375" style="699"/>
  </cols>
  <sheetData>
    <row r="1" spans="1:2" ht="16">
      <c r="A1" s="698" t="s">
        <v>1399</v>
      </c>
    </row>
    <row r="2" spans="1:2" ht="16">
      <c r="A2" s="700"/>
    </row>
    <row r="3" spans="1:2">
      <c r="A3" s="701">
        <v>9.01</v>
      </c>
      <c r="B3" s="702" t="s">
        <v>435</v>
      </c>
    </row>
    <row r="4" spans="1:2">
      <c r="A4" s="701">
        <v>9.02</v>
      </c>
      <c r="B4" s="702" t="s">
        <v>1400</v>
      </c>
    </row>
    <row r="5" spans="1:2">
      <c r="A5" s="701">
        <v>9.0299999999999994</v>
      </c>
      <c r="B5" s="702" t="s">
        <v>1401</v>
      </c>
    </row>
    <row r="6" spans="1:2">
      <c r="A6" s="701">
        <v>9.0399999999999991</v>
      </c>
      <c r="B6" s="702" t="s">
        <v>739</v>
      </c>
    </row>
    <row r="7" spans="1:2">
      <c r="A7" s="701">
        <v>9.0500000000000007</v>
      </c>
      <c r="B7" s="702" t="s">
        <v>740</v>
      </c>
    </row>
    <row r="8" spans="1:2">
      <c r="A8" s="701">
        <v>9.06</v>
      </c>
      <c r="B8" s="703" t="s">
        <v>93</v>
      </c>
    </row>
    <row r="9" spans="1:2">
      <c r="A9" s="701">
        <v>9.07</v>
      </c>
      <c r="B9" s="703" t="s">
        <v>94</v>
      </c>
    </row>
    <row r="10" spans="1:2">
      <c r="A10" s="701">
        <v>9.08</v>
      </c>
      <c r="B10" s="702" t="s">
        <v>741</v>
      </c>
    </row>
    <row r="11" spans="1:2">
      <c r="A11" s="701">
        <v>9.09</v>
      </c>
      <c r="B11" s="702" t="s">
        <v>742</v>
      </c>
    </row>
    <row r="12" spans="1:2">
      <c r="A12" s="701">
        <v>9.1</v>
      </c>
      <c r="B12" s="702" t="s">
        <v>743</v>
      </c>
    </row>
    <row r="13" spans="1:2">
      <c r="A13" s="701">
        <v>9.11</v>
      </c>
      <c r="B13" s="702" t="s">
        <v>744</v>
      </c>
    </row>
    <row r="14" spans="1:2">
      <c r="A14" s="701">
        <v>9.1199999999999992</v>
      </c>
      <c r="B14" s="702" t="s">
        <v>745</v>
      </c>
    </row>
    <row r="15" spans="1:2">
      <c r="A15" s="701">
        <v>9.1300000000000008</v>
      </c>
      <c r="B15" s="702" t="s">
        <v>2202</v>
      </c>
    </row>
    <row r="16" spans="1:2">
      <c r="A16" s="701">
        <v>9.14</v>
      </c>
      <c r="B16" s="702" t="s">
        <v>95</v>
      </c>
    </row>
    <row r="17" spans="1:2">
      <c r="A17" s="701">
        <v>9.15</v>
      </c>
      <c r="B17" s="702" t="s">
        <v>673</v>
      </c>
    </row>
    <row r="18" spans="1:2">
      <c r="A18" s="701">
        <v>9.16</v>
      </c>
      <c r="B18" s="702" t="s">
        <v>747</v>
      </c>
    </row>
    <row r="19" spans="1:2">
      <c r="A19" s="701">
        <v>9.17</v>
      </c>
      <c r="B19" s="702" t="s">
        <v>748</v>
      </c>
    </row>
    <row r="20" spans="1:2">
      <c r="A20" s="701">
        <v>9.18</v>
      </c>
      <c r="B20" s="702" t="s">
        <v>749</v>
      </c>
    </row>
    <row r="21" spans="1:2">
      <c r="A21" s="701">
        <v>9.19</v>
      </c>
      <c r="B21" s="702" t="s">
        <v>750</v>
      </c>
    </row>
    <row r="22" spans="1:2">
      <c r="A22" s="701">
        <v>9.1999999999999993</v>
      </c>
      <c r="B22" s="702" t="s">
        <v>751</v>
      </c>
    </row>
    <row r="23" spans="1:2">
      <c r="A23" s="701">
        <v>9.2100000000000009</v>
      </c>
      <c r="B23" s="702" t="s">
        <v>96</v>
      </c>
    </row>
    <row r="26" spans="1:2">
      <c r="A26" s="704" t="s">
        <v>104</v>
      </c>
    </row>
    <row r="27" spans="1:2">
      <c r="B27" s="703"/>
    </row>
  </sheetData>
  <phoneticPr fontId="39" type="noConversion"/>
  <pageMargins left="0.46" right="0.3" top="0.78" bottom="0.984251969" header="0.34" footer="0.4921259845"/>
  <pageSetup paperSize="9" scale="94" orientation="portrait"/>
  <headerFooter alignWithMargins="0"/>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21E9C-8FE0-1942-AE3F-1FE81D56710D}">
  <sheetPr>
    <pageSetUpPr fitToPage="1"/>
  </sheetPr>
  <dimension ref="A1:J39"/>
  <sheetViews>
    <sheetView topLeftCell="A8" zoomScale="75" workbookViewId="0">
      <selection activeCell="A15" sqref="A15"/>
    </sheetView>
  </sheetViews>
  <sheetFormatPr baseColWidth="10" defaultColWidth="11.3984375" defaultRowHeight="13"/>
  <cols>
    <col min="1" max="1" width="15.796875" style="2" customWidth="1"/>
    <col min="2" max="7" width="15.796875" style="162" customWidth="1"/>
    <col min="8" max="16384" width="11.3984375" style="2"/>
  </cols>
  <sheetData>
    <row r="1" spans="1:7" s="1" customFormat="1" ht="14" customHeight="1">
      <c r="A1" s="591"/>
      <c r="B1" s="705"/>
      <c r="C1" s="705"/>
      <c r="D1" s="705"/>
      <c r="E1" s="705"/>
      <c r="F1" s="705"/>
      <c r="G1" s="705"/>
    </row>
    <row r="2" spans="1:7" s="1" customFormat="1" ht="38.25" customHeight="1">
      <c r="A2" s="1717" t="s">
        <v>434</v>
      </c>
      <c r="B2" s="1716"/>
      <c r="C2" s="1716"/>
      <c r="D2" s="1716"/>
      <c r="E2" s="1716"/>
      <c r="F2" s="1716"/>
      <c r="G2" s="370">
        <v>2004</v>
      </c>
    </row>
    <row r="3" spans="1:7" ht="27" customHeight="1">
      <c r="A3" s="139" t="s">
        <v>1250</v>
      </c>
      <c r="B3" s="164" t="s">
        <v>789</v>
      </c>
      <c r="C3" s="141" t="s">
        <v>777</v>
      </c>
      <c r="D3" s="164" t="s">
        <v>294</v>
      </c>
      <c r="E3" s="141" t="s">
        <v>779</v>
      </c>
      <c r="F3" s="164" t="s">
        <v>294</v>
      </c>
      <c r="G3" s="141" t="s">
        <v>757</v>
      </c>
    </row>
    <row r="4" spans="1:7" ht="15" customHeight="1">
      <c r="A4" s="165"/>
      <c r="B4" s="363"/>
      <c r="C4" s="706" t="s">
        <v>1280</v>
      </c>
      <c r="D4" s="166" t="s">
        <v>794</v>
      </c>
      <c r="E4" s="144" t="s">
        <v>780</v>
      </c>
      <c r="F4" s="166" t="s">
        <v>781</v>
      </c>
      <c r="G4" s="144"/>
    </row>
    <row r="5" spans="1:7" ht="15" customHeight="1">
      <c r="A5" s="165"/>
      <c r="B5" s="166"/>
      <c r="C5" s="144" t="s">
        <v>790</v>
      </c>
      <c r="D5" s="166" t="s">
        <v>795</v>
      </c>
      <c r="E5" s="706" t="s">
        <v>791</v>
      </c>
      <c r="F5" s="363" t="s">
        <v>783</v>
      </c>
      <c r="G5" s="144"/>
    </row>
    <row r="6" spans="1:7" ht="25.5" customHeight="1">
      <c r="A6" s="306"/>
      <c r="B6" s="446"/>
      <c r="C6" s="147"/>
      <c r="D6" s="168" t="s">
        <v>803</v>
      </c>
      <c r="E6" s="147"/>
      <c r="F6" s="168" t="s">
        <v>793</v>
      </c>
      <c r="G6" s="447"/>
    </row>
    <row r="7" spans="1:7" ht="21.75" customHeight="1" thickBot="1">
      <c r="A7" s="624">
        <v>1996</v>
      </c>
      <c r="B7" s="708">
        <v>6108.1158740877472</v>
      </c>
      <c r="C7" s="170">
        <v>2881.6227466771279</v>
      </c>
      <c r="D7" s="708">
        <v>2760.27</v>
      </c>
      <c r="E7" s="170">
        <v>25779.589166335027</v>
      </c>
      <c r="F7" s="708">
        <v>378.69191084150691</v>
      </c>
      <c r="G7" s="170">
        <v>37908.289697941407</v>
      </c>
    </row>
    <row r="8" spans="1:7" ht="18" customHeight="1" thickBot="1">
      <c r="A8" s="625">
        <v>1997</v>
      </c>
      <c r="B8" s="507">
        <v>6057.9558227212619</v>
      </c>
      <c r="C8" s="508">
        <v>3011.3899942252165</v>
      </c>
      <c r="D8" s="507">
        <v>3024.94</v>
      </c>
      <c r="E8" s="508">
        <v>26188.70940181617</v>
      </c>
      <c r="F8" s="507">
        <v>386.63132230196129</v>
      </c>
      <c r="G8" s="508">
        <v>38669.626541064608</v>
      </c>
    </row>
    <row r="9" spans="1:7" ht="18" customHeight="1" thickBot="1">
      <c r="A9" s="625">
        <v>1998</v>
      </c>
      <c r="B9" s="507">
        <v>6131.7435544855471</v>
      </c>
      <c r="C9" s="508">
        <v>3176.3677925723964</v>
      </c>
      <c r="D9" s="507">
        <v>3270.2</v>
      </c>
      <c r="E9" s="508">
        <v>27318.880597474119</v>
      </c>
      <c r="F9" s="507">
        <v>395.20236445468498</v>
      </c>
      <c r="G9" s="508">
        <v>40292.394308986753</v>
      </c>
    </row>
    <row r="10" spans="1:7" ht="18" customHeight="1" thickBot="1">
      <c r="A10" s="625">
        <v>1999</v>
      </c>
      <c r="B10" s="507">
        <v>6416.6639279999999</v>
      </c>
      <c r="C10" s="508">
        <v>3314.4716839527723</v>
      </c>
      <c r="D10" s="507">
        <v>3620.5</v>
      </c>
      <c r="E10" s="508">
        <v>27825.139583369215</v>
      </c>
      <c r="F10" s="507">
        <v>408.78423901554766</v>
      </c>
      <c r="G10" s="508">
        <v>41585.559434337534</v>
      </c>
    </row>
    <row r="11" spans="1:7" ht="18" customHeight="1" thickBot="1">
      <c r="A11" s="625">
        <v>2000</v>
      </c>
      <c r="B11" s="507">
        <v>6599.5077579999997</v>
      </c>
      <c r="C11" s="508">
        <v>3458.985264289614</v>
      </c>
      <c r="D11" s="507">
        <v>3725.7</v>
      </c>
      <c r="E11" s="508">
        <v>29137.399971696475</v>
      </c>
      <c r="F11" s="507">
        <v>443.72611837314082</v>
      </c>
      <c r="G11" s="508">
        <v>43365.319112359233</v>
      </c>
    </row>
    <row r="12" spans="1:7" ht="18" customHeight="1" thickBot="1">
      <c r="A12" s="625">
        <v>2001</v>
      </c>
      <c r="B12" s="507">
        <v>7802.4641409999995</v>
      </c>
      <c r="C12" s="508">
        <v>3661.4400591827011</v>
      </c>
      <c r="D12" s="507">
        <v>3837.6</v>
      </c>
      <c r="E12" s="508">
        <v>30364.520158769472</v>
      </c>
      <c r="F12" s="507">
        <v>463.46745935715603</v>
      </c>
      <c r="G12" s="508">
        <v>46129.491818309332</v>
      </c>
    </row>
    <row r="13" spans="1:7" ht="18" customHeight="1" thickBot="1">
      <c r="A13" s="625">
        <v>2002</v>
      </c>
      <c r="B13" s="507">
        <v>8596.9415929999996</v>
      </c>
      <c r="C13" s="508">
        <v>3701.6993999861525</v>
      </c>
      <c r="D13" s="507">
        <v>4062.6</v>
      </c>
      <c r="E13" s="508">
        <v>31142.52125110001</v>
      </c>
      <c r="F13" s="507">
        <v>477.70596569061348</v>
      </c>
      <c r="G13" s="508">
        <v>47981.468209776773</v>
      </c>
    </row>
    <row r="14" spans="1:7" ht="18" customHeight="1" thickBot="1">
      <c r="A14" s="975">
        <v>2003</v>
      </c>
      <c r="B14" s="509">
        <v>8949.1301402555946</v>
      </c>
      <c r="C14" s="761">
        <v>3921.4728291844517</v>
      </c>
      <c r="D14" s="509">
        <v>4268.5</v>
      </c>
      <c r="E14" s="761">
        <v>32256.674952744135</v>
      </c>
      <c r="F14" s="509">
        <v>484.77612582398501</v>
      </c>
      <c r="G14" s="761">
        <v>49880.554048008169</v>
      </c>
    </row>
    <row r="15" spans="1:7" ht="23.25" customHeight="1" thickBot="1">
      <c r="A15" s="972" t="s">
        <v>677</v>
      </c>
      <c r="B15" s="973">
        <v>9503.2477220915553</v>
      </c>
      <c r="C15" s="974" t="s">
        <v>1300</v>
      </c>
      <c r="D15" s="973" t="s">
        <v>1300</v>
      </c>
      <c r="E15" s="974" t="s">
        <v>1300</v>
      </c>
      <c r="F15" s="973">
        <v>502.27743779349589</v>
      </c>
      <c r="G15" s="974">
        <v>52005.252391942362</v>
      </c>
    </row>
    <row r="16" spans="1:7" ht="20" customHeight="1">
      <c r="A16" s="718" t="s">
        <v>830</v>
      </c>
      <c r="B16" s="719"/>
      <c r="C16" s="719"/>
      <c r="D16" s="719"/>
      <c r="E16" s="719"/>
      <c r="F16" s="719"/>
      <c r="G16" s="719"/>
    </row>
    <row r="17" spans="1:10" ht="12.75" customHeight="1">
      <c r="A17" s="713"/>
      <c r="B17" s="714"/>
      <c r="C17" s="714"/>
      <c r="D17" s="714"/>
      <c r="E17" s="714"/>
      <c r="F17" s="714"/>
      <c r="G17" s="714"/>
      <c r="H17" s="5"/>
    </row>
    <row r="18" spans="1:10" ht="12.75" customHeight="1">
      <c r="A18" s="713" t="s">
        <v>796</v>
      </c>
      <c r="B18" s="714"/>
      <c r="C18" s="714"/>
      <c r="D18" s="714"/>
      <c r="E18" s="714"/>
      <c r="F18" s="714"/>
      <c r="G18" s="714"/>
      <c r="H18" s="5"/>
    </row>
    <row r="19" spans="1:10" ht="12.75" customHeight="1">
      <c r="A19" s="713" t="s">
        <v>797</v>
      </c>
      <c r="B19" s="714"/>
      <c r="C19" s="714"/>
      <c r="D19" s="714"/>
      <c r="E19" s="714"/>
      <c r="F19" s="714"/>
      <c r="G19" s="714"/>
      <c r="H19" s="5"/>
    </row>
    <row r="20" spans="1:10" ht="12.75" customHeight="1">
      <c r="A20" s="713" t="s">
        <v>798</v>
      </c>
      <c r="B20" s="714"/>
      <c r="C20" s="714"/>
      <c r="D20" s="714"/>
      <c r="E20" s="714"/>
      <c r="F20" s="714"/>
      <c r="G20" s="714"/>
      <c r="H20" s="5"/>
    </row>
    <row r="21" spans="1:10" ht="12.75" customHeight="1">
      <c r="A21" s="713" t="s">
        <v>799</v>
      </c>
      <c r="B21" s="714"/>
      <c r="C21" s="714"/>
      <c r="D21" s="714"/>
      <c r="E21" s="714"/>
      <c r="F21" s="714"/>
      <c r="G21" s="714"/>
      <c r="H21" s="5"/>
    </row>
    <row r="22" spans="1:10" ht="12.75" customHeight="1">
      <c r="A22" s="713" t="s">
        <v>800</v>
      </c>
      <c r="B22" s="714"/>
      <c r="C22" s="714"/>
      <c r="D22" s="714"/>
      <c r="E22" s="714"/>
      <c r="F22" s="714"/>
      <c r="G22" s="714"/>
      <c r="H22" s="5"/>
    </row>
    <row r="23" spans="1:10" ht="12.75" customHeight="1">
      <c r="A23" s="713" t="s">
        <v>801</v>
      </c>
      <c r="B23" s="714"/>
      <c r="C23" s="714"/>
      <c r="D23" s="714"/>
      <c r="E23" s="714"/>
      <c r="F23" s="714"/>
      <c r="G23" s="714"/>
      <c r="H23" s="5"/>
    </row>
    <row r="24" spans="1:10" ht="12.75" customHeight="1">
      <c r="A24" s="713" t="s">
        <v>788</v>
      </c>
      <c r="B24" s="714"/>
      <c r="C24" s="714"/>
      <c r="D24" s="714"/>
      <c r="E24" s="714"/>
      <c r="F24" s="714"/>
      <c r="G24" s="714"/>
      <c r="H24" s="5"/>
    </row>
    <row r="25" spans="1:10" ht="12.75" customHeight="1">
      <c r="A25" s="713" t="s">
        <v>676</v>
      </c>
      <c r="B25" s="714"/>
      <c r="C25" s="714"/>
      <c r="D25" s="714"/>
      <c r="E25" s="714"/>
      <c r="F25" s="714"/>
      <c r="G25" s="714"/>
      <c r="H25" s="5"/>
    </row>
    <row r="26" spans="1:10" ht="12.75" customHeight="1">
      <c r="A26" s="713"/>
      <c r="B26" s="714"/>
      <c r="C26" s="714"/>
      <c r="D26" s="714"/>
      <c r="E26" s="714"/>
      <c r="F26" s="714"/>
      <c r="G26" s="714"/>
      <c r="H26" s="5"/>
    </row>
    <row r="27" spans="1:10" ht="12.75" customHeight="1">
      <c r="A27" s="713" t="s">
        <v>802</v>
      </c>
      <c r="B27" s="714"/>
      <c r="C27" s="714"/>
      <c r="D27" s="714"/>
      <c r="E27" s="714"/>
      <c r="F27" s="714"/>
      <c r="G27" s="714"/>
      <c r="H27" s="5"/>
    </row>
    <row r="28" spans="1:10" ht="13.5" customHeight="1">
      <c r="A28" s="27"/>
      <c r="B28" s="715"/>
      <c r="C28" s="715"/>
      <c r="D28" s="715"/>
      <c r="E28" s="715"/>
      <c r="F28" s="715"/>
      <c r="G28" s="715"/>
      <c r="H28" s="5"/>
    </row>
    <row r="29" spans="1:10" ht="12.75" customHeight="1">
      <c r="A29" s="716"/>
      <c r="B29" s="715"/>
      <c r="C29" s="715"/>
      <c r="D29" s="715"/>
      <c r="E29" s="715"/>
      <c r="F29" s="715"/>
      <c r="G29" s="715"/>
      <c r="H29" s="5"/>
    </row>
    <row r="30" spans="1:10" ht="13.5" customHeight="1">
      <c r="A30" s="5" t="s">
        <v>104</v>
      </c>
      <c r="B30" s="715"/>
      <c r="C30" s="715"/>
      <c r="D30" s="715"/>
      <c r="E30" s="715"/>
      <c r="F30" s="715"/>
      <c r="G30" s="715"/>
      <c r="H30" s="5"/>
    </row>
    <row r="31" spans="1:10" ht="31" customHeight="1">
      <c r="A31" s="394"/>
      <c r="B31" s="717"/>
      <c r="C31" s="717"/>
      <c r="D31" s="717"/>
      <c r="E31" s="717"/>
      <c r="F31" s="717"/>
      <c r="G31" s="717"/>
    </row>
    <row r="32" spans="1:10" ht="31" customHeight="1">
      <c r="A32" s="394"/>
      <c r="B32" s="717"/>
      <c r="C32" s="717"/>
      <c r="D32" s="717"/>
      <c r="E32" s="717"/>
      <c r="F32" s="717"/>
      <c r="G32" s="717"/>
      <c r="J32" s="1"/>
    </row>
    <row r="33" spans="1:7" ht="31" customHeight="1">
      <c r="A33" s="394"/>
      <c r="B33" s="717"/>
      <c r="C33" s="717"/>
      <c r="D33" s="717"/>
      <c r="E33" s="717"/>
      <c r="F33" s="717"/>
      <c r="G33" s="717"/>
    </row>
    <row r="34" spans="1:7" ht="31" customHeight="1">
      <c r="A34" s="394"/>
      <c r="B34" s="717"/>
      <c r="C34" s="717"/>
      <c r="D34" s="717"/>
      <c r="E34" s="717"/>
      <c r="F34" s="717"/>
      <c r="G34" s="717"/>
    </row>
    <row r="35" spans="1:7" ht="31" customHeight="1">
      <c r="A35" s="394"/>
      <c r="B35" s="717"/>
      <c r="C35" s="717"/>
      <c r="D35" s="717"/>
      <c r="E35" s="717"/>
      <c r="F35" s="717"/>
      <c r="G35" s="717"/>
    </row>
    <row r="36" spans="1:7" ht="31" customHeight="1">
      <c r="A36" s="394"/>
      <c r="B36" s="717"/>
      <c r="C36" s="717"/>
      <c r="D36" s="717"/>
      <c r="E36" s="717"/>
      <c r="F36" s="717"/>
      <c r="G36" s="717"/>
    </row>
    <row r="37" spans="1:7" ht="31" customHeight="1">
      <c r="A37" s="394"/>
      <c r="B37" s="717"/>
      <c r="C37" s="717"/>
      <c r="D37" s="717"/>
      <c r="E37" s="717"/>
      <c r="F37" s="717"/>
      <c r="G37" s="717"/>
    </row>
    <row r="38" spans="1:7">
      <c r="A38" s="394"/>
      <c r="B38" s="717"/>
      <c r="C38" s="717"/>
      <c r="D38" s="717"/>
      <c r="E38" s="717"/>
      <c r="F38" s="717"/>
      <c r="G38" s="717"/>
    </row>
    <row r="39" spans="1:7">
      <c r="A39" s="394"/>
      <c r="B39" s="717"/>
      <c r="C39" s="717"/>
      <c r="D39" s="717"/>
      <c r="E39" s="717"/>
      <c r="F39" s="717"/>
      <c r="G39" s="717"/>
    </row>
  </sheetData>
  <mergeCells count="1">
    <mergeCell ref="A2:F2"/>
  </mergeCells>
  <phoneticPr fontId="0" type="noConversion"/>
  <pageMargins left="0.56000000000000005" right="0.51" top="1.02" bottom="0.49" header="0.68" footer="0.4921259845"/>
  <pageSetup paperSize="9" scale="84" orientation="portrait" horizontalDpi="4294967292" verticalDpi="4294967292"/>
  <headerFooter alignWithMargins="0">
    <oddHeader>&amp;L&amp;"Arial,Bold"Zusatzinformationen zum Gesundheitswesen</oddHeader>
  </headerFooter>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71C26-EE80-9849-9EFE-106D15BD1A36}">
  <sheetPr>
    <pageSetUpPr fitToPage="1"/>
  </sheetPr>
  <dimension ref="A1:J37"/>
  <sheetViews>
    <sheetView topLeftCell="A9" zoomScale="75" workbookViewId="0">
      <selection activeCell="A23" sqref="A23"/>
    </sheetView>
  </sheetViews>
  <sheetFormatPr baseColWidth="10" defaultColWidth="11.3984375" defaultRowHeight="13"/>
  <cols>
    <col min="1" max="1" width="14.19921875" style="2" customWidth="1"/>
    <col min="2" max="7" width="14.19921875" style="162" customWidth="1"/>
    <col min="8" max="16384" width="11.3984375" style="2"/>
  </cols>
  <sheetData>
    <row r="1" spans="1:7" s="1" customFormat="1" ht="14" customHeight="1">
      <c r="A1" s="591"/>
      <c r="B1" s="705"/>
      <c r="C1" s="705"/>
      <c r="D1" s="705"/>
      <c r="E1" s="705"/>
      <c r="F1" s="705"/>
      <c r="G1" s="705"/>
    </row>
    <row r="2" spans="1:7" s="1" customFormat="1" ht="38.25" customHeight="1">
      <c r="A2" s="1717" t="s">
        <v>776</v>
      </c>
      <c r="B2" s="1716"/>
      <c r="C2" s="1716"/>
      <c r="D2" s="1716"/>
      <c r="E2" s="1716"/>
      <c r="F2" s="1716"/>
      <c r="G2" s="370">
        <v>2004</v>
      </c>
    </row>
    <row r="3" spans="1:7" ht="27" customHeight="1">
      <c r="A3" s="139" t="s">
        <v>1250</v>
      </c>
      <c r="B3" s="164" t="s">
        <v>789</v>
      </c>
      <c r="C3" s="141" t="s">
        <v>777</v>
      </c>
      <c r="D3" s="164" t="s">
        <v>778</v>
      </c>
      <c r="E3" s="141" t="s">
        <v>779</v>
      </c>
      <c r="F3" s="164" t="s">
        <v>294</v>
      </c>
      <c r="G3" s="141" t="s">
        <v>757</v>
      </c>
    </row>
    <row r="4" spans="1:7" ht="15" customHeight="1">
      <c r="A4" s="165"/>
      <c r="B4" s="363"/>
      <c r="C4" s="706" t="s">
        <v>1280</v>
      </c>
      <c r="D4" s="166" t="s">
        <v>1280</v>
      </c>
      <c r="E4" s="144" t="s">
        <v>780</v>
      </c>
      <c r="F4" s="166" t="s">
        <v>781</v>
      </c>
      <c r="G4" s="144"/>
    </row>
    <row r="5" spans="1:7" ht="15" customHeight="1">
      <c r="A5" s="165"/>
      <c r="B5" s="166"/>
      <c r="C5" s="144" t="s">
        <v>790</v>
      </c>
      <c r="D5" s="166" t="s">
        <v>782</v>
      </c>
      <c r="E5" s="706" t="s">
        <v>791</v>
      </c>
      <c r="F5" s="363" t="s">
        <v>783</v>
      </c>
      <c r="G5" s="144"/>
    </row>
    <row r="6" spans="1:7" ht="25.5" customHeight="1">
      <c r="A6" s="306"/>
      <c r="B6" s="446"/>
      <c r="C6" s="147"/>
      <c r="D6" s="168" t="s">
        <v>792</v>
      </c>
      <c r="E6" s="147"/>
      <c r="F6" s="168" t="s">
        <v>793</v>
      </c>
      <c r="G6" s="447"/>
    </row>
    <row r="7" spans="1:7" ht="21" customHeight="1" thickBot="1">
      <c r="A7" s="624">
        <v>1996</v>
      </c>
      <c r="B7" s="708">
        <v>6108.1</v>
      </c>
      <c r="C7" s="170">
        <v>14621.3</v>
      </c>
      <c r="D7" s="708">
        <v>4896.5</v>
      </c>
      <c r="E7" s="170">
        <v>11903.7</v>
      </c>
      <c r="F7" s="708">
        <v>378.7</v>
      </c>
      <c r="G7" s="170">
        <v>37908.300000000003</v>
      </c>
    </row>
    <row r="8" spans="1:7" ht="18" customHeight="1" thickBot="1">
      <c r="A8" s="625">
        <v>1997</v>
      </c>
      <c r="B8" s="507">
        <v>6058</v>
      </c>
      <c r="C8" s="508">
        <v>15271.7</v>
      </c>
      <c r="D8" s="507">
        <v>4463.3999999999996</v>
      </c>
      <c r="E8" s="508">
        <v>12489.9</v>
      </c>
      <c r="F8" s="507">
        <v>386.6</v>
      </c>
      <c r="G8" s="508">
        <v>38669.599999999999</v>
      </c>
    </row>
    <row r="9" spans="1:7" ht="18" customHeight="1" thickBot="1">
      <c r="A9" s="625">
        <v>1998</v>
      </c>
      <c r="B9" s="507">
        <v>6131.7</v>
      </c>
      <c r="C9" s="508">
        <v>15975.1</v>
      </c>
      <c r="D9" s="507">
        <v>4590.2</v>
      </c>
      <c r="E9" s="508">
        <v>13200.2</v>
      </c>
      <c r="F9" s="507">
        <v>395.2</v>
      </c>
      <c r="G9" s="508">
        <v>40292.400000000001</v>
      </c>
    </row>
    <row r="10" spans="1:7" ht="18" customHeight="1" thickBot="1">
      <c r="A10" s="625">
        <v>1999</v>
      </c>
      <c r="B10" s="507">
        <v>6416.6639269999996</v>
      </c>
      <c r="C10" s="508">
        <v>16596.671683952769</v>
      </c>
      <c r="D10" s="507">
        <v>4331.8999999999996</v>
      </c>
      <c r="E10" s="508">
        <v>13831.539584369208</v>
      </c>
      <c r="F10" s="507">
        <v>408.8</v>
      </c>
      <c r="G10" s="508">
        <v>41585.575195321981</v>
      </c>
    </row>
    <row r="11" spans="1:7" ht="18" customHeight="1" thickBot="1">
      <c r="A11" s="625">
        <v>2000</v>
      </c>
      <c r="B11" s="507">
        <v>6599.5077570000003</v>
      </c>
      <c r="C11" s="508">
        <v>17518.085264289613</v>
      </c>
      <c r="D11" s="507">
        <v>4546.7</v>
      </c>
      <c r="E11" s="508">
        <v>14257.299972696481</v>
      </c>
      <c r="F11" s="507">
        <v>443.72611837314082</v>
      </c>
      <c r="G11" s="508">
        <v>43365.319112359233</v>
      </c>
    </row>
    <row r="12" spans="1:7" ht="18" customHeight="1" thickBot="1">
      <c r="A12" s="625">
        <v>2001</v>
      </c>
      <c r="B12" s="507">
        <v>7802.4641389999997</v>
      </c>
      <c r="C12" s="508">
        <v>18548.1400591827</v>
      </c>
      <c r="D12" s="507">
        <v>4699.8999999999996</v>
      </c>
      <c r="E12" s="508">
        <v>14615.520160769476</v>
      </c>
      <c r="F12" s="507">
        <v>463.46745935715603</v>
      </c>
      <c r="G12" s="508">
        <v>46129.491818309332</v>
      </c>
    </row>
    <row r="13" spans="1:7" ht="18" customHeight="1" thickBot="1">
      <c r="A13" s="625">
        <v>2002</v>
      </c>
      <c r="B13" s="507">
        <v>8596.9415909999989</v>
      </c>
      <c r="C13" s="508">
        <v>19184.999399986154</v>
      </c>
      <c r="D13" s="507">
        <v>4615.5</v>
      </c>
      <c r="E13" s="508">
        <v>15106.321253100015</v>
      </c>
      <c r="F13" s="507">
        <v>477.70596569061348</v>
      </c>
      <c r="G13" s="508">
        <v>47981.46820977678</v>
      </c>
    </row>
    <row r="14" spans="1:7" ht="18" customHeight="1" thickBot="1">
      <c r="A14" s="975">
        <v>2003</v>
      </c>
      <c r="B14" s="509">
        <v>8949.1301402555946</v>
      </c>
      <c r="C14" s="761">
        <v>20225.680829184454</v>
      </c>
      <c r="D14" s="509">
        <v>4477.9040000000005</v>
      </c>
      <c r="E14" s="761">
        <v>15743.069681999736</v>
      </c>
      <c r="F14" s="509">
        <v>484.77612582398501</v>
      </c>
      <c r="G14" s="761">
        <v>49880.560777263767</v>
      </c>
    </row>
    <row r="15" spans="1:7" ht="30" customHeight="1" thickBot="1">
      <c r="A15" s="972" t="s">
        <v>677</v>
      </c>
      <c r="B15" s="973">
        <v>9503.2477220915553</v>
      </c>
      <c r="C15" s="974">
        <v>21230.194506845033</v>
      </c>
      <c r="D15" s="973">
        <v>4479.9149598020349</v>
      </c>
      <c r="E15" s="974">
        <v>16289.617765410238</v>
      </c>
      <c r="F15" s="973">
        <v>502.27743779349589</v>
      </c>
      <c r="G15" s="974">
        <v>52005.252391942362</v>
      </c>
    </row>
    <row r="16" spans="1:7" ht="20" customHeight="1">
      <c r="A16" s="718" t="s">
        <v>830</v>
      </c>
      <c r="B16" s="719"/>
      <c r="C16" s="719"/>
      <c r="D16" s="719"/>
      <c r="E16" s="719"/>
      <c r="F16" s="719"/>
      <c r="G16" s="719"/>
    </row>
    <row r="17" spans="1:10" ht="12.75" customHeight="1">
      <c r="A17" s="713"/>
      <c r="B17" s="714"/>
      <c r="C17" s="714"/>
      <c r="D17" s="714"/>
      <c r="E17" s="714"/>
      <c r="F17" s="714"/>
      <c r="G17" s="714"/>
      <c r="H17" s="5"/>
    </row>
    <row r="18" spans="1:10" ht="12.75" customHeight="1">
      <c r="A18" s="713" t="s">
        <v>784</v>
      </c>
      <c r="B18" s="713"/>
      <c r="C18" s="714"/>
      <c r="D18" s="714"/>
      <c r="E18" s="714"/>
      <c r="F18" s="714"/>
      <c r="G18" s="714"/>
      <c r="H18" s="5"/>
    </row>
    <row r="19" spans="1:10" ht="12.75" customHeight="1">
      <c r="A19" s="713" t="s">
        <v>785</v>
      </c>
      <c r="B19" s="714"/>
      <c r="C19" s="714"/>
      <c r="D19" s="714"/>
      <c r="E19" s="714"/>
      <c r="F19" s="714"/>
      <c r="G19" s="714"/>
      <c r="H19" s="5"/>
    </row>
    <row r="20" spans="1:10" ht="12.75" customHeight="1">
      <c r="A20" s="713" t="s">
        <v>786</v>
      </c>
      <c r="B20" s="714"/>
      <c r="C20" s="714"/>
      <c r="D20" s="714"/>
      <c r="E20" s="714"/>
      <c r="F20" s="714"/>
      <c r="G20" s="714"/>
      <c r="H20" s="5"/>
    </row>
    <row r="21" spans="1:10" ht="12.75" customHeight="1">
      <c r="A21" s="713" t="s">
        <v>787</v>
      </c>
      <c r="B21" s="714"/>
      <c r="C21" s="714"/>
      <c r="D21" s="714"/>
      <c r="E21" s="714"/>
      <c r="F21" s="714"/>
      <c r="G21" s="714"/>
      <c r="H21" s="5"/>
    </row>
    <row r="22" spans="1:10" ht="12.75" customHeight="1">
      <c r="A22" s="713" t="s">
        <v>788</v>
      </c>
      <c r="B22" s="714"/>
      <c r="C22" s="714"/>
      <c r="D22" s="714"/>
      <c r="E22" s="714"/>
      <c r="F22" s="714"/>
      <c r="G22" s="714"/>
      <c r="H22" s="5"/>
    </row>
    <row r="23" spans="1:10" ht="12.75" customHeight="1">
      <c r="A23" s="713" t="s">
        <v>676</v>
      </c>
      <c r="B23" s="714"/>
      <c r="C23" s="714"/>
      <c r="D23" s="714"/>
      <c r="E23" s="714"/>
      <c r="F23" s="714"/>
      <c r="G23" s="714"/>
      <c r="H23" s="5"/>
    </row>
    <row r="24" spans="1:10" ht="12.75" customHeight="1">
      <c r="A24" s="713"/>
      <c r="B24" s="714"/>
      <c r="C24" s="714"/>
      <c r="D24" s="714"/>
      <c r="E24" s="714"/>
      <c r="F24" s="714"/>
      <c r="G24" s="714"/>
      <c r="H24" s="5"/>
    </row>
    <row r="25" spans="1:10" ht="12.75" customHeight="1">
      <c r="A25" s="713" t="s">
        <v>802</v>
      </c>
      <c r="B25" s="714"/>
      <c r="C25" s="714"/>
      <c r="D25" s="714"/>
      <c r="E25" s="714"/>
      <c r="F25" s="714"/>
      <c r="G25" s="714"/>
      <c r="H25" s="5"/>
    </row>
    <row r="26" spans="1:10" ht="13.5" customHeight="1">
      <c r="A26" s="27"/>
      <c r="B26" s="715"/>
      <c r="C26" s="715"/>
      <c r="D26" s="715"/>
      <c r="E26" s="715"/>
      <c r="F26" s="715"/>
      <c r="G26" s="715"/>
      <c r="H26" s="5"/>
    </row>
    <row r="27" spans="1:10" ht="15.75" customHeight="1">
      <c r="A27" s="716"/>
      <c r="B27" s="715"/>
      <c r="C27" s="715"/>
      <c r="D27" s="715"/>
      <c r="E27" s="715"/>
      <c r="F27" s="715"/>
      <c r="G27" s="715"/>
      <c r="H27" s="5"/>
    </row>
    <row r="28" spans="1:10" ht="13.5" customHeight="1">
      <c r="A28" s="5" t="s">
        <v>104</v>
      </c>
      <c r="B28" s="715"/>
      <c r="C28" s="715"/>
      <c r="D28" s="715"/>
      <c r="E28" s="715"/>
      <c r="F28" s="715"/>
      <c r="G28" s="715"/>
      <c r="H28" s="5"/>
    </row>
    <row r="29" spans="1:10" ht="31" customHeight="1">
      <c r="A29" s="394"/>
      <c r="B29" s="717"/>
      <c r="C29" s="717"/>
      <c r="D29" s="717"/>
      <c r="E29" s="717"/>
      <c r="F29" s="717"/>
      <c r="G29" s="717"/>
    </row>
    <row r="30" spans="1:10" ht="31" customHeight="1">
      <c r="A30" s="394"/>
      <c r="B30" s="717"/>
      <c r="C30" s="717"/>
      <c r="D30" s="717"/>
      <c r="E30" s="717"/>
      <c r="F30" s="717"/>
      <c r="G30" s="717"/>
      <c r="J30" s="1"/>
    </row>
    <row r="31" spans="1:10" ht="31" customHeight="1">
      <c r="A31" s="394"/>
      <c r="B31" s="717"/>
      <c r="C31" s="717"/>
      <c r="D31" s="717"/>
      <c r="E31" s="717"/>
      <c r="F31" s="717"/>
      <c r="G31" s="717"/>
    </row>
    <row r="32" spans="1:10" ht="31" customHeight="1">
      <c r="A32" s="394"/>
      <c r="B32" s="717"/>
      <c r="C32" s="717"/>
      <c r="D32" s="717"/>
      <c r="E32" s="717"/>
      <c r="F32" s="717"/>
      <c r="G32" s="717"/>
    </row>
    <row r="33" spans="1:7" ht="31" customHeight="1">
      <c r="A33" s="394"/>
      <c r="B33" s="717"/>
      <c r="C33" s="717"/>
      <c r="D33" s="717"/>
      <c r="E33" s="717"/>
      <c r="F33" s="717"/>
      <c r="G33" s="717"/>
    </row>
    <row r="34" spans="1:7" ht="31" customHeight="1">
      <c r="A34" s="394"/>
      <c r="B34" s="717"/>
      <c r="C34" s="717"/>
      <c r="D34" s="717"/>
      <c r="E34" s="717"/>
      <c r="F34" s="717"/>
      <c r="G34" s="717"/>
    </row>
    <row r="35" spans="1:7" ht="31" customHeight="1">
      <c r="A35" s="394"/>
      <c r="B35" s="717"/>
      <c r="C35" s="717"/>
      <c r="D35" s="717"/>
      <c r="E35" s="717"/>
      <c r="F35" s="717"/>
      <c r="G35" s="717"/>
    </row>
    <row r="36" spans="1:7">
      <c r="A36" s="394"/>
      <c r="B36" s="717"/>
      <c r="C36" s="717"/>
      <c r="D36" s="717"/>
      <c r="E36" s="717"/>
      <c r="F36" s="717"/>
      <c r="G36" s="717"/>
    </row>
    <row r="37" spans="1:7">
      <c r="A37" s="394"/>
      <c r="B37" s="717"/>
      <c r="C37" s="717"/>
      <c r="D37" s="717"/>
      <c r="E37" s="717"/>
      <c r="F37" s="717"/>
      <c r="G37" s="717"/>
    </row>
  </sheetData>
  <mergeCells count="1">
    <mergeCell ref="A2:F2"/>
  </mergeCells>
  <phoneticPr fontId="0" type="noConversion"/>
  <pageMargins left="0.56000000000000005" right="0.51" top="1.02" bottom="0.49" header="0.68" footer="0.4921259845"/>
  <pageSetup paperSize="9" scale="84" orientation="portrait" horizontalDpi="4294967292" verticalDpi="4294967292"/>
  <headerFooter alignWithMargins="0">
    <oddHeader>&amp;L&amp;"Arial,Bold"Zusatzinformationen zum Gesundheitswesen</oddHeader>
  </headerFooter>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106D8-A840-5043-926B-AEE55003B09D}">
  <sheetPr>
    <pageSetUpPr fitToPage="1"/>
  </sheetPr>
  <dimension ref="A1:L38"/>
  <sheetViews>
    <sheetView topLeftCell="A8" zoomScale="75" workbookViewId="0">
      <selection activeCell="A24" sqref="A24"/>
    </sheetView>
  </sheetViews>
  <sheetFormatPr baseColWidth="10" defaultColWidth="11.3984375" defaultRowHeight="13"/>
  <cols>
    <col min="1" max="1" width="10.19921875" style="2" customWidth="1"/>
    <col min="2" max="9" width="13.19921875" style="162" customWidth="1"/>
    <col min="10" max="10" width="8.796875" style="2" customWidth="1"/>
    <col min="11" max="16384" width="11.3984375" style="2"/>
  </cols>
  <sheetData>
    <row r="1" spans="1:9" s="1" customFormat="1" ht="14" customHeight="1">
      <c r="A1" s="591"/>
      <c r="B1" s="705"/>
      <c r="C1" s="705"/>
      <c r="D1" s="705"/>
      <c r="E1" s="705"/>
      <c r="F1" s="705"/>
      <c r="G1" s="705"/>
      <c r="H1" s="705"/>
      <c r="I1" s="705"/>
    </row>
    <row r="2" spans="1:9" s="1" customFormat="1" ht="39" customHeight="1">
      <c r="A2" s="1717" t="s">
        <v>752</v>
      </c>
      <c r="B2" s="1716"/>
      <c r="C2" s="1716"/>
      <c r="D2" s="1716"/>
      <c r="E2" s="1716"/>
      <c r="F2" s="1716"/>
      <c r="G2" s="1716"/>
      <c r="H2" s="1716"/>
      <c r="I2" s="370">
        <v>2004</v>
      </c>
    </row>
    <row r="3" spans="1:9" ht="27" customHeight="1">
      <c r="A3" s="139" t="s">
        <v>1250</v>
      </c>
      <c r="B3" s="164" t="s">
        <v>907</v>
      </c>
      <c r="C3" s="141" t="s">
        <v>753</v>
      </c>
      <c r="D3" s="164" t="s">
        <v>754</v>
      </c>
      <c r="E3" s="141" t="s">
        <v>755</v>
      </c>
      <c r="F3" s="164" t="s">
        <v>770</v>
      </c>
      <c r="G3" s="141" t="s">
        <v>835</v>
      </c>
      <c r="H3" s="164" t="s">
        <v>756</v>
      </c>
      <c r="I3" s="141" t="s">
        <v>757</v>
      </c>
    </row>
    <row r="4" spans="1:9" ht="18.75" customHeight="1">
      <c r="A4" s="165"/>
      <c r="B4" s="363" t="s">
        <v>771</v>
      </c>
      <c r="C4" s="706" t="s">
        <v>758</v>
      </c>
      <c r="D4" s="166" t="s">
        <v>759</v>
      </c>
      <c r="E4" s="144" t="s">
        <v>772</v>
      </c>
      <c r="F4" s="166"/>
      <c r="G4" s="144" t="s">
        <v>773</v>
      </c>
      <c r="H4" s="166" t="s">
        <v>760</v>
      </c>
      <c r="I4" s="144"/>
    </row>
    <row r="5" spans="1:9" ht="16.5" customHeight="1">
      <c r="A5" s="165"/>
      <c r="B5" s="166"/>
      <c r="C5" s="144" t="s">
        <v>761</v>
      </c>
      <c r="D5" s="166" t="s">
        <v>774</v>
      </c>
      <c r="E5" s="706"/>
      <c r="F5" s="363"/>
      <c r="G5" s="706"/>
      <c r="H5" s="363" t="s">
        <v>762</v>
      </c>
      <c r="I5" s="144"/>
    </row>
    <row r="6" spans="1:9" ht="23.25" customHeight="1">
      <c r="A6" s="306"/>
      <c r="B6" s="446"/>
      <c r="C6" s="147" t="s">
        <v>775</v>
      </c>
      <c r="D6" s="168"/>
      <c r="E6" s="147"/>
      <c r="F6" s="168"/>
      <c r="G6" s="147"/>
      <c r="H6" s="168" t="s">
        <v>763</v>
      </c>
      <c r="I6" s="147"/>
    </row>
    <row r="7" spans="1:9" ht="24" customHeight="1" thickBot="1">
      <c r="A7" s="707">
        <v>1996</v>
      </c>
      <c r="B7" s="708">
        <v>13184</v>
      </c>
      <c r="C7" s="170">
        <v>6423.1</v>
      </c>
      <c r="D7" s="708">
        <v>11678.6</v>
      </c>
      <c r="E7" s="170">
        <v>3544.7</v>
      </c>
      <c r="F7" s="708">
        <v>869.1</v>
      </c>
      <c r="G7" s="170">
        <v>1796.9</v>
      </c>
      <c r="H7" s="708">
        <v>412</v>
      </c>
      <c r="I7" s="170">
        <v>37908.400000000001</v>
      </c>
    </row>
    <row r="8" spans="1:9" ht="18" customHeight="1" thickBot="1">
      <c r="A8" s="709">
        <v>1997</v>
      </c>
      <c r="B8" s="507">
        <v>13300.5</v>
      </c>
      <c r="C8" s="508">
        <v>6678.2</v>
      </c>
      <c r="D8" s="507">
        <v>11898.8</v>
      </c>
      <c r="E8" s="508">
        <v>3699.7</v>
      </c>
      <c r="F8" s="507">
        <v>820.1</v>
      </c>
      <c r="G8" s="508">
        <v>1853.8</v>
      </c>
      <c r="H8" s="507">
        <v>418.5</v>
      </c>
      <c r="I8" s="508">
        <v>38669.599999999999</v>
      </c>
    </row>
    <row r="9" spans="1:9" ht="18" customHeight="1" thickBot="1">
      <c r="A9" s="709">
        <v>1998</v>
      </c>
      <c r="B9" s="507">
        <v>13726.9</v>
      </c>
      <c r="C9" s="508">
        <v>6995</v>
      </c>
      <c r="D9" s="507">
        <v>12534.7</v>
      </c>
      <c r="E9" s="508">
        <v>3814.8</v>
      </c>
      <c r="F9" s="507">
        <v>825.8</v>
      </c>
      <c r="G9" s="508">
        <v>1952.6</v>
      </c>
      <c r="H9" s="507">
        <v>442.5</v>
      </c>
      <c r="I9" s="508">
        <v>40292.300000000003</v>
      </c>
    </row>
    <row r="10" spans="1:9" ht="18" customHeight="1" thickBot="1">
      <c r="A10" s="709">
        <v>1999</v>
      </c>
      <c r="B10" s="507">
        <v>14269.859986000003</v>
      </c>
      <c r="C10" s="508">
        <v>7117.1</v>
      </c>
      <c r="D10" s="507">
        <v>12923.16416135502</v>
      </c>
      <c r="E10" s="508">
        <v>3985</v>
      </c>
      <c r="F10" s="507">
        <v>869.4</v>
      </c>
      <c r="G10" s="508">
        <v>1951.2</v>
      </c>
      <c r="H10" s="507">
        <v>469.9</v>
      </c>
      <c r="I10" s="508">
        <v>41585.624147355018</v>
      </c>
    </row>
    <row r="11" spans="1:9" ht="18" customHeight="1" thickBot="1">
      <c r="A11" s="709">
        <v>2000</v>
      </c>
      <c r="B11" s="507">
        <v>14895.513251</v>
      </c>
      <c r="C11" s="508">
        <v>7563.9</v>
      </c>
      <c r="D11" s="507">
        <v>13440.733995653636</v>
      </c>
      <c r="E11" s="508">
        <v>4130.4973544495606</v>
      </c>
      <c r="F11" s="507">
        <v>886.60889900000006</v>
      </c>
      <c r="G11" s="508">
        <v>1968</v>
      </c>
      <c r="H11" s="507">
        <v>480.06561225603991</v>
      </c>
      <c r="I11" s="508">
        <v>43365.319112359233</v>
      </c>
    </row>
    <row r="12" spans="1:9" ht="18" customHeight="1" thickBot="1">
      <c r="A12" s="709">
        <v>2001</v>
      </c>
      <c r="B12" s="507">
        <v>16132.139821000001</v>
      </c>
      <c r="C12" s="508">
        <v>8103.4</v>
      </c>
      <c r="D12" s="507">
        <v>14118.389210237772</v>
      </c>
      <c r="E12" s="508">
        <v>4333.6230316924066</v>
      </c>
      <c r="F12" s="507">
        <v>926.76387199999999</v>
      </c>
      <c r="G12" s="508">
        <v>2014.6</v>
      </c>
      <c r="H12" s="507">
        <v>500.57588337914626</v>
      </c>
      <c r="I12" s="508">
        <v>46129.491818309325</v>
      </c>
    </row>
    <row r="13" spans="1:9" ht="18" customHeight="1" thickBot="1">
      <c r="A13" s="709">
        <v>2002</v>
      </c>
      <c r="B13" s="507">
        <v>16982.807524247681</v>
      </c>
      <c r="C13" s="508">
        <v>8660.4935274329982</v>
      </c>
      <c r="D13" s="507">
        <v>14430.539223398549</v>
      </c>
      <c r="E13" s="508">
        <v>4415.9295005981339</v>
      </c>
      <c r="F13" s="507">
        <v>981.40087700000004</v>
      </c>
      <c r="G13" s="508">
        <v>2000.8014692328545</v>
      </c>
      <c r="H13" s="507">
        <v>509.49608786656427</v>
      </c>
      <c r="I13" s="508">
        <v>47981.468209776787</v>
      </c>
    </row>
    <row r="14" spans="1:9" ht="18" customHeight="1" thickBot="1">
      <c r="A14" s="971">
        <v>2003</v>
      </c>
      <c r="B14" s="509">
        <v>17712.226343618662</v>
      </c>
      <c r="C14" s="761">
        <v>8990.275688150492</v>
      </c>
      <c r="D14" s="509">
        <v>14813.56384014453</v>
      </c>
      <c r="E14" s="761">
        <v>4720.9651053618945</v>
      </c>
      <c r="F14" s="509">
        <v>1036.8831319999999</v>
      </c>
      <c r="G14" s="761">
        <v>2076.4031583018532</v>
      </c>
      <c r="H14" s="509">
        <v>530.23678043074028</v>
      </c>
      <c r="I14" s="761">
        <v>49880.554048008176</v>
      </c>
    </row>
    <row r="15" spans="1:9" s="219" customFormat="1" ht="30" customHeight="1" thickBot="1">
      <c r="A15" s="972" t="s">
        <v>675</v>
      </c>
      <c r="B15" s="973">
        <v>18567.585785573054</v>
      </c>
      <c r="C15" s="974">
        <v>9449.1761809977888</v>
      </c>
      <c r="D15" s="973">
        <v>15350.240510916081</v>
      </c>
      <c r="E15" s="974">
        <v>4949.0277858160161</v>
      </c>
      <c r="F15" s="973">
        <v>992.56042506532833</v>
      </c>
      <c r="G15" s="974">
        <v>2147.3746550792771</v>
      </c>
      <c r="H15" s="973">
        <v>549.28704849482551</v>
      </c>
      <c r="I15" s="974">
        <v>52005.252391942362</v>
      </c>
    </row>
    <row r="16" spans="1:9" ht="20" customHeight="1">
      <c r="A16" s="711" t="s">
        <v>830</v>
      </c>
      <c r="B16" s="712"/>
      <c r="C16" s="712"/>
      <c r="D16" s="712"/>
      <c r="E16" s="712"/>
      <c r="F16" s="712"/>
      <c r="G16" s="712"/>
      <c r="H16" s="712"/>
      <c r="I16" s="712"/>
    </row>
    <row r="17" spans="1:12" ht="12.75" customHeight="1">
      <c r="A17" s="713"/>
      <c r="B17" s="714"/>
      <c r="C17" s="714"/>
      <c r="D17" s="714"/>
      <c r="E17" s="714"/>
      <c r="F17" s="714"/>
      <c r="G17" s="714"/>
      <c r="H17" s="714"/>
      <c r="I17" s="714"/>
    </row>
    <row r="18" spans="1:12" ht="12.75" customHeight="1">
      <c r="A18" s="713" t="s">
        <v>764</v>
      </c>
      <c r="B18" s="714"/>
      <c r="C18" s="714"/>
      <c r="D18" s="714"/>
      <c r="E18" s="714"/>
      <c r="F18" s="714"/>
      <c r="G18" s="714"/>
      <c r="H18" s="714"/>
      <c r="I18" s="714"/>
    </row>
    <row r="19" spans="1:12" ht="12.75" customHeight="1">
      <c r="A19" s="713" t="s">
        <v>765</v>
      </c>
      <c r="B19" s="714"/>
      <c r="C19" s="714"/>
      <c r="D19" s="714"/>
      <c r="E19" s="714"/>
      <c r="F19" s="714"/>
      <c r="G19" s="714"/>
      <c r="H19" s="714"/>
      <c r="I19" s="714"/>
    </row>
    <row r="20" spans="1:12" ht="12.75" customHeight="1">
      <c r="A20" s="713" t="s">
        <v>766</v>
      </c>
      <c r="B20" s="714"/>
      <c r="C20" s="714"/>
      <c r="D20" s="714"/>
      <c r="E20" s="714"/>
      <c r="F20" s="714"/>
      <c r="G20" s="714"/>
      <c r="H20" s="714"/>
      <c r="I20" s="714"/>
    </row>
    <row r="21" spans="1:12" ht="12.75" customHeight="1">
      <c r="A21" s="713" t="s">
        <v>767</v>
      </c>
      <c r="B21" s="714"/>
      <c r="C21" s="714"/>
      <c r="D21" s="714"/>
      <c r="E21" s="714"/>
      <c r="F21" s="714"/>
      <c r="G21" s="714"/>
      <c r="H21" s="714"/>
      <c r="I21" s="714"/>
    </row>
    <row r="22" spans="1:12" ht="12.75" customHeight="1">
      <c r="A22" s="713" t="s">
        <v>768</v>
      </c>
      <c r="B22" s="714"/>
      <c r="C22" s="714"/>
      <c r="D22" s="714"/>
      <c r="E22" s="714"/>
      <c r="F22" s="714"/>
      <c r="G22" s="714"/>
      <c r="H22" s="714"/>
      <c r="I22" s="714"/>
    </row>
    <row r="23" spans="1:12" ht="12.75" customHeight="1">
      <c r="A23" s="713" t="s">
        <v>769</v>
      </c>
      <c r="B23" s="714"/>
      <c r="C23" s="714"/>
      <c r="D23" s="714"/>
      <c r="E23" s="714"/>
      <c r="F23" s="714"/>
      <c r="G23" s="714"/>
      <c r="H23" s="714"/>
      <c r="I23" s="714"/>
    </row>
    <row r="24" spans="1:12" ht="12.75" customHeight="1">
      <c r="A24" s="713" t="s">
        <v>674</v>
      </c>
      <c r="B24" s="714"/>
      <c r="C24" s="714"/>
      <c r="D24" s="714"/>
      <c r="E24" s="714"/>
      <c r="F24" s="714"/>
      <c r="G24" s="714"/>
      <c r="H24" s="714"/>
      <c r="I24" s="714"/>
    </row>
    <row r="25" spans="1:12" ht="12.75" customHeight="1">
      <c r="A25" s="713"/>
      <c r="B25" s="714"/>
      <c r="C25" s="714"/>
      <c r="D25" s="714"/>
      <c r="E25" s="714"/>
      <c r="F25" s="714"/>
      <c r="G25" s="714"/>
      <c r="H25" s="714"/>
      <c r="I25" s="714"/>
    </row>
    <row r="26" spans="1:12" ht="12.75" customHeight="1">
      <c r="A26" s="713" t="s">
        <v>802</v>
      </c>
      <c r="B26" s="714"/>
      <c r="C26" s="714"/>
      <c r="D26" s="714"/>
      <c r="E26" s="714"/>
      <c r="F26" s="714"/>
      <c r="G26" s="714"/>
      <c r="H26" s="714"/>
      <c r="I26" s="714"/>
    </row>
    <row r="27" spans="1:12" ht="15" customHeight="1">
      <c r="A27" s="27"/>
      <c r="B27" s="715"/>
      <c r="C27" s="715"/>
      <c r="D27" s="715"/>
      <c r="E27" s="715"/>
      <c r="F27" s="715"/>
      <c r="G27" s="715"/>
      <c r="H27" s="715"/>
      <c r="I27" s="715"/>
    </row>
    <row r="28" spans="1:12" ht="15" customHeight="1">
      <c r="A28" s="716"/>
      <c r="B28" s="715"/>
      <c r="C28" s="715"/>
      <c r="D28" s="715"/>
      <c r="E28" s="715"/>
      <c r="F28" s="715"/>
      <c r="G28" s="715"/>
      <c r="H28" s="715"/>
      <c r="I28" s="715"/>
    </row>
    <row r="29" spans="1:12" ht="18" customHeight="1">
      <c r="A29" s="5" t="s">
        <v>104</v>
      </c>
      <c r="B29" s="715"/>
      <c r="C29" s="715"/>
      <c r="D29" s="715"/>
      <c r="E29" s="715"/>
      <c r="F29" s="715"/>
      <c r="G29" s="715"/>
      <c r="H29" s="715"/>
      <c r="I29" s="715"/>
    </row>
    <row r="30" spans="1:12" ht="31" customHeight="1">
      <c r="A30" s="5"/>
      <c r="B30" s="715"/>
      <c r="C30" s="715"/>
      <c r="D30" s="715"/>
      <c r="E30" s="715"/>
      <c r="F30" s="715"/>
      <c r="G30" s="715"/>
      <c r="H30" s="715"/>
      <c r="I30" s="715"/>
    </row>
    <row r="31" spans="1:12" ht="31" customHeight="1">
      <c r="A31" s="394"/>
      <c r="B31" s="717"/>
      <c r="C31" s="717"/>
      <c r="D31" s="717"/>
      <c r="E31" s="717"/>
      <c r="F31" s="717"/>
      <c r="G31" s="717"/>
      <c r="H31" s="717"/>
      <c r="I31" s="717"/>
      <c r="L31" s="221"/>
    </row>
    <row r="32" spans="1:12" ht="31" customHeight="1">
      <c r="A32" s="394"/>
      <c r="B32" s="717"/>
      <c r="C32" s="717"/>
      <c r="D32" s="717"/>
      <c r="E32" s="717"/>
      <c r="F32" s="717"/>
      <c r="G32" s="717"/>
      <c r="H32" s="717"/>
      <c r="I32" s="717"/>
    </row>
    <row r="33" spans="1:9" ht="31" customHeight="1">
      <c r="A33" s="394"/>
      <c r="B33" s="717"/>
      <c r="C33" s="717"/>
      <c r="D33" s="717"/>
      <c r="E33" s="717"/>
      <c r="F33" s="717"/>
      <c r="G33" s="717"/>
      <c r="H33" s="717"/>
      <c r="I33" s="717"/>
    </row>
    <row r="34" spans="1:9" ht="31" customHeight="1">
      <c r="A34" s="394"/>
      <c r="B34" s="717"/>
      <c r="C34" s="717"/>
      <c r="D34" s="717"/>
      <c r="E34" s="717"/>
      <c r="F34" s="717"/>
      <c r="G34" s="717"/>
      <c r="H34" s="717"/>
      <c r="I34" s="717"/>
    </row>
    <row r="35" spans="1:9" ht="31" customHeight="1">
      <c r="A35" s="394"/>
      <c r="B35" s="717"/>
      <c r="C35" s="717"/>
      <c r="D35" s="717"/>
      <c r="E35" s="717"/>
      <c r="F35" s="717"/>
      <c r="G35" s="717"/>
      <c r="H35" s="717"/>
      <c r="I35" s="717"/>
    </row>
    <row r="36" spans="1:9" ht="31" customHeight="1">
      <c r="A36" s="394"/>
      <c r="B36" s="717"/>
      <c r="C36" s="717"/>
      <c r="D36" s="717"/>
      <c r="E36" s="717"/>
      <c r="F36" s="717"/>
      <c r="G36" s="717"/>
      <c r="H36" s="717"/>
      <c r="I36" s="717"/>
    </row>
    <row r="37" spans="1:9">
      <c r="A37" s="394"/>
      <c r="B37" s="717"/>
      <c r="C37" s="717"/>
      <c r="D37" s="717"/>
      <c r="E37" s="717"/>
      <c r="F37" s="717"/>
      <c r="G37" s="717"/>
      <c r="H37" s="717"/>
      <c r="I37" s="717"/>
    </row>
    <row r="38" spans="1:9">
      <c r="A38" s="394"/>
      <c r="B38" s="717"/>
      <c r="C38" s="717"/>
      <c r="D38" s="717"/>
      <c r="E38" s="717"/>
      <c r="F38" s="717"/>
      <c r="G38" s="717"/>
      <c r="H38" s="717"/>
      <c r="I38" s="717"/>
    </row>
  </sheetData>
  <mergeCells count="1">
    <mergeCell ref="A2:H2"/>
  </mergeCells>
  <phoneticPr fontId="0" type="noConversion"/>
  <pageMargins left="0.59" right="0.51" top="0.97" bottom="0.49" header="0.56999999999999995" footer="0.4921259845"/>
  <pageSetup paperSize="9" scale="80" orientation="portrait" horizontalDpi="4294967292" verticalDpi="4294967292"/>
  <headerFooter alignWithMargins="0">
    <oddHeader>&amp;L&amp;"Arial,Bold"Zusatzinformationen zum Gesundheitswesen</oddHeader>
  </headerFooter>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78F55-CCB2-9B4E-91DB-170FD2464473}">
  <sheetPr>
    <pageSetUpPr fitToPage="1"/>
  </sheetPr>
  <dimension ref="A1:K36"/>
  <sheetViews>
    <sheetView topLeftCell="A9" zoomScale="75" workbookViewId="0">
      <selection activeCell="H15" sqref="H15"/>
    </sheetView>
  </sheetViews>
  <sheetFormatPr baseColWidth="10" defaultColWidth="11.3984375" defaultRowHeight="13"/>
  <cols>
    <col min="1" max="1" width="10.59765625" style="2" customWidth="1"/>
    <col min="2" max="8" width="13.59765625" style="162" customWidth="1"/>
    <col min="9" max="9" width="8.796875" style="2" customWidth="1"/>
    <col min="10" max="16384" width="11.3984375" style="2"/>
  </cols>
  <sheetData>
    <row r="1" spans="1:10" s="1" customFormat="1" ht="14" customHeight="1">
      <c r="A1" s="591"/>
      <c r="B1" s="705"/>
      <c r="C1" s="705"/>
      <c r="D1" s="705"/>
      <c r="E1" s="705"/>
      <c r="F1" s="705"/>
      <c r="G1" s="705"/>
      <c r="H1" s="705"/>
    </row>
    <row r="2" spans="1:10" s="1" customFormat="1" ht="36" customHeight="1">
      <c r="A2" s="1717" t="s">
        <v>804</v>
      </c>
      <c r="B2" s="1716"/>
      <c r="C2" s="1716"/>
      <c r="D2" s="1716"/>
      <c r="E2" s="1716"/>
      <c r="F2" s="1716"/>
      <c r="G2" s="1716"/>
      <c r="H2" s="370">
        <v>2004</v>
      </c>
    </row>
    <row r="3" spans="1:10" ht="27" customHeight="1">
      <c r="A3" s="139" t="s">
        <v>1250</v>
      </c>
      <c r="B3" s="164" t="s">
        <v>805</v>
      </c>
      <c r="C3" s="141" t="s">
        <v>754</v>
      </c>
      <c r="D3" s="164" t="s">
        <v>294</v>
      </c>
      <c r="E3" s="141" t="s">
        <v>806</v>
      </c>
      <c r="F3" s="164" t="s">
        <v>816</v>
      </c>
      <c r="G3" s="141" t="s">
        <v>807</v>
      </c>
      <c r="H3" s="164" t="s">
        <v>652</v>
      </c>
    </row>
    <row r="4" spans="1:10" ht="15" customHeight="1">
      <c r="A4" s="165"/>
      <c r="B4" s="363" t="s">
        <v>808</v>
      </c>
      <c r="C4" s="706" t="s">
        <v>809</v>
      </c>
      <c r="D4" s="166" t="s">
        <v>817</v>
      </c>
      <c r="E4" s="144" t="s">
        <v>810</v>
      </c>
      <c r="F4" s="166"/>
      <c r="G4" s="144"/>
      <c r="H4" s="166"/>
    </row>
    <row r="5" spans="1:10" ht="15" customHeight="1">
      <c r="A5" s="165"/>
      <c r="B5" s="166" t="s">
        <v>811</v>
      </c>
      <c r="C5" s="144"/>
      <c r="D5" s="166"/>
      <c r="E5" s="706" t="s">
        <v>818</v>
      </c>
      <c r="F5" s="363"/>
      <c r="G5" s="706"/>
      <c r="H5" s="363"/>
      <c r="J5" s="720"/>
    </row>
    <row r="6" spans="1:10" ht="21.75" customHeight="1">
      <c r="A6" s="306"/>
      <c r="B6" s="168" t="s">
        <v>819</v>
      </c>
      <c r="C6" s="147"/>
      <c r="D6" s="168"/>
      <c r="E6" s="147"/>
      <c r="F6" s="168"/>
      <c r="G6" s="147"/>
      <c r="H6" s="168"/>
    </row>
    <row r="7" spans="1:10" ht="21" customHeight="1" thickBot="1">
      <c r="A7" s="624">
        <v>1996</v>
      </c>
      <c r="B7" s="708">
        <v>18184.040445464139</v>
      </c>
      <c r="C7" s="170">
        <v>10932.716294797674</v>
      </c>
      <c r="D7" s="708">
        <v>1268.9714576684796</v>
      </c>
      <c r="E7" s="170">
        <v>4540.3470588235296</v>
      </c>
      <c r="F7" s="708">
        <v>966.86547804090924</v>
      </c>
      <c r="G7" s="170">
        <v>2015.3489631466664</v>
      </c>
      <c r="H7" s="708">
        <v>37908.2896979414</v>
      </c>
    </row>
    <row r="8" spans="1:10" ht="20.25" customHeight="1" thickBot="1">
      <c r="A8" s="625">
        <v>1997</v>
      </c>
      <c r="B8" s="507">
        <v>18483.938030623332</v>
      </c>
      <c r="C8" s="508">
        <v>11172.859777209607</v>
      </c>
      <c r="D8" s="507">
        <v>1237.2489177234406</v>
      </c>
      <c r="E8" s="508">
        <v>4778.8981705882352</v>
      </c>
      <c r="F8" s="507">
        <v>938.77448458000003</v>
      </c>
      <c r="G8" s="508">
        <v>2057.9071603399998</v>
      </c>
      <c r="H8" s="507">
        <v>38669.626541064616</v>
      </c>
    </row>
    <row r="9" spans="1:10" ht="20.25" customHeight="1" thickBot="1">
      <c r="A9" s="625">
        <v>1998</v>
      </c>
      <c r="B9" s="507">
        <v>19029.318450073679</v>
      </c>
      <c r="C9" s="508">
        <v>11874.35810787395</v>
      </c>
      <c r="D9" s="507">
        <v>1356.5677703307178</v>
      </c>
      <c r="E9" s="508">
        <v>4913.3724305941168</v>
      </c>
      <c r="F9" s="507">
        <v>983.21470195428628</v>
      </c>
      <c r="G9" s="508">
        <v>2135.5628481599997</v>
      </c>
      <c r="H9" s="507">
        <v>40292.394308986753</v>
      </c>
    </row>
    <row r="10" spans="1:10" ht="20.25" customHeight="1" thickBot="1">
      <c r="A10" s="625">
        <v>1999</v>
      </c>
      <c r="B10" s="507">
        <v>19459.674308298851</v>
      </c>
      <c r="C10" s="508">
        <v>12357.690062899601</v>
      </c>
      <c r="D10" s="507">
        <v>1393.9774232153918</v>
      </c>
      <c r="E10" s="508">
        <v>5198.8475422014762</v>
      </c>
      <c r="F10" s="507">
        <v>1015.086034722207</v>
      </c>
      <c r="G10" s="508">
        <v>2160.2840630000001</v>
      </c>
      <c r="H10" s="507">
        <v>41585.55943433752</v>
      </c>
    </row>
    <row r="11" spans="1:10" ht="20.25" customHeight="1" thickBot="1">
      <c r="A11" s="625">
        <v>2000</v>
      </c>
      <c r="B11" s="507">
        <v>20309.111119965513</v>
      </c>
      <c r="C11" s="508">
        <v>12926.336575347925</v>
      </c>
      <c r="D11" s="507">
        <v>1430.1583748696057</v>
      </c>
      <c r="E11" s="508">
        <v>5475.438530920148</v>
      </c>
      <c r="F11" s="507">
        <v>1014.11623525604</v>
      </c>
      <c r="G11" s="508">
        <v>2210.1582759999997</v>
      </c>
      <c r="H11" s="507">
        <v>43365.319112359233</v>
      </c>
    </row>
    <row r="12" spans="1:10" ht="20.25" customHeight="1" thickBot="1">
      <c r="A12" s="625">
        <v>2001</v>
      </c>
      <c r="B12" s="507">
        <v>21805.054371000002</v>
      </c>
      <c r="C12" s="508">
        <v>13690.949264204983</v>
      </c>
      <c r="D12" s="507">
        <v>1471.1430430916139</v>
      </c>
      <c r="E12" s="508">
        <v>5829.5053846335832</v>
      </c>
      <c r="F12" s="507">
        <v>1062.7870063791461</v>
      </c>
      <c r="G12" s="508">
        <v>2270.0527489999999</v>
      </c>
      <c r="H12" s="507">
        <v>46129.491818309332</v>
      </c>
    </row>
    <row r="13" spans="1:10" ht="20.25" customHeight="1" thickBot="1">
      <c r="A13" s="625">
        <v>2002</v>
      </c>
      <c r="B13" s="507">
        <v>23011.654589862497</v>
      </c>
      <c r="C13" s="508">
        <v>14164.252550727681</v>
      </c>
      <c r="D13" s="507">
        <v>1526.2390168419893</v>
      </c>
      <c r="E13" s="508">
        <v>5899.2236182451925</v>
      </c>
      <c r="F13" s="507">
        <v>1052.5616069842113</v>
      </c>
      <c r="G13" s="508">
        <v>2327.5368271152074</v>
      </c>
      <c r="H13" s="507">
        <v>47981.46820977678</v>
      </c>
    </row>
    <row r="14" spans="1:10" ht="20.25" customHeight="1" thickBot="1">
      <c r="A14" s="975">
        <v>2003</v>
      </c>
      <c r="B14" s="509">
        <v>23857.767016314607</v>
      </c>
      <c r="C14" s="761">
        <v>14647.207027090521</v>
      </c>
      <c r="D14" s="509">
        <v>1546.5271226262025</v>
      </c>
      <c r="E14" s="761">
        <v>6306.7298112442477</v>
      </c>
      <c r="F14" s="509">
        <v>1122.7699346072109</v>
      </c>
      <c r="G14" s="761">
        <v>2399.5531361253825</v>
      </c>
      <c r="H14" s="509">
        <v>49880.554048008176</v>
      </c>
    </row>
    <row r="15" spans="1:10" s="721" customFormat="1" ht="30" customHeight="1" thickBot="1">
      <c r="A15" s="972" t="s">
        <v>679</v>
      </c>
      <c r="B15" s="976">
        <v>24916.674562432392</v>
      </c>
      <c r="C15" s="977">
        <v>15307.513601755112</v>
      </c>
      <c r="D15" s="976">
        <v>1570.6484076552356</v>
      </c>
      <c r="E15" s="977">
        <v>6645.8465286518913</v>
      </c>
      <c r="F15" s="976">
        <v>1089.407344452741</v>
      </c>
      <c r="G15" s="977">
        <v>2475.1619469949883</v>
      </c>
      <c r="H15" s="976">
        <v>52005.252391942362</v>
      </c>
    </row>
    <row r="16" spans="1:10" ht="20" customHeight="1">
      <c r="A16" s="718" t="s">
        <v>830</v>
      </c>
      <c r="B16" s="719"/>
      <c r="C16" s="719"/>
      <c r="D16" s="719"/>
      <c r="E16" s="719"/>
      <c r="F16" s="719"/>
      <c r="G16" s="719"/>
      <c r="H16" s="719"/>
    </row>
    <row r="17" spans="1:11" ht="12.75" customHeight="1">
      <c r="A17" s="722"/>
      <c r="B17" s="723"/>
      <c r="C17" s="723"/>
      <c r="D17" s="723"/>
      <c r="E17" s="723"/>
      <c r="F17" s="723"/>
      <c r="G17" s="723"/>
      <c r="H17" s="723"/>
    </row>
    <row r="18" spans="1:11" ht="12.75" customHeight="1">
      <c r="A18" s="722" t="s">
        <v>812</v>
      </c>
      <c r="B18" s="723"/>
      <c r="C18" s="723"/>
      <c r="D18" s="723"/>
      <c r="E18" s="723"/>
      <c r="F18" s="723"/>
      <c r="G18" s="723"/>
      <c r="H18" s="723"/>
    </row>
    <row r="19" spans="1:11" ht="12.75" customHeight="1">
      <c r="A19" s="722" t="s">
        <v>813</v>
      </c>
      <c r="B19" s="723"/>
      <c r="C19" s="723"/>
      <c r="D19" s="723"/>
      <c r="E19" s="723"/>
      <c r="F19" s="723"/>
      <c r="G19" s="723"/>
      <c r="H19" s="723"/>
    </row>
    <row r="20" spans="1:11" ht="12.75" customHeight="1">
      <c r="A20" s="722" t="s">
        <v>814</v>
      </c>
      <c r="B20" s="723"/>
      <c r="C20" s="723"/>
      <c r="D20" s="723"/>
      <c r="E20" s="723"/>
      <c r="F20" s="723"/>
      <c r="G20" s="723"/>
      <c r="H20" s="723"/>
    </row>
    <row r="21" spans="1:11" ht="12.75" customHeight="1">
      <c r="A21" s="722" t="s">
        <v>815</v>
      </c>
      <c r="B21" s="723"/>
      <c r="C21" s="723"/>
      <c r="D21" s="723"/>
      <c r="E21" s="723"/>
      <c r="F21" s="723"/>
      <c r="G21" s="723"/>
      <c r="H21" s="723"/>
    </row>
    <row r="22" spans="1:11" ht="12.75" customHeight="1">
      <c r="A22" s="713" t="s">
        <v>678</v>
      </c>
      <c r="B22" s="723"/>
      <c r="C22" s="723"/>
      <c r="D22" s="723"/>
      <c r="E22" s="723"/>
      <c r="F22" s="723"/>
      <c r="G22" s="723"/>
      <c r="H22" s="723"/>
    </row>
    <row r="23" spans="1:11" ht="12.75" customHeight="1">
      <c r="A23" s="722"/>
      <c r="B23" s="723"/>
      <c r="C23" s="723"/>
      <c r="D23" s="723"/>
      <c r="E23" s="723"/>
      <c r="F23" s="723"/>
      <c r="G23" s="723"/>
      <c r="H23" s="723"/>
    </row>
    <row r="24" spans="1:11" ht="12.75" customHeight="1">
      <c r="A24" s="722" t="s">
        <v>802</v>
      </c>
      <c r="B24" s="723"/>
      <c r="C24" s="723"/>
      <c r="D24" s="723"/>
      <c r="E24" s="723"/>
      <c r="F24" s="723"/>
      <c r="G24" s="723"/>
      <c r="H24" s="723"/>
    </row>
    <row r="25" spans="1:11" ht="14.25" customHeight="1">
      <c r="A25" s="591"/>
      <c r="B25" s="717"/>
      <c r="C25" s="717"/>
      <c r="D25" s="717"/>
      <c r="E25" s="717"/>
      <c r="F25" s="717"/>
      <c r="G25" s="717"/>
      <c r="H25" s="717"/>
    </row>
    <row r="26" spans="1:11" ht="14.25" customHeight="1">
      <c r="A26" s="221"/>
      <c r="B26" s="717"/>
      <c r="C26" s="717"/>
      <c r="D26" s="717"/>
      <c r="E26" s="717"/>
      <c r="F26" s="717"/>
      <c r="G26" s="717"/>
      <c r="H26" s="717"/>
    </row>
    <row r="27" spans="1:11" ht="14.25" customHeight="1">
      <c r="A27" s="394" t="s">
        <v>104</v>
      </c>
      <c r="B27" s="717"/>
      <c r="C27" s="717"/>
      <c r="D27" s="717"/>
      <c r="E27" s="717"/>
      <c r="F27" s="717"/>
      <c r="G27" s="717"/>
      <c r="H27" s="717"/>
    </row>
    <row r="28" spans="1:11" ht="18" customHeight="1">
      <c r="A28" s="394"/>
      <c r="B28" s="717"/>
      <c r="C28" s="717"/>
      <c r="D28" s="717"/>
      <c r="E28" s="717"/>
      <c r="F28" s="717"/>
      <c r="G28" s="717"/>
      <c r="H28" s="717"/>
    </row>
    <row r="29" spans="1:11" ht="18" customHeight="1">
      <c r="A29" s="394"/>
      <c r="B29" s="717"/>
      <c r="C29" s="717"/>
      <c r="D29" s="717"/>
      <c r="E29" s="717"/>
      <c r="F29" s="717"/>
      <c r="G29" s="717"/>
      <c r="H29" s="717"/>
      <c r="K29" s="221"/>
    </row>
    <row r="30" spans="1:11" ht="31" customHeight="1">
      <c r="A30" s="394"/>
      <c r="B30" s="717"/>
      <c r="C30" s="717"/>
      <c r="D30" s="717"/>
      <c r="E30" s="717"/>
      <c r="F30" s="717"/>
      <c r="G30" s="717"/>
      <c r="H30" s="717"/>
    </row>
    <row r="31" spans="1:11" ht="31" customHeight="1">
      <c r="A31" s="394"/>
      <c r="B31" s="717"/>
      <c r="C31" s="717"/>
      <c r="D31" s="717"/>
      <c r="E31" s="717"/>
      <c r="F31" s="717"/>
      <c r="G31" s="717"/>
      <c r="H31" s="717"/>
    </row>
    <row r="32" spans="1:11" ht="31" customHeight="1">
      <c r="A32" s="394"/>
      <c r="B32" s="717"/>
      <c r="C32" s="717"/>
      <c r="D32" s="717"/>
      <c r="E32" s="717"/>
      <c r="F32" s="717"/>
      <c r="G32" s="717"/>
      <c r="H32" s="717"/>
    </row>
    <row r="33" spans="1:8" ht="31" customHeight="1">
      <c r="A33" s="394"/>
      <c r="B33" s="717"/>
      <c r="C33" s="717"/>
      <c r="D33" s="717"/>
      <c r="E33" s="717"/>
      <c r="F33" s="717"/>
      <c r="G33" s="717"/>
      <c r="H33" s="717"/>
    </row>
    <row r="34" spans="1:8" ht="31" customHeight="1">
      <c r="A34" s="394"/>
      <c r="B34" s="717"/>
      <c r="C34" s="717"/>
      <c r="D34" s="717"/>
      <c r="E34" s="717"/>
      <c r="F34" s="717"/>
      <c r="G34" s="717"/>
      <c r="H34" s="717"/>
    </row>
    <row r="35" spans="1:8">
      <c r="A35" s="394"/>
      <c r="B35" s="717"/>
      <c r="C35" s="717"/>
      <c r="D35" s="717"/>
      <c r="E35" s="717"/>
      <c r="F35" s="717"/>
      <c r="G35" s="717"/>
      <c r="H35" s="717"/>
    </row>
    <row r="36" spans="1:8">
      <c r="A36" s="394"/>
      <c r="B36" s="717"/>
      <c r="C36" s="717"/>
      <c r="D36" s="717"/>
      <c r="E36" s="717"/>
      <c r="F36" s="717"/>
      <c r="G36" s="717"/>
      <c r="H36" s="717"/>
    </row>
  </sheetData>
  <mergeCells count="1">
    <mergeCell ref="A2:G2"/>
  </mergeCells>
  <phoneticPr fontId="0" type="noConversion"/>
  <pageMargins left="0.59" right="0.51" top="1.05" bottom="0.49" header="0.6" footer="0.4921259845"/>
  <pageSetup paperSize="9" scale="88" orientation="portrait" horizontalDpi="4294967292" verticalDpi="4294967292"/>
  <headerFooter alignWithMargins="0">
    <oddHeader>&amp;L&amp;"Arial,Bold"Zusatzinformationen zum Gesundheitswesen</oddHeader>
  </headerFooter>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C8DCC-3CF7-FA46-9A6C-E347855F2564}">
  <sheetPr>
    <pageSetUpPr fitToPage="1"/>
  </sheetPr>
  <dimension ref="A1:H36"/>
  <sheetViews>
    <sheetView topLeftCell="A3" zoomScale="75" workbookViewId="0">
      <selection activeCell="H15" sqref="H15"/>
    </sheetView>
  </sheetViews>
  <sheetFormatPr baseColWidth="10" defaultColWidth="11.3984375" defaultRowHeight="13"/>
  <cols>
    <col min="1" max="1" width="11.796875" style="2" customWidth="1"/>
    <col min="2" max="5" width="16.19921875" style="162" customWidth="1"/>
    <col min="6" max="6" width="13.3984375" style="2" customWidth="1"/>
    <col min="7" max="7" width="15.59765625" style="2" customWidth="1"/>
    <col min="8" max="8" width="12.59765625" style="2" customWidth="1"/>
    <col min="9" max="16384" width="11.3984375" style="2"/>
  </cols>
  <sheetData>
    <row r="1" spans="1:8" s="1" customFormat="1" ht="14" customHeight="1">
      <c r="A1" s="591"/>
      <c r="B1" s="705"/>
      <c r="C1" s="705"/>
      <c r="D1" s="705"/>
      <c r="E1" s="705"/>
    </row>
    <row r="2" spans="1:8" s="1" customFormat="1" ht="39" customHeight="1">
      <c r="A2" s="1738" t="s">
        <v>820</v>
      </c>
      <c r="B2" s="1726"/>
      <c r="C2" s="1726"/>
      <c r="D2" s="1726"/>
      <c r="E2" s="1726"/>
      <c r="F2" s="1726"/>
      <c r="G2" s="1726"/>
      <c r="H2" s="370">
        <v>2004</v>
      </c>
    </row>
    <row r="3" spans="1:8" ht="27" customHeight="1">
      <c r="A3" s="139" t="s">
        <v>1250</v>
      </c>
      <c r="B3" s="164" t="s">
        <v>789</v>
      </c>
      <c r="C3" s="141" t="s">
        <v>821</v>
      </c>
      <c r="D3" s="164" t="s">
        <v>779</v>
      </c>
      <c r="E3" s="141" t="s">
        <v>652</v>
      </c>
      <c r="F3" s="164" t="s">
        <v>451</v>
      </c>
      <c r="G3" s="141" t="s">
        <v>822</v>
      </c>
      <c r="H3" s="164" t="s">
        <v>451</v>
      </c>
    </row>
    <row r="4" spans="1:8" ht="18" customHeight="1">
      <c r="A4" s="165"/>
      <c r="B4" s="363"/>
      <c r="C4" s="706" t="s">
        <v>828</v>
      </c>
      <c r="D4" s="166" t="s">
        <v>829</v>
      </c>
      <c r="E4" s="144"/>
      <c r="F4" s="166" t="s">
        <v>486</v>
      </c>
      <c r="G4" s="144" t="s">
        <v>823</v>
      </c>
      <c r="H4" s="166" t="s">
        <v>486</v>
      </c>
    </row>
    <row r="5" spans="1:8" ht="15" customHeight="1">
      <c r="A5" s="165"/>
      <c r="B5" s="166"/>
      <c r="C5" s="144"/>
      <c r="D5" s="166"/>
      <c r="E5" s="706"/>
      <c r="F5" s="166" t="s">
        <v>454</v>
      </c>
      <c r="G5" s="706"/>
      <c r="H5" s="166" t="s">
        <v>454</v>
      </c>
    </row>
    <row r="6" spans="1:8" ht="21.75" customHeight="1">
      <c r="A6" s="306"/>
      <c r="B6" s="168"/>
      <c r="C6" s="147"/>
      <c r="D6" s="168"/>
      <c r="E6" s="147"/>
      <c r="F6" s="168"/>
      <c r="G6" s="147"/>
      <c r="H6" s="168"/>
    </row>
    <row r="7" spans="1:8" ht="23.25" customHeight="1" thickBot="1">
      <c r="A7" s="624">
        <v>1996</v>
      </c>
      <c r="B7" s="708">
        <v>9402.673347426311</v>
      </c>
      <c r="C7" s="170">
        <v>2347.3352733385641</v>
      </c>
      <c r="D7" s="708">
        <v>26158.281077176533</v>
      </c>
      <c r="E7" s="170">
        <v>37908.289697941407</v>
      </c>
      <c r="F7" s="633">
        <v>4.8323025860493536E-2</v>
      </c>
      <c r="G7" s="170">
        <v>5335.1034823065866</v>
      </c>
      <c r="H7" s="633">
        <v>4.4699999999999997E-2</v>
      </c>
    </row>
    <row r="8" spans="1:8" ht="21" customHeight="1" thickBot="1">
      <c r="A8" s="625">
        <v>1997</v>
      </c>
      <c r="B8" s="507">
        <v>9654.0910198338697</v>
      </c>
      <c r="C8" s="508">
        <v>2440.1947971126083</v>
      </c>
      <c r="D8" s="507">
        <v>26575.34072411813</v>
      </c>
      <c r="E8" s="508">
        <v>38669.626541064608</v>
      </c>
      <c r="F8" s="544">
        <v>2.0083650546876167E-2</v>
      </c>
      <c r="G8" s="508">
        <v>5436.040373717623</v>
      </c>
      <c r="H8" s="544">
        <v>1.8919387739297834E-2</v>
      </c>
    </row>
    <row r="9" spans="1:8" ht="21" customHeight="1" thickBot="1">
      <c r="A9" s="625">
        <v>1998</v>
      </c>
      <c r="B9" s="507">
        <v>9984.746050771746</v>
      </c>
      <c r="C9" s="508">
        <v>2593.5652962861982</v>
      </c>
      <c r="D9" s="507">
        <v>27714.082961928805</v>
      </c>
      <c r="E9" s="508">
        <v>40292.394308986753</v>
      </c>
      <c r="F9" s="544">
        <v>4.1964919578389825E-2</v>
      </c>
      <c r="G9" s="508">
        <v>5649.6111981829717</v>
      </c>
      <c r="H9" s="544">
        <v>3.9287939342380389E-2</v>
      </c>
    </row>
    <row r="10" spans="1:8" ht="21" customHeight="1" thickBot="1">
      <c r="A10" s="625">
        <v>1999</v>
      </c>
      <c r="B10" s="507">
        <v>10656.904469976387</v>
      </c>
      <c r="C10" s="508">
        <v>2694.7311419763864</v>
      </c>
      <c r="D10" s="507">
        <v>28233.923822384764</v>
      </c>
      <c r="E10" s="508">
        <v>41585.559434337541</v>
      </c>
      <c r="F10" s="544">
        <v>3.2094521746064676E-2</v>
      </c>
      <c r="G10" s="508">
        <v>5802.5784442430486</v>
      </c>
      <c r="H10" s="544">
        <v>2.7075712061260811E-2</v>
      </c>
    </row>
    <row r="11" spans="1:8" ht="21" customHeight="1" thickBot="1">
      <c r="A11" s="625">
        <v>2000</v>
      </c>
      <c r="B11" s="507">
        <v>10991.927290144806</v>
      </c>
      <c r="C11" s="508">
        <v>2792.2657321448069</v>
      </c>
      <c r="D11" s="507">
        <v>29581.126090069618</v>
      </c>
      <c r="E11" s="508">
        <v>43365.319112359226</v>
      </c>
      <c r="F11" s="544">
        <v>4.2797540834622561E-2</v>
      </c>
      <c r="G11" s="508">
        <v>6015.4066396560347</v>
      </c>
      <c r="H11" s="544">
        <v>3.6678210808875976E-2</v>
      </c>
    </row>
    <row r="12" spans="1:8" ht="21" customHeight="1" thickBot="1">
      <c r="A12" s="625">
        <v>2001</v>
      </c>
      <c r="B12" s="507">
        <v>12353.64977059135</v>
      </c>
      <c r="C12" s="508">
        <v>2947.8544295913507</v>
      </c>
      <c r="D12" s="507">
        <v>30827.987618126626</v>
      </c>
      <c r="E12" s="508">
        <v>46129.491818309325</v>
      </c>
      <c r="F12" s="544">
        <v>6.3741551141089217E-2</v>
      </c>
      <c r="G12" s="508">
        <v>6353.6278152176264</v>
      </c>
      <c r="H12" s="544">
        <v>5.62258207669451E-2</v>
      </c>
    </row>
    <row r="13" spans="1:8" ht="21" customHeight="1" thickBot="1">
      <c r="A13" s="625">
        <v>2002</v>
      </c>
      <c r="B13" s="507">
        <v>13414.018758376647</v>
      </c>
      <c r="C13" s="508">
        <v>2947.2222346095036</v>
      </c>
      <c r="D13" s="507">
        <v>31620.227216790623</v>
      </c>
      <c r="E13" s="508">
        <v>47981.468209776773</v>
      </c>
      <c r="F13" s="544">
        <v>4.0147339987222162E-2</v>
      </c>
      <c r="G13" s="508">
        <v>6530.0721456682468</v>
      </c>
      <c r="H13" s="544">
        <v>2.7770643100626238E-2</v>
      </c>
    </row>
    <row r="14" spans="1:8" ht="21" customHeight="1" thickBot="1">
      <c r="A14" s="975">
        <v>2003</v>
      </c>
      <c r="B14" s="509">
        <v>14022.881426830974</v>
      </c>
      <c r="C14" s="761">
        <v>3116.2215426090725</v>
      </c>
      <c r="D14" s="509">
        <v>32741.45107856812</v>
      </c>
      <c r="E14" s="761">
        <v>49880.554048008169</v>
      </c>
      <c r="F14" s="668">
        <v>3.9579569135494604E-2</v>
      </c>
      <c r="G14" s="761">
        <v>6736.0176247277932</v>
      </c>
      <c r="H14" s="668">
        <v>3.1538009759380883E-2</v>
      </c>
    </row>
    <row r="15" spans="1:8" s="721" customFormat="1" ht="30" customHeight="1" thickBot="1">
      <c r="A15" s="972" t="s">
        <v>681</v>
      </c>
      <c r="B15" s="978" t="s">
        <v>1300</v>
      </c>
      <c r="C15" s="979" t="s">
        <v>1300</v>
      </c>
      <c r="D15" s="978" t="s">
        <v>1300</v>
      </c>
      <c r="E15" s="977">
        <v>52005.252391942362</v>
      </c>
      <c r="F15" s="980">
        <v>4.2595724616235224E-2</v>
      </c>
      <c r="G15" s="796">
        <v>6976.720016004906</v>
      </c>
      <c r="H15" s="981">
        <v>3.5733634424218091E-2</v>
      </c>
    </row>
    <row r="16" spans="1:8" ht="20" customHeight="1">
      <c r="A16" s="718" t="s">
        <v>830</v>
      </c>
      <c r="B16" s="719"/>
      <c r="C16" s="719"/>
      <c r="D16" s="719"/>
      <c r="E16" s="719"/>
      <c r="F16" s="719"/>
    </row>
    <row r="17" spans="1:8" ht="10.5" customHeight="1">
      <c r="A17" s="722"/>
      <c r="B17" s="723"/>
      <c r="C17" s="723"/>
      <c r="D17" s="723"/>
      <c r="E17" s="723"/>
    </row>
    <row r="18" spans="1:8" ht="12.75" customHeight="1">
      <c r="A18" s="722" t="s">
        <v>824</v>
      </c>
      <c r="B18" s="723"/>
      <c r="C18" s="723"/>
      <c r="D18" s="723"/>
      <c r="E18" s="723"/>
    </row>
    <row r="19" spans="1:8" ht="12.75" customHeight="1">
      <c r="A19" s="722" t="s">
        <v>825</v>
      </c>
      <c r="B19" s="723"/>
      <c r="C19" s="723"/>
      <c r="D19" s="723"/>
      <c r="E19" s="723"/>
      <c r="F19" s="723"/>
      <c r="G19" s="723"/>
    </row>
    <row r="20" spans="1:8" ht="12.75" customHeight="1">
      <c r="A20" s="722" t="s">
        <v>826</v>
      </c>
      <c r="B20" s="723"/>
      <c r="C20" s="723"/>
      <c r="D20" s="723"/>
      <c r="E20" s="723"/>
      <c r="F20" s="723"/>
      <c r="G20" s="723"/>
    </row>
    <row r="21" spans="1:8" ht="12.75" customHeight="1">
      <c r="A21" s="722" t="s">
        <v>827</v>
      </c>
      <c r="B21" s="723"/>
      <c r="C21" s="723"/>
      <c r="D21" s="723"/>
      <c r="E21" s="723"/>
      <c r="F21" s="723"/>
      <c r="G21" s="723"/>
    </row>
    <row r="22" spans="1:8" ht="12.75" customHeight="1">
      <c r="A22" s="713" t="s">
        <v>680</v>
      </c>
      <c r="B22" s="723"/>
      <c r="C22" s="723"/>
      <c r="D22" s="723"/>
      <c r="E22" s="723"/>
      <c r="F22" s="723"/>
      <c r="G22" s="723"/>
    </row>
    <row r="23" spans="1:8" ht="12.75" customHeight="1">
      <c r="A23" s="722"/>
      <c r="B23" s="723"/>
      <c r="C23" s="723"/>
      <c r="D23" s="723"/>
      <c r="E23" s="723"/>
      <c r="F23" s="723"/>
      <c r="G23" s="723"/>
    </row>
    <row r="24" spans="1:8" ht="12.75" customHeight="1">
      <c r="A24" s="722" t="s">
        <v>831</v>
      </c>
      <c r="B24" s="723"/>
      <c r="C24" s="723"/>
      <c r="D24" s="723"/>
      <c r="E24" s="723"/>
    </row>
    <row r="25" spans="1:8" ht="15.75" customHeight="1">
      <c r="A25" s="591"/>
      <c r="B25" s="717"/>
      <c r="C25" s="717"/>
      <c r="D25" s="717"/>
      <c r="E25" s="717"/>
    </row>
    <row r="26" spans="1:8" ht="12" customHeight="1">
      <c r="A26" s="221"/>
      <c r="B26" s="717"/>
      <c r="C26" s="717"/>
      <c r="D26" s="717"/>
      <c r="E26" s="717"/>
    </row>
    <row r="27" spans="1:8" ht="15.75" customHeight="1">
      <c r="A27" s="394" t="s">
        <v>104</v>
      </c>
      <c r="B27" s="717"/>
      <c r="C27" s="717"/>
      <c r="D27" s="717"/>
      <c r="E27" s="717"/>
    </row>
    <row r="28" spans="1:8" ht="31" customHeight="1">
      <c r="A28" s="394"/>
      <c r="B28" s="717"/>
      <c r="C28" s="717"/>
      <c r="D28" s="717"/>
      <c r="E28" s="717"/>
    </row>
    <row r="29" spans="1:8" ht="31" customHeight="1">
      <c r="A29" s="394"/>
      <c r="B29" s="717"/>
      <c r="C29" s="717"/>
      <c r="D29" s="717"/>
      <c r="E29" s="717"/>
      <c r="H29" s="221"/>
    </row>
    <row r="30" spans="1:8" ht="31" customHeight="1">
      <c r="A30" s="394"/>
      <c r="B30" s="717"/>
      <c r="C30" s="717"/>
      <c r="D30" s="717"/>
      <c r="E30" s="717"/>
    </row>
    <row r="31" spans="1:8" ht="31" customHeight="1">
      <c r="A31" s="394"/>
      <c r="B31" s="717"/>
      <c r="C31" s="717"/>
      <c r="D31" s="717"/>
      <c r="E31" s="717"/>
    </row>
    <row r="32" spans="1:8" ht="31" customHeight="1">
      <c r="A32" s="394"/>
      <c r="B32" s="717"/>
      <c r="C32" s="717"/>
      <c r="D32" s="717"/>
      <c r="E32" s="717"/>
    </row>
    <row r="33" spans="1:5" ht="31" customHeight="1">
      <c r="A33" s="394"/>
      <c r="B33" s="717"/>
      <c r="C33" s="717"/>
      <c r="D33" s="717"/>
      <c r="E33" s="717"/>
    </row>
    <row r="34" spans="1:5" ht="31" customHeight="1">
      <c r="A34" s="394"/>
      <c r="B34" s="717"/>
      <c r="C34" s="717"/>
      <c r="D34" s="717"/>
      <c r="E34" s="717"/>
    </row>
    <row r="35" spans="1:5">
      <c r="A35" s="394"/>
      <c r="B35" s="717"/>
      <c r="C35" s="717"/>
      <c r="D35" s="717"/>
      <c r="E35" s="717"/>
    </row>
    <row r="36" spans="1:5">
      <c r="A36" s="394"/>
      <c r="B36" s="717"/>
      <c r="C36" s="717"/>
      <c r="D36" s="717"/>
      <c r="E36" s="717"/>
    </row>
  </sheetData>
  <mergeCells count="1">
    <mergeCell ref="A2:G2"/>
  </mergeCells>
  <phoneticPr fontId="0" type="noConversion"/>
  <pageMargins left="0.59" right="0.61" top="0.98" bottom="0.49" header="0.55000000000000004" footer="0.4921259845"/>
  <pageSetup paperSize="9" scale="78" orientation="portrait" horizontalDpi="4294967292" verticalDpi="4294967292"/>
  <headerFooter alignWithMargins="0">
    <oddHeader>&amp;L&amp;"Arial,Bold"Zusatzinformationen zum Gesundheitswesen</oddHeader>
  </headerFooter>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8F7D2-6EE2-9040-818E-FB766844298E}">
  <dimension ref="A1:AG140"/>
  <sheetViews>
    <sheetView workbookViewId="0">
      <selection activeCell="B19" sqref="B19"/>
    </sheetView>
  </sheetViews>
  <sheetFormatPr baseColWidth="10" defaultColWidth="10.19921875" defaultRowHeight="13"/>
  <cols>
    <col min="1" max="1" width="3.796875" style="1087" customWidth="1"/>
    <col min="2" max="2" width="47.19921875" style="1087" customWidth="1"/>
    <col min="3" max="10" width="10.19921875" style="1087" customWidth="1"/>
    <col min="11" max="11" width="3.3984375" style="1087" customWidth="1"/>
    <col min="12" max="12" width="10.3984375" style="1087" bestFit="1" customWidth="1"/>
    <col min="13" max="13" width="10.19921875" style="1087" customWidth="1"/>
    <col min="14" max="14" width="3" style="1087" customWidth="1"/>
    <col min="15" max="17" width="10.19921875" style="1087" customWidth="1"/>
    <col min="18" max="18" width="18" style="1087" customWidth="1"/>
    <col min="19" max="16384" width="10.19921875" style="1087"/>
  </cols>
  <sheetData>
    <row r="1" spans="1:33" ht="16">
      <c r="A1" s="1083" t="s">
        <v>1853</v>
      </c>
      <c r="B1" s="1084"/>
      <c r="C1" s="1084"/>
      <c r="D1" s="1084"/>
      <c r="E1" s="1084"/>
      <c r="F1" s="1084"/>
      <c r="G1" s="1084"/>
      <c r="H1" s="1084"/>
      <c r="I1" s="1084"/>
      <c r="J1" s="1084"/>
      <c r="K1" s="1084"/>
      <c r="L1" s="1084"/>
      <c r="M1" s="1084"/>
      <c r="N1" s="1084"/>
      <c r="O1" s="1084"/>
      <c r="P1" s="1084"/>
      <c r="Q1" s="1085"/>
      <c r="R1" s="1086"/>
      <c r="W1" s="1086"/>
      <c r="AC1" s="1086"/>
    </row>
    <row r="2" spans="1:33" ht="14" thickBot="1">
      <c r="A2" s="1088"/>
      <c r="B2" s="1088"/>
      <c r="C2" s="1088"/>
      <c r="D2" s="1088"/>
      <c r="E2" s="1088"/>
      <c r="F2" s="1088"/>
      <c r="G2" s="1088"/>
      <c r="H2" s="1088"/>
      <c r="I2" s="1088"/>
      <c r="J2" s="1088"/>
      <c r="K2" s="1088"/>
      <c r="L2" s="1088"/>
      <c r="M2" s="1088"/>
      <c r="N2" s="1088"/>
      <c r="O2" s="1088"/>
      <c r="P2" s="1088"/>
      <c r="Q2" s="1089"/>
    </row>
    <row r="3" spans="1:33" s="1096" customFormat="1" ht="10.5" customHeight="1">
      <c r="A3" s="1090"/>
      <c r="B3" s="1090"/>
      <c r="C3" s="1091"/>
      <c r="D3" s="1090"/>
      <c r="E3" s="1091"/>
      <c r="F3" s="1090"/>
      <c r="G3" s="1091"/>
      <c r="H3" s="1090"/>
      <c r="I3" s="1091"/>
      <c r="J3" s="1090"/>
      <c r="K3" s="1092"/>
      <c r="L3" s="1093"/>
      <c r="M3" s="1094"/>
      <c r="N3" s="1095"/>
      <c r="O3" s="1091"/>
      <c r="P3" s="1090"/>
      <c r="Q3" s="1091"/>
      <c r="S3" s="1087"/>
      <c r="T3" s="1097"/>
      <c r="U3" s="1097"/>
      <c r="V3" s="1097"/>
      <c r="W3" s="1097"/>
      <c r="X3" s="1098"/>
      <c r="Y3" s="1098"/>
      <c r="Z3" s="1098"/>
      <c r="AA3" s="1098"/>
      <c r="AD3" s="1099"/>
      <c r="AE3" s="1099"/>
      <c r="AF3" s="1099"/>
      <c r="AG3" s="1099"/>
    </row>
    <row r="4" spans="1:33" ht="13.5" customHeight="1">
      <c r="A4" s="1100" t="s">
        <v>1854</v>
      </c>
      <c r="B4" s="1101"/>
      <c r="C4" s="1102">
        <v>1996</v>
      </c>
      <c r="D4" s="1103">
        <v>1997</v>
      </c>
      <c r="E4" s="1102">
        <v>1998</v>
      </c>
      <c r="F4" s="1103">
        <v>1999</v>
      </c>
      <c r="G4" s="1102">
        <v>2000</v>
      </c>
      <c r="H4" s="1103">
        <v>2001</v>
      </c>
      <c r="I4" s="1102">
        <v>2002</v>
      </c>
      <c r="J4" s="1103">
        <v>2003</v>
      </c>
      <c r="K4" s="1104"/>
      <c r="L4" s="1093" t="s">
        <v>451</v>
      </c>
      <c r="M4" s="1094" t="s">
        <v>1855</v>
      </c>
      <c r="N4" s="1095"/>
      <c r="O4" s="1105" t="s">
        <v>1856</v>
      </c>
      <c r="P4" s="1106" t="s">
        <v>1856</v>
      </c>
      <c r="Q4" s="1105" t="s">
        <v>1856</v>
      </c>
      <c r="T4" s="1097"/>
      <c r="U4" s="1097"/>
      <c r="V4" s="1097"/>
      <c r="W4" s="1097"/>
      <c r="X4" s="1107"/>
      <c r="Y4" s="1107"/>
      <c r="Z4" s="1107"/>
      <c r="AA4" s="1107"/>
      <c r="AD4" s="1099"/>
      <c r="AE4" s="1099"/>
      <c r="AF4" s="1099"/>
      <c r="AG4" s="1099"/>
    </row>
    <row r="5" spans="1:33" ht="12" customHeight="1">
      <c r="A5" s="1100" t="s">
        <v>1857</v>
      </c>
      <c r="B5" s="1108"/>
      <c r="C5" s="1109"/>
      <c r="D5" s="1110"/>
      <c r="E5" s="1109"/>
      <c r="F5" s="1110"/>
      <c r="G5" s="1109"/>
      <c r="H5" s="1110"/>
      <c r="I5" s="1109"/>
      <c r="J5" s="1110"/>
      <c r="K5" s="1111"/>
      <c r="L5" s="1093" t="s">
        <v>1929</v>
      </c>
      <c r="M5" s="1094" t="s">
        <v>1858</v>
      </c>
      <c r="N5" s="1095"/>
      <c r="O5" s="1105">
        <v>2004</v>
      </c>
      <c r="P5" s="1106">
        <v>2005</v>
      </c>
      <c r="Q5" s="1105">
        <v>2006</v>
      </c>
      <c r="T5" s="1097"/>
      <c r="U5" s="1097"/>
      <c r="V5" s="1097"/>
      <c r="W5" s="1097"/>
      <c r="X5" s="1107"/>
      <c r="Y5" s="1107"/>
      <c r="Z5" s="1107"/>
      <c r="AA5" s="1107"/>
      <c r="AD5" s="1099"/>
      <c r="AE5" s="1099"/>
      <c r="AF5" s="1099"/>
      <c r="AG5" s="1099"/>
    </row>
    <row r="6" spans="1:33" ht="14.25" customHeight="1">
      <c r="A6" s="1112"/>
      <c r="B6" s="1112"/>
      <c r="C6" s="1113"/>
      <c r="D6" s="1114"/>
      <c r="E6" s="1113"/>
      <c r="F6" s="1114"/>
      <c r="G6" s="1113"/>
      <c r="H6" s="1114"/>
      <c r="I6" s="1113"/>
      <c r="J6" s="1114"/>
      <c r="K6" s="1115"/>
      <c r="L6" s="1116"/>
      <c r="M6" s="1117" t="s">
        <v>393</v>
      </c>
      <c r="N6" s="1118"/>
      <c r="O6" s="1113"/>
      <c r="P6" s="1114"/>
      <c r="Q6" s="1113"/>
      <c r="T6" s="1097"/>
      <c r="U6" s="1097"/>
      <c r="V6" s="1097"/>
      <c r="W6" s="1097"/>
      <c r="X6" s="1119"/>
      <c r="Y6" s="1119"/>
      <c r="Z6" s="1119"/>
      <c r="AA6" s="1119"/>
      <c r="AD6" s="1119"/>
      <c r="AE6" s="1119"/>
      <c r="AF6" s="1119"/>
      <c r="AG6" s="1119"/>
    </row>
    <row r="7" spans="1:33">
      <c r="A7" s="1120"/>
      <c r="B7" s="1121"/>
      <c r="C7" s="1122"/>
      <c r="D7" s="1121"/>
      <c r="E7" s="1122"/>
      <c r="F7" s="1121"/>
      <c r="G7" s="1122"/>
      <c r="H7" s="1121"/>
      <c r="I7" s="1122"/>
      <c r="J7" s="1121"/>
      <c r="K7" s="1123"/>
      <c r="L7" s="1122"/>
      <c r="M7" s="1124" t="s">
        <v>1930</v>
      </c>
      <c r="N7" s="1125"/>
      <c r="O7" s="1122"/>
      <c r="P7" s="1121"/>
      <c r="Q7" s="1122"/>
      <c r="T7" s="1097"/>
      <c r="U7" s="1097"/>
      <c r="V7" s="1097"/>
      <c r="W7" s="1097"/>
      <c r="X7" s="1107"/>
      <c r="Y7" s="1107"/>
      <c r="Z7" s="1107"/>
      <c r="AA7" s="1107"/>
      <c r="AD7" s="1099"/>
      <c r="AE7" s="1099"/>
      <c r="AF7" s="1099"/>
      <c r="AG7" s="1099"/>
    </row>
    <row r="8" spans="1:33" ht="18" customHeight="1" thickBot="1">
      <c r="A8" s="1126" t="s">
        <v>1888</v>
      </c>
      <c r="B8" s="1127"/>
      <c r="C8" s="1128">
        <v>6108.1158740877472</v>
      </c>
      <c r="D8" s="1129">
        <v>6057.9558227212619</v>
      </c>
      <c r="E8" s="1128">
        <v>6131.7435544855471</v>
      </c>
      <c r="F8" s="1129">
        <v>6416.6639279999999</v>
      </c>
      <c r="G8" s="1128">
        <v>6599.5077579999997</v>
      </c>
      <c r="H8" s="1129">
        <v>7802.4641389999997</v>
      </c>
      <c r="I8" s="1128">
        <v>8596.9416789999996</v>
      </c>
      <c r="J8" s="1129">
        <v>8949.1301402555946</v>
      </c>
      <c r="K8" s="1130"/>
      <c r="L8" s="1131">
        <v>4.0966715188483382E-2</v>
      </c>
      <c r="M8" s="1132">
        <v>5.6078551443834668E-2</v>
      </c>
      <c r="N8" s="1133"/>
      <c r="O8" s="1134">
        <v>9503.2477220915553</v>
      </c>
      <c r="P8" s="1135">
        <v>10022.664973475492</v>
      </c>
      <c r="Q8" s="1134">
        <v>10567.256295488869</v>
      </c>
      <c r="T8" s="1097"/>
      <c r="U8" s="1097"/>
      <c r="V8" s="1097"/>
      <c r="W8" s="1097"/>
      <c r="AD8" s="1099"/>
      <c r="AE8" s="1099"/>
      <c r="AF8" s="1099"/>
      <c r="AG8" s="1099"/>
    </row>
    <row r="9" spans="1:33" ht="14" thickBot="1">
      <c r="A9" s="1136"/>
      <c r="B9" s="1137" t="s">
        <v>1859</v>
      </c>
      <c r="C9" s="1138">
        <v>129.23078991</v>
      </c>
      <c r="D9" s="1139">
        <v>117.49672023999999</v>
      </c>
      <c r="E9" s="1138">
        <v>116.89201141000001</v>
      </c>
      <c r="F9" s="1139">
        <v>126.03114400000001</v>
      </c>
      <c r="G9" s="1138">
        <v>145.00575000000003</v>
      </c>
      <c r="H9" s="1139">
        <v>164.3904</v>
      </c>
      <c r="I9" s="1138">
        <v>177.72408200000001</v>
      </c>
      <c r="J9" s="1139">
        <v>155.57770199999999</v>
      </c>
      <c r="K9" s="1140"/>
      <c r="L9" s="1141">
        <v>-0.12461102485818454</v>
      </c>
      <c r="M9" s="1142">
        <v>2.6860910566897767E-2</v>
      </c>
      <c r="N9" s="1143"/>
      <c r="O9" s="1144" t="s">
        <v>1300</v>
      </c>
      <c r="P9" s="1145" t="s">
        <v>1300</v>
      </c>
      <c r="Q9" s="1144" t="s">
        <v>1300</v>
      </c>
      <c r="T9" s="1097"/>
      <c r="U9" s="1097"/>
      <c r="V9" s="1097"/>
      <c r="W9" s="1097"/>
      <c r="X9" s="1107"/>
      <c r="Y9" s="1107"/>
      <c r="Z9" s="1107"/>
      <c r="AA9" s="1107"/>
      <c r="AD9" s="1099"/>
      <c r="AE9" s="1099"/>
      <c r="AF9" s="1099"/>
      <c r="AG9" s="1099"/>
    </row>
    <row r="10" spans="1:33" ht="14" thickBot="1">
      <c r="A10" s="1137"/>
      <c r="B10" s="1137" t="s">
        <v>1860</v>
      </c>
      <c r="C10" s="1138">
        <v>4895.0076659724309</v>
      </c>
      <c r="D10" s="1139">
        <v>4830.7426606407189</v>
      </c>
      <c r="E10" s="1138">
        <v>4825.5195288525429</v>
      </c>
      <c r="F10" s="1139">
        <v>5091.7478220000003</v>
      </c>
      <c r="G10" s="1138">
        <v>5233.1441749999994</v>
      </c>
      <c r="H10" s="1139">
        <v>6202.5944609999997</v>
      </c>
      <c r="I10" s="1138">
        <v>6968.3599750000003</v>
      </c>
      <c r="J10" s="1139">
        <v>7403.9584928390786</v>
      </c>
      <c r="K10" s="1140"/>
      <c r="L10" s="1141">
        <v>6.2510909224243738E-2</v>
      </c>
      <c r="M10" s="1142">
        <v>6.0896319472231619E-2</v>
      </c>
      <c r="N10" s="1143"/>
      <c r="O10" s="1144" t="s">
        <v>1300</v>
      </c>
      <c r="P10" s="1145" t="s">
        <v>1300</v>
      </c>
      <c r="Q10" s="1144" t="s">
        <v>1300</v>
      </c>
      <c r="T10" s="1097"/>
      <c r="U10" s="1097"/>
      <c r="V10" s="1097"/>
      <c r="W10" s="1097"/>
      <c r="X10" s="1107"/>
      <c r="Y10" s="1107"/>
      <c r="Z10" s="1107"/>
      <c r="AA10" s="1107"/>
      <c r="AD10" s="1099"/>
      <c r="AE10" s="1099"/>
      <c r="AF10" s="1099"/>
      <c r="AG10" s="1099"/>
    </row>
    <row r="11" spans="1:33" ht="14" thickBot="1">
      <c r="A11" s="1137"/>
      <c r="B11" s="1137" t="s">
        <v>1861</v>
      </c>
      <c r="C11" s="1138">
        <v>1083.8774182053171</v>
      </c>
      <c r="D11" s="1139">
        <v>1109.716441840543</v>
      </c>
      <c r="E11" s="1138">
        <v>1189.3320142230043</v>
      </c>
      <c r="F11" s="1139">
        <v>1198.8849619999999</v>
      </c>
      <c r="G11" s="1138">
        <v>1221.3578329999998</v>
      </c>
      <c r="H11" s="1139">
        <v>1435.4792780000002</v>
      </c>
      <c r="I11" s="1138">
        <v>1450.8576219999998</v>
      </c>
      <c r="J11" s="1139">
        <v>1389.5939454165157</v>
      </c>
      <c r="K11" s="1140"/>
      <c r="L11" s="1141">
        <v>-4.2225836398083194E-2</v>
      </c>
      <c r="M11" s="1142">
        <v>3.6132728717946261E-2</v>
      </c>
      <c r="N11" s="1143"/>
      <c r="O11" s="1144" t="s">
        <v>1300</v>
      </c>
      <c r="P11" s="1145" t="s">
        <v>1300</v>
      </c>
      <c r="Q11" s="1144" t="s">
        <v>1300</v>
      </c>
      <c r="T11" s="1097"/>
      <c r="U11" s="1097"/>
      <c r="V11" s="1097"/>
      <c r="W11" s="1097"/>
      <c r="X11" s="1107"/>
      <c r="Y11" s="1107"/>
      <c r="Z11" s="1107"/>
      <c r="AA11" s="1107"/>
      <c r="AD11" s="1099"/>
      <c r="AE11" s="1099"/>
      <c r="AF11" s="1099"/>
      <c r="AG11" s="1099"/>
    </row>
    <row r="12" spans="1:33" s="1156" customFormat="1" ht="14" thickBot="1">
      <c r="A12" s="1137"/>
      <c r="B12" s="1146"/>
      <c r="C12" s="1147"/>
      <c r="D12" s="1148"/>
      <c r="E12" s="1147"/>
      <c r="F12" s="1148"/>
      <c r="G12" s="1147"/>
      <c r="H12" s="1148"/>
      <c r="I12" s="1147"/>
      <c r="J12" s="1148"/>
      <c r="K12" s="1149"/>
      <c r="L12" s="1150"/>
      <c r="M12" s="1151"/>
      <c r="N12" s="1152"/>
      <c r="O12" s="1153"/>
      <c r="P12" s="1154"/>
      <c r="Q12" s="1153"/>
      <c r="R12" s="1155"/>
    </row>
    <row r="13" spans="1:33" s="1156" customFormat="1" ht="15.75" customHeight="1" thickBot="1">
      <c r="A13" s="1136" t="s">
        <v>1889</v>
      </c>
      <c r="B13" s="1137"/>
      <c r="C13" s="1157">
        <v>2881.6</v>
      </c>
      <c r="D13" s="1158">
        <v>3011.4</v>
      </c>
      <c r="E13" s="1157">
        <v>3176.3677925723964</v>
      </c>
      <c r="F13" s="1158">
        <v>3314.4716839527723</v>
      </c>
      <c r="G13" s="1157">
        <v>3458.985264289614</v>
      </c>
      <c r="H13" s="1158">
        <v>3661.4400591827007</v>
      </c>
      <c r="I13" s="1157">
        <v>3701.6993999861515</v>
      </c>
      <c r="J13" s="1158">
        <v>3921.4728291844517</v>
      </c>
      <c r="K13" s="1159"/>
      <c r="L13" s="1160">
        <v>5.9370955188614793E-2</v>
      </c>
      <c r="M13" s="1161">
        <v>4.5000509304817804E-2</v>
      </c>
      <c r="N13" s="1162"/>
      <c r="O13" s="1163">
        <v>4097.9411037227565</v>
      </c>
      <c r="P13" s="1164">
        <v>4282.3505404914276</v>
      </c>
      <c r="Q13" s="1163">
        <v>4475.0584958353038</v>
      </c>
    </row>
    <row r="14" spans="1:33" ht="14" thickBot="1">
      <c r="A14" s="1137"/>
      <c r="B14" s="1137" t="s">
        <v>1862</v>
      </c>
      <c r="C14" s="1138">
        <v>1132.4000000000001</v>
      </c>
      <c r="D14" s="1139">
        <v>1151.5</v>
      </c>
      <c r="E14" s="1138">
        <v>1283.9227999999998</v>
      </c>
      <c r="F14" s="1139">
        <v>1378.5406000000003</v>
      </c>
      <c r="G14" s="1138">
        <v>1422.4462000000001</v>
      </c>
      <c r="H14" s="1139">
        <v>1475.3187999999998</v>
      </c>
      <c r="I14" s="1138">
        <v>1413.5950692328543</v>
      </c>
      <c r="J14" s="1139">
        <v>1512.470256033693</v>
      </c>
      <c r="K14" s="1140"/>
      <c r="L14" s="1141">
        <v>6.9945905268683051E-2</v>
      </c>
      <c r="M14" s="1142">
        <v>4.2210113348055467E-2</v>
      </c>
      <c r="N14" s="1143"/>
      <c r="O14" s="1144" t="s">
        <v>1300</v>
      </c>
      <c r="P14" s="1145" t="s">
        <v>1300</v>
      </c>
      <c r="Q14" s="1144" t="s">
        <v>1300</v>
      </c>
    </row>
    <row r="15" spans="1:33" ht="15" customHeight="1" thickBot="1">
      <c r="A15" s="1137"/>
      <c r="B15" s="1137" t="s">
        <v>1890</v>
      </c>
      <c r="C15" s="1138">
        <v>1712.7</v>
      </c>
      <c r="D15" s="1139">
        <v>1822.7</v>
      </c>
      <c r="E15" s="1138">
        <v>1857.0449925723965</v>
      </c>
      <c r="F15" s="1139">
        <v>1894.8310839527724</v>
      </c>
      <c r="G15" s="1138">
        <v>1993.5390642896139</v>
      </c>
      <c r="H15" s="1139">
        <v>2140.9212591827013</v>
      </c>
      <c r="I15" s="1138">
        <v>2241.2043307532972</v>
      </c>
      <c r="J15" s="1139">
        <v>2360.6025731507589</v>
      </c>
      <c r="K15" s="1140"/>
      <c r="L15" s="1141">
        <v>5.3274144065806883E-2</v>
      </c>
      <c r="M15" s="1142">
        <v>4.6901783768789951E-2</v>
      </c>
      <c r="N15" s="1143"/>
      <c r="O15" s="1144" t="s">
        <v>1300</v>
      </c>
      <c r="P15" s="1145" t="s">
        <v>1300</v>
      </c>
      <c r="Q15" s="1144" t="s">
        <v>1300</v>
      </c>
    </row>
    <row r="16" spans="1:33" ht="14" thickBot="1">
      <c r="A16" s="1137"/>
      <c r="B16" s="1137" t="s">
        <v>1863</v>
      </c>
      <c r="C16" s="1138">
        <v>36.5</v>
      </c>
      <c r="D16" s="1139">
        <v>37.200000000000003</v>
      </c>
      <c r="E16" s="1138">
        <v>35.4</v>
      </c>
      <c r="F16" s="1139">
        <v>41.1</v>
      </c>
      <c r="G16" s="1138">
        <v>43</v>
      </c>
      <c r="H16" s="1139">
        <v>45.2</v>
      </c>
      <c r="I16" s="1138">
        <v>46.9</v>
      </c>
      <c r="J16" s="1139">
        <v>48.4</v>
      </c>
      <c r="K16" s="1140"/>
      <c r="L16" s="1141">
        <v>3.1982942430703654E-2</v>
      </c>
      <c r="M16" s="1142">
        <v>4.1136086288294793E-2</v>
      </c>
      <c r="N16" s="1143"/>
      <c r="O16" s="1144" t="s">
        <v>1300</v>
      </c>
      <c r="P16" s="1145" t="s">
        <v>1300</v>
      </c>
      <c r="Q16" s="1144" t="s">
        <v>1300</v>
      </c>
    </row>
    <row r="17" spans="1:17" ht="14" thickBot="1">
      <c r="A17" s="1137"/>
      <c r="B17" s="1137"/>
      <c r="C17" s="1147"/>
      <c r="D17" s="1148"/>
      <c r="E17" s="1147"/>
      <c r="F17" s="1148"/>
      <c r="G17" s="1147"/>
      <c r="H17" s="1148"/>
      <c r="I17" s="1147"/>
      <c r="J17" s="1148"/>
      <c r="K17" s="1149"/>
      <c r="L17" s="1150"/>
      <c r="M17" s="1151"/>
      <c r="N17" s="1152"/>
      <c r="O17" s="1153"/>
      <c r="P17" s="1154"/>
      <c r="Q17" s="1153"/>
    </row>
    <row r="18" spans="1:17" ht="16" thickBot="1">
      <c r="A18" s="1136" t="s">
        <v>1891</v>
      </c>
      <c r="B18" s="1137"/>
      <c r="C18" s="1157">
        <v>623.1</v>
      </c>
      <c r="D18" s="1158">
        <v>-213.6</v>
      </c>
      <c r="E18" s="1157">
        <v>-306.39999999999998</v>
      </c>
      <c r="F18" s="1158">
        <v>-200.29999999999927</v>
      </c>
      <c r="G18" s="1157">
        <v>98.828987000000325</v>
      </c>
      <c r="H18" s="1158">
        <v>454.38000000000136</v>
      </c>
      <c r="I18" s="1157">
        <v>-588.16000000000054</v>
      </c>
      <c r="J18" s="1158">
        <v>-1266.4017009999975</v>
      </c>
      <c r="K18" s="1159"/>
      <c r="L18" s="1160">
        <v>-1.1531584959874803</v>
      </c>
      <c r="M18" s="1161" t="s">
        <v>1300</v>
      </c>
      <c r="N18" s="1162"/>
      <c r="O18" s="1163">
        <v>-1453.1311098091228</v>
      </c>
      <c r="P18" s="1164">
        <v>-1017.0789521190862</v>
      </c>
      <c r="Q18" s="1163">
        <v>-1303.8427640390853</v>
      </c>
    </row>
    <row r="19" spans="1:17" ht="14" thickBot="1">
      <c r="A19" s="1165"/>
      <c r="B19" s="1165" t="s">
        <v>1864</v>
      </c>
      <c r="C19" s="1138">
        <v>704.5</v>
      </c>
      <c r="D19" s="1139">
        <v>335.5</v>
      </c>
      <c r="E19" s="1138">
        <v>194.5</v>
      </c>
      <c r="F19" s="1139">
        <v>332.70000000000073</v>
      </c>
      <c r="G19" s="1138">
        <v>712.41100000000006</v>
      </c>
      <c r="H19" s="1139">
        <v>931.98000000000138</v>
      </c>
      <c r="I19" s="1138">
        <v>187.13999999999942</v>
      </c>
      <c r="J19" s="1139">
        <v>-455.49946699999782</v>
      </c>
      <c r="K19" s="1140"/>
      <c r="L19" s="1141">
        <v>-3.4340037779202697</v>
      </c>
      <c r="M19" s="1142" t="s">
        <v>1300</v>
      </c>
      <c r="N19" s="1143"/>
      <c r="O19" s="1144">
        <v>-642.10609928103077</v>
      </c>
      <c r="P19" s="1145">
        <v>-78.805583250246855</v>
      </c>
      <c r="Q19" s="1144">
        <v>-253.36270611370855</v>
      </c>
    </row>
    <row r="20" spans="1:17" ht="16.5" customHeight="1" thickBot="1">
      <c r="A20" s="1165"/>
      <c r="B20" s="1165" t="s">
        <v>1892</v>
      </c>
      <c r="C20" s="1138">
        <v>37.699999999999818</v>
      </c>
      <c r="D20" s="1139">
        <v>-518.29999999999995</v>
      </c>
      <c r="E20" s="1138">
        <v>-415.1</v>
      </c>
      <c r="F20" s="1139">
        <v>-351.5</v>
      </c>
      <c r="G20" s="1138">
        <v>-271.25196099999994</v>
      </c>
      <c r="H20" s="1139">
        <v>-111.1</v>
      </c>
      <c r="I20" s="1138">
        <v>-217.5</v>
      </c>
      <c r="J20" s="1139">
        <v>-237.20366400000012</v>
      </c>
      <c r="K20" s="1140"/>
      <c r="L20" s="1141">
        <v>-9.0591558620690238E-2</v>
      </c>
      <c r="M20" s="1142" t="s">
        <v>1300</v>
      </c>
      <c r="N20" s="1143"/>
      <c r="O20" s="1144">
        <v>-94.940557148975131</v>
      </c>
      <c r="P20" s="1145">
        <v>-28.237480069050321</v>
      </c>
      <c r="Q20" s="1144">
        <v>-160.44295255610336</v>
      </c>
    </row>
    <row r="21" spans="1:17" ht="14.25" customHeight="1" thickBot="1">
      <c r="A21" s="1165"/>
      <c r="B21" s="1165" t="s">
        <v>1893</v>
      </c>
      <c r="C21" s="1138">
        <v>-119.1</v>
      </c>
      <c r="D21" s="1139">
        <v>-30.8</v>
      </c>
      <c r="E21" s="1138">
        <v>-85.8</v>
      </c>
      <c r="F21" s="1139">
        <v>-181.5</v>
      </c>
      <c r="G21" s="1138">
        <v>-342.3300519999998</v>
      </c>
      <c r="H21" s="1139">
        <v>-366.5</v>
      </c>
      <c r="I21" s="1138">
        <v>-557.79999999999995</v>
      </c>
      <c r="J21" s="1139">
        <v>-573.69856999999956</v>
      </c>
      <c r="K21" s="1140"/>
      <c r="L21" s="1141">
        <v>-2.8502276801720239E-2</v>
      </c>
      <c r="M21" s="1142" t="s">
        <v>1300</v>
      </c>
      <c r="N21" s="1143"/>
      <c r="O21" s="1144">
        <v>-716.08445337911689</v>
      </c>
      <c r="P21" s="1145">
        <v>-910.03588879978906</v>
      </c>
      <c r="Q21" s="1144">
        <v>-890.03710536927338</v>
      </c>
    </row>
    <row r="22" spans="1:17" ht="14" thickBot="1">
      <c r="A22" s="1137"/>
      <c r="B22" s="1166"/>
      <c r="C22" s="1147"/>
      <c r="D22" s="1148"/>
      <c r="E22" s="1167"/>
      <c r="F22" s="1168"/>
      <c r="G22" s="1167"/>
      <c r="H22" s="1168"/>
      <c r="I22" s="1167"/>
      <c r="J22" s="1168"/>
      <c r="K22" s="1169"/>
      <c r="L22" s="1170"/>
      <c r="M22" s="1171"/>
      <c r="N22" s="1172"/>
      <c r="O22" s="1153"/>
      <c r="P22" s="1173"/>
      <c r="Q22" s="1174"/>
    </row>
    <row r="23" spans="1:17" s="1156" customFormat="1" ht="14" thickBot="1">
      <c r="A23" s="1136" t="s">
        <v>1865</v>
      </c>
      <c r="B23" s="1137"/>
      <c r="C23" s="1157">
        <v>2760.27</v>
      </c>
      <c r="D23" s="1158">
        <v>3024.94</v>
      </c>
      <c r="E23" s="1157">
        <v>3270.2</v>
      </c>
      <c r="F23" s="1158">
        <v>3620.5</v>
      </c>
      <c r="G23" s="1157">
        <v>3725.7</v>
      </c>
      <c r="H23" s="1158">
        <v>3837.6</v>
      </c>
      <c r="I23" s="1163">
        <v>4062.6</v>
      </c>
      <c r="J23" s="1158">
        <v>4268.5</v>
      </c>
      <c r="K23" s="1159"/>
      <c r="L23" s="1160">
        <v>5.0681829370353926E-2</v>
      </c>
      <c r="M23" s="1161">
        <v>6.4256339353843339E-2</v>
      </c>
      <c r="N23" s="1162"/>
      <c r="O23" s="1163">
        <v>4365.0586357799211</v>
      </c>
      <c r="P23" s="1164">
        <v>4492.9298486057314</v>
      </c>
      <c r="Q23" s="1163">
        <v>4652.3956239356376</v>
      </c>
    </row>
    <row r="24" spans="1:17" s="1156" customFormat="1" ht="15.75" customHeight="1" thickBot="1">
      <c r="A24" s="1137" t="s">
        <v>1894</v>
      </c>
      <c r="B24" s="1137"/>
      <c r="C24" s="1175">
        <v>1815.57</v>
      </c>
      <c r="D24" s="1176">
        <v>2087.14</v>
      </c>
      <c r="E24" s="1175">
        <v>2263.1999999999998</v>
      </c>
      <c r="F24" s="1176">
        <v>2476.6</v>
      </c>
      <c r="G24" s="1175">
        <v>2532.8000000000002</v>
      </c>
      <c r="H24" s="1176">
        <v>2671.6</v>
      </c>
      <c r="I24" s="1175">
        <v>2848.4</v>
      </c>
      <c r="J24" s="1176">
        <v>2961.1</v>
      </c>
      <c r="K24" s="1177"/>
      <c r="L24" s="1178">
        <v>3.9566072180873491E-2</v>
      </c>
      <c r="M24" s="1179">
        <v>7.2379695258080856E-2</v>
      </c>
      <c r="N24" s="1180"/>
      <c r="O24" s="1175">
        <v>3025.2531050000002</v>
      </c>
      <c r="P24" s="1176">
        <v>3119.6</v>
      </c>
      <c r="Q24" s="1181">
        <v>3244.384</v>
      </c>
    </row>
    <row r="25" spans="1:17" ht="14" thickBot="1">
      <c r="A25" s="1166"/>
      <c r="B25" s="1166" t="s">
        <v>1859</v>
      </c>
      <c r="C25" s="1167">
        <v>1364.8</v>
      </c>
      <c r="D25" s="1168">
        <v>1526.3</v>
      </c>
      <c r="E25" s="1167">
        <v>1601.2</v>
      </c>
      <c r="F25" s="1168">
        <v>1699.6</v>
      </c>
      <c r="G25" s="1167">
        <v>1740.4</v>
      </c>
      <c r="H25" s="1168">
        <v>1819.6</v>
      </c>
      <c r="I25" s="1167">
        <v>1915.4</v>
      </c>
      <c r="J25" s="1168">
        <v>1992.8</v>
      </c>
      <c r="K25" s="1169"/>
      <c r="L25" s="1170">
        <v>4.0409313981413675E-2</v>
      </c>
      <c r="M25" s="1171">
        <v>5.5564940740562951E-2</v>
      </c>
      <c r="N25" s="1172"/>
      <c r="O25" s="1174">
        <v>2033.3915086139841</v>
      </c>
      <c r="P25" s="1173" t="s">
        <v>1300</v>
      </c>
      <c r="Q25" s="1174" t="s">
        <v>1300</v>
      </c>
    </row>
    <row r="26" spans="1:17" ht="14" thickBot="1">
      <c r="A26" s="1166"/>
      <c r="B26" s="1166" t="s">
        <v>1866</v>
      </c>
      <c r="C26" s="1167">
        <v>450.77</v>
      </c>
      <c r="D26" s="1168">
        <v>560.84</v>
      </c>
      <c r="E26" s="1167">
        <v>662</v>
      </c>
      <c r="F26" s="1168">
        <v>777</v>
      </c>
      <c r="G26" s="1167">
        <v>792.4</v>
      </c>
      <c r="H26" s="1168">
        <v>852</v>
      </c>
      <c r="I26" s="1167">
        <v>933</v>
      </c>
      <c r="J26" s="1168">
        <v>968.3</v>
      </c>
      <c r="K26" s="1169"/>
      <c r="L26" s="1170">
        <v>3.7834941050375104E-2</v>
      </c>
      <c r="M26" s="1171">
        <v>0.11541483973271305</v>
      </c>
      <c r="N26" s="1172"/>
      <c r="O26" s="1174">
        <v>991.86159638601612</v>
      </c>
      <c r="P26" s="1173" t="s">
        <v>1300</v>
      </c>
      <c r="Q26" s="1174" t="s">
        <v>1300</v>
      </c>
    </row>
    <row r="27" spans="1:17" s="1156" customFormat="1" ht="15.75" customHeight="1" thickBot="1">
      <c r="A27" s="1137" t="s">
        <v>1895</v>
      </c>
      <c r="B27" s="1137"/>
      <c r="C27" s="1175">
        <v>293</v>
      </c>
      <c r="D27" s="1176">
        <v>237.5</v>
      </c>
      <c r="E27" s="1175">
        <v>264.39999999999998</v>
      </c>
      <c r="F27" s="1176">
        <v>277.10000000000002</v>
      </c>
      <c r="G27" s="1175">
        <v>317</v>
      </c>
      <c r="H27" s="1176">
        <v>315</v>
      </c>
      <c r="I27" s="1175">
        <v>343.8</v>
      </c>
      <c r="J27" s="1176">
        <v>375.1</v>
      </c>
      <c r="K27" s="1177"/>
      <c r="L27" s="1178">
        <v>9.104130308318803E-2</v>
      </c>
      <c r="M27" s="1179">
        <v>3.5918609296335058E-2</v>
      </c>
      <c r="N27" s="1180"/>
      <c r="O27" s="1181">
        <v>388.57307034705531</v>
      </c>
      <c r="P27" s="1182">
        <v>402.53007464392851</v>
      </c>
      <c r="Q27" s="1181">
        <v>416.98839512508835</v>
      </c>
    </row>
    <row r="28" spans="1:17" ht="15.75" customHeight="1" thickBot="1">
      <c r="A28" s="1137" t="s">
        <v>1896</v>
      </c>
      <c r="B28" s="1137"/>
      <c r="C28" s="1175">
        <v>203.5</v>
      </c>
      <c r="D28" s="1176">
        <v>228.6</v>
      </c>
      <c r="E28" s="1175">
        <v>266.2</v>
      </c>
      <c r="F28" s="1176">
        <v>375.1</v>
      </c>
      <c r="G28" s="1175">
        <v>378.5</v>
      </c>
      <c r="H28" s="1176">
        <v>314.89999999999998</v>
      </c>
      <c r="I28" s="1175">
        <v>319.7</v>
      </c>
      <c r="J28" s="1176">
        <v>367.7</v>
      </c>
      <c r="K28" s="1177"/>
      <c r="L28" s="1178">
        <v>0.15014075695964957</v>
      </c>
      <c r="M28" s="1179">
        <v>8.8188604730347508E-2</v>
      </c>
      <c r="N28" s="1180"/>
      <c r="O28" s="1181">
        <v>367.7</v>
      </c>
      <c r="P28" s="1182">
        <v>367.7</v>
      </c>
      <c r="Q28" s="1181">
        <v>367.7</v>
      </c>
    </row>
    <row r="29" spans="1:17" ht="17.25" customHeight="1" thickBot="1">
      <c r="A29" s="1137" t="s">
        <v>1897</v>
      </c>
      <c r="B29" s="1137"/>
      <c r="C29" s="1175">
        <v>448.2</v>
      </c>
      <c r="D29" s="1176">
        <v>471.7</v>
      </c>
      <c r="E29" s="1175">
        <v>476.4</v>
      </c>
      <c r="F29" s="1176">
        <v>491.7</v>
      </c>
      <c r="G29" s="1175">
        <v>497.4</v>
      </c>
      <c r="H29" s="1176">
        <v>536.1</v>
      </c>
      <c r="I29" s="1175">
        <v>550.70000000000005</v>
      </c>
      <c r="J29" s="1176">
        <v>564.6</v>
      </c>
      <c r="K29" s="1177"/>
      <c r="L29" s="1178">
        <v>2.5240602869075701E-2</v>
      </c>
      <c r="M29" s="1179">
        <v>3.3532519363913993E-2</v>
      </c>
      <c r="N29" s="1180"/>
      <c r="O29" s="1181">
        <v>583.53246043286583</v>
      </c>
      <c r="P29" s="1182">
        <v>603.09977396180329</v>
      </c>
      <c r="Q29" s="1181">
        <v>623.32322881054961</v>
      </c>
    </row>
    <row r="30" spans="1:17" s="1156" customFormat="1" ht="14" thickBot="1">
      <c r="A30" s="1183"/>
      <c r="B30" s="1183"/>
      <c r="C30" s="1184"/>
      <c r="D30" s="1185"/>
      <c r="E30" s="1184"/>
      <c r="F30" s="1185"/>
      <c r="G30" s="1184"/>
      <c r="H30" s="1185"/>
      <c r="I30" s="1184"/>
      <c r="J30" s="1185"/>
      <c r="K30" s="1186"/>
      <c r="L30" s="1187"/>
      <c r="M30" s="1188"/>
      <c r="N30" s="1189"/>
      <c r="O30" s="1190"/>
      <c r="P30" s="1191"/>
      <c r="Q30" s="1190"/>
    </row>
    <row r="31" spans="1:17" ht="13.5" customHeight="1" thickBot="1">
      <c r="A31" s="1136" t="s">
        <v>185</v>
      </c>
      <c r="B31" s="1137"/>
      <c r="C31" s="1157">
        <v>25156.514125912257</v>
      </c>
      <c r="D31" s="1158">
        <v>26402.30417727874</v>
      </c>
      <c r="E31" s="1157">
        <v>27625.288652942058</v>
      </c>
      <c r="F31" s="1158">
        <v>28025.464388047221</v>
      </c>
      <c r="G31" s="1157">
        <v>29038.570984696478</v>
      </c>
      <c r="H31" s="1158">
        <v>29910.140160769479</v>
      </c>
      <c r="I31" s="1157">
        <v>31730.681165100021</v>
      </c>
      <c r="J31" s="1158">
        <v>33523.07665374413</v>
      </c>
      <c r="K31" s="1159"/>
      <c r="L31" s="1160">
        <v>5.6487772176020412E-2</v>
      </c>
      <c r="M31" s="1161">
        <v>4.1869546747559161E-2</v>
      </c>
      <c r="N31" s="1162"/>
      <c r="O31" s="1163">
        <v>34989.858602363762</v>
      </c>
      <c r="P31" s="1164">
        <v>35848.10638738425</v>
      </c>
      <c r="Q31" s="1163">
        <v>37446.374012622495</v>
      </c>
    </row>
    <row r="32" spans="1:17" ht="16.5" customHeight="1" thickBot="1">
      <c r="A32" s="1137" t="s">
        <v>1867</v>
      </c>
      <c r="B32" s="1137"/>
      <c r="C32" s="1175">
        <v>14197.53</v>
      </c>
      <c r="D32" s="1176">
        <v>14850.16</v>
      </c>
      <c r="E32" s="1175">
        <v>15432.1</v>
      </c>
      <c r="F32" s="1176">
        <v>15337.8</v>
      </c>
      <c r="G32" s="1175">
        <v>15974.171012999999</v>
      </c>
      <c r="H32" s="1176">
        <v>16460.62</v>
      </c>
      <c r="I32" s="1175">
        <v>17838.560000000001</v>
      </c>
      <c r="J32" s="1176">
        <v>19087.413701000001</v>
      </c>
      <c r="K32" s="1177"/>
      <c r="L32" s="1178">
        <v>7.00086610690549E-2</v>
      </c>
      <c r="M32" s="1179">
        <v>4.3186700500299713E-2</v>
      </c>
      <c r="N32" s="1180"/>
      <c r="O32" s="1175">
        <v>20335.14367899</v>
      </c>
      <c r="P32" s="1182">
        <v>20794.159228500001</v>
      </c>
      <c r="Q32" s="1181">
        <v>22122.609343329998</v>
      </c>
    </row>
    <row r="33" spans="1:30" ht="15" customHeight="1" thickBot="1">
      <c r="A33" s="1137"/>
      <c r="B33" s="1166" t="s">
        <v>1898</v>
      </c>
      <c r="C33" s="1167">
        <v>9219.6299999999992</v>
      </c>
      <c r="D33" s="1168">
        <v>9837.66</v>
      </c>
      <c r="E33" s="1167">
        <v>10341</v>
      </c>
      <c r="F33" s="1168">
        <v>10472.9</v>
      </c>
      <c r="G33" s="1167">
        <v>10813.888999999999</v>
      </c>
      <c r="H33" s="1168">
        <v>11283.12</v>
      </c>
      <c r="I33" s="1167">
        <v>12447.76</v>
      </c>
      <c r="J33" s="1168">
        <v>13798.607467</v>
      </c>
      <c r="K33" s="1169"/>
      <c r="L33" s="1170">
        <v>0.10852132970108674</v>
      </c>
      <c r="M33" s="1171">
        <v>5.9296153829351939E-2</v>
      </c>
      <c r="N33" s="1172"/>
      <c r="O33" s="1167">
        <v>14954.333737000001</v>
      </c>
      <c r="P33" s="1173">
        <v>15344.159228499999</v>
      </c>
      <c r="Q33" s="1174">
        <v>16622.609343329998</v>
      </c>
    </row>
    <row r="34" spans="1:30" ht="15" customHeight="1" thickBot="1">
      <c r="A34" s="1137"/>
      <c r="B34" s="1166" t="s">
        <v>1899</v>
      </c>
      <c r="C34" s="1167">
        <v>4337.5</v>
      </c>
      <c r="D34" s="1168">
        <v>4410.6000000000004</v>
      </c>
      <c r="E34" s="1167">
        <v>4453.3</v>
      </c>
      <c r="F34" s="1168">
        <v>3766.7</v>
      </c>
      <c r="G34" s="1167">
        <v>2917.3519609999998</v>
      </c>
      <c r="H34" s="1168">
        <v>1987</v>
      </c>
      <c r="I34" s="1167">
        <v>1958.4</v>
      </c>
      <c r="J34" s="1168">
        <v>1882.6076640000001</v>
      </c>
      <c r="K34" s="1169"/>
      <c r="L34" s="1170">
        <v>-3.8701151960784275E-2</v>
      </c>
      <c r="M34" s="1171">
        <v>-0.11240021032550729</v>
      </c>
      <c r="N34" s="1172"/>
      <c r="O34" s="1167">
        <v>1358.7895999899999</v>
      </c>
      <c r="P34" s="1173">
        <v>1000</v>
      </c>
      <c r="Q34" s="1174">
        <v>950</v>
      </c>
    </row>
    <row r="35" spans="1:30" ht="15" customHeight="1" thickBot="1">
      <c r="A35" s="1137"/>
      <c r="B35" s="1166" t="s">
        <v>1900</v>
      </c>
      <c r="C35" s="1167">
        <v>640.4</v>
      </c>
      <c r="D35" s="1168">
        <v>601.9</v>
      </c>
      <c r="E35" s="1167">
        <v>637.79999999999995</v>
      </c>
      <c r="F35" s="1168">
        <v>1098.2</v>
      </c>
      <c r="G35" s="1167">
        <v>2242.9300519999997</v>
      </c>
      <c r="H35" s="1168">
        <v>3190.5</v>
      </c>
      <c r="I35" s="1167">
        <v>3432.4</v>
      </c>
      <c r="J35" s="1168">
        <v>3406.1985699999996</v>
      </c>
      <c r="K35" s="1169"/>
      <c r="L35" s="1170">
        <v>-7.633559608437368E-3</v>
      </c>
      <c r="M35" s="1171">
        <v>0.26966274642469057</v>
      </c>
      <c r="N35" s="1172"/>
      <c r="O35" s="1167">
        <v>4022.0203419999989</v>
      </c>
      <c r="P35" s="1173">
        <v>4450</v>
      </c>
      <c r="Q35" s="1174">
        <v>4550</v>
      </c>
    </row>
    <row r="36" spans="1:30" ht="15.75" customHeight="1" thickBot="1">
      <c r="A36" s="1137" t="s">
        <v>1901</v>
      </c>
      <c r="B36" s="1137"/>
      <c r="C36" s="1175">
        <v>1770.8</v>
      </c>
      <c r="D36" s="1176">
        <v>1884.4</v>
      </c>
      <c r="E36" s="1175">
        <v>2155</v>
      </c>
      <c r="F36" s="1176">
        <v>2249.6</v>
      </c>
      <c r="G36" s="1175">
        <v>2343.1</v>
      </c>
      <c r="H36" s="1176">
        <v>2428.3000000000002</v>
      </c>
      <c r="I36" s="1175">
        <v>2541</v>
      </c>
      <c r="J36" s="1176">
        <v>2627.5</v>
      </c>
      <c r="K36" s="1177"/>
      <c r="L36" s="1178">
        <v>3.404171585989757E-2</v>
      </c>
      <c r="M36" s="1179">
        <v>5.7990790579383278E-2</v>
      </c>
      <c r="N36" s="1180"/>
      <c r="O36" s="1175">
        <v>2868.2398777399999</v>
      </c>
      <c r="P36" s="1182">
        <v>3127.0637836617616</v>
      </c>
      <c r="Q36" s="1181">
        <v>3327.2659007370562</v>
      </c>
      <c r="S36" s="1107"/>
      <c r="T36" s="1107"/>
      <c r="U36" s="1107"/>
      <c r="V36" s="1107"/>
    </row>
    <row r="37" spans="1:30" ht="13.5" customHeight="1" thickBot="1">
      <c r="A37" s="1137"/>
      <c r="B37" s="1166" t="s">
        <v>1864</v>
      </c>
      <c r="C37" s="1192">
        <v>1678.5</v>
      </c>
      <c r="D37" s="1193">
        <v>1778</v>
      </c>
      <c r="E37" s="1192">
        <v>2097.1999999999998</v>
      </c>
      <c r="F37" s="1193">
        <v>2189.9</v>
      </c>
      <c r="G37" s="1192">
        <v>2288</v>
      </c>
      <c r="H37" s="1193">
        <v>2400.1999999999998</v>
      </c>
      <c r="I37" s="1192">
        <v>2502.83</v>
      </c>
      <c r="J37" s="1193">
        <v>2588.5</v>
      </c>
      <c r="K37" s="1194"/>
      <c r="L37" s="1195">
        <v>3.422925248618558E-2</v>
      </c>
      <c r="M37" s="1196">
        <v>6.3837415512950413E-2</v>
      </c>
      <c r="N37" s="1197"/>
      <c r="O37" s="1192">
        <v>2832.3123952999999</v>
      </c>
      <c r="P37" s="1198">
        <v>3099.4394553699999</v>
      </c>
      <c r="Q37" s="1199">
        <v>3304.8211339999998</v>
      </c>
    </row>
    <row r="38" spans="1:30" ht="13.5" customHeight="1" thickBot="1">
      <c r="A38" s="1137"/>
      <c r="B38" s="1166" t="s">
        <v>1868</v>
      </c>
      <c r="C38" s="1192">
        <v>92.3</v>
      </c>
      <c r="D38" s="1193">
        <v>106.4</v>
      </c>
      <c r="E38" s="1192">
        <v>57.8</v>
      </c>
      <c r="F38" s="1193">
        <v>59.7</v>
      </c>
      <c r="G38" s="1192">
        <v>55.1</v>
      </c>
      <c r="H38" s="1193">
        <v>28.1</v>
      </c>
      <c r="I38" s="1192">
        <v>38.17</v>
      </c>
      <c r="J38" s="1193">
        <v>39</v>
      </c>
      <c r="K38" s="1194"/>
      <c r="L38" s="1195">
        <v>2.174482577940795E-2</v>
      </c>
      <c r="M38" s="1196">
        <v>-0.11579728578594028</v>
      </c>
      <c r="N38" s="1197"/>
      <c r="O38" s="1192">
        <v>35.927482439999999</v>
      </c>
      <c r="P38" s="1198">
        <v>27.624328291761763</v>
      </c>
      <c r="Q38" s="1199">
        <v>22.444766737056433</v>
      </c>
    </row>
    <row r="39" spans="1:30" ht="16.5" customHeight="1" thickBot="1">
      <c r="A39" s="1137" t="s">
        <v>1902</v>
      </c>
      <c r="B39" s="1137"/>
      <c r="C39" s="1175">
        <v>9188.1841259122575</v>
      </c>
      <c r="D39" s="1176">
        <v>9667.7441772787388</v>
      </c>
      <c r="E39" s="1175">
        <v>10038.188652942059</v>
      </c>
      <c r="F39" s="1176">
        <v>10438.064388047225</v>
      </c>
      <c r="G39" s="1175">
        <v>10721.29997169648</v>
      </c>
      <c r="H39" s="1176">
        <v>11021.220160769482</v>
      </c>
      <c r="I39" s="1175">
        <v>11351.121165100019</v>
      </c>
      <c r="J39" s="1176">
        <v>11808.162952744129</v>
      </c>
      <c r="K39" s="1177"/>
      <c r="L39" s="1178">
        <v>4.0264021588398036E-2</v>
      </c>
      <c r="M39" s="1179">
        <v>3.6488920356110732E-2</v>
      </c>
      <c r="N39" s="1180"/>
      <c r="O39" s="1181">
        <v>11786.475045633764</v>
      </c>
      <c r="P39" s="1182">
        <v>11926.883375222493</v>
      </c>
      <c r="Q39" s="1181">
        <v>11996.498768555439</v>
      </c>
      <c r="R39" s="1085"/>
    </row>
    <row r="40" spans="1:30" ht="12.75" customHeight="1" thickBot="1">
      <c r="A40" s="1137"/>
      <c r="B40" s="1137"/>
      <c r="C40" s="1147"/>
      <c r="D40" s="1148"/>
      <c r="E40" s="1147"/>
      <c r="F40" s="1148"/>
      <c r="G40" s="1147"/>
      <c r="H40" s="1148"/>
      <c r="I40" s="1147"/>
      <c r="J40" s="1148"/>
      <c r="K40" s="1149"/>
      <c r="L40" s="1150"/>
      <c r="M40" s="1151"/>
      <c r="N40" s="1152"/>
      <c r="O40" s="1153"/>
      <c r="P40" s="1154"/>
      <c r="Q40" s="1153"/>
    </row>
    <row r="41" spans="1:30" ht="16.5" customHeight="1" thickBot="1">
      <c r="A41" s="1136" t="s">
        <v>1903</v>
      </c>
      <c r="B41" s="1137"/>
      <c r="C41" s="1157">
        <v>378.7</v>
      </c>
      <c r="D41" s="1158">
        <v>386.6</v>
      </c>
      <c r="E41" s="1157">
        <v>395.2</v>
      </c>
      <c r="F41" s="1158">
        <v>408.8</v>
      </c>
      <c r="G41" s="1157">
        <v>443.72611837314082</v>
      </c>
      <c r="H41" s="1158">
        <v>463.46745935715603</v>
      </c>
      <c r="I41" s="1157">
        <v>477.70596569061348</v>
      </c>
      <c r="J41" s="1158">
        <v>484.77612582398501</v>
      </c>
      <c r="K41" s="1159"/>
      <c r="L41" s="1160">
        <v>1.4800234121318256E-2</v>
      </c>
      <c r="M41" s="1161">
        <v>3.5907185419298049E-2</v>
      </c>
      <c r="N41" s="1162"/>
      <c r="O41" s="1163">
        <v>502.27743779349589</v>
      </c>
      <c r="P41" s="1164">
        <v>520.3095878795026</v>
      </c>
      <c r="Q41" s="1163">
        <v>538.82514136971679</v>
      </c>
    </row>
    <row r="42" spans="1:30" ht="12.75" customHeight="1" thickBot="1">
      <c r="A42" s="1136"/>
      <c r="B42" s="1166"/>
      <c r="C42" s="1200"/>
      <c r="D42" s="1201"/>
      <c r="E42" s="1147"/>
      <c r="F42" s="1148"/>
      <c r="G42" s="1147"/>
      <c r="H42" s="1148"/>
      <c r="I42" s="1153"/>
      <c r="J42" s="1148"/>
      <c r="K42" s="1149"/>
      <c r="L42" s="1150"/>
      <c r="M42" s="1151"/>
      <c r="N42" s="1152"/>
      <c r="O42" s="1202"/>
      <c r="P42" s="1154"/>
      <c r="Q42" s="1153"/>
    </row>
    <row r="43" spans="1:30" ht="17.25" customHeight="1" thickBot="1">
      <c r="A43" s="1203" t="s">
        <v>1904</v>
      </c>
      <c r="B43" s="1204"/>
      <c r="C43" s="1205">
        <v>37908.300000000003</v>
      </c>
      <c r="D43" s="1206">
        <v>38669.599999999999</v>
      </c>
      <c r="E43" s="1205">
        <v>40292.400000000001</v>
      </c>
      <c r="F43" s="1206">
        <v>41585.599999999999</v>
      </c>
      <c r="G43" s="1205">
        <v>43365.319112359233</v>
      </c>
      <c r="H43" s="1206">
        <v>46129.491818309332</v>
      </c>
      <c r="I43" s="1205">
        <v>47981.46820977678</v>
      </c>
      <c r="J43" s="1206">
        <v>49880.554048008169</v>
      </c>
      <c r="K43" s="1207"/>
      <c r="L43" s="1208">
        <v>3.9579569135494541E-2</v>
      </c>
      <c r="M43" s="1209">
        <v>3.9987542482479155E-2</v>
      </c>
      <c r="N43" s="1210"/>
      <c r="O43" s="1211">
        <v>52005.252391942362</v>
      </c>
      <c r="P43" s="1212">
        <v>54149.282385717313</v>
      </c>
      <c r="Q43" s="1211">
        <v>56376.066805212933</v>
      </c>
    </row>
    <row r="44" spans="1:30" ht="14.25" customHeight="1">
      <c r="A44" s="1213" t="s">
        <v>36</v>
      </c>
      <c r="B44" s="1213"/>
      <c r="C44" s="1214"/>
      <c r="D44" s="1214"/>
      <c r="E44" s="1214"/>
      <c r="F44" s="1214"/>
      <c r="G44" s="1214"/>
      <c r="H44" s="1214"/>
      <c r="I44" s="1214"/>
      <c r="J44" s="1214"/>
      <c r="K44" s="1084"/>
      <c r="L44" s="1084"/>
      <c r="M44" s="1084"/>
      <c r="N44" s="1214"/>
      <c r="O44" s="1214"/>
      <c r="P44" s="1214"/>
    </row>
    <row r="45" spans="1:30">
      <c r="A45" s="1084"/>
      <c r="B45" s="1214"/>
      <c r="C45" s="1084"/>
      <c r="D45" s="1214"/>
      <c r="E45" s="1084"/>
      <c r="F45" s="1084"/>
      <c r="G45" s="1084"/>
      <c r="H45" s="1084"/>
      <c r="I45" s="1084"/>
      <c r="J45" s="1084"/>
      <c r="K45" s="1084"/>
      <c r="L45" s="1084"/>
      <c r="M45" s="1084"/>
      <c r="N45" s="1214"/>
      <c r="O45" s="1084"/>
      <c r="P45" s="1084"/>
      <c r="S45" s="1107"/>
      <c r="T45" s="1107"/>
      <c r="U45" s="1107"/>
      <c r="V45" s="1107"/>
      <c r="Y45" s="1107"/>
      <c r="Z45" s="1107"/>
      <c r="AA45" s="1107"/>
      <c r="AB45" s="1107"/>
      <c r="AC45" s="1097"/>
      <c r="AD45" s="1215"/>
    </row>
    <row r="46" spans="1:30">
      <c r="A46" s="1216" t="s">
        <v>1905</v>
      </c>
      <c r="B46" s="1214"/>
      <c r="C46" s="1084"/>
      <c r="D46" s="1214"/>
      <c r="E46" s="1084"/>
      <c r="F46" s="1084"/>
      <c r="G46" s="1084"/>
      <c r="H46" s="1084"/>
      <c r="I46" s="1084"/>
      <c r="J46" s="1084"/>
      <c r="K46" s="1084"/>
      <c r="L46" s="1084"/>
      <c r="M46" s="1084"/>
      <c r="N46" s="1214"/>
      <c r="O46" s="1084"/>
      <c r="P46" s="1084"/>
      <c r="S46" s="1107"/>
      <c r="T46" s="1107"/>
      <c r="U46" s="1107"/>
      <c r="V46" s="1107"/>
      <c r="Y46" s="1107"/>
      <c r="Z46" s="1107"/>
      <c r="AA46" s="1107"/>
      <c r="AB46" s="1107"/>
      <c r="AC46" s="1097"/>
      <c r="AD46" s="1215"/>
    </row>
    <row r="47" spans="1:30">
      <c r="A47" s="1084"/>
      <c r="B47" s="1214"/>
      <c r="C47" s="1084"/>
      <c r="D47" s="1214"/>
      <c r="E47" s="1084"/>
      <c r="F47" s="1084"/>
      <c r="G47" s="1084"/>
      <c r="H47" s="1084"/>
      <c r="I47" s="1084"/>
      <c r="J47" s="1084"/>
      <c r="K47" s="1084"/>
      <c r="L47" s="1084"/>
      <c r="M47" s="1084"/>
      <c r="N47" s="1214"/>
      <c r="O47" s="1084"/>
      <c r="P47" s="1084"/>
      <c r="S47" s="1107"/>
      <c r="T47" s="1107"/>
      <c r="U47" s="1107"/>
      <c r="V47" s="1107"/>
      <c r="Y47" s="1107"/>
      <c r="Z47" s="1107"/>
      <c r="AA47" s="1107"/>
      <c r="AB47" s="1107"/>
      <c r="AC47" s="1097"/>
      <c r="AD47" s="1215"/>
    </row>
    <row r="48" spans="1:30">
      <c r="A48" s="1214" t="s">
        <v>1869</v>
      </c>
      <c r="B48" s="1214"/>
      <c r="C48" s="1084"/>
      <c r="D48" s="1084"/>
      <c r="E48" s="1084"/>
      <c r="F48" s="1084"/>
      <c r="G48" s="1084"/>
      <c r="H48" s="1084"/>
      <c r="I48" s="1084"/>
      <c r="J48" s="1084"/>
      <c r="K48" s="1084"/>
      <c r="L48" s="1084"/>
      <c r="M48" s="1084"/>
      <c r="N48" s="1084"/>
      <c r="O48" s="1084"/>
      <c r="P48" s="1084"/>
      <c r="S48" s="1107"/>
      <c r="T48" s="1107"/>
      <c r="U48" s="1107"/>
      <c r="V48" s="1107"/>
    </row>
    <row r="49" spans="1:16">
      <c r="A49" s="1214" t="s">
        <v>1870</v>
      </c>
      <c r="B49" s="1214"/>
      <c r="C49" s="1084"/>
      <c r="D49" s="1084"/>
      <c r="E49" s="1084"/>
      <c r="F49" s="1084"/>
      <c r="G49" s="1084"/>
      <c r="H49" s="1084"/>
      <c r="I49" s="1084"/>
      <c r="J49" s="1084"/>
      <c r="K49" s="1084"/>
      <c r="L49" s="1084"/>
      <c r="M49" s="1084"/>
      <c r="N49" s="1084"/>
      <c r="O49" s="1084"/>
      <c r="P49" s="1084"/>
    </row>
    <row r="50" spans="1:16">
      <c r="A50" s="1214" t="s">
        <v>1871</v>
      </c>
      <c r="B50" s="1214"/>
      <c r="C50" s="1084"/>
      <c r="D50" s="1084"/>
      <c r="E50" s="1084"/>
      <c r="F50" s="1084"/>
      <c r="G50" s="1084"/>
      <c r="H50" s="1084"/>
      <c r="I50" s="1084"/>
      <c r="J50" s="1084"/>
      <c r="K50" s="1084"/>
      <c r="L50" s="1084"/>
      <c r="M50" s="1084"/>
      <c r="N50" s="1084"/>
      <c r="O50" s="1084"/>
      <c r="P50" s="1084"/>
    </row>
    <row r="51" spans="1:16">
      <c r="A51" s="1214" t="s">
        <v>1872</v>
      </c>
      <c r="B51" s="1084"/>
      <c r="C51" s="1084"/>
      <c r="D51" s="1084"/>
      <c r="E51" s="1084"/>
      <c r="F51" s="1084"/>
      <c r="G51" s="1084"/>
      <c r="H51" s="1084"/>
      <c r="I51" s="1084"/>
      <c r="J51" s="1084"/>
      <c r="K51" s="1084"/>
      <c r="L51" s="1084"/>
      <c r="M51" s="1084"/>
      <c r="N51" s="1084"/>
      <c r="O51" s="1084"/>
      <c r="P51" s="1084"/>
    </row>
    <row r="52" spans="1:16">
      <c r="A52" s="1214" t="s">
        <v>1873</v>
      </c>
      <c r="B52" s="1084"/>
      <c r="C52" s="1084"/>
      <c r="D52" s="1084"/>
      <c r="E52" s="1084"/>
      <c r="F52" s="1084"/>
      <c r="G52" s="1084"/>
      <c r="H52" s="1084"/>
      <c r="I52" s="1084"/>
      <c r="J52" s="1084"/>
      <c r="K52" s="1084"/>
      <c r="L52" s="1084"/>
      <c r="M52" s="1084"/>
      <c r="N52" s="1084"/>
      <c r="O52" s="1084"/>
      <c r="P52" s="1084"/>
    </row>
    <row r="53" spans="1:16">
      <c r="A53" s="1214" t="s">
        <v>1874</v>
      </c>
      <c r="B53" s="1214"/>
      <c r="C53" s="1214"/>
      <c r="D53" s="1214"/>
      <c r="E53" s="1214"/>
      <c r="F53" s="1214"/>
      <c r="G53" s="1084"/>
      <c r="H53" s="1084"/>
      <c r="I53" s="1084"/>
      <c r="J53" s="1084"/>
      <c r="K53" s="1084"/>
      <c r="L53" s="1084"/>
      <c r="M53" s="1084"/>
      <c r="N53" s="1214"/>
      <c r="O53" s="1214"/>
      <c r="P53" s="1214"/>
    </row>
    <row r="54" spans="1:16">
      <c r="A54" s="1217" t="s">
        <v>1875</v>
      </c>
      <c r="B54" s="1214"/>
      <c r="C54" s="1218"/>
      <c r="D54" s="1218"/>
      <c r="E54" s="1218"/>
      <c r="F54" s="1218"/>
      <c r="G54" s="1084"/>
      <c r="H54" s="1084"/>
      <c r="I54" s="1084"/>
      <c r="J54" s="1084"/>
      <c r="K54" s="1084"/>
      <c r="L54" s="1084"/>
      <c r="M54" s="1084"/>
      <c r="N54" s="1218"/>
      <c r="O54" s="1218"/>
      <c r="P54" s="1218"/>
    </row>
    <row r="55" spans="1:16" s="1219" customFormat="1">
      <c r="A55" s="1217" t="s">
        <v>1876</v>
      </c>
      <c r="B55" s="1214"/>
      <c r="C55" s="1213"/>
      <c r="D55" s="1213"/>
      <c r="E55" s="1218"/>
      <c r="F55" s="1218"/>
      <c r="G55" s="1218"/>
      <c r="H55" s="1218"/>
      <c r="I55" s="1218"/>
      <c r="J55" s="1218"/>
      <c r="K55" s="1218"/>
      <c r="L55" s="1218"/>
      <c r="M55" s="1218"/>
      <c r="N55" s="1213"/>
      <c r="O55" s="1218"/>
      <c r="P55" s="1218"/>
    </row>
    <row r="56" spans="1:16" s="1219" customFormat="1">
      <c r="A56" s="1217" t="s">
        <v>1877</v>
      </c>
      <c r="B56" s="1218"/>
      <c r="C56" s="1213"/>
      <c r="D56" s="1213"/>
      <c r="E56" s="1218"/>
      <c r="F56" s="1218"/>
      <c r="G56" s="1218"/>
      <c r="H56" s="1218"/>
      <c r="I56" s="1218"/>
      <c r="J56" s="1218"/>
      <c r="K56" s="1218"/>
      <c r="L56" s="1218"/>
      <c r="M56" s="1218"/>
      <c r="N56" s="1213"/>
      <c r="O56" s="1218"/>
      <c r="P56" s="1218"/>
    </row>
    <row r="57" spans="1:16">
      <c r="A57" s="1214" t="s">
        <v>1878</v>
      </c>
      <c r="B57" s="1214"/>
      <c r="C57" s="1084"/>
      <c r="D57" s="1084"/>
      <c r="E57" s="1084"/>
      <c r="F57" s="1084"/>
      <c r="G57" s="1084"/>
      <c r="H57" s="1084"/>
      <c r="I57" s="1084"/>
      <c r="J57" s="1084"/>
      <c r="K57" s="1084"/>
      <c r="L57" s="1084"/>
      <c r="M57" s="1084"/>
      <c r="N57" s="1084"/>
      <c r="O57" s="1084"/>
      <c r="P57" s="1084"/>
    </row>
    <row r="58" spans="1:16">
      <c r="A58" s="1214" t="s">
        <v>1879</v>
      </c>
      <c r="B58" s="1214"/>
      <c r="C58" s="1084"/>
      <c r="D58" s="1084"/>
      <c r="E58" s="1084"/>
      <c r="F58" s="1084"/>
      <c r="G58" s="1084"/>
      <c r="H58" s="1084"/>
      <c r="I58" s="1084"/>
      <c r="J58" s="1084"/>
      <c r="K58" s="1084"/>
      <c r="L58" s="1084"/>
      <c r="M58" s="1084"/>
      <c r="N58" s="1084"/>
      <c r="O58" s="1084"/>
      <c r="P58" s="1084"/>
    </row>
    <row r="59" spans="1:16" s="1219" customFormat="1">
      <c r="A59" s="1214" t="s">
        <v>1880</v>
      </c>
      <c r="B59" s="1218"/>
      <c r="C59" s="1218"/>
      <c r="D59" s="1218"/>
      <c r="E59" s="1218"/>
      <c r="F59" s="1218"/>
      <c r="G59" s="1218"/>
      <c r="H59" s="1218"/>
      <c r="I59" s="1218"/>
      <c r="J59" s="1218"/>
      <c r="K59" s="1218"/>
      <c r="L59" s="1218"/>
      <c r="M59" s="1218"/>
      <c r="N59" s="1218"/>
      <c r="O59" s="1218"/>
      <c r="P59" s="1218"/>
    </row>
    <row r="60" spans="1:16" s="1219" customFormat="1">
      <c r="A60" s="1084" t="s">
        <v>1881</v>
      </c>
      <c r="B60" s="1220"/>
      <c r="C60" s="1218"/>
      <c r="D60" s="1218"/>
      <c r="E60" s="1218"/>
      <c r="F60" s="1218"/>
      <c r="G60" s="1218"/>
      <c r="H60" s="1218"/>
      <c r="I60" s="1218"/>
      <c r="J60" s="1218"/>
      <c r="K60" s="1218"/>
      <c r="L60" s="1218"/>
      <c r="M60" s="1218"/>
      <c r="N60" s="1218"/>
      <c r="O60" s="1218"/>
      <c r="P60" s="1218"/>
    </row>
    <row r="61" spans="1:16" s="1219" customFormat="1">
      <c r="A61" s="1084" t="s">
        <v>1882</v>
      </c>
      <c r="B61" s="1220"/>
      <c r="C61" s="1084"/>
      <c r="D61" s="1084"/>
      <c r="E61" s="1084"/>
      <c r="F61" s="1084"/>
      <c r="G61" s="1218"/>
      <c r="H61" s="1218"/>
      <c r="I61" s="1218"/>
      <c r="J61" s="1218"/>
      <c r="K61" s="1218"/>
      <c r="L61" s="1218"/>
      <c r="M61" s="1218"/>
      <c r="N61" s="1084"/>
      <c r="O61" s="1084"/>
      <c r="P61" s="1084"/>
    </row>
    <row r="62" spans="1:16" s="1219" customFormat="1">
      <c r="A62" s="1084" t="s">
        <v>1883</v>
      </c>
      <c r="B62" s="1214"/>
      <c r="C62" s="1084"/>
      <c r="D62" s="1084"/>
      <c r="E62" s="1084"/>
      <c r="F62" s="1084"/>
      <c r="G62" s="1218"/>
      <c r="H62" s="1218"/>
      <c r="I62" s="1218"/>
      <c r="J62" s="1218"/>
      <c r="K62" s="1218"/>
      <c r="L62" s="1218"/>
      <c r="M62" s="1218"/>
      <c r="N62" s="1084"/>
      <c r="O62" s="1084"/>
      <c r="P62" s="1084"/>
    </row>
    <row r="63" spans="1:16">
      <c r="A63" s="1084" t="s">
        <v>1884</v>
      </c>
      <c r="B63" s="1214"/>
      <c r="C63" s="1084"/>
      <c r="D63" s="1084"/>
      <c r="E63" s="1084"/>
      <c r="F63" s="1084"/>
      <c r="G63" s="1084"/>
      <c r="H63" s="1084"/>
      <c r="I63" s="1084"/>
      <c r="J63" s="1084"/>
      <c r="K63" s="1084"/>
      <c r="L63" s="1084"/>
      <c r="M63" s="1084"/>
      <c r="N63" s="1084"/>
      <c r="O63" s="1084"/>
      <c r="P63" s="1084"/>
    </row>
    <row r="64" spans="1:16" ht="15.75" customHeight="1">
      <c r="A64" s="1217" t="s">
        <v>1906</v>
      </c>
      <c r="B64" s="1084"/>
      <c r="C64" s="1084"/>
      <c r="D64" s="1084"/>
      <c r="E64" s="1084"/>
      <c r="F64" s="1084"/>
      <c r="G64" s="1084"/>
      <c r="H64" s="1084"/>
      <c r="I64" s="1084"/>
      <c r="J64" s="1084"/>
      <c r="K64" s="1084"/>
      <c r="L64" s="1084"/>
      <c r="M64" s="1084"/>
      <c r="N64" s="1084"/>
      <c r="O64" s="1084"/>
      <c r="P64" s="1084"/>
    </row>
    <row r="65" spans="1:16">
      <c r="A65" s="1217" t="s">
        <v>1885</v>
      </c>
      <c r="B65" s="1214"/>
      <c r="C65" s="1084"/>
      <c r="D65" s="1084"/>
      <c r="E65" s="1084"/>
      <c r="F65" s="1084"/>
      <c r="G65" s="1084"/>
      <c r="H65" s="1084"/>
      <c r="I65" s="1084"/>
      <c r="J65" s="1084"/>
      <c r="K65" s="1084"/>
      <c r="L65" s="1084"/>
      <c r="M65" s="1084"/>
      <c r="N65" s="1084"/>
      <c r="O65" s="1084"/>
      <c r="P65" s="1084"/>
    </row>
    <row r="66" spans="1:16">
      <c r="A66" s="1214" t="s">
        <v>1886</v>
      </c>
      <c r="B66" s="1214"/>
      <c r="C66" s="1084"/>
      <c r="D66" s="1084"/>
      <c r="E66" s="1084"/>
      <c r="F66" s="1084"/>
      <c r="G66" s="1084"/>
      <c r="H66" s="1084"/>
      <c r="I66" s="1084"/>
      <c r="J66" s="1084"/>
      <c r="K66" s="1084"/>
      <c r="L66" s="1084"/>
      <c r="M66" s="1084"/>
      <c r="N66" s="1084"/>
      <c r="O66" s="1084"/>
      <c r="P66" s="1084"/>
    </row>
    <row r="67" spans="1:16">
      <c r="A67" s="1217" t="s">
        <v>1887</v>
      </c>
      <c r="B67" s="1214"/>
      <c r="C67" s="1084"/>
      <c r="D67" s="1084"/>
      <c r="E67" s="1084"/>
      <c r="F67" s="1084"/>
      <c r="G67" s="1084"/>
      <c r="H67" s="1084"/>
      <c r="I67" s="1084"/>
      <c r="J67" s="1084"/>
      <c r="K67" s="1084"/>
      <c r="L67" s="1084"/>
      <c r="M67" s="1084"/>
      <c r="N67" s="1084"/>
      <c r="O67" s="1084"/>
      <c r="P67" s="1084"/>
    </row>
    <row r="68" spans="1:16">
      <c r="A68" s="1084"/>
      <c r="B68" s="1214"/>
      <c r="C68" s="1084"/>
      <c r="D68" s="1084"/>
      <c r="E68" s="1084"/>
      <c r="F68" s="1084"/>
      <c r="G68" s="1084"/>
      <c r="H68" s="1084"/>
      <c r="I68" s="1084"/>
      <c r="J68" s="1084"/>
      <c r="K68" s="1084"/>
      <c r="L68" s="1084"/>
      <c r="M68" s="1084"/>
      <c r="N68" s="1084"/>
      <c r="O68" s="1084"/>
      <c r="P68" s="1084"/>
    </row>
    <row r="69" spans="1:16">
      <c r="A69" s="1214"/>
      <c r="B69" s="1214"/>
      <c r="C69" s="1084"/>
      <c r="D69" s="1084"/>
      <c r="E69" s="1221"/>
      <c r="F69" s="1084"/>
      <c r="G69" s="1084"/>
      <c r="H69" s="1084"/>
      <c r="I69" s="1084"/>
      <c r="J69" s="1084"/>
      <c r="K69" s="1084"/>
      <c r="L69" s="1084"/>
      <c r="M69" s="1084"/>
      <c r="N69" s="1084"/>
      <c r="O69" s="1221"/>
      <c r="P69" s="1084"/>
    </row>
    <row r="70" spans="1:16">
      <c r="A70" s="1214" t="s">
        <v>104</v>
      </c>
      <c r="B70" s="1214"/>
      <c r="C70" s="1084"/>
      <c r="D70" s="1084"/>
      <c r="E70" s="1084"/>
      <c r="F70" s="1084"/>
      <c r="G70" s="1084"/>
      <c r="H70" s="1084"/>
      <c r="I70" s="1084"/>
      <c r="J70" s="1084"/>
      <c r="K70" s="1084"/>
      <c r="L70" s="1084"/>
      <c r="M70" s="1084"/>
      <c r="N70" s="1084"/>
      <c r="O70" s="1084"/>
      <c r="P70" s="1084"/>
    </row>
    <row r="71" spans="1:16">
      <c r="A71" s="1214"/>
      <c r="B71" s="1214"/>
      <c r="C71" s="1084"/>
      <c r="D71" s="1084"/>
      <c r="E71" s="1084"/>
      <c r="F71" s="1084"/>
      <c r="G71" s="1084"/>
      <c r="H71" s="1084"/>
      <c r="I71" s="1084"/>
      <c r="J71" s="1084"/>
      <c r="K71" s="1084"/>
      <c r="L71" s="1084"/>
      <c r="M71" s="1084"/>
      <c r="N71" s="1084"/>
      <c r="O71" s="1084"/>
      <c r="P71" s="1084"/>
    </row>
    <row r="72" spans="1:16">
      <c r="A72" s="1214"/>
      <c r="B72" s="1214"/>
      <c r="C72" s="1084"/>
      <c r="D72" s="1084"/>
      <c r="E72" s="1084"/>
      <c r="F72" s="1084"/>
      <c r="G72" s="1084"/>
      <c r="H72" s="1084"/>
      <c r="I72" s="1084"/>
      <c r="J72" s="1084"/>
      <c r="K72" s="1084"/>
      <c r="L72" s="1084"/>
      <c r="M72" s="1084"/>
      <c r="N72" s="1084"/>
      <c r="O72" s="1084"/>
      <c r="P72" s="1084"/>
    </row>
    <row r="73" spans="1:16">
      <c r="A73" s="1214"/>
      <c r="B73" s="1214"/>
      <c r="C73" s="1084"/>
      <c r="D73" s="1084"/>
      <c r="E73" s="1084"/>
      <c r="F73" s="1084"/>
      <c r="G73" s="1084"/>
      <c r="H73" s="1084"/>
      <c r="I73" s="1084"/>
      <c r="J73" s="1084"/>
      <c r="K73" s="1084"/>
      <c r="L73" s="1084"/>
      <c r="M73" s="1084"/>
      <c r="N73" s="1084"/>
      <c r="O73" s="1084"/>
      <c r="P73" s="1084"/>
    </row>
    <row r="74" spans="1:16">
      <c r="A74" s="1214"/>
      <c r="B74" s="1214"/>
      <c r="C74" s="1084"/>
      <c r="D74" s="1084"/>
      <c r="E74" s="1084"/>
      <c r="F74" s="1084"/>
      <c r="G74" s="1084"/>
      <c r="H74" s="1084"/>
      <c r="I74" s="1084"/>
      <c r="J74" s="1084"/>
      <c r="K74" s="1084"/>
      <c r="L74" s="1084"/>
      <c r="M74" s="1084"/>
      <c r="N74" s="1084"/>
      <c r="O74" s="1084"/>
      <c r="P74" s="1084"/>
    </row>
    <row r="75" spans="1:16">
      <c r="A75" s="1214"/>
      <c r="B75" s="1084"/>
      <c r="C75" s="1084"/>
      <c r="D75" s="1084"/>
      <c r="E75" s="1084"/>
      <c r="F75" s="1084"/>
      <c r="G75" s="1084"/>
      <c r="H75" s="1084"/>
      <c r="I75" s="1084"/>
      <c r="J75" s="1084"/>
      <c r="K75" s="1084"/>
      <c r="L75" s="1084"/>
      <c r="M75" s="1084"/>
      <c r="N75" s="1084"/>
      <c r="O75" s="1084"/>
      <c r="P75" s="1084"/>
    </row>
    <row r="76" spans="1:16">
      <c r="A76" s="1214"/>
      <c r="B76" s="1084"/>
      <c r="C76" s="1084"/>
      <c r="D76" s="1084"/>
      <c r="E76" s="1084"/>
      <c r="F76" s="1084"/>
      <c r="G76" s="1084"/>
      <c r="H76" s="1084"/>
      <c r="I76" s="1084"/>
      <c r="J76" s="1084"/>
      <c r="K76" s="1084"/>
      <c r="L76" s="1084"/>
      <c r="M76" s="1084"/>
      <c r="N76" s="1084"/>
      <c r="O76" s="1084"/>
      <c r="P76" s="1084"/>
    </row>
    <row r="77" spans="1:16">
      <c r="A77" s="1084"/>
      <c r="B77" s="1084"/>
      <c r="C77" s="1084"/>
      <c r="D77" s="1084"/>
      <c r="E77" s="1084"/>
      <c r="F77" s="1084"/>
      <c r="G77" s="1084"/>
      <c r="H77" s="1084"/>
      <c r="I77" s="1084"/>
      <c r="J77" s="1084"/>
      <c r="K77" s="1084"/>
      <c r="L77" s="1084"/>
      <c r="M77" s="1084"/>
      <c r="N77" s="1084"/>
      <c r="O77" s="1084"/>
      <c r="P77" s="1084"/>
    </row>
    <row r="78" spans="1:16">
      <c r="A78" s="1084"/>
      <c r="B78" s="1084"/>
      <c r="C78" s="1084"/>
      <c r="D78" s="1084"/>
      <c r="E78" s="1084"/>
      <c r="F78" s="1084"/>
      <c r="G78" s="1084"/>
      <c r="H78" s="1084"/>
      <c r="I78" s="1084"/>
      <c r="J78" s="1084"/>
      <c r="K78" s="1084"/>
      <c r="L78" s="1084"/>
      <c r="M78" s="1084"/>
      <c r="N78" s="1084"/>
      <c r="O78" s="1084"/>
      <c r="P78" s="1084"/>
    </row>
    <row r="79" spans="1:16">
      <c r="A79" s="1084"/>
      <c r="B79" s="1214"/>
      <c r="C79" s="1084"/>
      <c r="D79" s="1084"/>
      <c r="E79" s="1084"/>
      <c r="F79" s="1084"/>
      <c r="G79" s="1084"/>
      <c r="H79" s="1084"/>
      <c r="I79" s="1084"/>
      <c r="J79" s="1084"/>
      <c r="K79" s="1084"/>
      <c r="L79" s="1084"/>
      <c r="M79" s="1084"/>
      <c r="N79" s="1084"/>
      <c r="O79" s="1084"/>
      <c r="P79" s="1084"/>
    </row>
    <row r="80" spans="1:16">
      <c r="A80" s="1084"/>
      <c r="B80" s="1214"/>
      <c r="C80" s="1084"/>
      <c r="D80" s="1084"/>
      <c r="E80" s="1084"/>
      <c r="F80" s="1084"/>
      <c r="G80" s="1084"/>
      <c r="H80" s="1084"/>
      <c r="I80" s="1084"/>
      <c r="J80" s="1084"/>
      <c r="K80" s="1084"/>
      <c r="L80" s="1084"/>
      <c r="M80" s="1084"/>
      <c r="N80" s="1084"/>
      <c r="O80" s="1084"/>
      <c r="P80" s="1084"/>
    </row>
    <row r="81" spans="1:16" ht="16">
      <c r="A81" s="1083"/>
      <c r="B81" s="1214"/>
      <c r="C81" s="1084"/>
      <c r="D81" s="1084"/>
      <c r="E81" s="1084"/>
      <c r="F81" s="1084"/>
      <c r="G81" s="1084"/>
      <c r="H81" s="1084"/>
      <c r="I81" s="1084"/>
      <c r="J81" s="1084"/>
      <c r="K81" s="1084"/>
      <c r="L81" s="1084"/>
      <c r="M81" s="1084"/>
      <c r="N81" s="1084"/>
      <c r="O81" s="1084"/>
      <c r="P81" s="1084"/>
    </row>
    <row r="82" spans="1:16">
      <c r="A82" s="1214"/>
      <c r="B82" s="1214"/>
      <c r="C82" s="1084"/>
      <c r="D82" s="1084"/>
      <c r="E82" s="1084"/>
      <c r="F82" s="1084"/>
      <c r="G82" s="1084"/>
      <c r="H82" s="1084"/>
      <c r="I82" s="1084"/>
      <c r="J82" s="1084"/>
      <c r="K82" s="1084"/>
      <c r="L82" s="1084"/>
      <c r="M82" s="1084"/>
      <c r="N82" s="1084"/>
      <c r="O82" s="1084"/>
      <c r="P82" s="1084"/>
    </row>
    <row r="83" spans="1:16">
      <c r="A83" s="1214"/>
      <c r="B83" s="1214"/>
      <c r="C83" s="1084"/>
      <c r="D83" s="1084"/>
      <c r="E83" s="1084"/>
      <c r="F83" s="1084"/>
      <c r="G83" s="1084"/>
      <c r="H83" s="1084"/>
      <c r="I83" s="1084"/>
      <c r="J83" s="1084"/>
      <c r="K83" s="1084"/>
      <c r="L83" s="1084"/>
      <c r="M83" s="1084"/>
      <c r="N83" s="1084"/>
      <c r="O83" s="1084"/>
      <c r="P83" s="1084"/>
    </row>
    <row r="84" spans="1:16">
      <c r="A84" s="1214"/>
      <c r="B84" s="1214"/>
      <c r="C84" s="1084"/>
      <c r="D84" s="1084"/>
      <c r="E84" s="1084"/>
      <c r="F84" s="1084"/>
      <c r="G84" s="1084"/>
      <c r="H84" s="1084"/>
      <c r="I84" s="1084"/>
      <c r="J84" s="1084"/>
      <c r="K84" s="1084"/>
      <c r="L84" s="1084"/>
      <c r="M84" s="1084"/>
      <c r="N84" s="1084"/>
      <c r="O84" s="1084"/>
      <c r="P84" s="1084"/>
    </row>
    <row r="85" spans="1:16">
      <c r="A85" s="1214"/>
      <c r="B85" s="1214"/>
      <c r="C85" s="1084"/>
      <c r="D85" s="1084"/>
      <c r="E85" s="1084"/>
      <c r="F85" s="1084"/>
      <c r="G85" s="1084"/>
      <c r="H85" s="1084"/>
      <c r="I85" s="1084"/>
      <c r="J85" s="1084"/>
      <c r="K85" s="1084"/>
      <c r="L85" s="1084"/>
      <c r="M85" s="1084"/>
      <c r="N85" s="1084"/>
      <c r="O85" s="1084"/>
      <c r="P85" s="1084"/>
    </row>
    <row r="86" spans="1:16">
      <c r="A86" s="1214"/>
      <c r="B86" s="1214"/>
      <c r="C86" s="1084"/>
      <c r="D86" s="1084"/>
      <c r="E86" s="1084"/>
      <c r="F86" s="1084"/>
      <c r="G86" s="1084"/>
      <c r="H86" s="1084"/>
      <c r="I86" s="1084"/>
      <c r="J86" s="1084"/>
      <c r="K86" s="1084"/>
      <c r="L86" s="1084"/>
      <c r="M86" s="1084"/>
      <c r="N86" s="1084"/>
      <c r="O86" s="1084"/>
      <c r="P86" s="1084"/>
    </row>
    <row r="87" spans="1:16">
      <c r="A87" s="1214"/>
      <c r="B87" s="1214"/>
      <c r="C87" s="1084"/>
      <c r="D87" s="1084"/>
      <c r="E87" s="1084"/>
      <c r="F87" s="1084"/>
      <c r="G87" s="1084"/>
      <c r="H87" s="1084"/>
      <c r="I87" s="1084"/>
      <c r="J87" s="1084"/>
      <c r="K87" s="1084"/>
      <c r="L87" s="1084"/>
      <c r="M87" s="1084"/>
      <c r="N87" s="1084"/>
      <c r="O87" s="1084"/>
      <c r="P87" s="1084"/>
    </row>
    <row r="88" spans="1:16">
      <c r="A88" s="1214"/>
      <c r="B88" s="1214"/>
      <c r="C88" s="1084"/>
      <c r="D88" s="1084"/>
      <c r="E88" s="1084"/>
      <c r="F88" s="1084"/>
      <c r="G88" s="1084"/>
      <c r="H88" s="1084"/>
      <c r="I88" s="1084"/>
      <c r="J88" s="1084"/>
      <c r="K88" s="1084"/>
      <c r="L88" s="1084"/>
      <c r="M88" s="1084"/>
      <c r="N88" s="1084"/>
      <c r="O88" s="1084"/>
      <c r="P88" s="1084"/>
    </row>
    <row r="89" spans="1:16">
      <c r="A89" s="1214"/>
      <c r="B89" s="1214"/>
      <c r="C89" s="1084"/>
      <c r="D89" s="1084"/>
      <c r="E89" s="1084"/>
      <c r="F89" s="1084"/>
      <c r="G89" s="1084"/>
      <c r="H89" s="1084"/>
      <c r="I89" s="1084"/>
      <c r="J89" s="1084"/>
      <c r="K89" s="1084"/>
      <c r="L89" s="1084"/>
      <c r="M89" s="1084"/>
      <c r="N89" s="1084"/>
      <c r="O89" s="1084"/>
      <c r="P89" s="1084"/>
    </row>
    <row r="90" spans="1:16">
      <c r="A90" s="1214"/>
      <c r="B90" s="1214"/>
      <c r="C90" s="1084"/>
      <c r="D90" s="1084"/>
      <c r="E90" s="1084"/>
      <c r="F90" s="1084"/>
      <c r="G90" s="1084"/>
      <c r="H90" s="1084"/>
      <c r="I90" s="1084"/>
      <c r="J90" s="1084"/>
      <c r="K90" s="1084"/>
      <c r="L90" s="1084"/>
      <c r="M90" s="1084"/>
      <c r="N90" s="1084"/>
      <c r="O90" s="1084"/>
      <c r="P90" s="1084"/>
    </row>
    <row r="91" spans="1:16">
      <c r="A91" s="1084"/>
      <c r="B91" s="1214"/>
      <c r="C91" s="1084"/>
      <c r="D91" s="1084"/>
      <c r="E91" s="1084"/>
      <c r="F91" s="1084"/>
      <c r="G91" s="1084"/>
      <c r="H91" s="1084"/>
      <c r="I91" s="1084"/>
      <c r="J91" s="1084"/>
      <c r="K91" s="1084"/>
      <c r="L91" s="1084"/>
      <c r="M91" s="1084"/>
      <c r="N91" s="1084"/>
      <c r="O91" s="1084"/>
      <c r="P91" s="1084"/>
    </row>
    <row r="92" spans="1:16">
      <c r="A92" s="1214"/>
      <c r="B92" s="1214"/>
      <c r="C92" s="1084"/>
      <c r="D92" s="1084"/>
      <c r="E92" s="1084"/>
      <c r="F92" s="1084"/>
      <c r="G92" s="1084"/>
      <c r="H92" s="1084"/>
      <c r="I92" s="1084"/>
      <c r="J92" s="1084"/>
      <c r="K92" s="1084"/>
      <c r="L92" s="1084"/>
      <c r="M92" s="1084"/>
      <c r="N92" s="1084"/>
      <c r="O92" s="1084"/>
      <c r="P92" s="1084"/>
    </row>
    <row r="93" spans="1:16">
      <c r="A93" s="1214"/>
      <c r="B93" s="1214"/>
      <c r="C93" s="1084"/>
      <c r="D93" s="1084"/>
      <c r="E93" s="1084"/>
      <c r="F93" s="1084"/>
      <c r="G93" s="1084"/>
      <c r="H93" s="1084"/>
      <c r="I93" s="1084"/>
      <c r="J93" s="1084"/>
      <c r="K93" s="1084"/>
      <c r="L93" s="1084"/>
      <c r="M93" s="1084"/>
      <c r="N93" s="1084"/>
      <c r="O93" s="1084"/>
      <c r="P93" s="1084"/>
    </row>
    <row r="94" spans="1:16">
      <c r="A94" s="1214"/>
      <c r="B94" s="1214"/>
      <c r="C94" s="1084"/>
      <c r="D94" s="1084"/>
      <c r="E94" s="1084"/>
      <c r="F94" s="1084"/>
      <c r="G94" s="1084"/>
      <c r="H94" s="1084"/>
      <c r="I94" s="1084"/>
      <c r="J94" s="1084"/>
      <c r="K94" s="1084"/>
      <c r="L94" s="1084"/>
      <c r="M94" s="1084"/>
      <c r="N94" s="1084"/>
      <c r="O94" s="1084"/>
      <c r="P94" s="1084"/>
    </row>
    <row r="95" spans="1:16">
      <c r="A95" s="1214"/>
      <c r="B95" s="1214"/>
      <c r="C95" s="1084"/>
      <c r="D95" s="1084"/>
      <c r="E95" s="1084"/>
      <c r="F95" s="1084"/>
      <c r="G95" s="1084"/>
      <c r="H95" s="1084"/>
      <c r="I95" s="1084"/>
      <c r="J95" s="1084"/>
      <c r="K95" s="1084"/>
      <c r="L95" s="1084"/>
      <c r="M95" s="1084"/>
      <c r="N95" s="1084"/>
      <c r="O95" s="1084"/>
      <c r="P95" s="1084"/>
    </row>
    <row r="96" spans="1:16">
      <c r="A96" s="1214"/>
      <c r="B96" s="1214"/>
      <c r="C96" s="1084"/>
      <c r="D96" s="1084"/>
      <c r="E96" s="1084"/>
      <c r="F96" s="1084"/>
      <c r="G96" s="1084"/>
      <c r="H96" s="1084"/>
      <c r="I96" s="1084"/>
      <c r="J96" s="1084"/>
      <c r="K96" s="1084"/>
      <c r="L96" s="1084"/>
      <c r="M96" s="1084"/>
      <c r="N96" s="1084"/>
      <c r="O96" s="1084"/>
      <c r="P96" s="1084"/>
    </row>
    <row r="97" spans="1:16">
      <c r="A97" s="1214"/>
      <c r="B97" s="1214"/>
      <c r="C97" s="1084"/>
      <c r="D97" s="1084"/>
      <c r="E97" s="1084"/>
      <c r="F97" s="1084"/>
      <c r="G97" s="1084"/>
      <c r="H97" s="1084"/>
      <c r="I97" s="1084"/>
      <c r="J97" s="1084"/>
      <c r="K97" s="1084"/>
      <c r="L97" s="1084"/>
      <c r="M97" s="1084"/>
      <c r="N97" s="1084"/>
      <c r="O97" s="1084"/>
      <c r="P97" s="1084"/>
    </row>
    <row r="98" spans="1:16">
      <c r="A98" s="1214"/>
      <c r="B98" s="1084"/>
      <c r="C98" s="1084"/>
      <c r="D98" s="1084"/>
      <c r="E98" s="1084"/>
      <c r="F98" s="1084"/>
      <c r="G98" s="1084"/>
      <c r="H98" s="1084"/>
      <c r="I98" s="1084"/>
      <c r="J98" s="1084"/>
      <c r="K98" s="1084"/>
      <c r="L98" s="1084"/>
      <c r="M98" s="1084"/>
      <c r="N98" s="1084"/>
      <c r="O98" s="1084"/>
      <c r="P98" s="1084"/>
    </row>
    <row r="99" spans="1:16">
      <c r="A99" s="1084"/>
      <c r="B99" s="1084"/>
      <c r="C99" s="1084"/>
      <c r="D99" s="1084"/>
      <c r="E99" s="1084"/>
      <c r="F99" s="1084"/>
      <c r="G99" s="1084"/>
      <c r="H99" s="1084"/>
      <c r="I99" s="1084"/>
      <c r="J99" s="1084"/>
      <c r="K99" s="1084"/>
      <c r="L99" s="1084"/>
      <c r="M99" s="1084"/>
      <c r="N99" s="1084"/>
      <c r="O99" s="1084"/>
      <c r="P99" s="1084"/>
    </row>
    <row r="100" spans="1:16">
      <c r="A100" s="1084"/>
      <c r="B100" s="1084"/>
      <c r="C100" s="1084"/>
      <c r="D100" s="1084"/>
      <c r="E100" s="1084"/>
      <c r="F100" s="1084"/>
      <c r="G100" s="1084"/>
      <c r="H100" s="1084"/>
      <c r="I100" s="1084"/>
      <c r="J100" s="1084"/>
      <c r="K100" s="1084"/>
      <c r="L100" s="1084"/>
      <c r="M100" s="1084"/>
      <c r="N100" s="1084"/>
      <c r="O100" s="1084"/>
      <c r="P100" s="1084"/>
    </row>
    <row r="101" spans="1:16">
      <c r="A101" s="1084"/>
      <c r="B101" s="1084"/>
      <c r="C101" s="1084"/>
      <c r="D101" s="1084"/>
      <c r="E101" s="1084"/>
      <c r="F101" s="1084"/>
      <c r="G101" s="1084"/>
      <c r="H101" s="1084"/>
      <c r="I101" s="1084"/>
      <c r="J101" s="1084"/>
      <c r="K101" s="1084"/>
      <c r="L101" s="1084"/>
      <c r="M101" s="1084"/>
      <c r="N101" s="1084"/>
      <c r="O101" s="1084"/>
      <c r="P101" s="1084"/>
    </row>
    <row r="102" spans="1:16">
      <c r="A102" s="1084"/>
      <c r="B102" s="1214"/>
      <c r="C102" s="1084"/>
      <c r="D102" s="1084"/>
      <c r="E102" s="1084"/>
      <c r="F102" s="1084"/>
      <c r="G102" s="1084"/>
      <c r="H102" s="1084"/>
      <c r="I102" s="1084"/>
      <c r="J102" s="1084"/>
      <c r="K102" s="1084"/>
      <c r="L102" s="1084"/>
      <c r="M102" s="1084"/>
      <c r="N102" s="1084"/>
      <c r="O102" s="1084"/>
      <c r="P102" s="1084"/>
    </row>
    <row r="103" spans="1:16">
      <c r="A103" s="1084"/>
      <c r="B103" s="1214"/>
      <c r="C103" s="1084"/>
      <c r="D103" s="1084"/>
      <c r="E103" s="1084"/>
      <c r="F103" s="1084"/>
      <c r="G103" s="1084"/>
      <c r="H103" s="1084"/>
      <c r="I103" s="1084"/>
      <c r="J103" s="1084"/>
      <c r="K103" s="1084"/>
      <c r="L103" s="1084"/>
      <c r="M103" s="1084"/>
      <c r="N103" s="1084"/>
      <c r="O103" s="1084"/>
      <c r="P103" s="1084"/>
    </row>
    <row r="104" spans="1:16">
      <c r="A104" s="1084"/>
      <c r="B104" s="1214"/>
      <c r="C104" s="1084"/>
      <c r="D104" s="1084"/>
      <c r="E104" s="1084"/>
      <c r="F104" s="1084"/>
      <c r="G104" s="1084"/>
      <c r="H104" s="1084"/>
      <c r="I104" s="1084"/>
      <c r="J104" s="1084"/>
      <c r="K104" s="1084"/>
      <c r="L104" s="1084"/>
      <c r="M104" s="1084"/>
      <c r="N104" s="1084"/>
      <c r="O104" s="1084"/>
      <c r="P104" s="1084"/>
    </row>
    <row r="105" spans="1:16">
      <c r="A105" s="1214"/>
      <c r="B105" s="1214"/>
      <c r="C105" s="1084"/>
      <c r="D105" s="1084"/>
      <c r="E105" s="1084"/>
      <c r="F105" s="1084"/>
      <c r="G105" s="1084"/>
      <c r="H105" s="1084"/>
      <c r="I105" s="1084"/>
      <c r="J105" s="1084"/>
      <c r="K105" s="1084"/>
      <c r="L105" s="1084"/>
      <c r="M105" s="1084"/>
      <c r="N105" s="1084"/>
      <c r="O105" s="1084"/>
      <c r="P105" s="1084"/>
    </row>
    <row r="106" spans="1:16">
      <c r="A106" s="1214"/>
      <c r="B106" s="1214"/>
      <c r="C106" s="1084"/>
      <c r="D106" s="1084"/>
      <c r="E106" s="1084"/>
      <c r="F106" s="1084"/>
      <c r="G106" s="1084"/>
      <c r="H106" s="1084"/>
      <c r="I106" s="1084"/>
      <c r="J106" s="1084"/>
      <c r="K106" s="1084"/>
      <c r="L106" s="1084"/>
      <c r="M106" s="1084"/>
      <c r="N106" s="1084"/>
      <c r="O106" s="1084"/>
      <c r="P106" s="1084"/>
    </row>
    <row r="107" spans="1:16">
      <c r="A107" s="1214"/>
      <c r="B107" s="1214"/>
      <c r="C107" s="1084"/>
      <c r="D107" s="1084"/>
      <c r="E107" s="1084"/>
      <c r="F107" s="1084"/>
      <c r="G107" s="1084"/>
      <c r="H107" s="1084"/>
      <c r="I107" s="1084"/>
      <c r="J107" s="1084"/>
      <c r="K107" s="1084"/>
      <c r="L107" s="1084"/>
      <c r="M107" s="1084"/>
      <c r="N107" s="1084"/>
      <c r="O107" s="1084"/>
      <c r="P107" s="1084"/>
    </row>
    <row r="108" spans="1:16">
      <c r="A108" s="1214"/>
      <c r="B108" s="1214"/>
      <c r="C108" s="1084"/>
      <c r="D108" s="1084"/>
      <c r="E108" s="1084"/>
      <c r="F108" s="1084"/>
      <c r="G108" s="1084"/>
      <c r="H108" s="1084"/>
      <c r="I108" s="1084"/>
      <c r="J108" s="1084"/>
      <c r="K108" s="1084"/>
      <c r="L108" s="1084"/>
      <c r="M108" s="1084"/>
      <c r="N108" s="1084"/>
      <c r="O108" s="1084"/>
      <c r="P108" s="1084"/>
    </row>
    <row r="109" spans="1:16">
      <c r="A109" s="1214"/>
      <c r="B109" s="1214"/>
      <c r="C109" s="1084"/>
      <c r="D109" s="1084"/>
      <c r="E109" s="1084"/>
      <c r="F109" s="1084"/>
      <c r="G109" s="1084"/>
      <c r="H109" s="1084"/>
      <c r="I109" s="1084"/>
      <c r="J109" s="1084"/>
      <c r="K109" s="1084"/>
      <c r="L109" s="1084"/>
      <c r="M109" s="1084"/>
      <c r="N109" s="1084"/>
      <c r="O109" s="1084"/>
      <c r="P109" s="1084"/>
    </row>
    <row r="110" spans="1:16">
      <c r="A110" s="1214"/>
      <c r="B110" s="1214"/>
      <c r="C110" s="1084"/>
      <c r="D110" s="1084"/>
      <c r="E110" s="1084"/>
      <c r="F110" s="1084"/>
      <c r="G110" s="1084"/>
      <c r="H110" s="1084"/>
      <c r="I110" s="1084"/>
      <c r="J110" s="1084"/>
      <c r="K110" s="1084"/>
      <c r="L110" s="1084"/>
      <c r="M110" s="1084"/>
      <c r="N110" s="1084"/>
      <c r="O110" s="1084"/>
      <c r="P110" s="1084"/>
    </row>
    <row r="111" spans="1:16" ht="16">
      <c r="A111" s="1083"/>
      <c r="B111" s="1214"/>
      <c r="C111" s="1084"/>
      <c r="D111" s="1084"/>
      <c r="E111" s="1084"/>
      <c r="F111" s="1084"/>
      <c r="G111" s="1084"/>
      <c r="H111" s="1084"/>
      <c r="I111" s="1084"/>
      <c r="J111" s="1084"/>
      <c r="K111" s="1084"/>
      <c r="L111" s="1084"/>
      <c r="M111" s="1084"/>
      <c r="N111" s="1084"/>
      <c r="O111" s="1084"/>
      <c r="P111" s="1084"/>
    </row>
    <row r="112" spans="1:16">
      <c r="A112" s="1214"/>
      <c r="B112" s="1214"/>
      <c r="C112" s="1084"/>
      <c r="D112" s="1084"/>
      <c r="E112" s="1084"/>
      <c r="F112" s="1084"/>
      <c r="G112" s="1084"/>
      <c r="H112" s="1084"/>
      <c r="I112" s="1084"/>
      <c r="J112" s="1084"/>
      <c r="K112" s="1084"/>
      <c r="L112" s="1084"/>
      <c r="M112" s="1084"/>
      <c r="N112" s="1084"/>
      <c r="O112" s="1084"/>
      <c r="P112" s="1084"/>
    </row>
    <row r="113" spans="1:16">
      <c r="A113" s="1084"/>
      <c r="B113" s="1214"/>
      <c r="C113" s="1084"/>
      <c r="D113" s="1084"/>
      <c r="E113" s="1084"/>
      <c r="F113" s="1084"/>
      <c r="G113" s="1084"/>
      <c r="H113" s="1084"/>
      <c r="I113" s="1084"/>
      <c r="J113" s="1084"/>
      <c r="K113" s="1084"/>
      <c r="L113" s="1084"/>
      <c r="M113" s="1084"/>
      <c r="N113" s="1084"/>
      <c r="O113" s="1084"/>
      <c r="P113" s="1084"/>
    </row>
    <row r="114" spans="1:16">
      <c r="A114" s="1214"/>
      <c r="B114" s="1214"/>
      <c r="C114" s="1084"/>
      <c r="D114" s="1084"/>
      <c r="E114" s="1084"/>
      <c r="F114" s="1084"/>
      <c r="G114" s="1084"/>
      <c r="H114" s="1084"/>
      <c r="I114" s="1084"/>
      <c r="J114" s="1084"/>
      <c r="K114" s="1084"/>
      <c r="L114" s="1084"/>
      <c r="M114" s="1084"/>
      <c r="N114" s="1084"/>
      <c r="O114" s="1084"/>
      <c r="P114" s="1084"/>
    </row>
    <row r="115" spans="1:16">
      <c r="A115" s="1214"/>
      <c r="B115" s="1214"/>
      <c r="C115" s="1084"/>
      <c r="D115" s="1084"/>
      <c r="E115" s="1084"/>
      <c r="F115" s="1084"/>
      <c r="G115" s="1084"/>
      <c r="H115" s="1084"/>
      <c r="I115" s="1084"/>
      <c r="J115" s="1084"/>
      <c r="K115" s="1084"/>
      <c r="L115" s="1084"/>
      <c r="M115" s="1084"/>
      <c r="N115" s="1084"/>
      <c r="O115" s="1084"/>
      <c r="P115" s="1084"/>
    </row>
    <row r="116" spans="1:16">
      <c r="A116" s="1214"/>
      <c r="B116" s="1214"/>
      <c r="C116" s="1084"/>
      <c r="D116" s="1084"/>
      <c r="E116" s="1084"/>
      <c r="F116" s="1084"/>
      <c r="G116" s="1084"/>
      <c r="H116" s="1084"/>
      <c r="I116" s="1084"/>
      <c r="J116" s="1084"/>
      <c r="K116" s="1084"/>
      <c r="L116" s="1084"/>
      <c r="M116" s="1084"/>
      <c r="N116" s="1084"/>
      <c r="O116" s="1084"/>
      <c r="P116" s="1084"/>
    </row>
    <row r="117" spans="1:16">
      <c r="A117" s="1214"/>
      <c r="B117" s="1214"/>
      <c r="C117" s="1084"/>
      <c r="D117" s="1084"/>
      <c r="E117" s="1084"/>
      <c r="F117" s="1084"/>
      <c r="G117" s="1084"/>
      <c r="H117" s="1084"/>
      <c r="I117" s="1084"/>
      <c r="J117" s="1084"/>
      <c r="K117" s="1084"/>
      <c r="L117" s="1084"/>
      <c r="M117" s="1084"/>
      <c r="N117" s="1084"/>
      <c r="O117" s="1084"/>
      <c r="P117" s="1084"/>
    </row>
    <row r="118" spans="1:16">
      <c r="A118" s="1084"/>
      <c r="B118" s="1084"/>
      <c r="C118" s="1084"/>
      <c r="D118" s="1084"/>
      <c r="E118" s="1084"/>
      <c r="F118" s="1084"/>
      <c r="G118" s="1084"/>
      <c r="H118" s="1084"/>
      <c r="I118" s="1084"/>
      <c r="J118" s="1084"/>
      <c r="K118" s="1084"/>
      <c r="L118" s="1084"/>
      <c r="M118" s="1084"/>
      <c r="N118" s="1084"/>
      <c r="O118" s="1084"/>
      <c r="P118" s="1084"/>
    </row>
    <row r="119" spans="1:16">
      <c r="A119" s="1084"/>
      <c r="B119" s="1084"/>
      <c r="C119" s="1084"/>
      <c r="D119" s="1084"/>
      <c r="E119" s="1084"/>
      <c r="F119" s="1084"/>
      <c r="G119" s="1084"/>
      <c r="H119" s="1084"/>
      <c r="I119" s="1084"/>
      <c r="J119" s="1084"/>
      <c r="K119" s="1084"/>
      <c r="L119" s="1084"/>
      <c r="M119" s="1084"/>
      <c r="N119" s="1084"/>
      <c r="O119" s="1084"/>
      <c r="P119" s="1084"/>
    </row>
    <row r="120" spans="1:16">
      <c r="A120" s="1084"/>
      <c r="B120" s="1084"/>
      <c r="C120" s="1084"/>
      <c r="D120" s="1084"/>
      <c r="E120" s="1084"/>
      <c r="F120" s="1084"/>
      <c r="G120" s="1084"/>
      <c r="H120" s="1084"/>
      <c r="I120" s="1084"/>
      <c r="J120" s="1084"/>
      <c r="K120" s="1084"/>
      <c r="L120" s="1084"/>
      <c r="M120" s="1084"/>
      <c r="N120" s="1084"/>
      <c r="O120" s="1084"/>
      <c r="P120" s="1084"/>
    </row>
    <row r="121" spans="1:16">
      <c r="A121" s="1084"/>
      <c r="B121" s="1084"/>
      <c r="C121" s="1084"/>
      <c r="D121" s="1084"/>
      <c r="E121" s="1084"/>
      <c r="F121" s="1084"/>
      <c r="G121" s="1084"/>
      <c r="H121" s="1084"/>
      <c r="I121" s="1084"/>
      <c r="J121" s="1084"/>
      <c r="K121" s="1084"/>
      <c r="L121" s="1084"/>
      <c r="M121" s="1084"/>
      <c r="N121" s="1084"/>
      <c r="O121" s="1084"/>
      <c r="P121" s="1084"/>
    </row>
    <row r="122" spans="1:16">
      <c r="A122" s="1084"/>
      <c r="B122" s="1084"/>
      <c r="C122" s="1084"/>
      <c r="D122" s="1084"/>
      <c r="E122" s="1084"/>
      <c r="F122" s="1084"/>
      <c r="G122" s="1084"/>
      <c r="H122" s="1084"/>
      <c r="I122" s="1084"/>
      <c r="J122" s="1084"/>
      <c r="K122" s="1084"/>
      <c r="L122" s="1084"/>
      <c r="M122" s="1084"/>
      <c r="N122" s="1084"/>
      <c r="O122" s="1084"/>
      <c r="P122" s="1084"/>
    </row>
    <row r="123" spans="1:16">
      <c r="A123" s="1084"/>
      <c r="B123" s="1084"/>
      <c r="C123" s="1084"/>
      <c r="D123" s="1084"/>
      <c r="E123" s="1084"/>
      <c r="F123" s="1084"/>
      <c r="G123" s="1084"/>
      <c r="H123" s="1084"/>
      <c r="I123" s="1084"/>
      <c r="J123" s="1084"/>
      <c r="K123" s="1084"/>
      <c r="L123" s="1084"/>
      <c r="M123" s="1084"/>
      <c r="N123" s="1084"/>
      <c r="O123" s="1084"/>
      <c r="P123" s="1084"/>
    </row>
    <row r="124" spans="1:16">
      <c r="A124" s="1084"/>
      <c r="B124" s="1084"/>
      <c r="C124" s="1084"/>
      <c r="D124" s="1084"/>
      <c r="E124" s="1084"/>
      <c r="F124" s="1084"/>
      <c r="G124" s="1084"/>
      <c r="H124" s="1084"/>
      <c r="I124" s="1084"/>
      <c r="J124" s="1084"/>
      <c r="K124" s="1084"/>
      <c r="L124" s="1084"/>
      <c r="M124" s="1084"/>
      <c r="N124" s="1084"/>
      <c r="O124" s="1084"/>
      <c r="P124" s="1084"/>
    </row>
    <row r="125" spans="1:16">
      <c r="A125" s="1084"/>
      <c r="B125" s="1084"/>
      <c r="C125" s="1084"/>
      <c r="D125" s="1084"/>
      <c r="E125" s="1084"/>
      <c r="F125" s="1084"/>
      <c r="G125" s="1084"/>
      <c r="H125" s="1084"/>
      <c r="I125" s="1084"/>
      <c r="J125" s="1084"/>
      <c r="K125" s="1084"/>
      <c r="L125" s="1084"/>
      <c r="M125" s="1084"/>
      <c r="N125" s="1084"/>
      <c r="O125" s="1084"/>
      <c r="P125" s="1084"/>
    </row>
    <row r="126" spans="1:16">
      <c r="A126" s="1084"/>
      <c r="B126" s="1084"/>
      <c r="C126" s="1084"/>
      <c r="D126" s="1084"/>
      <c r="E126" s="1084"/>
      <c r="F126" s="1084"/>
      <c r="G126" s="1084"/>
      <c r="H126" s="1084"/>
      <c r="I126" s="1084"/>
      <c r="J126" s="1084"/>
      <c r="K126" s="1084"/>
      <c r="L126" s="1084"/>
      <c r="M126" s="1084"/>
      <c r="N126" s="1084"/>
      <c r="O126" s="1084"/>
      <c r="P126" s="1084"/>
    </row>
    <row r="127" spans="1:16">
      <c r="A127" s="1084"/>
      <c r="B127" s="1084"/>
      <c r="C127" s="1084"/>
      <c r="D127" s="1084"/>
      <c r="E127" s="1084"/>
      <c r="F127" s="1084"/>
      <c r="G127" s="1084"/>
      <c r="H127" s="1084"/>
      <c r="I127" s="1084"/>
      <c r="J127" s="1084"/>
      <c r="K127" s="1084"/>
      <c r="L127" s="1084"/>
      <c r="M127" s="1084"/>
      <c r="N127" s="1084"/>
      <c r="O127" s="1084"/>
      <c r="P127" s="1084"/>
    </row>
    <row r="128" spans="1:16">
      <c r="A128" s="1084"/>
      <c r="B128" s="1084"/>
      <c r="C128" s="1084"/>
      <c r="D128" s="1084"/>
      <c r="E128" s="1084"/>
      <c r="F128" s="1084"/>
      <c r="G128" s="1084"/>
      <c r="H128" s="1084"/>
      <c r="I128" s="1084"/>
      <c r="J128" s="1084"/>
      <c r="K128" s="1084"/>
      <c r="L128" s="1084"/>
      <c r="M128" s="1084"/>
      <c r="N128" s="1084"/>
      <c r="O128" s="1084"/>
      <c r="P128" s="1084"/>
    </row>
    <row r="129" spans="1:16">
      <c r="A129" s="1084"/>
      <c r="B129" s="1084"/>
      <c r="C129" s="1084"/>
      <c r="D129" s="1084"/>
      <c r="E129" s="1084"/>
      <c r="F129" s="1084"/>
      <c r="G129" s="1084"/>
      <c r="H129" s="1084"/>
      <c r="I129" s="1084"/>
      <c r="J129" s="1084"/>
      <c r="K129" s="1084"/>
      <c r="L129" s="1084"/>
      <c r="M129" s="1084"/>
      <c r="N129" s="1084"/>
      <c r="O129" s="1084"/>
      <c r="P129" s="1084"/>
    </row>
    <row r="130" spans="1:16">
      <c r="A130" s="1084"/>
      <c r="B130" s="1084"/>
      <c r="C130" s="1084"/>
      <c r="D130" s="1084"/>
      <c r="E130" s="1084"/>
      <c r="F130" s="1084"/>
      <c r="G130" s="1084"/>
      <c r="H130" s="1084"/>
      <c r="I130" s="1084"/>
      <c r="J130" s="1084"/>
      <c r="K130" s="1084"/>
      <c r="L130" s="1084"/>
      <c r="M130" s="1084"/>
      <c r="N130" s="1084"/>
      <c r="O130" s="1084"/>
      <c r="P130" s="1084"/>
    </row>
    <row r="131" spans="1:16">
      <c r="A131" s="1084"/>
      <c r="B131" s="1084"/>
      <c r="C131" s="1084"/>
      <c r="D131" s="1084"/>
      <c r="E131" s="1084"/>
      <c r="F131" s="1084"/>
      <c r="G131" s="1084"/>
      <c r="H131" s="1084"/>
      <c r="I131" s="1084"/>
      <c r="J131" s="1084"/>
      <c r="K131" s="1084"/>
      <c r="L131" s="1084"/>
      <c r="M131" s="1084"/>
      <c r="N131" s="1084"/>
      <c r="O131" s="1084"/>
      <c r="P131" s="1084"/>
    </row>
    <row r="132" spans="1:16">
      <c r="A132" s="1084"/>
      <c r="B132" s="1084"/>
      <c r="C132" s="1084"/>
      <c r="D132" s="1084"/>
      <c r="E132" s="1084"/>
      <c r="F132" s="1084"/>
      <c r="G132" s="1084"/>
      <c r="H132" s="1084"/>
      <c r="I132" s="1084"/>
      <c r="J132" s="1084"/>
      <c r="K132" s="1084"/>
      <c r="L132" s="1084"/>
      <c r="M132" s="1084"/>
      <c r="N132" s="1084"/>
      <c r="O132" s="1084"/>
      <c r="P132" s="1084"/>
    </row>
    <row r="133" spans="1:16">
      <c r="A133" s="1084"/>
      <c r="B133" s="1084"/>
      <c r="C133" s="1084"/>
      <c r="D133" s="1084"/>
      <c r="E133" s="1084"/>
      <c r="F133" s="1084"/>
      <c r="G133" s="1084"/>
      <c r="H133" s="1084"/>
      <c r="I133" s="1084"/>
      <c r="J133" s="1084"/>
      <c r="K133" s="1084"/>
      <c r="L133" s="1084"/>
      <c r="M133" s="1084"/>
      <c r="N133" s="1084"/>
      <c r="O133" s="1084"/>
      <c r="P133" s="1084"/>
    </row>
    <row r="134" spans="1:16">
      <c r="A134" s="1084"/>
      <c r="B134" s="1084"/>
      <c r="C134" s="1084"/>
      <c r="D134" s="1084"/>
      <c r="E134" s="1084"/>
      <c r="F134" s="1084"/>
      <c r="G134" s="1084"/>
      <c r="H134" s="1084"/>
      <c r="I134" s="1084"/>
      <c r="J134" s="1084"/>
      <c r="K134" s="1084"/>
      <c r="L134" s="1084"/>
      <c r="M134" s="1084"/>
      <c r="N134" s="1084"/>
      <c r="O134" s="1084"/>
      <c r="P134" s="1084"/>
    </row>
    <row r="135" spans="1:16">
      <c r="A135" s="1084"/>
      <c r="B135" s="1084"/>
      <c r="C135" s="1084"/>
      <c r="D135" s="1084"/>
      <c r="E135" s="1084"/>
      <c r="F135" s="1084"/>
      <c r="G135" s="1084"/>
      <c r="H135" s="1084"/>
      <c r="I135" s="1084"/>
      <c r="J135" s="1084"/>
      <c r="K135" s="1084"/>
      <c r="L135" s="1084"/>
      <c r="M135" s="1084"/>
      <c r="N135" s="1084"/>
      <c r="O135" s="1084"/>
      <c r="P135" s="1084"/>
    </row>
    <row r="136" spans="1:16">
      <c r="A136" s="1084"/>
      <c r="B136" s="1084"/>
      <c r="C136" s="1084"/>
      <c r="D136" s="1084"/>
      <c r="E136" s="1084"/>
      <c r="F136" s="1084"/>
      <c r="G136" s="1084"/>
      <c r="H136" s="1084"/>
      <c r="I136" s="1084"/>
      <c r="J136" s="1084"/>
      <c r="K136" s="1084"/>
      <c r="L136" s="1084"/>
      <c r="M136" s="1084"/>
      <c r="N136" s="1084"/>
      <c r="O136" s="1084"/>
      <c r="P136" s="1084"/>
    </row>
    <row r="137" spans="1:16">
      <c r="A137" s="1084"/>
      <c r="B137" s="1084"/>
      <c r="C137" s="1084"/>
      <c r="D137" s="1084"/>
      <c r="E137" s="1084"/>
      <c r="F137" s="1084"/>
      <c r="G137" s="1084"/>
      <c r="H137" s="1084"/>
      <c r="I137" s="1084"/>
      <c r="J137" s="1084"/>
      <c r="K137" s="1084"/>
      <c r="L137" s="1084"/>
      <c r="M137" s="1084"/>
      <c r="N137" s="1084"/>
      <c r="O137" s="1084"/>
      <c r="P137" s="1084"/>
    </row>
    <row r="138" spans="1:16">
      <c r="A138" s="1084"/>
      <c r="B138" s="1084"/>
      <c r="C138" s="1084"/>
      <c r="D138" s="1084"/>
      <c r="E138" s="1084"/>
      <c r="F138" s="1084"/>
      <c r="G138" s="1084"/>
      <c r="H138" s="1084"/>
      <c r="I138" s="1084"/>
      <c r="J138" s="1084"/>
      <c r="K138" s="1084"/>
      <c r="L138" s="1084"/>
      <c r="M138" s="1084"/>
      <c r="N138" s="1084"/>
      <c r="O138" s="1084"/>
      <c r="P138" s="1084"/>
    </row>
    <row r="139" spans="1:16">
      <c r="A139" s="1084"/>
      <c r="B139" s="1084"/>
      <c r="C139" s="1084"/>
      <c r="D139" s="1084"/>
      <c r="E139" s="1084"/>
      <c r="F139" s="1084"/>
      <c r="G139" s="1084"/>
      <c r="H139" s="1084"/>
      <c r="I139" s="1084"/>
      <c r="J139" s="1084"/>
      <c r="K139" s="1084"/>
      <c r="L139" s="1084"/>
      <c r="M139" s="1084"/>
      <c r="N139" s="1084"/>
      <c r="O139" s="1084"/>
      <c r="P139" s="1084"/>
    </row>
    <row r="140" spans="1:16">
      <c r="A140" s="1084"/>
      <c r="B140" s="1084"/>
      <c r="C140" s="1084"/>
      <c r="D140" s="1084"/>
      <c r="E140" s="1084"/>
      <c r="F140" s="1084"/>
      <c r="G140" s="1084"/>
      <c r="H140" s="1084"/>
      <c r="I140" s="1084"/>
      <c r="J140" s="1084"/>
      <c r="K140" s="1084"/>
      <c r="L140" s="1084"/>
      <c r="M140" s="1084"/>
      <c r="N140" s="1084"/>
      <c r="O140" s="1084"/>
      <c r="P140" s="1084"/>
    </row>
  </sheetData>
  <phoneticPr fontId="70" type="noConversion"/>
  <pageMargins left="0.35" right="0.23" top="0.59055118110236227" bottom="0.35433070866141736" header="0.23622047244094491" footer="0.19685039370078741"/>
  <pageSetup paperSize="9" scale="70" orientation="landscape" cellComments="asDisplayed"/>
  <headerFooter alignWithMargins="0">
    <oddHeader>&amp;L&amp;"Helvetica,Gras"Zusatzinformationen zum Gesundheitswesen</oddHeader>
    <oddFooter xml:space="preserve">&amp;R&amp;8&amp;P/&amp;N&amp;10 </oddFooter>
  </headerFooter>
  <rowBreaks count="1" manualBreakCount="1">
    <brk id="47" max="16383" man="1"/>
  </rowBreaks>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DB8F4-C10F-9D41-9C3E-4EC27D879EB6}">
  <sheetPr>
    <pageSetUpPr fitToPage="1"/>
  </sheetPr>
  <dimension ref="A1:Z120"/>
  <sheetViews>
    <sheetView topLeftCell="D39" workbookViewId="0">
      <selection activeCell="A2" sqref="A2"/>
    </sheetView>
  </sheetViews>
  <sheetFormatPr baseColWidth="10" defaultColWidth="10.19921875" defaultRowHeight="13"/>
  <cols>
    <col min="1" max="1" width="3.796875" style="1537" customWidth="1"/>
    <col min="2" max="2" width="48.796875" style="1537" customWidth="1"/>
    <col min="3" max="3" width="10.796875" style="1537" customWidth="1"/>
    <col min="4" max="4" width="11" style="1537" customWidth="1"/>
    <col min="5" max="6" width="10.3984375" style="1537" customWidth="1"/>
    <col min="7" max="7" width="10.796875" style="1537" customWidth="1"/>
    <col min="8" max="8" width="10.3984375" style="1537" customWidth="1"/>
    <col min="9" max="10" width="10.796875" style="1627" customWidth="1"/>
    <col min="11" max="11" width="4.19921875" style="1537" customWidth="1"/>
    <col min="12" max="14" width="11.3984375" style="1537" customWidth="1"/>
    <col min="15" max="16384" width="10.19921875" style="1537"/>
  </cols>
  <sheetData>
    <row r="1" spans="1:26" ht="24" customHeight="1">
      <c r="A1" s="1532" t="s">
        <v>1961</v>
      </c>
      <c r="B1" s="1533"/>
      <c r="C1" s="1533"/>
      <c r="D1" s="1533"/>
      <c r="E1" s="1533"/>
      <c r="F1" s="1533"/>
      <c r="G1" s="1533"/>
      <c r="H1" s="1533"/>
      <c r="I1" s="1533"/>
      <c r="J1" s="1533"/>
      <c r="K1" s="1534"/>
      <c r="L1" s="1535"/>
      <c r="M1" s="1536"/>
      <c r="N1" s="1536"/>
      <c r="Q1" s="1538"/>
      <c r="W1" s="1538"/>
    </row>
    <row r="2" spans="1:26" ht="14" thickBot="1">
      <c r="A2" s="1539"/>
      <c r="B2" s="1539"/>
      <c r="C2" s="1539"/>
      <c r="D2" s="1539"/>
      <c r="E2" s="1539"/>
      <c r="F2" s="1539"/>
      <c r="G2" s="1539"/>
      <c r="H2" s="1539"/>
      <c r="I2" s="1540"/>
      <c r="J2" s="1540"/>
      <c r="K2" s="1539"/>
      <c r="L2" s="1539"/>
      <c r="M2" s="1539"/>
      <c r="N2" s="1539"/>
    </row>
    <row r="3" spans="1:26" s="1546" customFormat="1" ht="10.5" customHeight="1">
      <c r="A3" s="1541"/>
      <c r="B3" s="1541"/>
      <c r="C3" s="1542"/>
      <c r="D3" s="1541"/>
      <c r="E3" s="1542"/>
      <c r="F3" s="1541"/>
      <c r="G3" s="1542"/>
      <c r="H3" s="1541"/>
      <c r="I3" s="1542"/>
      <c r="J3" s="1541"/>
      <c r="K3" s="1543"/>
      <c r="L3" s="1542"/>
      <c r="M3" s="1541"/>
      <c r="N3" s="1542"/>
      <c r="O3" s="1544"/>
      <c r="P3" s="1544"/>
      <c r="Q3" s="1545"/>
      <c r="R3" s="1545"/>
      <c r="S3" s="1545"/>
      <c r="T3" s="1545"/>
      <c r="W3" s="1547"/>
      <c r="X3" s="1547"/>
      <c r="Y3" s="1547"/>
      <c r="Z3" s="1547"/>
    </row>
    <row r="4" spans="1:26" ht="14.25" customHeight="1">
      <c r="A4" s="1548" t="s">
        <v>1854</v>
      </c>
      <c r="B4" s="1549"/>
      <c r="C4" s="1550">
        <v>1996</v>
      </c>
      <c r="D4" s="1551">
        <v>1997</v>
      </c>
      <c r="E4" s="1550">
        <v>1998</v>
      </c>
      <c r="F4" s="1551">
        <v>1999</v>
      </c>
      <c r="G4" s="1550">
        <v>2000</v>
      </c>
      <c r="H4" s="1551">
        <v>2001</v>
      </c>
      <c r="I4" s="1550">
        <v>2002</v>
      </c>
      <c r="J4" s="1551">
        <v>2003</v>
      </c>
      <c r="K4" s="1543"/>
      <c r="L4" s="1552" t="s">
        <v>1856</v>
      </c>
      <c r="M4" s="1553" t="s">
        <v>1856</v>
      </c>
      <c r="N4" s="1552" t="s">
        <v>1856</v>
      </c>
      <c r="O4" s="1544"/>
      <c r="P4" s="1544"/>
      <c r="Q4" s="1554"/>
      <c r="R4" s="1554"/>
      <c r="S4" s="1554"/>
      <c r="T4" s="1554"/>
      <c r="W4" s="1547"/>
      <c r="X4" s="1547"/>
      <c r="Y4" s="1547"/>
      <c r="Z4" s="1547"/>
    </row>
    <row r="5" spans="1:26" ht="10.5" customHeight="1">
      <c r="A5" s="1548" t="s">
        <v>1857</v>
      </c>
      <c r="B5" s="1555"/>
      <c r="C5" s="1550"/>
      <c r="D5" s="1551"/>
      <c r="E5" s="1550"/>
      <c r="F5" s="1551"/>
      <c r="G5" s="1550"/>
      <c r="H5" s="1551"/>
      <c r="I5" s="1550"/>
      <c r="J5" s="1551"/>
      <c r="K5" s="1543"/>
      <c r="L5" s="1552">
        <v>2004</v>
      </c>
      <c r="M5" s="1553">
        <v>2005</v>
      </c>
      <c r="N5" s="1552">
        <v>2006</v>
      </c>
      <c r="O5" s="1544"/>
      <c r="P5" s="1544"/>
      <c r="Q5" s="1554"/>
      <c r="R5" s="1554"/>
      <c r="S5" s="1554"/>
      <c r="T5" s="1554"/>
      <c r="W5" s="1547"/>
      <c r="X5" s="1547"/>
      <c r="Y5" s="1547"/>
      <c r="Z5" s="1547"/>
    </row>
    <row r="6" spans="1:26" ht="14.25" customHeight="1">
      <c r="A6" s="1556"/>
      <c r="B6" s="1556"/>
      <c r="C6" s="1557"/>
      <c r="D6" s="1558"/>
      <c r="E6" s="1557"/>
      <c r="F6" s="1558"/>
      <c r="G6" s="1557"/>
      <c r="H6" s="1558"/>
      <c r="I6" s="1557"/>
      <c r="J6" s="1558"/>
      <c r="K6" s="1559"/>
      <c r="L6" s="1557"/>
      <c r="M6" s="1558"/>
      <c r="N6" s="1557"/>
      <c r="O6" s="1544"/>
      <c r="P6" s="1544"/>
      <c r="Q6" s="1560"/>
      <c r="R6" s="1560"/>
      <c r="S6" s="1560"/>
      <c r="T6" s="1560"/>
      <c r="W6" s="1560"/>
      <c r="X6" s="1560"/>
      <c r="Y6" s="1560"/>
      <c r="Z6" s="1560"/>
    </row>
    <row r="7" spans="1:26">
      <c r="A7" s="1561"/>
      <c r="B7" s="1562"/>
      <c r="C7" s="1563"/>
      <c r="D7" s="1562"/>
      <c r="E7" s="1563"/>
      <c r="F7" s="1562"/>
      <c r="G7" s="1563"/>
      <c r="H7" s="1562"/>
      <c r="I7" s="1563"/>
      <c r="J7" s="1562"/>
      <c r="K7" s="1564"/>
      <c r="L7" s="1563"/>
      <c r="M7" s="1562"/>
      <c r="N7" s="1563"/>
      <c r="O7" s="1544"/>
      <c r="P7" s="1544"/>
      <c r="Q7" s="1554"/>
      <c r="R7" s="1554"/>
      <c r="S7" s="1554"/>
      <c r="T7" s="1554"/>
      <c r="W7" s="1547"/>
      <c r="X7" s="1547"/>
      <c r="Y7" s="1547"/>
      <c r="Z7" s="1547"/>
    </row>
    <row r="8" spans="1:26" ht="18" customHeight="1" thickBot="1">
      <c r="A8" s="1565" t="s">
        <v>1888</v>
      </c>
      <c r="B8" s="1566"/>
      <c r="C8" s="1567">
        <v>0.16112872046722609</v>
      </c>
      <c r="D8" s="1568">
        <v>0.15665938677207061</v>
      </c>
      <c r="E8" s="1567">
        <v>0.15218114469442245</v>
      </c>
      <c r="F8" s="1568">
        <v>0.15430014062560118</v>
      </c>
      <c r="G8" s="1567">
        <v>0.15218400078875755</v>
      </c>
      <c r="H8" s="1568">
        <v>0.16914264240611276</v>
      </c>
      <c r="I8" s="1567">
        <v>0.17917212623452555</v>
      </c>
      <c r="J8" s="1568">
        <v>0.17941120164067126</v>
      </c>
      <c r="K8" s="1569"/>
      <c r="L8" s="1570">
        <v>0.18273630614210765</v>
      </c>
      <c r="M8" s="1571">
        <v>0.18509321881833693</v>
      </c>
      <c r="N8" s="1570">
        <v>0.18744224090694714</v>
      </c>
      <c r="O8" s="1544"/>
      <c r="P8" s="1544"/>
      <c r="W8" s="1547"/>
      <c r="X8" s="1547"/>
      <c r="Y8" s="1547"/>
      <c r="Z8" s="1547"/>
    </row>
    <row r="9" spans="1:26" ht="14" thickBot="1">
      <c r="A9" s="1572"/>
      <c r="B9" s="1573" t="s">
        <v>1859</v>
      </c>
      <c r="C9" s="1574">
        <v>3.4090368048685904E-3</v>
      </c>
      <c r="D9" s="1575">
        <v>3.0384777768583072E-3</v>
      </c>
      <c r="E9" s="1574">
        <v>2.9010932932761516E-3</v>
      </c>
      <c r="F9" s="1575">
        <v>3.0306438767265594E-3</v>
      </c>
      <c r="G9" s="1574">
        <v>3.3438183545771026E-3</v>
      </c>
      <c r="H9" s="1575">
        <v>3.563672468959468E-3</v>
      </c>
      <c r="I9" s="1574">
        <v>3.7040150839691617E-3</v>
      </c>
      <c r="J9" s="1575">
        <v>3.1190050906463921E-3</v>
      </c>
      <c r="K9" s="1576"/>
      <c r="L9" s="1577" t="s">
        <v>1300</v>
      </c>
      <c r="M9" s="1578" t="s">
        <v>1300</v>
      </c>
      <c r="N9" s="1577" t="s">
        <v>1300</v>
      </c>
      <c r="O9" s="1544"/>
      <c r="P9" s="1544"/>
      <c r="Q9" s="1554"/>
      <c r="R9" s="1554"/>
      <c r="S9" s="1554"/>
      <c r="T9" s="1554"/>
      <c r="W9" s="1547"/>
      <c r="X9" s="1547"/>
      <c r="Y9" s="1547"/>
      <c r="Z9" s="1547"/>
    </row>
    <row r="10" spans="1:26" ht="14" thickBot="1">
      <c r="A10" s="1573"/>
      <c r="B10" s="1573" t="s">
        <v>1860</v>
      </c>
      <c r="C10" s="1574">
        <v>0.1291275964886959</v>
      </c>
      <c r="D10" s="1575">
        <v>0.12492352288724784</v>
      </c>
      <c r="E10" s="1574">
        <v>0.11976252416963355</v>
      </c>
      <c r="F10" s="1575">
        <v>0.122440167317533</v>
      </c>
      <c r="G10" s="1574">
        <v>0.1206757907497685</v>
      </c>
      <c r="H10" s="1575">
        <v>0.13446049840371574</v>
      </c>
      <c r="I10" s="1574">
        <v>0.14523023648492933</v>
      </c>
      <c r="J10" s="1575">
        <v>0.14843376610678874</v>
      </c>
      <c r="K10" s="1576"/>
      <c r="L10" s="1577" t="s">
        <v>1300</v>
      </c>
      <c r="M10" s="1578" t="s">
        <v>1300</v>
      </c>
      <c r="N10" s="1577" t="s">
        <v>1300</v>
      </c>
      <c r="O10" s="1544"/>
      <c r="P10" s="1544"/>
      <c r="Q10" s="1554"/>
      <c r="R10" s="1554"/>
      <c r="S10" s="1554"/>
      <c r="T10" s="1554"/>
      <c r="W10" s="1547"/>
      <c r="X10" s="1547"/>
      <c r="Y10" s="1547"/>
      <c r="Z10" s="1547"/>
    </row>
    <row r="11" spans="1:26" ht="14" thickBot="1">
      <c r="A11" s="1573"/>
      <c r="B11" s="1573" t="s">
        <v>1861</v>
      </c>
      <c r="C11" s="1574">
        <v>2.8592087173661625E-2</v>
      </c>
      <c r="D11" s="1575">
        <v>2.8697386107964473E-2</v>
      </c>
      <c r="E11" s="1574">
        <v>2.9517527231512748E-2</v>
      </c>
      <c r="F11" s="1575">
        <v>2.8829329431341616E-2</v>
      </c>
      <c r="G11" s="1574">
        <v>2.8164391684411923E-2</v>
      </c>
      <c r="H11" s="1575">
        <v>3.111847153343757E-2</v>
      </c>
      <c r="I11" s="1574">
        <v>3.0237874665627065E-2</v>
      </c>
      <c r="J11" s="1575">
        <v>2.7858430443236125E-2</v>
      </c>
      <c r="K11" s="1576"/>
      <c r="L11" s="1577" t="s">
        <v>1300</v>
      </c>
      <c r="M11" s="1578" t="s">
        <v>1300</v>
      </c>
      <c r="N11" s="1577" t="s">
        <v>1300</v>
      </c>
      <c r="O11" s="1544"/>
      <c r="P11" s="1544"/>
      <c r="Q11" s="1554"/>
      <c r="R11" s="1554"/>
      <c r="S11" s="1554"/>
      <c r="T11" s="1554"/>
      <c r="W11" s="1547"/>
      <c r="X11" s="1547"/>
      <c r="Y11" s="1547"/>
      <c r="Z11" s="1547"/>
    </row>
    <row r="12" spans="1:26" s="1585" customFormat="1" ht="14" thickBot="1">
      <c r="A12" s="1573"/>
      <c r="B12" s="1579"/>
      <c r="C12" s="1580"/>
      <c r="D12" s="1581"/>
      <c r="E12" s="1580"/>
      <c r="F12" s="1581"/>
      <c r="G12" s="1580"/>
      <c r="H12" s="1581"/>
      <c r="I12" s="1580"/>
      <c r="J12" s="1581"/>
      <c r="K12" s="1582"/>
      <c r="L12" s="1583"/>
      <c r="M12" s="1584"/>
      <c r="N12" s="1583"/>
    </row>
    <row r="13" spans="1:26" s="1585" customFormat="1" ht="16.5" customHeight="1" thickBot="1">
      <c r="A13" s="1572" t="s">
        <v>1889</v>
      </c>
      <c r="B13" s="1573"/>
      <c r="C13" s="1586">
        <v>7.6015015181371895E-2</v>
      </c>
      <c r="D13" s="1587">
        <v>7.7875126714525095E-2</v>
      </c>
      <c r="E13" s="1586">
        <v>7.883292612434098E-2</v>
      </c>
      <c r="F13" s="1587">
        <v>7.9702389383651373E-2</v>
      </c>
      <c r="G13" s="1586">
        <v>7.976386050169279E-2</v>
      </c>
      <c r="H13" s="1587">
        <v>7.9373084654911205E-2</v>
      </c>
      <c r="I13" s="1586">
        <v>7.714852292143673E-2</v>
      </c>
      <c r="J13" s="1587">
        <v>7.861726686937319E-2</v>
      </c>
      <c r="K13" s="1588"/>
      <c r="L13" s="1589">
        <v>7.8798600434399332E-2</v>
      </c>
      <c r="M13" s="1590">
        <v>7.9084160524737851E-2</v>
      </c>
      <c r="N13" s="1589">
        <v>7.937869293537711E-2</v>
      </c>
    </row>
    <row r="14" spans="1:26" ht="14" thickBot="1">
      <c r="A14" s="1573"/>
      <c r="B14" s="1573" t="s">
        <v>1862</v>
      </c>
      <c r="C14" s="1574">
        <v>2.9872086060308691E-2</v>
      </c>
      <c r="D14" s="1575">
        <v>2.9777913399673131E-2</v>
      </c>
      <c r="E14" s="1574">
        <v>3.1865135856886155E-2</v>
      </c>
      <c r="F14" s="1575">
        <v>3.3149470008849227E-2</v>
      </c>
      <c r="G14" s="1574">
        <v>3.2801469679364106E-2</v>
      </c>
      <c r="H14" s="1575">
        <v>3.1982116902801616E-2</v>
      </c>
      <c r="I14" s="1574">
        <v>2.9461271652892394E-2</v>
      </c>
      <c r="J14" s="1575">
        <v>3.0321841545264249E-2</v>
      </c>
      <c r="K14" s="1576"/>
      <c r="L14" s="1577" t="s">
        <v>1300</v>
      </c>
      <c r="M14" s="1578" t="s">
        <v>1300</v>
      </c>
      <c r="N14" s="1577" t="s">
        <v>1300</v>
      </c>
    </row>
    <row r="15" spans="1:26" ht="15.75" customHeight="1" thickBot="1">
      <c r="A15" s="1573"/>
      <c r="B15" s="1573" t="s">
        <v>1890</v>
      </c>
      <c r="C15" s="1574">
        <v>4.5180079296618415E-2</v>
      </c>
      <c r="D15" s="1575">
        <v>4.7135217328340612E-2</v>
      </c>
      <c r="E15" s="1574">
        <v>4.6089212669694443E-2</v>
      </c>
      <c r="F15" s="1575">
        <v>4.5564596493804885E-2</v>
      </c>
      <c r="G15" s="1574">
        <v>4.5970815045183189E-2</v>
      </c>
      <c r="H15" s="1575">
        <v>4.6411117374003774E-2</v>
      </c>
      <c r="I15" s="1574">
        <v>4.670979055819359E-2</v>
      </c>
      <c r="J15" s="1575">
        <v>4.7325107312937362E-2</v>
      </c>
      <c r="K15" s="1576"/>
      <c r="L15" s="1577" t="s">
        <v>1300</v>
      </c>
      <c r="M15" s="1578" t="s">
        <v>1300</v>
      </c>
      <c r="N15" s="1577" t="s">
        <v>1300</v>
      </c>
    </row>
    <row r="16" spans="1:26" ht="14" thickBot="1">
      <c r="A16" s="1573"/>
      <c r="B16" s="1573" t="s">
        <v>1863</v>
      </c>
      <c r="C16" s="1574">
        <v>9.628498244447785E-4</v>
      </c>
      <c r="D16" s="1575">
        <v>9.6199598651136825E-4</v>
      </c>
      <c r="E16" s="1574">
        <v>8.7857759776037165E-4</v>
      </c>
      <c r="F16" s="1575">
        <v>9.8832288099726844E-4</v>
      </c>
      <c r="G16" s="1574">
        <v>9.9157577714549506E-4</v>
      </c>
      <c r="H16" s="1575">
        <v>9.7985037810582594E-4</v>
      </c>
      <c r="I16" s="1574">
        <v>9.7746071035074295E-4</v>
      </c>
      <c r="J16" s="1575">
        <v>9.7031801117158413E-4</v>
      </c>
      <c r="K16" s="1576"/>
      <c r="L16" s="1577" t="s">
        <v>1300</v>
      </c>
      <c r="M16" s="1578" t="s">
        <v>1300</v>
      </c>
      <c r="N16" s="1577" t="s">
        <v>1300</v>
      </c>
    </row>
    <row r="17" spans="1:14" ht="14" thickBot="1">
      <c r="A17" s="1573"/>
      <c r="B17" s="1573"/>
      <c r="C17" s="1580"/>
      <c r="D17" s="1581"/>
      <c r="E17" s="1580"/>
      <c r="F17" s="1581"/>
      <c r="G17" s="1580"/>
      <c r="H17" s="1581"/>
      <c r="I17" s="1580"/>
      <c r="J17" s="1581"/>
      <c r="K17" s="1582"/>
      <c r="L17" s="1583"/>
      <c r="M17" s="1584"/>
      <c r="N17" s="1583"/>
    </row>
    <row r="18" spans="1:14" ht="15.75" customHeight="1" thickBot="1">
      <c r="A18" s="1572" t="s">
        <v>1891</v>
      </c>
      <c r="B18" s="1573"/>
      <c r="C18" s="1586">
        <v>1.6437033578398392E-2</v>
      </c>
      <c r="D18" s="1587">
        <v>-5.5237188902910808E-3</v>
      </c>
      <c r="E18" s="1586">
        <v>-7.6044117501067208E-3</v>
      </c>
      <c r="F18" s="1587">
        <v>-4.8165711207725581E-3</v>
      </c>
      <c r="G18" s="1586">
        <v>2.2789867346285431E-3</v>
      </c>
      <c r="H18" s="1587">
        <v>9.8500976726488155E-3</v>
      </c>
      <c r="I18" s="1586">
        <v>-1.2258065914709883E-2</v>
      </c>
      <c r="J18" s="1587">
        <v>-2.5388685534269189E-2</v>
      </c>
      <c r="K18" s="1588"/>
      <c r="L18" s="1589">
        <v>-2.7942006681507221E-2</v>
      </c>
      <c r="M18" s="1590">
        <v>-1.8782870378118918E-2</v>
      </c>
      <c r="N18" s="1589">
        <v>-2.3127593639053277E-2</v>
      </c>
    </row>
    <row r="19" spans="1:14" ht="14" thickBot="1">
      <c r="A19" s="1573"/>
      <c r="B19" s="1591" t="s">
        <v>1864</v>
      </c>
      <c r="C19" s="1574">
        <v>1.8584320584146479E-2</v>
      </c>
      <c r="D19" s="1575">
        <v>8.676065953617312E-3</v>
      </c>
      <c r="E19" s="1574">
        <v>4.8272130724404602E-3</v>
      </c>
      <c r="F19" s="1575">
        <v>8.000365511138488E-3</v>
      </c>
      <c r="G19" s="1574">
        <v>1.6428127697023242E-2</v>
      </c>
      <c r="H19" s="1575">
        <v>2.0203560959890905E-2</v>
      </c>
      <c r="I19" s="1574">
        <v>3.9002558067172165E-3</v>
      </c>
      <c r="J19" s="1575">
        <v>-9.1318044815941017E-3</v>
      </c>
      <c r="K19" s="1576"/>
      <c r="L19" s="1577">
        <v>-1.2346947082224294E-2</v>
      </c>
      <c r="M19" s="1578">
        <v>-1.4553393836117209E-3</v>
      </c>
      <c r="N19" s="1577">
        <v>-4.4941536448278941E-3</v>
      </c>
    </row>
    <row r="20" spans="1:14" ht="16.5" customHeight="1" thickBot="1">
      <c r="A20" s="1573"/>
      <c r="B20" s="1591" t="s">
        <v>1921</v>
      </c>
      <c r="C20" s="1574">
        <v>9.945051611388487E-4</v>
      </c>
      <c r="D20" s="1575">
        <v>-1.3403293543248443E-2</v>
      </c>
      <c r="E20" s="1574">
        <v>-1.0302190983907635E-2</v>
      </c>
      <c r="F20" s="1575">
        <v>-8.4524450771420873E-3</v>
      </c>
      <c r="G20" s="1574">
        <v>-6.2550435821119646E-3</v>
      </c>
      <c r="H20" s="1575">
        <v>-2.4084375444149834E-3</v>
      </c>
      <c r="I20" s="1574">
        <v>-4.5330000959762596E-3</v>
      </c>
      <c r="J20" s="1575">
        <v>-4.7554336259316701E-3</v>
      </c>
      <c r="K20" s="1576"/>
      <c r="L20" s="1577">
        <v>-1.825595546262268E-3</v>
      </c>
      <c r="M20" s="1578">
        <v>-5.2147468673561549E-4</v>
      </c>
      <c r="N20" s="1577">
        <v>-2.8459408690296867E-3</v>
      </c>
    </row>
    <row r="21" spans="1:14" ht="15" customHeight="1" thickBot="1">
      <c r="A21" s="1573"/>
      <c r="B21" s="1591" t="s">
        <v>1923</v>
      </c>
      <c r="C21" s="1574">
        <v>-3.1417921668869348E-3</v>
      </c>
      <c r="D21" s="1575">
        <v>-7.9649130065995004E-4</v>
      </c>
      <c r="E21" s="1574">
        <v>-2.129433838639545E-3</v>
      </c>
      <c r="F21" s="1575">
        <v>-4.3644915547689589E-3</v>
      </c>
      <c r="G21" s="1574">
        <v>-7.8940973802827333E-3</v>
      </c>
      <c r="H21" s="1575">
        <v>-7.945025742827105E-3</v>
      </c>
      <c r="I21" s="1574">
        <v>-1.162532162545084E-2</v>
      </c>
      <c r="J21" s="1575">
        <v>-1.1501447426743418E-2</v>
      </c>
      <c r="K21" s="1576"/>
      <c r="L21" s="1577">
        <v>-1.3769464053020658E-2</v>
      </c>
      <c r="M21" s="1578">
        <v>-1.6806056307771582E-2</v>
      </c>
      <c r="N21" s="1577">
        <v>-1.5787499125195698E-2</v>
      </c>
    </row>
    <row r="22" spans="1:14" ht="14" thickBot="1">
      <c r="A22" s="1573"/>
      <c r="B22" s="1592"/>
      <c r="C22" s="1593"/>
      <c r="D22" s="1594"/>
      <c r="E22" s="1593"/>
      <c r="F22" s="1594"/>
      <c r="G22" s="1593"/>
      <c r="H22" s="1594"/>
      <c r="I22" s="1593"/>
      <c r="J22" s="1594"/>
      <c r="K22" s="1595"/>
      <c r="L22" s="1596"/>
      <c r="M22" s="1597"/>
      <c r="N22" s="1596"/>
    </row>
    <row r="23" spans="1:14" s="1585" customFormat="1" ht="14" thickBot="1">
      <c r="A23" s="1572" t="s">
        <v>1865</v>
      </c>
      <c r="B23" s="1573"/>
      <c r="C23" s="1586">
        <v>7.281439684712844E-2</v>
      </c>
      <c r="D23" s="1587">
        <v>7.8225272565529511E-2</v>
      </c>
      <c r="E23" s="1586">
        <v>8.116170791514031E-2</v>
      </c>
      <c r="F23" s="1587">
        <v>8.7061386633834781E-2</v>
      </c>
      <c r="G23" s="1586">
        <v>8.5914276114208626E-2</v>
      </c>
      <c r="H23" s="1587">
        <v>8.3191898473869846E-2</v>
      </c>
      <c r="I23" s="1586">
        <v>8.4670189378911062E-2</v>
      </c>
      <c r="J23" s="1587">
        <v>8.5574430386072459E-2</v>
      </c>
      <c r="K23" s="1588"/>
      <c r="L23" s="1589">
        <v>8.3934957240131364E-2</v>
      </c>
      <c r="M23" s="1590">
        <v>8.2973026615599424E-2</v>
      </c>
      <c r="N23" s="1589">
        <v>8.2524303087874229E-2</v>
      </c>
    </row>
    <row r="24" spans="1:14" s="1585" customFormat="1" ht="16.5" customHeight="1" thickBot="1">
      <c r="A24" s="1573" t="s">
        <v>1894</v>
      </c>
      <c r="B24" s="1573"/>
      <c r="C24" s="1598">
        <v>4.7893733034717986E-2</v>
      </c>
      <c r="D24" s="1599">
        <v>5.3973664066863894E-2</v>
      </c>
      <c r="E24" s="1598">
        <v>5.6169401673764774E-2</v>
      </c>
      <c r="F24" s="1599">
        <v>5.9554268785348773E-2</v>
      </c>
      <c r="G24" s="1598">
        <v>5.8406119264049074E-2</v>
      </c>
      <c r="H24" s="1599">
        <v>5.7915227215653189E-2</v>
      </c>
      <c r="I24" s="1598">
        <v>5.9364586084500133E-2</v>
      </c>
      <c r="J24" s="1599">
        <v>5.9363815348764004E-2</v>
      </c>
      <c r="K24" s="1600"/>
      <c r="L24" s="1601">
        <v>5.8172068509540195E-2</v>
      </c>
      <c r="M24" s="1602">
        <v>5.7611105125611808E-2</v>
      </c>
      <c r="N24" s="1601">
        <v>5.7548959759995195E-2</v>
      </c>
    </row>
    <row r="25" spans="1:14" ht="14" thickBot="1">
      <c r="A25" s="1592"/>
      <c r="B25" s="1592" t="s">
        <v>1859</v>
      </c>
      <c r="C25" s="1593">
        <v>3.6002669600061196E-2</v>
      </c>
      <c r="D25" s="1594">
        <v>3.9470281564846804E-2</v>
      </c>
      <c r="E25" s="1593">
        <v>3.9739504224121668E-2</v>
      </c>
      <c r="F25" s="1594">
        <v>4.0869916509561004E-2</v>
      </c>
      <c r="G25" s="1593">
        <v>4.0133453082419064E-2</v>
      </c>
      <c r="H25" s="1594">
        <v>3.9445481150472583E-2</v>
      </c>
      <c r="I25" s="1593">
        <v>3.9919578776243352E-2</v>
      </c>
      <c r="J25" s="1594">
        <v>3.9951440757494482E-2</v>
      </c>
      <c r="K25" s="1595"/>
      <c r="L25" s="1596">
        <v>3.9099733490170228E-2</v>
      </c>
      <c r="M25" s="1597" t="s">
        <v>1300</v>
      </c>
      <c r="N25" s="1596" t="s">
        <v>1300</v>
      </c>
    </row>
    <row r="26" spans="1:14" ht="14" thickBot="1">
      <c r="A26" s="1592"/>
      <c r="B26" s="1592" t="s">
        <v>1866</v>
      </c>
      <c r="C26" s="1593">
        <v>1.1891063434656788E-2</v>
      </c>
      <c r="D26" s="1594">
        <v>1.450338250201709E-2</v>
      </c>
      <c r="E26" s="1593">
        <v>1.642989744964311E-2</v>
      </c>
      <c r="F26" s="1594">
        <v>1.8684352275787772E-2</v>
      </c>
      <c r="G26" s="1593">
        <v>1.8272666181630006E-2</v>
      </c>
      <c r="H26" s="1594">
        <v>1.8469746065180613E-2</v>
      </c>
      <c r="I26" s="1593">
        <v>1.9445007308256785E-2</v>
      </c>
      <c r="J26" s="1594">
        <v>1.9412374591269523E-2</v>
      </c>
      <c r="K26" s="1595"/>
      <c r="L26" s="1596">
        <v>1.9072335019369967E-2</v>
      </c>
      <c r="M26" s="1597" t="s">
        <v>1300</v>
      </c>
      <c r="N26" s="1596" t="s">
        <v>1300</v>
      </c>
    </row>
    <row r="27" spans="1:14" s="1585" customFormat="1" ht="15.75" customHeight="1" thickBot="1">
      <c r="A27" s="1573" t="s">
        <v>1895</v>
      </c>
      <c r="B27" s="1573"/>
      <c r="C27" s="1598">
        <v>7.7291780428032902E-3</v>
      </c>
      <c r="D27" s="1599">
        <v>6.1417754515174713E-3</v>
      </c>
      <c r="E27" s="1598">
        <v>6.5620315493740743E-3</v>
      </c>
      <c r="F27" s="1599">
        <v>6.6633642414682011E-3</v>
      </c>
      <c r="G27" s="1598">
        <v>7.3099888687237664E-3</v>
      </c>
      <c r="H27" s="1599">
        <v>6.8286032987463531E-3</v>
      </c>
      <c r="I27" s="1598">
        <v>7.1652663586052332E-3</v>
      </c>
      <c r="J27" s="1599">
        <v>7.5199645865797783E-3</v>
      </c>
      <c r="K27" s="1600"/>
      <c r="L27" s="1601">
        <v>7.4718043365800567E-3</v>
      </c>
      <c r="M27" s="1602">
        <v>7.4337102341748094E-3</v>
      </c>
      <c r="N27" s="1601">
        <v>7.3965499680181774E-3</v>
      </c>
    </row>
    <row r="28" spans="1:14" ht="15.75" customHeight="1" thickBot="1">
      <c r="A28" s="1573" t="s">
        <v>1896</v>
      </c>
      <c r="B28" s="1573"/>
      <c r="C28" s="1598">
        <v>5.3682175143702033E-3</v>
      </c>
      <c r="D28" s="1599">
        <v>5.9116204977553424E-3</v>
      </c>
      <c r="E28" s="1598">
        <v>6.6067049865483314E-3</v>
      </c>
      <c r="F28" s="1599">
        <v>9.0199492131891809E-3</v>
      </c>
      <c r="G28" s="1598">
        <v>8.7281728290597646E-3</v>
      </c>
      <c r="H28" s="1599">
        <v>6.8264354881753218E-3</v>
      </c>
      <c r="I28" s="1598">
        <v>6.6629891065913115E-3</v>
      </c>
      <c r="J28" s="1599">
        <v>7.3716101799130478E-3</v>
      </c>
      <c r="K28" s="1600"/>
      <c r="L28" s="1601">
        <v>7.0704396784539219E-3</v>
      </c>
      <c r="M28" s="1602">
        <v>6.7904870350966344E-3</v>
      </c>
      <c r="N28" s="1601">
        <v>6.5222712551135228E-3</v>
      </c>
    </row>
    <row r="29" spans="1:14" ht="16.5" customHeight="1" thickBot="1">
      <c r="A29" s="1573" t="s">
        <v>1897</v>
      </c>
      <c r="B29" s="1573"/>
      <c r="C29" s="1598">
        <v>1.1823268255236979E-2</v>
      </c>
      <c r="D29" s="1599">
        <v>1.2198212549392805E-2</v>
      </c>
      <c r="E29" s="1598">
        <v>1.1823569705453136E-2</v>
      </c>
      <c r="F29" s="1599">
        <v>1.1823804393828633E-2</v>
      </c>
      <c r="G29" s="1598">
        <v>1.1469995152376029E-2</v>
      </c>
      <c r="H29" s="1599">
        <v>1.1621632471294984E-2</v>
      </c>
      <c r="I29" s="1598">
        <v>1.1477347829214375E-2</v>
      </c>
      <c r="J29" s="1599">
        <v>1.1319040270815629E-2</v>
      </c>
      <c r="K29" s="1600"/>
      <c r="L29" s="1601">
        <v>1.1220644715557187E-2</v>
      </c>
      <c r="M29" s="1602">
        <v>1.1137724220716173E-2</v>
      </c>
      <c r="N29" s="1601">
        <v>1.1056522104747342E-2</v>
      </c>
    </row>
    <row r="30" spans="1:14" s="1585" customFormat="1" ht="14" thickBot="1">
      <c r="A30" s="1573"/>
      <c r="B30" s="1573"/>
      <c r="C30" s="1580"/>
      <c r="D30" s="1581"/>
      <c r="E30" s="1580"/>
      <c r="F30" s="1581"/>
      <c r="G30" s="1580"/>
      <c r="H30" s="1581"/>
      <c r="I30" s="1580"/>
      <c r="J30" s="1581"/>
      <c r="K30" s="1603"/>
      <c r="L30" s="1583"/>
      <c r="M30" s="1584"/>
      <c r="N30" s="1583"/>
    </row>
    <row r="31" spans="1:14" ht="13.5" customHeight="1" thickBot="1">
      <c r="A31" s="1572" t="s">
        <v>185</v>
      </c>
      <c r="B31" s="1573"/>
      <c r="C31" s="1586">
        <v>0.66361493725417009</v>
      </c>
      <c r="D31" s="1587">
        <v>0.68276641540845373</v>
      </c>
      <c r="E31" s="1586">
        <v>0.68562033169883296</v>
      </c>
      <c r="F31" s="1587">
        <v>0.67392232859564905</v>
      </c>
      <c r="G31" s="1586">
        <v>0.66962659514755896</v>
      </c>
      <c r="H31" s="1587">
        <v>0.64839518021522613</v>
      </c>
      <c r="I31" s="1586">
        <v>0.66131117593926658</v>
      </c>
      <c r="J31" s="1587">
        <v>0.67206704683912333</v>
      </c>
      <c r="K31" s="1588"/>
      <c r="L31" s="1589">
        <v>0.67281393692043789</v>
      </c>
      <c r="M31" s="1590">
        <v>0.66202366509735555</v>
      </c>
      <c r="N31" s="1589">
        <v>0.66422466366809285</v>
      </c>
    </row>
    <row r="32" spans="1:14" ht="15.75" customHeight="1" thickBot="1">
      <c r="A32" s="1573" t="s">
        <v>1867</v>
      </c>
      <c r="B32" s="1573"/>
      <c r="C32" s="1598">
        <v>0.37452299364519115</v>
      </c>
      <c r="D32" s="1599">
        <v>0.38402672900676499</v>
      </c>
      <c r="E32" s="1598">
        <v>0.38300274989824379</v>
      </c>
      <c r="F32" s="1599">
        <v>0.368824785502674</v>
      </c>
      <c r="G32" s="1598">
        <v>0.3683628148016399</v>
      </c>
      <c r="H32" s="1599">
        <v>0.35683506041717516</v>
      </c>
      <c r="I32" s="1598">
        <v>0.37178020318196908</v>
      </c>
      <c r="J32" s="1599">
        <v>0.3826624235694952</v>
      </c>
      <c r="K32" s="1600"/>
      <c r="L32" s="1601">
        <v>0.39102095930103986</v>
      </c>
      <c r="M32" s="1602">
        <v>0.38401541649949494</v>
      </c>
      <c r="N32" s="1601">
        <v>0.39241136526545312</v>
      </c>
    </row>
    <row r="33" spans="1:24" ht="16.5" customHeight="1" thickBot="1">
      <c r="A33" s="1573"/>
      <c r="B33" s="1592" t="s">
        <v>1898</v>
      </c>
      <c r="C33" s="1593">
        <v>0.24320874320399491</v>
      </c>
      <c r="D33" s="1594">
        <v>0.25440294184579104</v>
      </c>
      <c r="E33" s="1593">
        <v>0.25664889656610179</v>
      </c>
      <c r="F33" s="1594">
        <v>0.25183957908506793</v>
      </c>
      <c r="G33" s="1593">
        <v>0.24936721835209583</v>
      </c>
      <c r="H33" s="1594">
        <v>0.24459666810206648</v>
      </c>
      <c r="I33" s="1593">
        <v>0.25942849321696299</v>
      </c>
      <c r="J33" s="1594">
        <v>0.27663300318836387</v>
      </c>
      <c r="K33" s="1595"/>
      <c r="L33" s="1596">
        <v>0.28755429594486515</v>
      </c>
      <c r="M33" s="1597">
        <v>0.2833677299580844</v>
      </c>
      <c r="N33" s="1596">
        <v>0.29485223580359732</v>
      </c>
    </row>
    <row r="34" spans="1:24" ht="15" customHeight="1" thickBot="1">
      <c r="A34" s="1573"/>
      <c r="B34" s="1592" t="s">
        <v>1899</v>
      </c>
      <c r="C34" s="1593">
        <v>0.11442085242545827</v>
      </c>
      <c r="D34" s="1594">
        <v>0.11405858865879141</v>
      </c>
      <c r="E34" s="1593">
        <v>0.1105245654267306</v>
      </c>
      <c r="F34" s="1594">
        <v>9.0577026663075683E-2</v>
      </c>
      <c r="G34" s="1593">
        <v>6.7273849719430442E-2</v>
      </c>
      <c r="H34" s="1594">
        <v>4.3074396046377784E-2</v>
      </c>
      <c r="I34" s="1593">
        <v>4.0815758105562795E-2</v>
      </c>
      <c r="J34" s="1594">
        <v>3.7742316618778145E-2</v>
      </c>
      <c r="K34" s="1595"/>
      <c r="L34" s="1596">
        <v>2.6127930112700103E-2</v>
      </c>
      <c r="M34" s="1597">
        <v>1.8467465420442305E-2</v>
      </c>
      <c r="N34" s="1596">
        <v>1.6851122361593276E-2</v>
      </c>
    </row>
    <row r="35" spans="1:24" ht="15" customHeight="1" thickBot="1">
      <c r="A35" s="1573"/>
      <c r="B35" s="1592" t="s">
        <v>1900</v>
      </c>
      <c r="C35" s="1593">
        <v>1.6893398015737977E-2</v>
      </c>
      <c r="D35" s="1594">
        <v>1.5565198502182593E-2</v>
      </c>
      <c r="E35" s="1593">
        <v>1.5829287905411441E-2</v>
      </c>
      <c r="F35" s="1594">
        <v>2.6408179754530418E-2</v>
      </c>
      <c r="G35" s="1593">
        <v>5.1721746730113614E-2</v>
      </c>
      <c r="H35" s="1594">
        <v>6.9163996268730918E-2</v>
      </c>
      <c r="I35" s="1593">
        <v>7.1535951859443281E-2</v>
      </c>
      <c r="J35" s="1594">
        <v>6.8287103762353182E-2</v>
      </c>
      <c r="K35" s="1595"/>
      <c r="L35" s="1596">
        <v>7.7338733243474581E-2</v>
      </c>
      <c r="M35" s="1597">
        <v>8.2180221120968247E-2</v>
      </c>
      <c r="N35" s="1596">
        <v>8.0708007100262533E-2</v>
      </c>
    </row>
    <row r="36" spans="1:24" ht="16.5" customHeight="1" thickBot="1">
      <c r="A36" s="1573" t="s">
        <v>1901</v>
      </c>
      <c r="B36" s="1573"/>
      <c r="C36" s="1598">
        <v>4.6712725181556544E-2</v>
      </c>
      <c r="D36" s="1599">
        <v>4.8730785940376942E-2</v>
      </c>
      <c r="E36" s="1598">
        <v>5.3484031728067823E-2</v>
      </c>
      <c r="F36" s="1599">
        <v>5.4095648493709361E-2</v>
      </c>
      <c r="G36" s="1598">
        <v>5.4031655893711852E-2</v>
      </c>
      <c r="H36" s="1599">
        <v>5.2640944096335768E-2</v>
      </c>
      <c r="I36" s="1598">
        <v>5.2957945948853682E-2</v>
      </c>
      <c r="J36" s="1599">
        <v>5.2675838313085484E-2</v>
      </c>
      <c r="K36" s="1600"/>
      <c r="L36" s="1601">
        <v>5.5152888329879579E-2</v>
      </c>
      <c r="M36" s="1602">
        <v>5.7748942292291057E-2</v>
      </c>
      <c r="N36" s="1601">
        <v>5.9019120866186311E-2</v>
      </c>
      <c r="O36" s="1554"/>
    </row>
    <row r="37" spans="1:24" ht="13.5" customHeight="1" thickBot="1">
      <c r="A37" s="1573"/>
      <c r="B37" s="1592" t="s">
        <v>1864</v>
      </c>
      <c r="C37" s="1604">
        <v>4.4277902200837278E-2</v>
      </c>
      <c r="D37" s="1605">
        <v>4.5979270538097111E-2</v>
      </c>
      <c r="E37" s="1604">
        <v>5.2049518023250037E-2</v>
      </c>
      <c r="F37" s="1605">
        <v>5.2660055403793628E-2</v>
      </c>
      <c r="G37" s="1604">
        <v>5.2761055304857973E-2</v>
      </c>
      <c r="H37" s="1605">
        <v>5.2031789325876175E-2</v>
      </c>
      <c r="I37" s="1604">
        <v>5.2162430483734534E-2</v>
      </c>
      <c r="J37" s="1605">
        <v>5.1893970494166233E-2</v>
      </c>
      <c r="K37" s="1606"/>
      <c r="L37" s="1607">
        <v>5.4462044986418247E-2</v>
      </c>
      <c r="M37" s="1608">
        <v>5.7238790964800002E-2</v>
      </c>
      <c r="N37" s="1607">
        <v>5.8620995065487833E-2</v>
      </c>
    </row>
    <row r="38" spans="1:24" ht="13.5" customHeight="1" thickBot="1">
      <c r="A38" s="1573"/>
      <c r="B38" s="1592" t="s">
        <v>1868</v>
      </c>
      <c r="C38" s="1604">
        <v>2.4348229807192616E-3</v>
      </c>
      <c r="D38" s="1605">
        <v>2.7515154022798275E-3</v>
      </c>
      <c r="E38" s="1604">
        <v>1.4345137048177819E-3</v>
      </c>
      <c r="F38" s="1605">
        <v>1.4355930899157402E-3</v>
      </c>
      <c r="G38" s="1604">
        <v>1.2706005888538786E-3</v>
      </c>
      <c r="H38" s="1605">
        <v>6.0915477045959531E-4</v>
      </c>
      <c r="I38" s="1604">
        <v>7.9551546511914416E-4</v>
      </c>
      <c r="J38" s="1605">
        <v>7.8186781891925175E-4</v>
      </c>
      <c r="K38" s="1606"/>
      <c r="L38" s="1607">
        <v>6.9084334346133404E-4</v>
      </c>
      <c r="M38" s="1608">
        <v>5.1015132749105633E-4</v>
      </c>
      <c r="N38" s="1607">
        <v>3.981258006984806E-4</v>
      </c>
    </row>
    <row r="39" spans="1:24" ht="15.75" customHeight="1" thickBot="1">
      <c r="A39" s="1573" t="s">
        <v>1902</v>
      </c>
      <c r="B39" s="1573"/>
      <c r="C39" s="1598">
        <v>0.24237921842742241</v>
      </c>
      <c r="D39" s="1599">
        <v>0.25000890046131169</v>
      </c>
      <c r="E39" s="1598">
        <v>0.24913355007252133</v>
      </c>
      <c r="F39" s="1599">
        <v>0.25100189459926575</v>
      </c>
      <c r="G39" s="1598">
        <v>0.24723212445220727</v>
      </c>
      <c r="H39" s="1599">
        <v>0.23891917570171523</v>
      </c>
      <c r="I39" s="1598">
        <v>0.23657302680844386</v>
      </c>
      <c r="J39" s="1599">
        <v>0.23672878495654265</v>
      </c>
      <c r="K39" s="1600"/>
      <c r="L39" s="1601">
        <v>0.22664008928951854</v>
      </c>
      <c r="M39" s="1602">
        <v>0.22025930630556956</v>
      </c>
      <c r="N39" s="1601">
        <v>0.21279417753645341</v>
      </c>
    </row>
    <row r="40" spans="1:24" ht="12.75" customHeight="1" thickBot="1">
      <c r="A40" s="1573"/>
      <c r="B40" s="1573"/>
      <c r="C40" s="1580"/>
      <c r="D40" s="1581"/>
      <c r="E40" s="1580"/>
      <c r="F40" s="1581"/>
      <c r="G40" s="1580"/>
      <c r="H40" s="1581"/>
      <c r="I40" s="1580"/>
      <c r="J40" s="1581"/>
      <c r="K40" s="1582"/>
      <c r="L40" s="1583"/>
      <c r="M40" s="1584"/>
      <c r="N40" s="1583"/>
    </row>
    <row r="41" spans="1:24" ht="17.25" customHeight="1" thickBot="1">
      <c r="A41" s="1572" t="s">
        <v>1903</v>
      </c>
      <c r="B41" s="1573"/>
      <c r="C41" s="1586">
        <v>9.9898966717051393E-3</v>
      </c>
      <c r="D41" s="1587">
        <v>9.9975174297122302E-3</v>
      </c>
      <c r="E41" s="1586">
        <v>9.8083013173700245E-3</v>
      </c>
      <c r="F41" s="1587">
        <v>9.8303258820360909E-3</v>
      </c>
      <c r="G41" s="1586">
        <v>1.0232280713153514E-2</v>
      </c>
      <c r="H41" s="1587">
        <v>1.0047096577231324E-2</v>
      </c>
      <c r="I41" s="1586">
        <v>9.9560514405700358E-3</v>
      </c>
      <c r="J41" s="1587">
        <v>9.7187397990288176E-3</v>
      </c>
      <c r="K41" s="1588"/>
      <c r="L41" s="1589">
        <v>9.6582059444310711E-3</v>
      </c>
      <c r="M41" s="1590">
        <v>9.6087993220893009E-3</v>
      </c>
      <c r="N41" s="1589">
        <v>9.5576930407619918E-3</v>
      </c>
    </row>
    <row r="42" spans="1:24" ht="12.75" customHeight="1" thickBot="1">
      <c r="A42" s="1572"/>
      <c r="B42" s="1592"/>
      <c r="C42" s="1580"/>
      <c r="D42" s="1581"/>
      <c r="E42" s="1580"/>
      <c r="F42" s="1581"/>
      <c r="G42" s="1580"/>
      <c r="H42" s="1581"/>
      <c r="I42" s="1580"/>
      <c r="J42" s="1581"/>
      <c r="K42" s="1582"/>
      <c r="L42" s="1583"/>
      <c r="M42" s="1584"/>
      <c r="N42" s="1583"/>
    </row>
    <row r="43" spans="1:24" ht="18" customHeight="1" thickBot="1">
      <c r="A43" s="1609" t="s">
        <v>1904</v>
      </c>
      <c r="B43" s="1610"/>
      <c r="C43" s="1611">
        <v>1</v>
      </c>
      <c r="D43" s="1612">
        <v>1</v>
      </c>
      <c r="E43" s="1611">
        <v>1</v>
      </c>
      <c r="F43" s="1612">
        <v>1</v>
      </c>
      <c r="G43" s="1611">
        <v>1</v>
      </c>
      <c r="H43" s="1612">
        <v>1</v>
      </c>
      <c r="I43" s="1611">
        <v>1</v>
      </c>
      <c r="J43" s="1612">
        <v>1</v>
      </c>
      <c r="K43" s="1613"/>
      <c r="L43" s="1614">
        <v>1</v>
      </c>
      <c r="M43" s="1615">
        <v>1</v>
      </c>
      <c r="N43" s="1614">
        <v>1</v>
      </c>
    </row>
    <row r="44" spans="1:24" ht="15" customHeight="1">
      <c r="A44" s="1616" t="s">
        <v>36</v>
      </c>
      <c r="B44" s="1616"/>
      <c r="C44" s="1617"/>
      <c r="D44" s="1617"/>
      <c r="E44" s="1617"/>
      <c r="F44" s="1617"/>
      <c r="G44" s="1617"/>
      <c r="H44" s="1617"/>
      <c r="I44" s="1618"/>
      <c r="J44" s="1618"/>
      <c r="K44" s="1536"/>
      <c r="L44" s="1536"/>
      <c r="M44" s="1536"/>
      <c r="N44" s="1536"/>
    </row>
    <row r="45" spans="1:24" ht="11.25" customHeight="1">
      <c r="A45" s="1619"/>
      <c r="B45" s="1617"/>
      <c r="C45" s="1536"/>
      <c r="D45" s="1536"/>
      <c r="E45" s="1536"/>
      <c r="F45" s="1536"/>
      <c r="G45" s="1536"/>
      <c r="H45" s="1536"/>
      <c r="I45" s="1618"/>
      <c r="J45" s="1618"/>
      <c r="K45" s="1536"/>
      <c r="L45" s="1536"/>
      <c r="M45" s="1620"/>
      <c r="N45" s="1620"/>
      <c r="O45" s="1554"/>
      <c r="P45" s="1554"/>
      <c r="S45" s="1554"/>
      <c r="T45" s="1554"/>
      <c r="U45" s="1554"/>
      <c r="V45" s="1554"/>
      <c r="W45" s="1544"/>
      <c r="X45" s="1621"/>
    </row>
    <row r="46" spans="1:24" ht="11.25" customHeight="1">
      <c r="A46" s="1535" t="s">
        <v>1960</v>
      </c>
      <c r="B46" s="1617"/>
      <c r="C46" s="1536"/>
      <c r="D46" s="1536"/>
      <c r="E46" s="1536"/>
      <c r="F46" s="1536"/>
      <c r="G46" s="1536"/>
      <c r="H46" s="1536"/>
      <c r="I46" s="1618"/>
      <c r="J46" s="1618"/>
      <c r="K46" s="1536"/>
      <c r="L46" s="1536"/>
      <c r="M46" s="1620"/>
      <c r="N46" s="1620"/>
      <c r="O46" s="1554"/>
      <c r="P46" s="1554"/>
      <c r="S46" s="1554"/>
      <c r="T46" s="1554"/>
      <c r="U46" s="1554"/>
      <c r="V46" s="1554"/>
      <c r="W46" s="1544"/>
      <c r="X46" s="1621"/>
    </row>
    <row r="47" spans="1:24" ht="11.25" customHeight="1">
      <c r="A47" s="1619"/>
      <c r="B47" s="1617"/>
      <c r="C47" s="1536"/>
      <c r="D47" s="1536"/>
      <c r="E47" s="1536"/>
      <c r="F47" s="1536"/>
      <c r="G47" s="1536"/>
      <c r="H47" s="1536"/>
      <c r="I47" s="1618"/>
      <c r="J47" s="1618"/>
      <c r="K47" s="1536"/>
      <c r="L47" s="1536"/>
      <c r="M47" s="1620"/>
      <c r="N47" s="1620"/>
      <c r="O47" s="1554"/>
      <c r="P47" s="1554"/>
      <c r="S47" s="1554"/>
      <c r="T47" s="1554"/>
      <c r="U47" s="1554"/>
      <c r="V47" s="1554"/>
      <c r="W47" s="1544"/>
      <c r="X47" s="1621"/>
    </row>
    <row r="48" spans="1:24">
      <c r="A48" s="1616" t="s">
        <v>1910</v>
      </c>
      <c r="B48" s="1617"/>
      <c r="C48" s="1536"/>
      <c r="D48" s="1536"/>
      <c r="E48" s="1536"/>
      <c r="F48" s="1536"/>
      <c r="G48" s="1536"/>
      <c r="H48" s="1536"/>
      <c r="I48" s="1618"/>
      <c r="J48" s="1618"/>
      <c r="K48" s="1536"/>
      <c r="L48" s="1536"/>
      <c r="M48" s="1620"/>
      <c r="N48" s="1620"/>
      <c r="O48" s="1554"/>
      <c r="P48" s="1554"/>
    </row>
    <row r="49" spans="1:14" ht="9" customHeight="1">
      <c r="A49" s="1616"/>
      <c r="B49" s="1617"/>
      <c r="C49" s="1536"/>
      <c r="D49" s="1536"/>
      <c r="E49" s="1536"/>
      <c r="F49" s="1536"/>
      <c r="G49" s="1536"/>
      <c r="H49" s="1536"/>
      <c r="I49" s="1618"/>
      <c r="J49" s="1618"/>
      <c r="K49" s="1536"/>
      <c r="L49" s="1536"/>
      <c r="M49" s="1536"/>
      <c r="N49" s="1536"/>
    </row>
    <row r="50" spans="1:14">
      <c r="A50" s="1619" t="s">
        <v>1962</v>
      </c>
      <c r="B50" s="1536"/>
      <c r="C50" s="1536"/>
      <c r="D50" s="1536"/>
      <c r="E50" s="1536"/>
      <c r="F50" s="1536"/>
      <c r="G50" s="1536"/>
      <c r="H50" s="1536"/>
      <c r="I50" s="1618"/>
      <c r="J50" s="1618"/>
      <c r="K50" s="1536"/>
      <c r="L50" s="1536"/>
      <c r="M50" s="1536"/>
      <c r="N50" s="1536"/>
    </row>
    <row r="51" spans="1:14">
      <c r="A51" s="1617"/>
      <c r="B51" s="1617"/>
      <c r="C51" s="1536"/>
      <c r="D51" s="1536"/>
      <c r="E51" s="1536"/>
      <c r="F51" s="1536"/>
      <c r="G51" s="1536"/>
      <c r="H51" s="1536"/>
      <c r="I51" s="1618"/>
      <c r="J51" s="1618"/>
      <c r="K51" s="1536"/>
      <c r="L51" s="1536"/>
      <c r="M51" s="1536"/>
      <c r="N51" s="1536"/>
    </row>
    <row r="52" spans="1:14">
      <c r="A52" s="1622"/>
      <c r="B52" s="1617"/>
      <c r="C52" s="1617"/>
      <c r="D52" s="1617"/>
      <c r="E52" s="1617"/>
      <c r="F52" s="1617"/>
      <c r="G52" s="1536"/>
      <c r="H52" s="1617"/>
      <c r="I52" s="1618"/>
      <c r="J52" s="1618"/>
      <c r="K52" s="1536"/>
      <c r="L52" s="1536"/>
      <c r="M52" s="1536"/>
      <c r="N52" s="1536"/>
    </row>
    <row r="53" spans="1:14">
      <c r="A53" s="1623" t="s">
        <v>104</v>
      </c>
      <c r="B53" s="1617"/>
      <c r="C53" s="1619"/>
      <c r="D53" s="1619"/>
      <c r="E53" s="1619"/>
      <c r="F53" s="1619"/>
      <c r="G53" s="1536"/>
      <c r="H53" s="1619"/>
      <c r="I53" s="1618"/>
      <c r="J53" s="1618"/>
      <c r="K53" s="1536"/>
      <c r="L53" s="1536"/>
      <c r="M53" s="1536"/>
      <c r="N53" s="1536"/>
    </row>
    <row r="54" spans="1:14" s="1624" customFormat="1">
      <c r="A54" s="1622"/>
      <c r="B54" s="1619"/>
      <c r="C54" s="1616"/>
      <c r="D54" s="1616"/>
      <c r="E54" s="1619"/>
      <c r="F54" s="1619"/>
      <c r="G54" s="1619"/>
      <c r="H54" s="1619"/>
      <c r="I54" s="1618"/>
      <c r="J54" s="1618"/>
      <c r="K54" s="1619"/>
      <c r="L54" s="1619"/>
      <c r="M54" s="1619"/>
      <c r="N54" s="1619"/>
    </row>
    <row r="55" spans="1:14" s="1624" customFormat="1">
      <c r="A55" s="1625"/>
      <c r="B55" s="1625"/>
      <c r="C55" s="1626"/>
      <c r="D55" s="1626"/>
      <c r="I55" s="1627"/>
      <c r="J55" s="1627"/>
    </row>
    <row r="56" spans="1:14" s="1624" customFormat="1">
      <c r="A56" s="1625"/>
      <c r="I56" s="1627"/>
      <c r="J56" s="1627"/>
    </row>
    <row r="57" spans="1:14" s="1624" customFormat="1">
      <c r="A57" s="1628"/>
      <c r="B57" s="1629"/>
      <c r="I57" s="1627"/>
      <c r="J57" s="1627"/>
    </row>
    <row r="58" spans="1:14" s="1624" customFormat="1">
      <c r="A58" s="1628"/>
      <c r="B58" s="1629"/>
      <c r="C58" s="1537"/>
      <c r="D58" s="1537"/>
      <c r="E58" s="1537"/>
      <c r="F58" s="1537"/>
      <c r="H58" s="1537"/>
      <c r="I58" s="1627"/>
      <c r="J58" s="1627"/>
    </row>
    <row r="59" spans="1:14" s="1624" customFormat="1">
      <c r="A59" s="1628"/>
      <c r="B59" s="1630"/>
      <c r="C59" s="1537"/>
      <c r="D59" s="1537"/>
      <c r="E59" s="1537"/>
      <c r="F59" s="1537"/>
      <c r="H59" s="1537"/>
      <c r="I59" s="1627"/>
      <c r="J59" s="1627"/>
    </row>
    <row r="60" spans="1:14">
      <c r="A60" s="1628"/>
      <c r="B60" s="1630"/>
    </row>
    <row r="62" spans="1:14">
      <c r="A62" s="1630"/>
      <c r="B62" s="1630"/>
    </row>
    <row r="63" spans="1:14">
      <c r="A63" s="1630"/>
      <c r="B63" s="1630"/>
    </row>
    <row r="64" spans="1:14">
      <c r="A64" s="1630"/>
      <c r="B64" s="1631"/>
    </row>
    <row r="65" spans="1:5">
      <c r="A65" s="1630"/>
      <c r="B65" s="1632"/>
    </row>
    <row r="66" spans="1:5">
      <c r="A66" s="1630"/>
      <c r="B66" s="1633"/>
    </row>
    <row r="67" spans="1:5">
      <c r="A67" s="1630"/>
      <c r="B67" s="1634"/>
    </row>
    <row r="68" spans="1:5">
      <c r="A68" s="1630"/>
      <c r="B68" s="1635"/>
    </row>
    <row r="69" spans="1:5">
      <c r="A69" s="1630"/>
      <c r="B69" s="1630"/>
    </row>
    <row r="70" spans="1:5">
      <c r="A70" s="1630"/>
      <c r="B70" s="1630"/>
    </row>
    <row r="71" spans="1:5">
      <c r="B71" s="1630"/>
    </row>
    <row r="72" spans="1:5">
      <c r="A72" s="1630"/>
      <c r="B72" s="1630"/>
      <c r="E72" s="1554"/>
    </row>
    <row r="73" spans="1:5">
      <c r="A73" s="1630"/>
      <c r="B73" s="1630"/>
    </row>
    <row r="74" spans="1:5">
      <c r="A74" s="1630"/>
      <c r="B74" s="1630"/>
    </row>
    <row r="75" spans="1:5">
      <c r="A75" s="1630"/>
      <c r="B75" s="1630"/>
    </row>
    <row r="76" spans="1:5">
      <c r="A76" s="1630"/>
      <c r="B76" s="1630"/>
    </row>
    <row r="77" spans="1:5">
      <c r="A77" s="1630"/>
      <c r="B77" s="1630"/>
    </row>
    <row r="78" spans="1:5">
      <c r="A78" s="1630"/>
    </row>
    <row r="79" spans="1:5">
      <c r="A79" s="1630"/>
    </row>
    <row r="82" spans="1:2">
      <c r="B82" s="1630"/>
    </row>
    <row r="83" spans="1:2">
      <c r="B83" s="1630"/>
    </row>
    <row r="84" spans="1:2" ht="16">
      <c r="A84" s="1636"/>
      <c r="B84" s="1630"/>
    </row>
    <row r="85" spans="1:2">
      <c r="A85" s="1630"/>
      <c r="B85" s="1630"/>
    </row>
    <row r="86" spans="1:2">
      <c r="A86" s="1630"/>
      <c r="B86" s="1630"/>
    </row>
    <row r="87" spans="1:2">
      <c r="A87" s="1630"/>
      <c r="B87" s="1630"/>
    </row>
    <row r="88" spans="1:2">
      <c r="A88" s="1630"/>
      <c r="B88" s="1630"/>
    </row>
    <row r="89" spans="1:2">
      <c r="A89" s="1630"/>
      <c r="B89" s="1630"/>
    </row>
    <row r="90" spans="1:2">
      <c r="A90" s="1630"/>
      <c r="B90" s="1630"/>
    </row>
    <row r="91" spans="1:2">
      <c r="A91" s="1630"/>
      <c r="B91" s="1630"/>
    </row>
    <row r="92" spans="1:2">
      <c r="A92" s="1630"/>
      <c r="B92" s="1630"/>
    </row>
    <row r="93" spans="1:2">
      <c r="A93" s="1630"/>
      <c r="B93" s="1630"/>
    </row>
    <row r="94" spans="1:2">
      <c r="B94" s="1630"/>
    </row>
    <row r="95" spans="1:2">
      <c r="A95" s="1630"/>
      <c r="B95" s="1630"/>
    </row>
    <row r="96" spans="1:2">
      <c r="A96" s="1630"/>
      <c r="B96" s="1630"/>
    </row>
    <row r="97" spans="1:2">
      <c r="A97" s="1630"/>
      <c r="B97" s="1630"/>
    </row>
    <row r="98" spans="1:2">
      <c r="A98" s="1630"/>
      <c r="B98" s="1630"/>
    </row>
    <row r="99" spans="1:2">
      <c r="A99" s="1630"/>
      <c r="B99" s="1630"/>
    </row>
    <row r="100" spans="1:2">
      <c r="A100" s="1630"/>
      <c r="B100" s="1630"/>
    </row>
    <row r="101" spans="1:2">
      <c r="A101" s="1630"/>
    </row>
    <row r="105" spans="1:2">
      <c r="B105" s="1630"/>
    </row>
    <row r="106" spans="1:2">
      <c r="B106" s="1630"/>
    </row>
    <row r="107" spans="1:2">
      <c r="B107" s="1630"/>
    </row>
    <row r="108" spans="1:2">
      <c r="A108" s="1630"/>
      <c r="B108" s="1630"/>
    </row>
    <row r="109" spans="1:2">
      <c r="A109" s="1630"/>
      <c r="B109" s="1630"/>
    </row>
    <row r="110" spans="1:2">
      <c r="A110" s="1630"/>
      <c r="B110" s="1630"/>
    </row>
    <row r="111" spans="1:2">
      <c r="A111" s="1630"/>
      <c r="B111" s="1630"/>
    </row>
    <row r="112" spans="1:2">
      <c r="A112" s="1630"/>
      <c r="B112" s="1630"/>
    </row>
    <row r="113" spans="1:2">
      <c r="A113" s="1630"/>
      <c r="B113" s="1630"/>
    </row>
    <row r="114" spans="1:2" ht="16">
      <c r="A114" s="1636"/>
      <c r="B114" s="1630"/>
    </row>
    <row r="115" spans="1:2">
      <c r="A115" s="1630"/>
      <c r="B115" s="1630"/>
    </row>
    <row r="116" spans="1:2">
      <c r="B116" s="1630"/>
    </row>
    <row r="117" spans="1:2">
      <c r="A117" s="1630"/>
      <c r="B117" s="1630"/>
    </row>
    <row r="118" spans="1:2">
      <c r="A118" s="1630"/>
      <c r="B118" s="1630"/>
    </row>
    <row r="119" spans="1:2">
      <c r="A119" s="1630"/>
      <c r="B119" s="1630"/>
    </row>
    <row r="120" spans="1:2">
      <c r="A120" s="1630"/>
      <c r="B120" s="1630"/>
    </row>
  </sheetData>
  <phoneticPr fontId="70" type="noConversion"/>
  <pageMargins left="0.46" right="0.47" top="0.73" bottom="0.35433070866141736" header="0.39" footer="0.19685039370078741"/>
  <pageSetup paperSize="9" scale="70" orientation="landscape" cellComments="asDisplayed"/>
  <headerFooter alignWithMargins="0">
    <oddHeader>&amp;L&amp;"Helvetica,Normal"Zusatzinformationen zum Gesundheitswesen</oddHeader>
    <oddFooter xml:space="preserve">&amp;R </oddFooter>
  </headerFooter>
  <drawing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92A02-484C-B547-9008-B7AF05EB913F}">
  <dimension ref="A1:R110"/>
  <sheetViews>
    <sheetView topLeftCell="A65" workbookViewId="0">
      <selection activeCell="B75" sqref="B75"/>
    </sheetView>
  </sheetViews>
  <sheetFormatPr baseColWidth="10" defaultColWidth="10.19921875" defaultRowHeight="13"/>
  <cols>
    <col min="1" max="1" width="3.796875" style="1363" customWidth="1"/>
    <col min="2" max="2" width="3" style="1363" customWidth="1"/>
    <col min="3" max="3" width="49.3984375" style="1363" customWidth="1"/>
    <col min="4" max="11" width="10.19921875" style="1363" customWidth="1"/>
    <col min="12" max="12" width="3.3984375" style="1363" customWidth="1"/>
    <col min="13" max="13" width="10.19921875" style="1363" customWidth="1"/>
    <col min="14" max="14" width="10.796875" style="1363" customWidth="1"/>
    <col min="15" max="15" width="3.19921875" style="1363" customWidth="1"/>
    <col min="16" max="16" width="10.19921875" style="1363" customWidth="1"/>
    <col min="17" max="18" width="10.796875" style="1363" customWidth="1"/>
    <col min="19" max="16384" width="10.19921875" style="1363"/>
  </cols>
  <sheetData>
    <row r="1" spans="1:18" ht="16">
      <c r="A1" s="1361"/>
      <c r="B1" s="1362" t="s">
        <v>1927</v>
      </c>
      <c r="C1" s="1361"/>
      <c r="D1" s="1361"/>
      <c r="E1" s="1361"/>
      <c r="F1" s="1361"/>
      <c r="G1" s="1361"/>
      <c r="H1" s="1361"/>
      <c r="I1" s="1361"/>
      <c r="J1" s="1361"/>
      <c r="K1" s="1361"/>
      <c r="L1" s="1361"/>
      <c r="M1" s="1361"/>
      <c r="N1" s="1361"/>
      <c r="O1" s="1361"/>
      <c r="P1" s="1361"/>
      <c r="Q1" s="1361"/>
      <c r="R1" s="1361"/>
    </row>
    <row r="2" spans="1:18" ht="14.25" customHeight="1" thickBot="1">
      <c r="A2" s="1361"/>
      <c r="B2" s="1364"/>
      <c r="C2" s="1364"/>
      <c r="D2" s="1364"/>
      <c r="E2" s="1364"/>
      <c r="F2" s="1364"/>
      <c r="G2" s="1364"/>
      <c r="H2" s="1364"/>
      <c r="I2" s="1364"/>
      <c r="J2" s="1364"/>
      <c r="K2" s="1364"/>
      <c r="L2" s="1364"/>
      <c r="M2" s="1364"/>
      <c r="N2" s="1364"/>
      <c r="O2" s="1364"/>
      <c r="P2" s="1364"/>
      <c r="Q2" s="1365"/>
      <c r="R2" s="1365"/>
    </row>
    <row r="3" spans="1:18" ht="13.5" customHeight="1">
      <c r="A3" s="1361"/>
      <c r="B3" s="1366"/>
      <c r="C3" s="1366"/>
      <c r="D3" s="1367"/>
      <c r="E3" s="1366"/>
      <c r="F3" s="1367"/>
      <c r="G3" s="1366"/>
      <c r="H3" s="1367"/>
      <c r="I3" s="1368"/>
      <c r="J3" s="1369"/>
      <c r="K3" s="1368"/>
      <c r="L3" s="1370"/>
      <c r="M3" s="1369" t="s">
        <v>451</v>
      </c>
      <c r="N3" s="1371" t="s">
        <v>1928</v>
      </c>
      <c r="O3" s="1372"/>
      <c r="P3" s="1373" t="s">
        <v>1856</v>
      </c>
      <c r="Q3" s="1374" t="s">
        <v>1856</v>
      </c>
      <c r="R3" s="1373" t="s">
        <v>1856</v>
      </c>
    </row>
    <row r="4" spans="1:18" ht="15">
      <c r="A4" s="1361"/>
      <c r="B4" s="1375" t="s">
        <v>1957</v>
      </c>
      <c r="C4" s="1376"/>
      <c r="D4" s="1377">
        <v>1996</v>
      </c>
      <c r="E4" s="1378">
        <v>1997</v>
      </c>
      <c r="F4" s="1377">
        <v>1998</v>
      </c>
      <c r="G4" s="1378">
        <v>1999</v>
      </c>
      <c r="H4" s="1377">
        <v>2000</v>
      </c>
      <c r="I4" s="1378">
        <v>2001</v>
      </c>
      <c r="J4" s="1377">
        <v>2002</v>
      </c>
      <c r="K4" s="1378">
        <v>2003</v>
      </c>
      <c r="L4" s="1379"/>
      <c r="M4" s="1369" t="s">
        <v>1929</v>
      </c>
      <c r="N4" s="1380" t="s">
        <v>1858</v>
      </c>
      <c r="O4" s="1381"/>
      <c r="P4" s="1382">
        <v>2004</v>
      </c>
      <c r="Q4" s="1383">
        <v>2005</v>
      </c>
      <c r="R4" s="1382">
        <v>2006</v>
      </c>
    </row>
    <row r="5" spans="1:18" ht="9.75" customHeight="1">
      <c r="A5" s="1361"/>
      <c r="B5" s="1375"/>
      <c r="C5" s="1376"/>
      <c r="D5" s="1384"/>
      <c r="E5" s="1385"/>
      <c r="F5" s="1384"/>
      <c r="G5" s="1385"/>
      <c r="H5" s="1384"/>
      <c r="I5" s="1386"/>
      <c r="J5" s="1387"/>
      <c r="K5" s="1386"/>
      <c r="L5" s="1388"/>
      <c r="M5" s="1387"/>
      <c r="N5" s="1380" t="s">
        <v>393</v>
      </c>
      <c r="O5" s="1381"/>
      <c r="P5" s="1384"/>
      <c r="Q5" s="1385"/>
      <c r="R5" s="1384"/>
    </row>
    <row r="6" spans="1:18" ht="9.75" customHeight="1">
      <c r="A6" s="1361"/>
      <c r="B6" s="1389"/>
      <c r="C6" s="1390"/>
      <c r="D6" s="1391"/>
      <c r="E6" s="1392"/>
      <c r="F6" s="1391"/>
      <c r="G6" s="1392"/>
      <c r="H6" s="1391"/>
      <c r="I6" s="1393"/>
      <c r="J6" s="1394"/>
      <c r="K6" s="1393"/>
      <c r="L6" s="1395"/>
      <c r="M6" s="1394"/>
      <c r="N6" s="1396" t="s">
        <v>1930</v>
      </c>
      <c r="O6" s="1397"/>
      <c r="P6" s="1391"/>
      <c r="Q6" s="1392"/>
      <c r="R6" s="1391"/>
    </row>
    <row r="7" spans="1:18" ht="17.25" customHeight="1" thickBot="1">
      <c r="A7" s="1739" t="s">
        <v>1931</v>
      </c>
      <c r="B7" s="1398" t="s">
        <v>1932</v>
      </c>
      <c r="C7" s="1399"/>
      <c r="D7" s="1400">
        <v>15102.8</v>
      </c>
      <c r="E7" s="1401">
        <v>15124.7</v>
      </c>
      <c r="F7" s="1400">
        <v>15686.5</v>
      </c>
      <c r="G7" s="1401">
        <v>15981.6</v>
      </c>
      <c r="H7" s="1400">
        <v>16973.123118</v>
      </c>
      <c r="I7" s="1401">
        <v>17916.27</v>
      </c>
      <c r="J7" s="1400">
        <v>18410.55</v>
      </c>
      <c r="K7" s="1401">
        <v>19050.633227000002</v>
      </c>
      <c r="L7" s="1402"/>
      <c r="M7" s="1403">
        <v>3.4767197449288689E-2</v>
      </c>
      <c r="N7" s="1404">
        <v>3.3730715233681208E-2</v>
      </c>
      <c r="O7" s="1405"/>
      <c r="P7" s="1400">
        <v>20102.942229619999</v>
      </c>
      <c r="Q7" s="1406">
        <v>21042.753955250002</v>
      </c>
      <c r="R7" s="1407">
        <v>22148.438615789997</v>
      </c>
    </row>
    <row r="8" spans="1:18" ht="14" thickBot="1">
      <c r="A8" s="1740"/>
      <c r="B8" s="1408"/>
      <c r="C8" s="1409" t="s">
        <v>1864</v>
      </c>
      <c r="D8" s="1410">
        <v>10780.5</v>
      </c>
      <c r="E8" s="1411">
        <v>11360.5</v>
      </c>
      <c r="F8" s="1410">
        <v>11926.9</v>
      </c>
      <c r="G8" s="1411">
        <v>12430.6</v>
      </c>
      <c r="H8" s="1410">
        <v>13190.308999999999</v>
      </c>
      <c r="I8" s="1411">
        <v>13986.27</v>
      </c>
      <c r="J8" s="1410">
        <v>14592.75</v>
      </c>
      <c r="K8" s="1411">
        <v>15335.619704000001</v>
      </c>
      <c r="L8" s="1412"/>
      <c r="M8" s="1413">
        <v>5.0906765619914029E-2</v>
      </c>
      <c r="N8" s="1414">
        <v>5.1637492330443457E-2</v>
      </c>
      <c r="O8" s="1415"/>
      <c r="P8" s="1410">
        <v>16307.508545999999</v>
      </c>
      <c r="Q8" s="1416">
        <v>17292.753955250002</v>
      </c>
      <c r="R8" s="1417">
        <v>18448.438615789997</v>
      </c>
    </row>
    <row r="9" spans="1:18" ht="14" thickBot="1">
      <c r="A9" s="1740"/>
      <c r="B9" s="1408"/>
      <c r="C9" s="1409" t="s">
        <v>1868</v>
      </c>
      <c r="D9" s="1410">
        <v>3809.6</v>
      </c>
      <c r="E9" s="1411">
        <v>3288.3</v>
      </c>
      <c r="F9" s="1410">
        <v>3299.5</v>
      </c>
      <c r="G9" s="1411">
        <v>2787.1</v>
      </c>
      <c r="H9" s="1410">
        <v>2199.056302</v>
      </c>
      <c r="I9" s="1411">
        <v>1576.7</v>
      </c>
      <c r="J9" s="1410">
        <v>1422.3</v>
      </c>
      <c r="K9" s="1411">
        <v>1354.5729260000001</v>
      </c>
      <c r="L9" s="1412"/>
      <c r="M9" s="1413">
        <v>-4.7617994797159446E-2</v>
      </c>
      <c r="N9" s="1414">
        <v>-0.13732712108282552</v>
      </c>
      <c r="O9" s="1415"/>
      <c r="P9" s="1410">
        <v>1040.45917962</v>
      </c>
      <c r="Q9" s="1416">
        <v>800</v>
      </c>
      <c r="R9" s="1417">
        <v>650</v>
      </c>
    </row>
    <row r="10" spans="1:18" ht="14" thickBot="1">
      <c r="A10" s="1740"/>
      <c r="B10" s="1408"/>
      <c r="C10" s="1409" t="s">
        <v>1933</v>
      </c>
      <c r="D10" s="1410">
        <v>512.70000000000005</v>
      </c>
      <c r="E10" s="1411">
        <v>475.9</v>
      </c>
      <c r="F10" s="1410">
        <v>460.1</v>
      </c>
      <c r="G10" s="1411">
        <v>763.9</v>
      </c>
      <c r="H10" s="1410">
        <v>1583.757816</v>
      </c>
      <c r="I10" s="1411">
        <v>2353.3000000000002</v>
      </c>
      <c r="J10" s="1410">
        <v>2395.5</v>
      </c>
      <c r="K10" s="1411">
        <v>2360.4405969999998</v>
      </c>
      <c r="L10" s="1412"/>
      <c r="M10" s="1413">
        <v>-1.46355261949489E-2</v>
      </c>
      <c r="N10" s="1414">
        <v>0.24374922336975113</v>
      </c>
      <c r="O10" s="1415"/>
      <c r="P10" s="1410">
        <v>2754.9745040000003</v>
      </c>
      <c r="Q10" s="1416">
        <v>2950</v>
      </c>
      <c r="R10" s="1417">
        <v>3050</v>
      </c>
    </row>
    <row r="11" spans="1:18" ht="14" thickBot="1">
      <c r="A11" s="1740"/>
      <c r="B11" s="1408"/>
      <c r="C11" s="1408"/>
      <c r="D11" s="1418"/>
      <c r="E11" s="1419"/>
      <c r="F11" s="1418"/>
      <c r="G11" s="1419"/>
      <c r="H11" s="1418"/>
      <c r="I11" s="1419"/>
      <c r="J11" s="1418"/>
      <c r="K11" s="1419"/>
      <c r="L11" s="1420"/>
      <c r="M11" s="1421"/>
      <c r="N11" s="1422"/>
      <c r="O11" s="1423"/>
      <c r="P11" s="1424"/>
      <c r="Q11" s="1425"/>
      <c r="R11" s="1424"/>
    </row>
    <row r="12" spans="1:18" ht="14" thickBot="1">
      <c r="A12" s="1740"/>
      <c r="B12" s="1426" t="s">
        <v>1934</v>
      </c>
      <c r="C12" s="1408"/>
      <c r="D12" s="1427">
        <v>72.599999999999739</v>
      </c>
      <c r="E12" s="1428">
        <v>80.999999999998636</v>
      </c>
      <c r="F12" s="1427">
        <v>106.80000000000098</v>
      </c>
      <c r="G12" s="1428">
        <v>50.400000000001</v>
      </c>
      <c r="H12" s="1427">
        <v>32.676882000000205</v>
      </c>
      <c r="I12" s="1428">
        <v>42.130000000000337</v>
      </c>
      <c r="J12" s="1427">
        <v>72.150000000000091</v>
      </c>
      <c r="K12" s="1428">
        <v>58.374773000002051</v>
      </c>
      <c r="L12" s="1429"/>
      <c r="M12" s="1430">
        <v>-0.19092483714480979</v>
      </c>
      <c r="N12" s="1431">
        <v>-3.067414317816175E-2</v>
      </c>
      <c r="O12" s="1432"/>
      <c r="P12" s="1433">
        <v>58.873172090371099</v>
      </c>
      <c r="Q12" s="1434">
        <v>60.005169025032501</v>
      </c>
      <c r="R12" s="1433">
        <v>62.390732445764002</v>
      </c>
    </row>
    <row r="13" spans="1:18" ht="14" thickBot="1">
      <c r="A13" s="1740"/>
      <c r="B13" s="1408"/>
      <c r="C13" s="1409" t="s">
        <v>1864</v>
      </c>
      <c r="D13" s="1435">
        <v>20.5</v>
      </c>
      <c r="E13" s="1436">
        <v>18.599999999998545</v>
      </c>
      <c r="F13" s="1435">
        <v>22.800000000001091</v>
      </c>
      <c r="G13" s="1436">
        <v>20.800000000001091</v>
      </c>
      <c r="H13" s="1435">
        <v>19.591000000000349</v>
      </c>
      <c r="I13" s="1436">
        <v>30.430000000000291</v>
      </c>
      <c r="J13" s="1435">
        <v>35.75</v>
      </c>
      <c r="K13" s="1436">
        <v>47.588296000001719</v>
      </c>
      <c r="L13" s="1437"/>
      <c r="M13" s="1438">
        <v>0.33114114685319485</v>
      </c>
      <c r="N13" s="1439">
        <v>0.12784513477752868</v>
      </c>
      <c r="O13" s="1440"/>
      <c r="P13" s="1441">
        <v>50.604185464197144</v>
      </c>
      <c r="Q13" s="1442">
        <v>53.661521983554849</v>
      </c>
      <c r="R13" s="1441">
        <v>57.24775226116617</v>
      </c>
    </row>
    <row r="14" spans="1:18" ht="14" thickBot="1">
      <c r="A14" s="1740"/>
      <c r="B14" s="1408"/>
      <c r="C14" s="1409" t="s">
        <v>1868</v>
      </c>
      <c r="D14" s="1435">
        <v>134.19999999999999</v>
      </c>
      <c r="E14" s="1436">
        <v>62.400000000000091</v>
      </c>
      <c r="F14" s="1435">
        <v>84.099999999999909</v>
      </c>
      <c r="G14" s="1436">
        <v>29.599999999999909</v>
      </c>
      <c r="H14" s="1435">
        <v>13.043697999999949</v>
      </c>
      <c r="I14" s="1436">
        <v>11.7</v>
      </c>
      <c r="J14" s="1435">
        <v>36.400000000000091</v>
      </c>
      <c r="K14" s="1436">
        <v>10.827074000000039</v>
      </c>
      <c r="L14" s="1437"/>
      <c r="M14" s="1438">
        <v>-0.70255291208791171</v>
      </c>
      <c r="N14" s="1439">
        <v>-0.30205266130855157</v>
      </c>
      <c r="O14" s="1440"/>
      <c r="P14" s="1441">
        <v>8.316369178432069</v>
      </c>
      <c r="Q14" s="1442">
        <v>6.3943838192435578</v>
      </c>
      <c r="R14" s="1441">
        <v>5.1954368531354476</v>
      </c>
    </row>
    <row r="15" spans="1:18" ht="14" thickBot="1">
      <c r="A15" s="1740"/>
      <c r="B15" s="1408"/>
      <c r="C15" s="1409" t="s">
        <v>1935</v>
      </c>
      <c r="D15" s="1435">
        <v>-82.10000000000008</v>
      </c>
      <c r="E15" s="1436">
        <v>0</v>
      </c>
      <c r="F15" s="1435">
        <v>-0.10000000000002274</v>
      </c>
      <c r="G15" s="1436">
        <v>0</v>
      </c>
      <c r="H15" s="1435">
        <v>4.2183999999906518E-2</v>
      </c>
      <c r="I15" s="1436">
        <v>0</v>
      </c>
      <c r="J15" s="1435">
        <v>0</v>
      </c>
      <c r="K15" s="1436">
        <v>-4.0596999999706895E-2</v>
      </c>
      <c r="L15" s="1437"/>
      <c r="M15" s="1413" t="s">
        <v>1300</v>
      </c>
      <c r="N15" s="1414" t="s">
        <v>1300</v>
      </c>
      <c r="O15" s="1415"/>
      <c r="P15" s="1441">
        <v>-4.7382552258113719E-2</v>
      </c>
      <c r="Q15" s="1442">
        <v>-5.0736777765905572E-2</v>
      </c>
      <c r="R15" s="1441">
        <v>-5.2456668537615769E-2</v>
      </c>
    </row>
    <row r="16" spans="1:18" ht="14" thickBot="1">
      <c r="A16" s="1443"/>
      <c r="B16" s="1408"/>
      <c r="C16" s="1408"/>
      <c r="D16" s="1418"/>
      <c r="E16" s="1419"/>
      <c r="F16" s="1418"/>
      <c r="G16" s="1419"/>
      <c r="H16" s="1418"/>
      <c r="I16" s="1419"/>
      <c r="J16" s="1418"/>
      <c r="K16" s="1419"/>
      <c r="L16" s="1420"/>
      <c r="M16" s="1421"/>
      <c r="N16" s="1422"/>
      <c r="O16" s="1423"/>
      <c r="P16" s="1424"/>
      <c r="Q16" s="1425"/>
      <c r="R16" s="1424"/>
    </row>
    <row r="17" spans="1:18" ht="14" thickBot="1">
      <c r="A17" s="1443"/>
      <c r="B17" s="1426" t="s">
        <v>1936</v>
      </c>
      <c r="C17" s="1408"/>
      <c r="D17" s="1427">
        <v>15175.4</v>
      </c>
      <c r="E17" s="1428">
        <v>15205.7</v>
      </c>
      <c r="F17" s="1427">
        <v>15793.3</v>
      </c>
      <c r="G17" s="1428">
        <v>16032</v>
      </c>
      <c r="H17" s="1427">
        <v>17005.8</v>
      </c>
      <c r="I17" s="1428">
        <v>17958.400000000001</v>
      </c>
      <c r="J17" s="1427">
        <v>18482.7</v>
      </c>
      <c r="K17" s="1428">
        <v>19109.008000000002</v>
      </c>
      <c r="L17" s="1429"/>
      <c r="M17" s="1430">
        <v>3.3886174638986688E-2</v>
      </c>
      <c r="N17" s="1431">
        <v>3.3474376927941085E-2</v>
      </c>
      <c r="O17" s="1432"/>
      <c r="P17" s="1433">
        <v>20161.815401710373</v>
      </c>
      <c r="Q17" s="1434">
        <v>21102.759124275035</v>
      </c>
      <c r="R17" s="1433">
        <v>22210.829348235762</v>
      </c>
    </row>
    <row r="18" spans="1:18" ht="14" thickBot="1">
      <c r="A18" s="1443"/>
      <c r="B18" s="1408"/>
      <c r="C18" s="1409" t="s">
        <v>1864</v>
      </c>
      <c r="D18" s="1410">
        <v>10801</v>
      </c>
      <c r="E18" s="1411">
        <v>11379.1</v>
      </c>
      <c r="F18" s="1410">
        <v>11949.7</v>
      </c>
      <c r="G18" s="1411">
        <v>12451.4</v>
      </c>
      <c r="H18" s="1410">
        <v>13209.9</v>
      </c>
      <c r="I18" s="1411">
        <v>14016.7</v>
      </c>
      <c r="J18" s="1410">
        <v>14628.5</v>
      </c>
      <c r="K18" s="1411">
        <v>15383.208000000002</v>
      </c>
      <c r="L18" s="1412"/>
      <c r="M18" s="1413">
        <v>5.1591619099702779E-2</v>
      </c>
      <c r="N18" s="1414">
        <v>5.1817569301825461E-2</v>
      </c>
      <c r="O18" s="1415"/>
      <c r="P18" s="1417">
        <v>16358.112731464196</v>
      </c>
      <c r="Q18" s="1416">
        <v>17346.415477233557</v>
      </c>
      <c r="R18" s="1417">
        <v>18505.686368051163</v>
      </c>
    </row>
    <row r="19" spans="1:18" ht="14" thickBot="1">
      <c r="A19" s="1443"/>
      <c r="B19" s="1408"/>
      <c r="C19" s="1409" t="s">
        <v>1868</v>
      </c>
      <c r="D19" s="1410">
        <v>3943.8</v>
      </c>
      <c r="E19" s="1411">
        <v>3350.7</v>
      </c>
      <c r="F19" s="1410">
        <v>3383.6</v>
      </c>
      <c r="G19" s="1411">
        <v>2816.7</v>
      </c>
      <c r="H19" s="1410">
        <v>2212.1</v>
      </c>
      <c r="I19" s="1411">
        <v>1588.4</v>
      </c>
      <c r="J19" s="1410">
        <v>1458.7</v>
      </c>
      <c r="K19" s="1411">
        <v>1365.4</v>
      </c>
      <c r="L19" s="1412"/>
      <c r="M19" s="1413">
        <v>-6.3961061218893556E-2</v>
      </c>
      <c r="N19" s="1414">
        <v>-0.14060634063284294</v>
      </c>
      <c r="O19" s="1415"/>
      <c r="P19" s="1417">
        <v>1048.7755487984321</v>
      </c>
      <c r="Q19" s="1416">
        <v>806.39438381924356</v>
      </c>
      <c r="R19" s="1417">
        <v>655.19543685313545</v>
      </c>
    </row>
    <row r="20" spans="1:18" ht="14" thickBot="1">
      <c r="A20" s="1443"/>
      <c r="B20" s="1408"/>
      <c r="C20" s="1409" t="s">
        <v>1933</v>
      </c>
      <c r="D20" s="1410">
        <v>430.6</v>
      </c>
      <c r="E20" s="1411">
        <v>475.9</v>
      </c>
      <c r="F20" s="1410">
        <v>460</v>
      </c>
      <c r="G20" s="1411">
        <v>763.9</v>
      </c>
      <c r="H20" s="1410">
        <v>1583.8</v>
      </c>
      <c r="I20" s="1411">
        <v>2353.3000000000002</v>
      </c>
      <c r="J20" s="1410">
        <v>2395.5</v>
      </c>
      <c r="K20" s="1411">
        <v>2360.4</v>
      </c>
      <c r="L20" s="1412"/>
      <c r="M20" s="1413">
        <v>-1.4652473387601672E-2</v>
      </c>
      <c r="N20" s="1414">
        <v>0.27514272419836372</v>
      </c>
      <c r="O20" s="1415"/>
      <c r="P20" s="1417">
        <v>2754.9271214477421</v>
      </c>
      <c r="Q20" s="1416">
        <v>2949.9492632222341</v>
      </c>
      <c r="R20" s="1417">
        <v>3049.9475433314624</v>
      </c>
    </row>
    <row r="21" spans="1:18" ht="14" thickBot="1">
      <c r="A21" s="1443"/>
      <c r="B21" s="1408"/>
      <c r="C21" s="1408"/>
      <c r="D21" s="1418"/>
      <c r="E21" s="1419"/>
      <c r="F21" s="1418"/>
      <c r="G21" s="1419"/>
      <c r="H21" s="1418"/>
      <c r="I21" s="1419"/>
      <c r="J21" s="1418"/>
      <c r="K21" s="1419"/>
      <c r="L21" s="1420"/>
      <c r="M21" s="1421"/>
      <c r="N21" s="1422"/>
      <c r="O21" s="1423"/>
      <c r="P21" s="1424"/>
      <c r="Q21" s="1425"/>
      <c r="R21" s="1424"/>
    </row>
    <row r="22" spans="1:18" ht="14" thickBot="1">
      <c r="A22" s="1443"/>
      <c r="B22" s="1426" t="s">
        <v>1937</v>
      </c>
      <c r="C22" s="1408"/>
      <c r="D22" s="1427">
        <v>1460.8</v>
      </c>
      <c r="E22" s="1428">
        <v>1518</v>
      </c>
      <c r="F22" s="1427">
        <v>1595.6</v>
      </c>
      <c r="G22" s="1428">
        <v>1582.1</v>
      </c>
      <c r="H22" s="1427">
        <v>1600</v>
      </c>
      <c r="I22" s="1428">
        <v>1628.2</v>
      </c>
      <c r="J22" s="1427">
        <v>1616.1</v>
      </c>
      <c r="K22" s="1428">
        <v>1673.1039999999998</v>
      </c>
      <c r="L22" s="1429"/>
      <c r="M22" s="1430">
        <v>3.5272569766722217E-2</v>
      </c>
      <c r="N22" s="1431">
        <v>1.957430616383693E-2</v>
      </c>
      <c r="O22" s="1432"/>
      <c r="P22" s="1433">
        <v>1745.450272470506</v>
      </c>
      <c r="Q22" s="1434">
        <v>1793.9211521058796</v>
      </c>
      <c r="R22" s="1433">
        <v>1852.3212310551517</v>
      </c>
    </row>
    <row r="23" spans="1:18" ht="14" thickBot="1">
      <c r="A23" s="1443"/>
      <c r="B23" s="1408"/>
      <c r="C23" s="1409" t="s">
        <v>1864</v>
      </c>
      <c r="D23" s="1435">
        <v>938.7</v>
      </c>
      <c r="E23" s="1436">
        <v>881.2</v>
      </c>
      <c r="F23" s="1435">
        <v>849</v>
      </c>
      <c r="G23" s="1436">
        <v>830.8</v>
      </c>
      <c r="H23" s="1435">
        <v>849.2</v>
      </c>
      <c r="I23" s="1436">
        <v>870</v>
      </c>
      <c r="J23" s="1435">
        <v>854.8</v>
      </c>
      <c r="K23" s="1436">
        <v>921</v>
      </c>
      <c r="L23" s="1437"/>
      <c r="M23" s="1438">
        <v>7.7445016378099973E-2</v>
      </c>
      <c r="N23" s="1439">
        <v>-2.7157204680766656E-3</v>
      </c>
      <c r="O23" s="1440"/>
      <c r="P23" s="1441">
        <v>979.36801125477348</v>
      </c>
      <c r="Q23" s="1442">
        <v>1038.5381680161968</v>
      </c>
      <c r="R23" s="1441">
        <v>1107.9442691651261</v>
      </c>
    </row>
    <row r="24" spans="1:18" ht="14" thickBot="1">
      <c r="A24" s="1443"/>
      <c r="B24" s="1408"/>
      <c r="C24" s="1409" t="s">
        <v>1868</v>
      </c>
      <c r="D24" s="1435">
        <v>431.4</v>
      </c>
      <c r="E24" s="1436">
        <v>541.6</v>
      </c>
      <c r="F24" s="1435">
        <v>654.6</v>
      </c>
      <c r="G24" s="1436">
        <v>598.5</v>
      </c>
      <c r="H24" s="1435">
        <v>434</v>
      </c>
      <c r="I24" s="1436">
        <v>287.5</v>
      </c>
      <c r="J24" s="1435">
        <v>282.2</v>
      </c>
      <c r="K24" s="1436">
        <v>280.00399999999996</v>
      </c>
      <c r="L24" s="1437"/>
      <c r="M24" s="1438">
        <v>-7.7817150956769332E-3</v>
      </c>
      <c r="N24" s="1439">
        <v>-5.9879674870682242E-2</v>
      </c>
      <c r="O24" s="1440"/>
      <c r="P24" s="1441">
        <v>215.07349404259273</v>
      </c>
      <c r="Q24" s="1442">
        <v>165.36813611170606</v>
      </c>
      <c r="R24" s="1441">
        <v>134.36161059076119</v>
      </c>
    </row>
    <row r="25" spans="1:18" ht="16.5" customHeight="1" thickBot="1">
      <c r="A25" s="1443"/>
      <c r="B25" s="1408"/>
      <c r="C25" s="1409" t="s">
        <v>1958</v>
      </c>
      <c r="D25" s="1435">
        <v>90.7</v>
      </c>
      <c r="E25" s="1436">
        <v>95.2</v>
      </c>
      <c r="F25" s="1435">
        <v>92</v>
      </c>
      <c r="G25" s="1436">
        <v>152.80000000000001</v>
      </c>
      <c r="H25" s="1435">
        <v>316.8</v>
      </c>
      <c r="I25" s="1436">
        <v>470.7</v>
      </c>
      <c r="J25" s="1435">
        <v>479.1</v>
      </c>
      <c r="K25" s="1436">
        <v>472.1</v>
      </c>
      <c r="L25" s="1437"/>
      <c r="M25" s="1438">
        <v>-1.4610728449175547E-2</v>
      </c>
      <c r="N25" s="1439">
        <v>0.26574631981118313</v>
      </c>
      <c r="O25" s="1440"/>
      <c r="P25" s="1441">
        <v>551.00876717313986</v>
      </c>
      <c r="Q25" s="1442">
        <v>590.01484797797696</v>
      </c>
      <c r="R25" s="1441">
        <v>610.01535129926435</v>
      </c>
    </row>
    <row r="26" spans="1:18" ht="12.75" customHeight="1" thickBot="1">
      <c r="A26" s="1443"/>
      <c r="B26" s="1408"/>
      <c r="C26" s="1408"/>
      <c r="D26" s="1444"/>
      <c r="E26" s="1408"/>
      <c r="F26" s="1444"/>
      <c r="G26" s="1408"/>
      <c r="H26" s="1444"/>
      <c r="I26" s="1408"/>
      <c r="J26" s="1444"/>
      <c r="K26" s="1408"/>
      <c r="L26" s="1445"/>
      <c r="M26" s="1421"/>
      <c r="N26" s="1422"/>
      <c r="O26" s="1423"/>
      <c r="P26" s="1424"/>
      <c r="Q26" s="1425"/>
      <c r="R26" s="1424"/>
    </row>
    <row r="27" spans="1:18" ht="14" thickBot="1">
      <c r="A27" s="1443"/>
      <c r="B27" s="1426" t="s">
        <v>1938</v>
      </c>
      <c r="C27" s="1408"/>
      <c r="D27" s="1427">
        <v>16636.2</v>
      </c>
      <c r="E27" s="1428">
        <v>16723.7</v>
      </c>
      <c r="F27" s="1427">
        <v>17388.900000000001</v>
      </c>
      <c r="G27" s="1428">
        <v>17614.099999999999</v>
      </c>
      <c r="H27" s="1427">
        <v>18605.8</v>
      </c>
      <c r="I27" s="1428">
        <v>19586.599999999999</v>
      </c>
      <c r="J27" s="1427">
        <v>20098.8</v>
      </c>
      <c r="K27" s="1428">
        <v>20782.112000000001</v>
      </c>
      <c r="L27" s="1429"/>
      <c r="M27" s="1430">
        <v>3.3997651601090695E-2</v>
      </c>
      <c r="N27" s="1431">
        <v>3.2297981905637041E-2</v>
      </c>
      <c r="O27" s="1432"/>
      <c r="P27" s="1433">
        <v>21907.265674180879</v>
      </c>
      <c r="Q27" s="1434">
        <v>22896.680276380914</v>
      </c>
      <c r="R27" s="1433">
        <v>24063.150579290916</v>
      </c>
    </row>
    <row r="28" spans="1:18" ht="14" thickBot="1">
      <c r="A28" s="1443"/>
      <c r="B28" s="1408"/>
      <c r="C28" s="1409" t="s">
        <v>1864</v>
      </c>
      <c r="D28" s="1410">
        <v>11739.7</v>
      </c>
      <c r="E28" s="1411">
        <v>12260.3</v>
      </c>
      <c r="F28" s="1410">
        <v>12798.7</v>
      </c>
      <c r="G28" s="1411">
        <v>13282.2</v>
      </c>
      <c r="H28" s="1410">
        <v>14059.1</v>
      </c>
      <c r="I28" s="1411">
        <v>14886.7</v>
      </c>
      <c r="J28" s="1410">
        <v>15483.3</v>
      </c>
      <c r="K28" s="1411">
        <v>16304.208000000002</v>
      </c>
      <c r="L28" s="1412"/>
      <c r="M28" s="1413">
        <v>5.3018930073046588E-2</v>
      </c>
      <c r="N28" s="1414">
        <v>4.8039206757972908E-2</v>
      </c>
      <c r="O28" s="1415"/>
      <c r="P28" s="1417">
        <v>17337.48074271897</v>
      </c>
      <c r="Q28" s="1416">
        <v>18384.953645249752</v>
      </c>
      <c r="R28" s="1417">
        <v>19613.630637216291</v>
      </c>
    </row>
    <row r="29" spans="1:18" ht="14" thickBot="1">
      <c r="A29" s="1443"/>
      <c r="B29" s="1408"/>
      <c r="C29" s="1409" t="s">
        <v>1868</v>
      </c>
      <c r="D29" s="1410">
        <v>4375.2</v>
      </c>
      <c r="E29" s="1411">
        <v>3892.3</v>
      </c>
      <c r="F29" s="1410">
        <v>4038.2</v>
      </c>
      <c r="G29" s="1411">
        <v>3415.2</v>
      </c>
      <c r="H29" s="1410">
        <v>2646.1</v>
      </c>
      <c r="I29" s="1411">
        <v>1875.9</v>
      </c>
      <c r="J29" s="1410">
        <v>1740.9</v>
      </c>
      <c r="K29" s="1411">
        <v>1645.404</v>
      </c>
      <c r="L29" s="1412"/>
      <c r="M29" s="1413">
        <v>-5.4854385662588379E-2</v>
      </c>
      <c r="N29" s="1414">
        <v>-0.13038915279722674</v>
      </c>
      <c r="O29" s="1415"/>
      <c r="P29" s="1417">
        <v>1263.8490428410248</v>
      </c>
      <c r="Q29" s="1416">
        <v>971.76251993094968</v>
      </c>
      <c r="R29" s="1417">
        <v>789.55704744389664</v>
      </c>
    </row>
    <row r="30" spans="1:18" ht="14" thickBot="1">
      <c r="A30" s="1443"/>
      <c r="B30" s="1408"/>
      <c r="C30" s="1409" t="s">
        <v>1933</v>
      </c>
      <c r="D30" s="1410">
        <v>521.29999999999995</v>
      </c>
      <c r="E30" s="1411">
        <v>571.1</v>
      </c>
      <c r="F30" s="1410">
        <v>552</v>
      </c>
      <c r="G30" s="1411">
        <v>916.7</v>
      </c>
      <c r="H30" s="1410">
        <v>1900.6</v>
      </c>
      <c r="I30" s="1411">
        <v>2824</v>
      </c>
      <c r="J30" s="1410">
        <v>2874.6</v>
      </c>
      <c r="K30" s="1411">
        <v>2832.5</v>
      </c>
      <c r="L30" s="1412"/>
      <c r="M30" s="1413">
        <v>-1.4645515897864003E-2</v>
      </c>
      <c r="N30" s="1414">
        <v>0.27353751296251394</v>
      </c>
      <c r="O30" s="1415"/>
      <c r="P30" s="1417">
        <v>3305.935888620882</v>
      </c>
      <c r="Q30" s="1416">
        <v>3539.9641112002109</v>
      </c>
      <c r="R30" s="1417">
        <v>3659.9628946307266</v>
      </c>
    </row>
    <row r="31" spans="1:18" ht="14" thickBot="1">
      <c r="A31" s="1443"/>
      <c r="B31" s="1408"/>
      <c r="C31" s="1409"/>
      <c r="D31" s="1446"/>
      <c r="E31" s="1447"/>
      <c r="F31" s="1446"/>
      <c r="G31" s="1447"/>
      <c r="H31" s="1446"/>
      <c r="I31" s="1447"/>
      <c r="J31" s="1446"/>
      <c r="K31" s="1447"/>
      <c r="L31" s="1448"/>
      <c r="M31" s="1449"/>
      <c r="N31" s="1450"/>
      <c r="O31" s="1451"/>
      <c r="P31" s="1452"/>
      <c r="Q31" s="1453"/>
      <c r="R31" s="1452"/>
    </row>
    <row r="32" spans="1:18" ht="14" thickBot="1">
      <c r="A32" s="1443"/>
      <c r="B32" s="1426" t="s">
        <v>1939</v>
      </c>
      <c r="C32" s="1408"/>
      <c r="D32" s="1427">
        <v>1770.8</v>
      </c>
      <c r="E32" s="1428">
        <v>1884.4</v>
      </c>
      <c r="F32" s="1427">
        <v>2155</v>
      </c>
      <c r="G32" s="1428">
        <v>2249.6</v>
      </c>
      <c r="H32" s="1427">
        <v>2343.1</v>
      </c>
      <c r="I32" s="1428">
        <v>2428.2489999999998</v>
      </c>
      <c r="J32" s="1427">
        <v>2541</v>
      </c>
      <c r="K32" s="1428">
        <v>2627.54512613</v>
      </c>
      <c r="L32" s="1429"/>
      <c r="M32" s="1430">
        <v>3.4059475060999489E-2</v>
      </c>
      <c r="N32" s="1431">
        <v>5.7993386348231812E-2</v>
      </c>
      <c r="O32" s="1432"/>
      <c r="P32" s="1427">
        <v>2868.2398777399999</v>
      </c>
      <c r="Q32" s="1434">
        <v>3127.0637836617616</v>
      </c>
      <c r="R32" s="1433">
        <v>3327.2659007370562</v>
      </c>
    </row>
    <row r="33" spans="1:18" ht="14" thickBot="1">
      <c r="A33" s="1443"/>
      <c r="B33" s="1408"/>
      <c r="C33" s="1409" t="s">
        <v>1864</v>
      </c>
      <c r="D33" s="1410">
        <v>1678.5</v>
      </c>
      <c r="E33" s="1411">
        <v>1778</v>
      </c>
      <c r="F33" s="1410">
        <v>2097.1999999999998</v>
      </c>
      <c r="G33" s="1411">
        <v>2189.9</v>
      </c>
      <c r="H33" s="1410">
        <v>2288</v>
      </c>
      <c r="I33" s="1411">
        <v>2400.1889999999999</v>
      </c>
      <c r="J33" s="1410">
        <v>2502.83</v>
      </c>
      <c r="K33" s="1411">
        <v>2588.499652</v>
      </c>
      <c r="L33" s="1412"/>
      <c r="M33" s="1413">
        <v>3.4229113443581927E-2</v>
      </c>
      <c r="N33" s="1414">
        <v>6.3837395081070891E-2</v>
      </c>
      <c r="O33" s="1415"/>
      <c r="P33" s="1410">
        <v>2832.3123952999999</v>
      </c>
      <c r="Q33" s="1416">
        <v>3099.4394553699999</v>
      </c>
      <c r="R33" s="1417">
        <v>3304.8211339999998</v>
      </c>
    </row>
    <row r="34" spans="1:18" ht="14" thickBot="1">
      <c r="A34" s="1443"/>
      <c r="B34" s="1408"/>
      <c r="C34" s="1409" t="s">
        <v>1868</v>
      </c>
      <c r="D34" s="1410">
        <v>92.3</v>
      </c>
      <c r="E34" s="1411">
        <v>106.4</v>
      </c>
      <c r="F34" s="1410">
        <v>57.8</v>
      </c>
      <c r="G34" s="1411">
        <v>59.7</v>
      </c>
      <c r="H34" s="1410">
        <v>55.1</v>
      </c>
      <c r="I34" s="1411">
        <v>28.06</v>
      </c>
      <c r="J34" s="1410">
        <v>38.17</v>
      </c>
      <c r="K34" s="1411">
        <v>39.045474130000002</v>
      </c>
      <c r="L34" s="1412"/>
      <c r="M34" s="1413">
        <v>2.293618365208272E-2</v>
      </c>
      <c r="N34" s="1414">
        <v>-0.11565007600235155</v>
      </c>
      <c r="O34" s="1415"/>
      <c r="P34" s="1410">
        <v>35.927482439999999</v>
      </c>
      <c r="Q34" s="1416">
        <v>27.624328291761763</v>
      </c>
      <c r="R34" s="1417">
        <v>22.444766737056433</v>
      </c>
    </row>
    <row r="35" spans="1:18" ht="14" thickBot="1">
      <c r="A35" s="1443"/>
      <c r="B35" s="1408"/>
      <c r="C35" s="1409" t="s">
        <v>1933</v>
      </c>
      <c r="D35" s="1410">
        <v>0</v>
      </c>
      <c r="E35" s="1411">
        <v>0</v>
      </c>
      <c r="F35" s="1410">
        <v>0</v>
      </c>
      <c r="G35" s="1411">
        <v>0</v>
      </c>
      <c r="H35" s="1410">
        <v>0</v>
      </c>
      <c r="I35" s="1411">
        <v>0</v>
      </c>
      <c r="J35" s="1410">
        <v>0</v>
      </c>
      <c r="K35" s="1411">
        <v>0</v>
      </c>
      <c r="L35" s="1412"/>
      <c r="M35" s="1413" t="s">
        <v>1300</v>
      </c>
      <c r="N35" s="1414" t="s">
        <v>1300</v>
      </c>
      <c r="O35" s="1415"/>
      <c r="P35" s="1410">
        <v>0</v>
      </c>
      <c r="Q35" s="1416">
        <v>0</v>
      </c>
      <c r="R35" s="1417">
        <v>0</v>
      </c>
    </row>
    <row r="36" spans="1:18" ht="14" thickBot="1">
      <c r="A36" s="1443"/>
      <c r="B36" s="1408"/>
      <c r="C36" s="1409"/>
      <c r="D36" s="1446"/>
      <c r="E36" s="1447"/>
      <c r="F36" s="1446"/>
      <c r="G36" s="1447"/>
      <c r="H36" s="1446"/>
      <c r="I36" s="1447"/>
      <c r="J36" s="1446"/>
      <c r="K36" s="1447"/>
      <c r="L36" s="1448"/>
      <c r="M36" s="1449"/>
      <c r="N36" s="1450"/>
      <c r="O36" s="1451"/>
      <c r="P36" s="1452"/>
      <c r="Q36" s="1453"/>
      <c r="R36" s="1452"/>
    </row>
    <row r="37" spans="1:18" ht="14" thickBot="1">
      <c r="A37" s="1443"/>
      <c r="B37" s="1426" t="s">
        <v>1940</v>
      </c>
      <c r="C37" s="1408"/>
      <c r="D37" s="1454">
        <v>18407</v>
      </c>
      <c r="E37" s="1455">
        <v>18608.099999999999</v>
      </c>
      <c r="F37" s="1454">
        <v>19543.900000000001</v>
      </c>
      <c r="G37" s="1455">
        <v>19863.7</v>
      </c>
      <c r="H37" s="1454">
        <v>20948.900000000001</v>
      </c>
      <c r="I37" s="1455">
        <v>22014.849000000002</v>
      </c>
      <c r="J37" s="1454">
        <v>22639.8</v>
      </c>
      <c r="K37" s="1455">
        <v>23409.657126130001</v>
      </c>
      <c r="L37" s="1456"/>
      <c r="M37" s="1457">
        <v>3.4004590417318292E-2</v>
      </c>
      <c r="N37" s="1458">
        <v>3.4941985566447897E-2</v>
      </c>
      <c r="O37" s="1459"/>
      <c r="P37" s="1460">
        <v>24775.50555192088</v>
      </c>
      <c r="Q37" s="1461">
        <v>26023.744060042674</v>
      </c>
      <c r="R37" s="1460">
        <v>26406.250579290914</v>
      </c>
    </row>
    <row r="38" spans="1:18" ht="14" thickBot="1">
      <c r="A38" s="1443"/>
      <c r="B38" s="1408"/>
      <c r="C38" s="1409" t="s">
        <v>1864</v>
      </c>
      <c r="D38" s="1462">
        <v>13418.2</v>
      </c>
      <c r="E38" s="1463">
        <v>14038.3</v>
      </c>
      <c r="F38" s="1462">
        <v>14895.9</v>
      </c>
      <c r="G38" s="1463">
        <v>15472.1</v>
      </c>
      <c r="H38" s="1462">
        <v>16347.1</v>
      </c>
      <c r="I38" s="1463">
        <v>17286.888999999999</v>
      </c>
      <c r="J38" s="1462">
        <v>17986.13</v>
      </c>
      <c r="K38" s="1463">
        <v>18892.707652000001</v>
      </c>
      <c r="L38" s="1464"/>
      <c r="M38" s="1465">
        <v>5.0404264397066134E-2</v>
      </c>
      <c r="N38" s="1466">
        <v>5.0094934120239909E-2</v>
      </c>
      <c r="O38" s="1467"/>
      <c r="P38" s="1468">
        <v>20169.793138018969</v>
      </c>
      <c r="Q38" s="1469">
        <v>21484.393100619753</v>
      </c>
      <c r="R38" s="1468">
        <v>22918.451771216292</v>
      </c>
    </row>
    <row r="39" spans="1:18" ht="14" thickBot="1">
      <c r="A39" s="1443"/>
      <c r="B39" s="1408"/>
      <c r="C39" s="1409" t="s">
        <v>1868</v>
      </c>
      <c r="D39" s="1462">
        <v>4467.5</v>
      </c>
      <c r="E39" s="1463">
        <v>3998.7</v>
      </c>
      <c r="F39" s="1462">
        <v>4096</v>
      </c>
      <c r="G39" s="1463">
        <v>3474.9</v>
      </c>
      <c r="H39" s="1462">
        <v>2701.2</v>
      </c>
      <c r="I39" s="1463">
        <v>1903.96</v>
      </c>
      <c r="J39" s="1462">
        <v>1779.07</v>
      </c>
      <c r="K39" s="1463">
        <v>1684.44947413</v>
      </c>
      <c r="L39" s="1464"/>
      <c r="M39" s="1465">
        <v>-5.3185386673936463E-2</v>
      </c>
      <c r="N39" s="1466">
        <v>-0.1300690638096661</v>
      </c>
      <c r="O39" s="1467"/>
      <c r="P39" s="1468">
        <v>1299.7765252810248</v>
      </c>
      <c r="Q39" s="1469">
        <v>999.38684822271148</v>
      </c>
      <c r="R39" s="1468">
        <v>812.00181418095303</v>
      </c>
    </row>
    <row r="40" spans="1:18">
      <c r="A40" s="1443"/>
      <c r="B40" s="1470"/>
      <c r="C40" s="1471" t="s">
        <v>1933</v>
      </c>
      <c r="D40" s="1472">
        <v>521.29999999999995</v>
      </c>
      <c r="E40" s="1473">
        <v>571.1</v>
      </c>
      <c r="F40" s="1472">
        <v>552</v>
      </c>
      <c r="G40" s="1473">
        <v>916.7</v>
      </c>
      <c r="H40" s="1472">
        <v>1900.6</v>
      </c>
      <c r="I40" s="1473">
        <v>2824</v>
      </c>
      <c r="J40" s="1472">
        <v>2874.6</v>
      </c>
      <c r="K40" s="1473">
        <v>2832.5</v>
      </c>
      <c r="L40" s="1474"/>
      <c r="M40" s="1475">
        <v>-1.4645515897864003E-2</v>
      </c>
      <c r="N40" s="1476">
        <v>0.27353751296251394</v>
      </c>
      <c r="O40" s="1477"/>
      <c r="P40" s="1478">
        <v>3305.935888620882</v>
      </c>
      <c r="Q40" s="1479">
        <v>3539.9641112002109</v>
      </c>
      <c r="R40" s="1478">
        <v>3659.9628946307266</v>
      </c>
    </row>
    <row r="41" spans="1:18" ht="8.25" customHeight="1">
      <c r="A41" s="1361"/>
      <c r="B41" s="1480"/>
      <c r="C41" s="1481"/>
      <c r="D41" s="1482"/>
      <c r="E41" s="1482"/>
      <c r="F41" s="1482"/>
      <c r="G41" s="1482"/>
      <c r="H41" s="1482"/>
      <c r="I41" s="1483"/>
      <c r="J41" s="1483"/>
      <c r="K41" s="1483"/>
      <c r="L41" s="1483"/>
      <c r="M41" s="1484"/>
      <c r="N41" s="1485"/>
      <c r="O41" s="1484"/>
      <c r="P41" s="1486"/>
      <c r="Q41" s="1486"/>
      <c r="R41" s="1486"/>
    </row>
    <row r="42" spans="1:18" ht="8.25" customHeight="1">
      <c r="A42" s="1361"/>
      <c r="B42" s="1487"/>
      <c r="C42" s="1488"/>
      <c r="D42" s="1489"/>
      <c r="E42" s="1489"/>
      <c r="F42" s="1489"/>
      <c r="G42" s="1489"/>
      <c r="H42" s="1489"/>
      <c r="I42" s="1490"/>
      <c r="J42" s="1490"/>
      <c r="K42" s="1490"/>
      <c r="L42" s="1490"/>
      <c r="M42" s="1491"/>
      <c r="N42" s="1492"/>
      <c r="O42" s="1491"/>
      <c r="P42" s="1493"/>
      <c r="Q42" s="1493"/>
      <c r="R42" s="1493"/>
    </row>
    <row r="43" spans="1:18" ht="13.5" customHeight="1" thickBot="1">
      <c r="A43" s="1741" t="s">
        <v>185</v>
      </c>
      <c r="B43" s="1398" t="s">
        <v>1941</v>
      </c>
      <c r="C43" s="1399"/>
      <c r="D43" s="1400">
        <v>16013.1</v>
      </c>
      <c r="E43" s="1401">
        <v>16937.3</v>
      </c>
      <c r="F43" s="1400">
        <v>17695.3</v>
      </c>
      <c r="G43" s="1401">
        <v>17814.400000000001</v>
      </c>
      <c r="H43" s="1400">
        <v>18506.971013000002</v>
      </c>
      <c r="I43" s="1401">
        <v>19132.22</v>
      </c>
      <c r="J43" s="1400">
        <v>20686.96</v>
      </c>
      <c r="K43" s="1401">
        <v>22048.513701</v>
      </c>
      <c r="L43" s="1402"/>
      <c r="M43" s="1403">
        <v>6.5817002643210776E-2</v>
      </c>
      <c r="N43" s="1404">
        <v>4.6751072934850146E-2</v>
      </c>
      <c r="O43" s="1405"/>
      <c r="P43" s="1400">
        <v>23360.39678399</v>
      </c>
      <c r="Q43" s="1406">
        <v>23913.759228499999</v>
      </c>
      <c r="R43" s="1407">
        <v>25366.993343329999</v>
      </c>
    </row>
    <row r="44" spans="1:18" ht="15.75" customHeight="1" thickBot="1">
      <c r="A44" s="1742"/>
      <c r="B44" s="1408"/>
      <c r="C44" s="1409" t="s">
        <v>1959</v>
      </c>
      <c r="D44" s="1410">
        <v>11035.2</v>
      </c>
      <c r="E44" s="1411">
        <v>11924.8</v>
      </c>
      <c r="F44" s="1410">
        <v>12604.2</v>
      </c>
      <c r="G44" s="1411">
        <v>12949.5</v>
      </c>
      <c r="H44" s="1410">
        <v>13346.689</v>
      </c>
      <c r="I44" s="1411">
        <v>13954.72</v>
      </c>
      <c r="J44" s="1410">
        <v>15296.16</v>
      </c>
      <c r="K44" s="1411">
        <v>16759.707467</v>
      </c>
      <c r="L44" s="1412"/>
      <c r="M44" s="1413">
        <v>9.5680711171954202E-2</v>
      </c>
      <c r="N44" s="1414">
        <v>6.1516144300699738E-2</v>
      </c>
      <c r="O44" s="1415"/>
      <c r="P44" s="1410">
        <v>17979.586842000001</v>
      </c>
      <c r="Q44" s="1416">
        <v>18463.759228499999</v>
      </c>
      <c r="R44" s="1417">
        <v>19866.993343329999</v>
      </c>
    </row>
    <row r="45" spans="1:18" ht="14" thickBot="1">
      <c r="A45" s="1742"/>
      <c r="B45" s="1408"/>
      <c r="C45" s="1409" t="s">
        <v>1868</v>
      </c>
      <c r="D45" s="1410">
        <v>4337.5</v>
      </c>
      <c r="E45" s="1411">
        <v>4410.6000000000004</v>
      </c>
      <c r="F45" s="1410">
        <v>4453.3</v>
      </c>
      <c r="G45" s="1411">
        <v>3766.7</v>
      </c>
      <c r="H45" s="1410">
        <v>2917.3519609999998</v>
      </c>
      <c r="I45" s="1411">
        <v>1987</v>
      </c>
      <c r="J45" s="1410">
        <v>1958.4</v>
      </c>
      <c r="K45" s="1411">
        <v>1882.6076640000001</v>
      </c>
      <c r="L45" s="1412"/>
      <c r="M45" s="1413">
        <v>-3.8701151960784275E-2</v>
      </c>
      <c r="N45" s="1414">
        <v>-0.11240021032550729</v>
      </c>
      <c r="O45" s="1415"/>
      <c r="P45" s="1410">
        <v>1358.7895999899999</v>
      </c>
      <c r="Q45" s="1416">
        <v>1000</v>
      </c>
      <c r="R45" s="1417">
        <v>950</v>
      </c>
    </row>
    <row r="46" spans="1:18" ht="14" thickBot="1">
      <c r="A46" s="1742"/>
      <c r="B46" s="1408"/>
      <c r="C46" s="1409" t="s">
        <v>1933</v>
      </c>
      <c r="D46" s="1410">
        <v>640.4</v>
      </c>
      <c r="E46" s="1411">
        <v>601.9</v>
      </c>
      <c r="F46" s="1410">
        <v>637.79999999999995</v>
      </c>
      <c r="G46" s="1411">
        <v>1098.2</v>
      </c>
      <c r="H46" s="1410">
        <v>2242.9300519999997</v>
      </c>
      <c r="I46" s="1411">
        <v>3190.5</v>
      </c>
      <c r="J46" s="1410">
        <v>3432.4</v>
      </c>
      <c r="K46" s="1411">
        <v>3406.1985699999996</v>
      </c>
      <c r="L46" s="1412"/>
      <c r="M46" s="1413">
        <v>-7.633559608437368E-3</v>
      </c>
      <c r="N46" s="1414">
        <v>0.26966274642469057</v>
      </c>
      <c r="O46" s="1415"/>
      <c r="P46" s="1410">
        <v>4022.0203419999989</v>
      </c>
      <c r="Q46" s="1416">
        <v>4450</v>
      </c>
      <c r="R46" s="1417">
        <v>4550</v>
      </c>
    </row>
    <row r="47" spans="1:18" ht="9.75" customHeight="1" thickBot="1">
      <c r="A47" s="1742"/>
      <c r="B47" s="1408"/>
      <c r="C47" s="1409"/>
      <c r="D47" s="1410"/>
      <c r="E47" s="1411"/>
      <c r="F47" s="1410"/>
      <c r="G47" s="1411"/>
      <c r="H47" s="1410"/>
      <c r="I47" s="1411"/>
      <c r="J47" s="1410"/>
      <c r="K47" s="1411"/>
      <c r="L47" s="1412"/>
      <c r="M47" s="1413"/>
      <c r="N47" s="1414"/>
      <c r="O47" s="1415"/>
      <c r="P47" s="1494"/>
      <c r="Q47" s="1416"/>
      <c r="R47" s="1417"/>
    </row>
    <row r="48" spans="1:18" ht="14" thickBot="1">
      <c r="A48" s="1742"/>
      <c r="B48" s="1426" t="s">
        <v>1939</v>
      </c>
      <c r="C48" s="1408"/>
      <c r="D48" s="1427">
        <v>1770.8</v>
      </c>
      <c r="E48" s="1428">
        <v>1884.4</v>
      </c>
      <c r="F48" s="1427">
        <v>2155</v>
      </c>
      <c r="G48" s="1428">
        <v>2249.6</v>
      </c>
      <c r="H48" s="1427">
        <v>2343.1</v>
      </c>
      <c r="I48" s="1428">
        <v>2428.2489999999998</v>
      </c>
      <c r="J48" s="1427">
        <v>2541</v>
      </c>
      <c r="K48" s="1428">
        <v>2627.54512613</v>
      </c>
      <c r="L48" s="1429"/>
      <c r="M48" s="1430">
        <v>3.4059475060999489E-2</v>
      </c>
      <c r="N48" s="1431">
        <v>5.7993386348231812E-2</v>
      </c>
      <c r="O48" s="1432"/>
      <c r="P48" s="1427">
        <v>2868.2398777399999</v>
      </c>
      <c r="Q48" s="1434">
        <v>3127.0637836617616</v>
      </c>
      <c r="R48" s="1433">
        <v>2343.1</v>
      </c>
    </row>
    <row r="49" spans="1:18" ht="14" thickBot="1">
      <c r="A49" s="1742"/>
      <c r="B49" s="1408"/>
      <c r="C49" s="1409" t="s">
        <v>1864</v>
      </c>
      <c r="D49" s="1410">
        <v>1678.5</v>
      </c>
      <c r="E49" s="1411">
        <v>1778</v>
      </c>
      <c r="F49" s="1410">
        <v>2097.1999999999998</v>
      </c>
      <c r="G49" s="1411">
        <v>2189.9</v>
      </c>
      <c r="H49" s="1410">
        <v>2288</v>
      </c>
      <c r="I49" s="1411">
        <v>2400.1889999999999</v>
      </c>
      <c r="J49" s="1410">
        <v>2502.83</v>
      </c>
      <c r="K49" s="1411">
        <v>2588.499652</v>
      </c>
      <c r="L49" s="1412"/>
      <c r="M49" s="1413">
        <v>3.4229113443581927E-2</v>
      </c>
      <c r="N49" s="1414">
        <v>6.3837395081070891E-2</v>
      </c>
      <c r="O49" s="1415"/>
      <c r="P49" s="1410">
        <v>2832.3123952999999</v>
      </c>
      <c r="Q49" s="1416">
        <v>3099.4394553699999</v>
      </c>
      <c r="R49" s="1417">
        <v>3304.8211339999998</v>
      </c>
    </row>
    <row r="50" spans="1:18" ht="14" thickBot="1">
      <c r="A50" s="1742"/>
      <c r="B50" s="1408"/>
      <c r="C50" s="1409" t="s">
        <v>1868</v>
      </c>
      <c r="D50" s="1410">
        <v>92.3</v>
      </c>
      <c r="E50" s="1411">
        <v>106.4</v>
      </c>
      <c r="F50" s="1410">
        <v>57.8</v>
      </c>
      <c r="G50" s="1411">
        <v>59.7</v>
      </c>
      <c r="H50" s="1410">
        <v>55.1</v>
      </c>
      <c r="I50" s="1411">
        <v>28.06</v>
      </c>
      <c r="J50" s="1410">
        <v>38.17</v>
      </c>
      <c r="K50" s="1411">
        <v>39.045474130000002</v>
      </c>
      <c r="L50" s="1412"/>
      <c r="M50" s="1413">
        <v>2.293618365208272E-2</v>
      </c>
      <c r="N50" s="1414">
        <v>-0.11565007600235155</v>
      </c>
      <c r="O50" s="1415"/>
      <c r="P50" s="1410">
        <v>35.927482439999999</v>
      </c>
      <c r="Q50" s="1416">
        <v>27.624328291761763</v>
      </c>
      <c r="R50" s="1417">
        <v>22.444766737056433</v>
      </c>
    </row>
    <row r="51" spans="1:18" ht="14" thickBot="1">
      <c r="A51" s="1742"/>
      <c r="B51" s="1408"/>
      <c r="C51" s="1409" t="s">
        <v>1933</v>
      </c>
      <c r="D51" s="1410">
        <v>0</v>
      </c>
      <c r="E51" s="1411">
        <v>0</v>
      </c>
      <c r="F51" s="1410">
        <v>0</v>
      </c>
      <c r="G51" s="1411">
        <v>0</v>
      </c>
      <c r="H51" s="1410">
        <v>0</v>
      </c>
      <c r="I51" s="1411">
        <v>0</v>
      </c>
      <c r="J51" s="1410">
        <v>0</v>
      </c>
      <c r="K51" s="1411">
        <v>0</v>
      </c>
      <c r="L51" s="1412"/>
      <c r="M51" s="1413" t="s">
        <v>1300</v>
      </c>
      <c r="N51" s="1414" t="s">
        <v>1300</v>
      </c>
      <c r="O51" s="1415"/>
      <c r="P51" s="1410">
        <v>0</v>
      </c>
      <c r="Q51" s="1416">
        <v>0</v>
      </c>
      <c r="R51" s="1417">
        <v>0</v>
      </c>
    </row>
    <row r="52" spans="1:18" ht="14" thickBot="1">
      <c r="A52" s="1495"/>
      <c r="B52" s="1408"/>
      <c r="C52" s="1408"/>
      <c r="D52" s="1418"/>
      <c r="E52" s="1419"/>
      <c r="F52" s="1418"/>
      <c r="G52" s="1419"/>
      <c r="H52" s="1418"/>
      <c r="I52" s="1419"/>
      <c r="J52" s="1418"/>
      <c r="K52" s="1419"/>
      <c r="L52" s="1420"/>
      <c r="M52" s="1421"/>
      <c r="N52" s="1422"/>
      <c r="O52" s="1423"/>
      <c r="P52" s="1496"/>
      <c r="Q52" s="1425"/>
      <c r="R52" s="1424"/>
    </row>
    <row r="53" spans="1:18" ht="14" thickBot="1">
      <c r="A53" s="1495"/>
      <c r="B53" s="1426" t="s">
        <v>1942</v>
      </c>
      <c r="C53" s="1408"/>
      <c r="D53" s="1454">
        <v>17783.900000000001</v>
      </c>
      <c r="E53" s="1455">
        <v>18821.7</v>
      </c>
      <c r="F53" s="1454">
        <v>19850.3</v>
      </c>
      <c r="G53" s="1455">
        <v>20064</v>
      </c>
      <c r="H53" s="1454">
        <v>20850.071013000001</v>
      </c>
      <c r="I53" s="1455">
        <v>21560.469000000001</v>
      </c>
      <c r="J53" s="1454">
        <v>23227.96</v>
      </c>
      <c r="K53" s="1455">
        <v>24676.05882713</v>
      </c>
      <c r="L53" s="1456"/>
      <c r="M53" s="1457">
        <v>6.2342918927447588E-2</v>
      </c>
      <c r="N53" s="1458">
        <v>4.7903414845301695E-2</v>
      </c>
      <c r="O53" s="1459"/>
      <c r="P53" s="1497">
        <v>26228.636661730001</v>
      </c>
      <c r="Q53" s="1461">
        <v>27040.82301216176</v>
      </c>
      <c r="R53" s="1460">
        <v>27710.093343329998</v>
      </c>
    </row>
    <row r="54" spans="1:18" ht="14" thickBot="1">
      <c r="A54" s="1495"/>
      <c r="B54" s="1408"/>
      <c r="C54" s="1409" t="s">
        <v>1864</v>
      </c>
      <c r="D54" s="1462">
        <v>12713.7</v>
      </c>
      <c r="E54" s="1463">
        <v>13702.8</v>
      </c>
      <c r="F54" s="1462">
        <v>14701.4</v>
      </c>
      <c r="G54" s="1463">
        <v>15139.4</v>
      </c>
      <c r="H54" s="1462">
        <v>15634.689</v>
      </c>
      <c r="I54" s="1463">
        <v>16354.909</v>
      </c>
      <c r="J54" s="1462">
        <v>17798.990000000002</v>
      </c>
      <c r="K54" s="1463">
        <v>19348.207118999999</v>
      </c>
      <c r="L54" s="1464"/>
      <c r="M54" s="1465">
        <v>8.7039608371036747E-2</v>
      </c>
      <c r="N54" s="1466">
        <v>6.1824351822236112E-2</v>
      </c>
      <c r="O54" s="1467"/>
      <c r="P54" s="1498">
        <v>20811.8992373</v>
      </c>
      <c r="Q54" s="1469">
        <v>21563.19868387</v>
      </c>
      <c r="R54" s="1468">
        <v>23171.814477330001</v>
      </c>
    </row>
    <row r="55" spans="1:18" ht="14" thickBot="1">
      <c r="A55" s="1495"/>
      <c r="B55" s="1408"/>
      <c r="C55" s="1409" t="s">
        <v>1868</v>
      </c>
      <c r="D55" s="1462">
        <v>4429.8</v>
      </c>
      <c r="E55" s="1463">
        <v>4517</v>
      </c>
      <c r="F55" s="1462">
        <v>4511.1000000000004</v>
      </c>
      <c r="G55" s="1463">
        <v>3826.4</v>
      </c>
      <c r="H55" s="1462">
        <v>2972.4519609999998</v>
      </c>
      <c r="I55" s="1463">
        <v>2015.06</v>
      </c>
      <c r="J55" s="1462">
        <v>1996.57</v>
      </c>
      <c r="K55" s="1463">
        <v>1921.6531381300001</v>
      </c>
      <c r="L55" s="1464"/>
      <c r="M55" s="1465">
        <v>-3.7522782506999475E-2</v>
      </c>
      <c r="N55" s="1466">
        <v>-0.11246720092577078</v>
      </c>
      <c r="O55" s="1467"/>
      <c r="P55" s="1498">
        <v>1394.7170824299999</v>
      </c>
      <c r="Q55" s="1469">
        <v>1027.6243282917617</v>
      </c>
      <c r="R55" s="1468">
        <v>972.4447667370564</v>
      </c>
    </row>
    <row r="56" spans="1:18">
      <c r="A56" s="1495"/>
      <c r="B56" s="1470"/>
      <c r="C56" s="1471" t="s">
        <v>1933</v>
      </c>
      <c r="D56" s="1472">
        <v>640.4</v>
      </c>
      <c r="E56" s="1473">
        <v>601.9</v>
      </c>
      <c r="F56" s="1472">
        <v>637.79999999999995</v>
      </c>
      <c r="G56" s="1473">
        <v>1098.2</v>
      </c>
      <c r="H56" s="1472">
        <v>2242.9300519999997</v>
      </c>
      <c r="I56" s="1473">
        <v>3190.5</v>
      </c>
      <c r="J56" s="1472">
        <v>3432.4</v>
      </c>
      <c r="K56" s="1473">
        <v>3406.1985699999996</v>
      </c>
      <c r="L56" s="1474"/>
      <c r="M56" s="1475">
        <v>-7.633559608437368E-3</v>
      </c>
      <c r="N56" s="1476">
        <v>0.26966274642469057</v>
      </c>
      <c r="O56" s="1477"/>
      <c r="P56" s="1499">
        <v>4022.0203419999989</v>
      </c>
      <c r="Q56" s="1479">
        <v>4450</v>
      </c>
      <c r="R56" s="1478">
        <v>4550</v>
      </c>
    </row>
    <row r="57" spans="1:18" ht="8.25" customHeight="1">
      <c r="A57" s="1500"/>
      <c r="B57" s="1480"/>
      <c r="C57" s="1481"/>
      <c r="D57" s="1483"/>
      <c r="E57" s="1483"/>
      <c r="F57" s="1483"/>
      <c r="G57" s="1483"/>
      <c r="H57" s="1483"/>
      <c r="I57" s="1483"/>
      <c r="J57" s="1483"/>
      <c r="K57" s="1483"/>
      <c r="L57" s="1483"/>
      <c r="M57" s="1484"/>
      <c r="N57" s="1484"/>
      <c r="O57" s="1484"/>
      <c r="P57" s="1501"/>
      <c r="Q57" s="1501"/>
      <c r="R57" s="1501"/>
    </row>
    <row r="58" spans="1:18" ht="8.25" customHeight="1">
      <c r="A58" s="1361"/>
      <c r="B58" s="1487"/>
      <c r="C58" s="1487"/>
      <c r="D58" s="1502"/>
      <c r="E58" s="1502"/>
      <c r="F58" s="1502"/>
      <c r="G58" s="1502"/>
      <c r="H58" s="1502"/>
      <c r="I58" s="1503"/>
      <c r="J58" s="1503"/>
      <c r="K58" s="1503"/>
      <c r="L58" s="1503"/>
      <c r="M58" s="1504"/>
      <c r="N58" s="1505"/>
      <c r="O58" s="1504"/>
      <c r="P58" s="1506"/>
      <c r="Q58" s="1506"/>
      <c r="R58" s="1506"/>
    </row>
    <row r="59" spans="1:18" ht="14" thickBot="1">
      <c r="A59" s="1361"/>
      <c r="B59" s="1398" t="s">
        <v>1943</v>
      </c>
      <c r="C59" s="1399"/>
      <c r="D59" s="1507">
        <v>623.1</v>
      </c>
      <c r="E59" s="1508">
        <v>-213.60000000000218</v>
      </c>
      <c r="F59" s="1507">
        <v>-306.39999999999782</v>
      </c>
      <c r="G59" s="1508">
        <v>-200.29999999999927</v>
      </c>
      <c r="H59" s="1507">
        <v>98.828986999997142</v>
      </c>
      <c r="I59" s="1508">
        <v>454.38000000000102</v>
      </c>
      <c r="J59" s="1507">
        <v>-588.16000000000349</v>
      </c>
      <c r="K59" s="1508">
        <v>-1266.4017009999989</v>
      </c>
      <c r="L59" s="1509"/>
      <c r="M59" s="1510">
        <v>1.1531584959874719</v>
      </c>
      <c r="N59" s="1511">
        <v>-2.1066287833280652</v>
      </c>
      <c r="O59" s="1512"/>
      <c r="P59" s="1513">
        <v>-1453.131109809121</v>
      </c>
      <c r="Q59" s="1514">
        <v>-1017.0789521190854</v>
      </c>
      <c r="R59" s="1513">
        <v>-1303.8427640390837</v>
      </c>
    </row>
    <row r="60" spans="1:18" ht="14" thickBot="1">
      <c r="A60" s="1361"/>
      <c r="B60" s="1408"/>
      <c r="C60" s="1409" t="s">
        <v>1864</v>
      </c>
      <c r="D60" s="1427">
        <v>704.5</v>
      </c>
      <c r="E60" s="1428">
        <v>335.5</v>
      </c>
      <c r="F60" s="1427">
        <v>194.5</v>
      </c>
      <c r="G60" s="1428">
        <v>332.70000000000073</v>
      </c>
      <c r="H60" s="1427">
        <v>712.41100000000006</v>
      </c>
      <c r="I60" s="1428">
        <v>931.98000000000138</v>
      </c>
      <c r="J60" s="1427">
        <v>187.13999999999942</v>
      </c>
      <c r="K60" s="1428">
        <v>-455.49946699999782</v>
      </c>
      <c r="L60" s="1429"/>
      <c r="M60" s="1430">
        <v>-3.4340037779202697</v>
      </c>
      <c r="N60" s="1431">
        <v>-1.939601798476597</v>
      </c>
      <c r="O60" s="1432"/>
      <c r="P60" s="1433">
        <v>-642.10609928103077</v>
      </c>
      <c r="Q60" s="1434">
        <v>-78.805583250246855</v>
      </c>
      <c r="R60" s="1433">
        <v>-253.36270611370855</v>
      </c>
    </row>
    <row r="61" spans="1:18" ht="14" thickBot="1">
      <c r="A61" s="1361"/>
      <c r="B61" s="1408"/>
      <c r="C61" s="1409" t="s">
        <v>1868</v>
      </c>
      <c r="D61" s="1427">
        <v>37.699999999999818</v>
      </c>
      <c r="E61" s="1428">
        <v>-518.29999999999995</v>
      </c>
      <c r="F61" s="1427">
        <v>-415.1</v>
      </c>
      <c r="G61" s="1428">
        <v>-351.5</v>
      </c>
      <c r="H61" s="1427">
        <v>-271.25196099999994</v>
      </c>
      <c r="I61" s="1428">
        <v>-111.1</v>
      </c>
      <c r="J61" s="1427">
        <v>-217.5</v>
      </c>
      <c r="K61" s="1428">
        <v>-237.20366400000012</v>
      </c>
      <c r="L61" s="1429"/>
      <c r="M61" s="1430">
        <v>-9.0591558620690238E-2</v>
      </c>
      <c r="N61" s="1431">
        <v>-2.3005032286038669</v>
      </c>
      <c r="O61" s="1432"/>
      <c r="P61" s="1433">
        <v>-94.940557148975131</v>
      </c>
      <c r="Q61" s="1434">
        <v>-28.237480069050321</v>
      </c>
      <c r="R61" s="1433">
        <v>-160.44295255610336</v>
      </c>
    </row>
    <row r="62" spans="1:18">
      <c r="A62" s="1361"/>
      <c r="B62" s="1470"/>
      <c r="C62" s="1471" t="s">
        <v>1933</v>
      </c>
      <c r="D62" s="1515">
        <v>-119.1</v>
      </c>
      <c r="E62" s="1516">
        <v>-30.8</v>
      </c>
      <c r="F62" s="1515">
        <v>-85.8</v>
      </c>
      <c r="G62" s="1516">
        <v>-181.5</v>
      </c>
      <c r="H62" s="1515">
        <v>-342.3300519999998</v>
      </c>
      <c r="I62" s="1516">
        <v>-366.5</v>
      </c>
      <c r="J62" s="1515">
        <v>-557.79999999999995</v>
      </c>
      <c r="K62" s="1516">
        <v>-573.69856999999956</v>
      </c>
      <c r="L62" s="1517"/>
      <c r="M62" s="1518">
        <v>-2.8502276801720017E-2</v>
      </c>
      <c r="N62" s="1519">
        <v>0.25181127234742462</v>
      </c>
      <c r="O62" s="1520"/>
      <c r="P62" s="1521">
        <v>-716.08445337911689</v>
      </c>
      <c r="Q62" s="1522">
        <v>-910.03588879978906</v>
      </c>
      <c r="R62" s="1521">
        <v>-890.03710536927338</v>
      </c>
    </row>
    <row r="63" spans="1:18" ht="11.25" customHeight="1" thickBot="1">
      <c r="A63" s="1361"/>
      <c r="B63" s="1364"/>
      <c r="C63" s="1364"/>
      <c r="D63" s="1523"/>
      <c r="E63" s="1523"/>
      <c r="F63" s="1523"/>
      <c r="G63" s="1523"/>
      <c r="H63" s="1523"/>
      <c r="I63" s="1524"/>
      <c r="J63" s="1524"/>
      <c r="K63" s="1524"/>
      <c r="L63" s="1524"/>
      <c r="M63" s="1364"/>
      <c r="N63" s="1523"/>
      <c r="O63" s="1523"/>
      <c r="P63" s="1523"/>
      <c r="Q63" s="1523"/>
      <c r="R63" s="1523"/>
    </row>
    <row r="64" spans="1:18" ht="13.5" customHeight="1">
      <c r="A64" s="1361"/>
      <c r="B64" s="1525" t="s">
        <v>36</v>
      </c>
      <c r="C64" s="1361"/>
      <c r="D64" s="1361"/>
      <c r="E64" s="1361"/>
      <c r="F64" s="1361"/>
      <c r="G64" s="1361"/>
      <c r="H64" s="1361"/>
      <c r="I64" s="1361"/>
      <c r="J64" s="1361"/>
      <c r="K64" s="1361"/>
      <c r="L64" s="1361"/>
      <c r="M64" s="1361"/>
      <c r="N64" s="1361"/>
      <c r="O64" s="1361"/>
      <c r="P64" s="1361"/>
      <c r="Q64" s="1361"/>
      <c r="R64" s="1361"/>
    </row>
    <row r="65" spans="1:18" ht="9" customHeight="1">
      <c r="A65" s="1361"/>
      <c r="B65" s="1361"/>
      <c r="C65" s="1361"/>
      <c r="D65" s="1361"/>
      <c r="E65" s="1361"/>
      <c r="F65" s="1361"/>
      <c r="G65" s="1361"/>
      <c r="H65" s="1361"/>
      <c r="I65" s="1361"/>
      <c r="J65" s="1361"/>
      <c r="K65" s="1361"/>
      <c r="L65" s="1361"/>
      <c r="M65" s="1361"/>
      <c r="N65" s="1361"/>
      <c r="O65" s="1361"/>
      <c r="P65" s="1361"/>
      <c r="Q65" s="1361"/>
      <c r="R65" s="1361"/>
    </row>
    <row r="66" spans="1:18" ht="12" customHeight="1">
      <c r="A66" s="1361"/>
      <c r="B66" s="1526" t="s">
        <v>1960</v>
      </c>
      <c r="C66" s="1361"/>
      <c r="D66" s="1361"/>
      <c r="E66" s="1361"/>
      <c r="F66" s="1361"/>
      <c r="G66" s="1361"/>
      <c r="H66" s="1361"/>
      <c r="I66" s="1361"/>
      <c r="J66" s="1361"/>
      <c r="K66" s="1361"/>
      <c r="L66" s="1361"/>
      <c r="M66" s="1361"/>
      <c r="N66" s="1361"/>
      <c r="O66" s="1361"/>
      <c r="P66" s="1361"/>
      <c r="Q66" s="1361"/>
      <c r="R66" s="1361"/>
    </row>
    <row r="67" spans="1:18" ht="10.5" customHeight="1">
      <c r="A67" s="1361"/>
      <c r="B67" s="1361"/>
      <c r="C67" s="1361"/>
      <c r="D67" s="1361"/>
      <c r="E67" s="1361"/>
      <c r="F67" s="1361"/>
      <c r="G67" s="1361"/>
      <c r="H67" s="1361"/>
      <c r="I67" s="1361"/>
      <c r="J67" s="1361"/>
      <c r="K67" s="1361"/>
      <c r="L67" s="1361"/>
      <c r="M67" s="1361"/>
      <c r="N67" s="1361"/>
      <c r="O67" s="1361"/>
      <c r="P67" s="1361"/>
      <c r="Q67" s="1361"/>
      <c r="R67" s="1361"/>
    </row>
    <row r="68" spans="1:18">
      <c r="A68" s="1361"/>
      <c r="B68" s="1361" t="s">
        <v>1944</v>
      </c>
      <c r="C68" s="1361"/>
      <c r="D68" s="1361"/>
      <c r="E68" s="1361"/>
      <c r="F68" s="1361"/>
      <c r="G68" s="1361"/>
      <c r="H68" s="1361"/>
      <c r="I68" s="1361"/>
      <c r="J68" s="1361"/>
      <c r="K68" s="1361"/>
      <c r="L68" s="1361"/>
      <c r="M68" s="1361"/>
      <c r="N68" s="1361"/>
      <c r="O68" s="1361"/>
      <c r="P68" s="1361"/>
      <c r="Q68" s="1361"/>
      <c r="R68" s="1361"/>
    </row>
    <row r="69" spans="1:18">
      <c r="A69" s="1361"/>
      <c r="B69" s="1361" t="s">
        <v>1945</v>
      </c>
      <c r="C69" s="1361"/>
      <c r="D69" s="1361"/>
      <c r="E69" s="1361"/>
      <c r="F69" s="1361"/>
      <c r="G69" s="1361"/>
      <c r="H69" s="1361"/>
      <c r="I69" s="1361"/>
      <c r="J69" s="1361"/>
      <c r="K69" s="1361"/>
      <c r="L69" s="1361"/>
      <c r="M69" s="1361"/>
      <c r="N69" s="1361"/>
      <c r="O69" s="1361"/>
      <c r="P69" s="1361"/>
      <c r="Q69" s="1361"/>
      <c r="R69" s="1361"/>
    </row>
    <row r="70" spans="1:18">
      <c r="A70" s="1361"/>
      <c r="B70" s="1361" t="s">
        <v>1946</v>
      </c>
      <c r="C70" s="1361"/>
      <c r="D70" s="1361"/>
      <c r="E70" s="1361"/>
      <c r="F70" s="1361"/>
      <c r="G70" s="1361"/>
      <c r="H70" s="1361"/>
      <c r="I70" s="1361"/>
      <c r="J70" s="1361"/>
      <c r="K70" s="1361"/>
      <c r="L70" s="1361"/>
      <c r="M70" s="1361"/>
      <c r="N70" s="1361"/>
      <c r="O70" s="1361"/>
      <c r="P70" s="1361"/>
      <c r="Q70" s="1361"/>
      <c r="R70" s="1361"/>
    </row>
    <row r="71" spans="1:18">
      <c r="A71" s="1361"/>
      <c r="B71" s="1361" t="s">
        <v>1947</v>
      </c>
      <c r="C71" s="1361"/>
      <c r="D71" s="1361"/>
      <c r="E71" s="1361"/>
      <c r="F71" s="1361"/>
      <c r="G71" s="1361"/>
      <c r="H71" s="1361"/>
      <c r="I71" s="1361"/>
      <c r="J71" s="1361"/>
      <c r="K71" s="1361"/>
      <c r="L71" s="1361"/>
      <c r="M71" s="1361"/>
      <c r="N71" s="1361"/>
      <c r="O71" s="1361"/>
      <c r="P71" s="1361"/>
      <c r="Q71" s="1361"/>
      <c r="R71" s="1361"/>
    </row>
    <row r="72" spans="1:18">
      <c r="A72" s="1361"/>
      <c r="B72" s="1361" t="s">
        <v>1948</v>
      </c>
      <c r="C72" s="1361"/>
      <c r="D72" s="1361"/>
      <c r="E72" s="1361"/>
      <c r="F72" s="1361"/>
      <c r="G72" s="1361"/>
      <c r="H72" s="1361"/>
      <c r="I72" s="1361"/>
      <c r="J72" s="1361"/>
      <c r="K72" s="1361"/>
      <c r="L72" s="1361"/>
      <c r="M72" s="1361"/>
      <c r="N72" s="1361"/>
      <c r="O72" s="1361"/>
      <c r="P72" s="1361"/>
      <c r="Q72" s="1361"/>
      <c r="R72" s="1361"/>
    </row>
    <row r="73" spans="1:18">
      <c r="A73" s="1361"/>
      <c r="B73" s="1361"/>
      <c r="C73" s="1361" t="s">
        <v>1949</v>
      </c>
      <c r="D73" s="1361"/>
      <c r="E73" s="1361"/>
      <c r="F73" s="1361"/>
      <c r="G73" s="1361"/>
      <c r="H73" s="1361"/>
      <c r="I73" s="1361"/>
      <c r="J73" s="1361"/>
      <c r="K73" s="1361"/>
      <c r="L73" s="1361"/>
      <c r="M73" s="1361"/>
      <c r="N73" s="1361"/>
      <c r="O73" s="1361"/>
      <c r="P73" s="1361"/>
      <c r="Q73" s="1361"/>
      <c r="R73" s="1361"/>
    </row>
    <row r="74" spans="1:18">
      <c r="A74" s="1361"/>
      <c r="B74" s="1361" t="s">
        <v>1950</v>
      </c>
      <c r="C74" s="1361"/>
      <c r="D74" s="1361"/>
      <c r="E74" s="1361"/>
      <c r="F74" s="1361"/>
      <c r="G74" s="1361"/>
      <c r="H74" s="1361"/>
      <c r="I74" s="1361"/>
      <c r="J74" s="1361"/>
      <c r="K74" s="1361"/>
      <c r="L74" s="1361"/>
      <c r="M74" s="1361"/>
      <c r="N74" s="1361"/>
      <c r="O74" s="1361"/>
      <c r="P74" s="1361"/>
      <c r="Q74" s="1361"/>
      <c r="R74" s="1361"/>
    </row>
    <row r="75" spans="1:18">
      <c r="A75" s="1361"/>
      <c r="B75" s="1527" t="s">
        <v>1951</v>
      </c>
      <c r="C75" s="1361"/>
      <c r="D75" s="1361"/>
      <c r="E75" s="1361"/>
      <c r="F75" s="1361"/>
      <c r="G75" s="1361"/>
      <c r="H75" s="1361"/>
      <c r="I75" s="1361"/>
      <c r="J75" s="1361"/>
      <c r="K75" s="1361"/>
      <c r="L75" s="1361"/>
      <c r="M75" s="1361"/>
      <c r="N75" s="1361"/>
      <c r="O75" s="1361"/>
      <c r="P75" s="1361"/>
      <c r="Q75" s="1361"/>
      <c r="R75" s="1361"/>
    </row>
    <row r="76" spans="1:18">
      <c r="A76" s="1361"/>
      <c r="B76" s="1527" t="s">
        <v>1952</v>
      </c>
      <c r="C76" s="1361"/>
      <c r="D76" s="1361"/>
      <c r="E76" s="1361"/>
      <c r="F76" s="1361"/>
      <c r="G76" s="1361"/>
      <c r="H76" s="1361"/>
      <c r="I76" s="1361"/>
      <c r="J76" s="1361"/>
      <c r="K76" s="1361"/>
      <c r="L76" s="1361"/>
      <c r="M76" s="1361"/>
      <c r="N76" s="1361"/>
      <c r="O76" s="1361"/>
      <c r="P76" s="1361"/>
      <c r="Q76" s="1361"/>
      <c r="R76" s="1361"/>
    </row>
    <row r="77" spans="1:18" ht="13.5" customHeight="1">
      <c r="A77" s="1361"/>
      <c r="B77" s="1361" t="s">
        <v>1953</v>
      </c>
      <c r="C77" s="1361"/>
      <c r="D77" s="1361"/>
      <c r="E77" s="1361"/>
      <c r="F77" s="1361"/>
      <c r="G77" s="1361"/>
      <c r="H77" s="1361"/>
      <c r="I77" s="1361"/>
      <c r="J77" s="1361"/>
      <c r="K77" s="1361"/>
      <c r="L77" s="1361"/>
      <c r="M77" s="1361"/>
      <c r="N77" s="1361"/>
      <c r="O77" s="1361"/>
      <c r="P77" s="1361"/>
      <c r="Q77" s="1361"/>
      <c r="R77" s="1361"/>
    </row>
    <row r="78" spans="1:18" ht="8.25" customHeight="1">
      <c r="A78" s="1361"/>
      <c r="B78" s="1361"/>
      <c r="C78" s="1361"/>
      <c r="D78" s="1361"/>
      <c r="E78" s="1361"/>
      <c r="F78" s="1361"/>
      <c r="G78" s="1361"/>
      <c r="H78" s="1361"/>
      <c r="I78" s="1361"/>
      <c r="J78" s="1361"/>
      <c r="K78" s="1361"/>
      <c r="L78" s="1361"/>
      <c r="M78" s="1361"/>
      <c r="N78" s="1361"/>
      <c r="O78" s="1361"/>
      <c r="P78" s="1361"/>
      <c r="Q78" s="1361"/>
      <c r="R78" s="1361"/>
    </row>
    <row r="79" spans="1:18">
      <c r="A79" s="1361"/>
      <c r="B79" s="1527" t="s">
        <v>1954</v>
      </c>
      <c r="C79" s="1361"/>
      <c r="D79" s="1361"/>
      <c r="E79" s="1361"/>
      <c r="F79" s="1361"/>
      <c r="G79" s="1361"/>
      <c r="H79" s="1361"/>
      <c r="I79" s="1361"/>
      <c r="J79" s="1361"/>
      <c r="K79" s="1361"/>
      <c r="L79" s="1361"/>
      <c r="M79" s="1361"/>
      <c r="N79" s="1361"/>
      <c r="O79" s="1361"/>
      <c r="P79" s="1361"/>
      <c r="Q79" s="1361"/>
      <c r="R79" s="1361"/>
    </row>
    <row r="80" spans="1:18" ht="14.25" customHeight="1">
      <c r="A80" s="1361"/>
      <c r="B80" s="1527" t="s">
        <v>1955</v>
      </c>
      <c r="C80" s="1361"/>
      <c r="D80" s="1361"/>
      <c r="E80" s="1361"/>
      <c r="F80" s="1361"/>
      <c r="G80" s="1361"/>
      <c r="H80" s="1361"/>
      <c r="I80" s="1361"/>
      <c r="J80" s="1361"/>
      <c r="K80" s="1361"/>
      <c r="L80" s="1361"/>
      <c r="M80" s="1361"/>
      <c r="N80" s="1361"/>
      <c r="O80" s="1361"/>
      <c r="P80" s="1361"/>
      <c r="Q80" s="1361"/>
      <c r="R80" s="1361"/>
    </row>
    <row r="81" spans="1:18" ht="12.75" customHeight="1">
      <c r="A81" s="1361"/>
      <c r="B81" s="1361" t="s">
        <v>1956</v>
      </c>
      <c r="C81" s="1361"/>
      <c r="D81" s="1361"/>
      <c r="E81" s="1361"/>
      <c r="F81" s="1361"/>
      <c r="G81" s="1361"/>
      <c r="H81" s="1361"/>
      <c r="I81" s="1361"/>
      <c r="J81" s="1361"/>
      <c r="K81" s="1361"/>
      <c r="L81" s="1361"/>
      <c r="M81" s="1361"/>
      <c r="N81" s="1361"/>
      <c r="O81" s="1361"/>
      <c r="P81" s="1361"/>
      <c r="Q81" s="1361"/>
      <c r="R81" s="1361"/>
    </row>
    <row r="82" spans="1:18" ht="12.75" customHeight="1">
      <c r="A82" s="1361"/>
      <c r="B82" s="1361"/>
      <c r="C82" s="1361"/>
      <c r="D82" s="1361"/>
      <c r="E82" s="1361"/>
      <c r="F82" s="1361"/>
      <c r="G82" s="1361"/>
      <c r="H82" s="1361"/>
      <c r="I82" s="1361"/>
      <c r="J82" s="1361"/>
      <c r="K82" s="1361"/>
      <c r="L82" s="1361"/>
      <c r="M82" s="1361"/>
      <c r="N82" s="1361"/>
      <c r="O82" s="1361"/>
      <c r="P82" s="1361"/>
      <c r="Q82" s="1361"/>
      <c r="R82" s="1361"/>
    </row>
    <row r="83" spans="1:18">
      <c r="A83" s="1361"/>
      <c r="B83" s="1361"/>
      <c r="C83" s="1361"/>
      <c r="D83" s="1361"/>
      <c r="E83" s="1361"/>
      <c r="F83" s="1361"/>
      <c r="G83" s="1361"/>
      <c r="H83" s="1361"/>
      <c r="I83" s="1361"/>
      <c r="J83" s="1361"/>
      <c r="K83" s="1361"/>
      <c r="L83" s="1361"/>
      <c r="M83" s="1361"/>
      <c r="N83" s="1361"/>
      <c r="O83" s="1361"/>
      <c r="P83" s="1361"/>
      <c r="Q83" s="1361"/>
      <c r="R83" s="1361"/>
    </row>
    <row r="84" spans="1:18">
      <c r="A84" s="1361"/>
      <c r="B84" s="1361" t="s">
        <v>104</v>
      </c>
      <c r="C84" s="1528"/>
      <c r="D84" s="1361"/>
      <c r="E84" s="1361"/>
      <c r="F84" s="1361"/>
      <c r="G84" s="1361"/>
      <c r="H84" s="1361"/>
      <c r="I84" s="1361"/>
      <c r="J84" s="1361"/>
      <c r="K84" s="1361"/>
      <c r="L84" s="1361"/>
      <c r="M84" s="1361"/>
      <c r="N84" s="1361"/>
      <c r="O84" s="1361"/>
      <c r="P84" s="1361"/>
      <c r="Q84" s="1361"/>
      <c r="R84" s="1361"/>
    </row>
    <row r="85" spans="1:18">
      <c r="A85" s="1361"/>
      <c r="B85" s="1361"/>
      <c r="C85" s="1529"/>
      <c r="D85" s="1361"/>
      <c r="E85" s="1361"/>
      <c r="F85" s="1361"/>
      <c r="G85" s="1361"/>
      <c r="H85" s="1361"/>
      <c r="I85" s="1361"/>
      <c r="J85" s="1361"/>
      <c r="K85" s="1361"/>
      <c r="L85" s="1361"/>
      <c r="M85" s="1361"/>
      <c r="N85" s="1361"/>
      <c r="O85" s="1361"/>
      <c r="P85" s="1361"/>
      <c r="Q85" s="1361"/>
      <c r="R85" s="1361"/>
    </row>
    <row r="86" spans="1:18">
      <c r="A86" s="1361"/>
      <c r="B86" s="1361"/>
      <c r="C86" s="1530"/>
      <c r="D86" s="1361"/>
      <c r="E86" s="1361"/>
      <c r="F86" s="1361"/>
      <c r="G86" s="1361"/>
      <c r="H86" s="1361"/>
      <c r="I86" s="1361"/>
      <c r="J86" s="1361"/>
      <c r="K86" s="1361"/>
      <c r="L86" s="1361"/>
      <c r="M86" s="1361"/>
      <c r="N86" s="1361"/>
      <c r="O86" s="1361"/>
      <c r="P86" s="1361"/>
      <c r="Q86" s="1361"/>
      <c r="R86" s="1361"/>
    </row>
    <row r="87" spans="1:18">
      <c r="A87" s="1361"/>
      <c r="B87" s="1361"/>
      <c r="C87" s="1531"/>
      <c r="D87" s="1361"/>
      <c r="E87" s="1361"/>
      <c r="F87" s="1361"/>
      <c r="G87" s="1361"/>
      <c r="H87" s="1361"/>
      <c r="I87" s="1361"/>
      <c r="J87" s="1361"/>
      <c r="K87" s="1361"/>
      <c r="L87" s="1361"/>
      <c r="M87" s="1361"/>
      <c r="N87" s="1361"/>
      <c r="O87" s="1361"/>
      <c r="P87" s="1361"/>
      <c r="Q87" s="1361"/>
      <c r="R87" s="1361"/>
    </row>
    <row r="88" spans="1:18">
      <c r="A88" s="1361"/>
      <c r="B88" s="1361"/>
      <c r="C88" s="1361"/>
      <c r="D88" s="1361"/>
      <c r="E88" s="1361"/>
      <c r="F88" s="1361"/>
      <c r="G88" s="1361"/>
      <c r="H88" s="1361"/>
      <c r="I88" s="1361"/>
      <c r="J88" s="1361"/>
      <c r="K88" s="1361"/>
      <c r="L88" s="1361"/>
      <c r="M88" s="1361"/>
      <c r="N88" s="1361"/>
      <c r="O88" s="1361"/>
      <c r="P88" s="1361"/>
      <c r="Q88" s="1361"/>
      <c r="R88" s="1361"/>
    </row>
    <row r="89" spans="1:18">
      <c r="A89" s="1361"/>
      <c r="B89" s="1361"/>
      <c r="C89" s="1361"/>
      <c r="D89" s="1361"/>
      <c r="E89" s="1361"/>
      <c r="F89" s="1361"/>
      <c r="G89" s="1361"/>
      <c r="H89" s="1361"/>
      <c r="I89" s="1361"/>
      <c r="J89" s="1361"/>
      <c r="K89" s="1361"/>
      <c r="L89" s="1361"/>
      <c r="M89" s="1361"/>
      <c r="N89" s="1361"/>
      <c r="O89" s="1361"/>
      <c r="P89" s="1361"/>
      <c r="Q89" s="1361"/>
      <c r="R89" s="1361"/>
    </row>
    <row r="90" spans="1:18">
      <c r="A90" s="1361"/>
      <c r="B90" s="1361"/>
      <c r="C90" s="1361"/>
      <c r="D90" s="1361"/>
      <c r="E90" s="1361"/>
      <c r="F90" s="1361"/>
      <c r="G90" s="1361"/>
      <c r="H90" s="1361"/>
      <c r="I90" s="1361"/>
      <c r="J90" s="1361"/>
      <c r="K90" s="1361"/>
      <c r="L90" s="1361"/>
      <c r="M90" s="1361"/>
      <c r="N90" s="1361"/>
      <c r="O90" s="1361"/>
      <c r="P90" s="1361"/>
      <c r="Q90" s="1361"/>
      <c r="R90" s="1361"/>
    </row>
    <row r="91" spans="1:18">
      <c r="A91" s="1361"/>
      <c r="B91" s="1361"/>
      <c r="C91" s="1361"/>
      <c r="D91" s="1361"/>
      <c r="E91" s="1361"/>
      <c r="F91" s="1361"/>
      <c r="G91" s="1361"/>
      <c r="H91" s="1361"/>
      <c r="I91" s="1361"/>
      <c r="J91" s="1361"/>
      <c r="K91" s="1361"/>
      <c r="L91" s="1361"/>
      <c r="M91" s="1361"/>
      <c r="N91" s="1361"/>
      <c r="O91" s="1361"/>
      <c r="P91" s="1361"/>
      <c r="Q91" s="1361"/>
      <c r="R91" s="1361"/>
    </row>
    <row r="92" spans="1:18">
      <c r="A92" s="1361"/>
      <c r="B92" s="1361"/>
      <c r="C92" s="1361"/>
      <c r="D92" s="1361"/>
      <c r="E92" s="1361"/>
      <c r="F92" s="1361"/>
      <c r="G92" s="1361"/>
      <c r="H92" s="1361"/>
      <c r="I92" s="1361"/>
      <c r="J92" s="1361"/>
      <c r="K92" s="1361"/>
      <c r="L92" s="1361"/>
      <c r="M92" s="1361"/>
      <c r="N92" s="1361"/>
      <c r="O92" s="1361"/>
      <c r="P92" s="1361"/>
      <c r="Q92" s="1361"/>
      <c r="R92" s="1361"/>
    </row>
    <row r="93" spans="1:18">
      <c r="A93" s="1361"/>
      <c r="B93" s="1361"/>
      <c r="C93" s="1361"/>
      <c r="D93" s="1361"/>
      <c r="E93" s="1361"/>
      <c r="F93" s="1361"/>
      <c r="G93" s="1361"/>
      <c r="H93" s="1361"/>
      <c r="I93" s="1361"/>
      <c r="J93" s="1361"/>
      <c r="K93" s="1361"/>
      <c r="L93" s="1361"/>
      <c r="M93" s="1361"/>
      <c r="N93" s="1361"/>
      <c r="O93" s="1361"/>
      <c r="P93" s="1361"/>
      <c r="Q93" s="1361"/>
      <c r="R93" s="1361"/>
    </row>
    <row r="94" spans="1:18">
      <c r="A94" s="1361"/>
      <c r="B94" s="1361"/>
      <c r="C94" s="1361"/>
      <c r="D94" s="1361"/>
      <c r="E94" s="1361"/>
      <c r="F94" s="1361"/>
      <c r="G94" s="1361"/>
      <c r="H94" s="1361"/>
      <c r="I94" s="1361"/>
      <c r="J94" s="1361"/>
      <c r="K94" s="1361"/>
      <c r="L94" s="1361"/>
      <c r="M94" s="1361"/>
      <c r="N94" s="1361"/>
      <c r="O94" s="1361"/>
      <c r="P94" s="1361"/>
      <c r="Q94" s="1361"/>
      <c r="R94" s="1361"/>
    </row>
    <row r="95" spans="1:18">
      <c r="A95" s="1361"/>
      <c r="B95" s="1361"/>
      <c r="C95" s="1361"/>
      <c r="D95" s="1361"/>
      <c r="E95" s="1361"/>
      <c r="F95" s="1361"/>
      <c r="G95" s="1361"/>
      <c r="H95" s="1361"/>
      <c r="I95" s="1361"/>
      <c r="J95" s="1361"/>
      <c r="K95" s="1361"/>
      <c r="L95" s="1361"/>
      <c r="M95" s="1361"/>
      <c r="N95" s="1361"/>
      <c r="O95" s="1361"/>
      <c r="P95" s="1361"/>
      <c r="Q95" s="1361"/>
      <c r="R95" s="1361"/>
    </row>
    <row r="96" spans="1:18">
      <c r="A96" s="1361"/>
      <c r="B96" s="1361"/>
      <c r="C96" s="1361"/>
      <c r="D96" s="1361"/>
      <c r="E96" s="1361"/>
      <c r="F96" s="1361"/>
      <c r="G96" s="1361"/>
      <c r="H96" s="1361"/>
      <c r="I96" s="1361"/>
      <c r="J96" s="1361"/>
      <c r="K96" s="1361"/>
      <c r="L96" s="1361"/>
      <c r="M96" s="1361"/>
      <c r="N96" s="1361"/>
      <c r="O96" s="1361"/>
      <c r="P96" s="1361"/>
      <c r="Q96" s="1361"/>
      <c r="R96" s="1361"/>
    </row>
    <row r="97" spans="1:18">
      <c r="A97" s="1361"/>
      <c r="B97" s="1361"/>
      <c r="C97" s="1361"/>
      <c r="D97" s="1361"/>
      <c r="E97" s="1361"/>
      <c r="F97" s="1361"/>
      <c r="G97" s="1361"/>
      <c r="H97" s="1361"/>
      <c r="I97" s="1361"/>
      <c r="J97" s="1361"/>
      <c r="K97" s="1361"/>
      <c r="L97" s="1361"/>
      <c r="M97" s="1361"/>
      <c r="N97" s="1361"/>
      <c r="O97" s="1361"/>
      <c r="P97" s="1361"/>
      <c r="Q97" s="1361"/>
      <c r="R97" s="1361"/>
    </row>
    <row r="98" spans="1:18">
      <c r="A98" s="1361"/>
      <c r="B98" s="1361"/>
      <c r="C98" s="1361"/>
      <c r="D98" s="1361"/>
      <c r="E98" s="1361"/>
      <c r="F98" s="1361"/>
      <c r="G98" s="1361"/>
      <c r="H98" s="1361"/>
      <c r="I98" s="1361"/>
      <c r="J98" s="1361"/>
      <c r="K98" s="1361"/>
      <c r="L98" s="1361"/>
      <c r="M98" s="1361"/>
      <c r="N98" s="1361"/>
      <c r="O98" s="1361"/>
      <c r="P98" s="1361"/>
      <c r="Q98" s="1361"/>
      <c r="R98" s="1361"/>
    </row>
    <row r="99" spans="1:18">
      <c r="A99" s="1361"/>
      <c r="B99" s="1361"/>
      <c r="C99" s="1361"/>
      <c r="D99" s="1361"/>
      <c r="E99" s="1361"/>
      <c r="F99" s="1361"/>
      <c r="G99" s="1361"/>
      <c r="H99" s="1361"/>
      <c r="I99" s="1361"/>
      <c r="J99" s="1361"/>
      <c r="K99" s="1361"/>
      <c r="L99" s="1361"/>
      <c r="M99" s="1361"/>
      <c r="N99" s="1361"/>
      <c r="O99" s="1361"/>
      <c r="P99" s="1361"/>
      <c r="Q99" s="1361"/>
      <c r="R99" s="1361"/>
    </row>
    <row r="100" spans="1:18">
      <c r="A100" s="1361"/>
      <c r="B100" s="1361"/>
      <c r="C100" s="1361"/>
      <c r="D100" s="1361"/>
      <c r="E100" s="1361"/>
      <c r="F100" s="1361"/>
      <c r="G100" s="1361"/>
      <c r="H100" s="1361"/>
      <c r="I100" s="1361"/>
      <c r="J100" s="1361"/>
      <c r="K100" s="1361"/>
      <c r="L100" s="1361"/>
      <c r="M100" s="1361"/>
      <c r="N100" s="1361"/>
      <c r="O100" s="1361"/>
      <c r="P100" s="1361"/>
      <c r="Q100" s="1361"/>
      <c r="R100" s="1361"/>
    </row>
    <row r="101" spans="1:18">
      <c r="A101" s="1361"/>
      <c r="B101" s="1361"/>
      <c r="C101" s="1361"/>
      <c r="D101" s="1361"/>
      <c r="E101" s="1361"/>
      <c r="F101" s="1361"/>
      <c r="G101" s="1361"/>
      <c r="H101" s="1361"/>
      <c r="I101" s="1361"/>
      <c r="J101" s="1361"/>
      <c r="K101" s="1361"/>
      <c r="L101" s="1361"/>
      <c r="M101" s="1361"/>
      <c r="N101" s="1361"/>
      <c r="O101" s="1361"/>
      <c r="P101" s="1361"/>
      <c r="Q101" s="1361"/>
      <c r="R101" s="1361"/>
    </row>
    <row r="102" spans="1:18">
      <c r="A102" s="1361"/>
      <c r="B102" s="1361"/>
      <c r="C102" s="1361"/>
      <c r="D102" s="1361"/>
      <c r="E102" s="1361"/>
      <c r="F102" s="1361"/>
      <c r="G102" s="1361"/>
      <c r="H102" s="1361"/>
      <c r="I102" s="1361"/>
      <c r="J102" s="1361"/>
      <c r="K102" s="1361"/>
      <c r="L102" s="1361"/>
      <c r="M102" s="1361"/>
      <c r="N102" s="1361"/>
      <c r="O102" s="1361"/>
      <c r="P102" s="1361"/>
      <c r="Q102" s="1361"/>
      <c r="R102" s="1361"/>
    </row>
    <row r="103" spans="1:18">
      <c r="A103" s="1361"/>
      <c r="B103" s="1361"/>
      <c r="C103" s="1361"/>
      <c r="D103" s="1361"/>
      <c r="E103" s="1361"/>
      <c r="F103" s="1361"/>
      <c r="G103" s="1361"/>
      <c r="H103" s="1361"/>
      <c r="I103" s="1361"/>
      <c r="J103" s="1361"/>
      <c r="K103" s="1361"/>
      <c r="L103" s="1361"/>
      <c r="M103" s="1361"/>
      <c r="N103" s="1361"/>
      <c r="O103" s="1361"/>
      <c r="P103" s="1361"/>
      <c r="Q103" s="1361"/>
      <c r="R103" s="1361"/>
    </row>
    <row r="104" spans="1:18">
      <c r="A104" s="1361"/>
      <c r="B104" s="1361"/>
      <c r="C104" s="1361"/>
      <c r="D104" s="1361"/>
      <c r="E104" s="1361"/>
      <c r="F104" s="1361"/>
      <c r="G104" s="1361"/>
      <c r="H104" s="1361"/>
      <c r="I104" s="1361"/>
      <c r="J104" s="1361"/>
      <c r="K104" s="1361"/>
      <c r="L104" s="1361"/>
      <c r="M104" s="1361"/>
      <c r="N104" s="1361"/>
      <c r="O104" s="1361"/>
      <c r="P104" s="1361"/>
      <c r="Q104" s="1361"/>
      <c r="R104" s="1361"/>
    </row>
    <row r="105" spans="1:18">
      <c r="A105" s="1361"/>
      <c r="B105" s="1361"/>
      <c r="C105" s="1361"/>
      <c r="D105" s="1361"/>
      <c r="E105" s="1361"/>
      <c r="F105" s="1361"/>
      <c r="G105" s="1361"/>
      <c r="H105" s="1361"/>
      <c r="I105" s="1361"/>
      <c r="J105" s="1361"/>
      <c r="K105" s="1361"/>
      <c r="L105" s="1361"/>
      <c r="M105" s="1361"/>
      <c r="N105" s="1361"/>
      <c r="O105" s="1361"/>
      <c r="P105" s="1361"/>
      <c r="Q105" s="1361"/>
      <c r="R105" s="1361"/>
    </row>
    <row r="106" spans="1:18">
      <c r="A106" s="1361"/>
      <c r="B106" s="1361"/>
      <c r="C106" s="1361"/>
      <c r="D106" s="1361"/>
      <c r="E106" s="1361"/>
      <c r="F106" s="1361"/>
      <c r="G106" s="1361"/>
      <c r="H106" s="1361"/>
      <c r="I106" s="1361"/>
      <c r="J106" s="1361"/>
      <c r="K106" s="1361"/>
      <c r="L106" s="1361"/>
      <c r="M106" s="1361"/>
      <c r="N106" s="1361"/>
      <c r="O106" s="1361"/>
      <c r="P106" s="1361"/>
      <c r="Q106" s="1361"/>
      <c r="R106" s="1361"/>
    </row>
    <row r="107" spans="1:18">
      <c r="A107" s="1361"/>
      <c r="B107" s="1361"/>
      <c r="C107" s="1361"/>
      <c r="D107" s="1361"/>
      <c r="E107" s="1361"/>
      <c r="F107" s="1361"/>
      <c r="G107" s="1361"/>
      <c r="H107" s="1361"/>
      <c r="I107" s="1361"/>
      <c r="J107" s="1361"/>
      <c r="K107" s="1361"/>
      <c r="L107" s="1361"/>
      <c r="M107" s="1361"/>
      <c r="N107" s="1361"/>
      <c r="O107" s="1361"/>
      <c r="P107" s="1361"/>
      <c r="Q107" s="1361"/>
      <c r="R107" s="1361"/>
    </row>
    <row r="108" spans="1:18">
      <c r="A108" s="1361"/>
      <c r="B108" s="1361"/>
      <c r="C108" s="1361"/>
      <c r="D108" s="1361"/>
      <c r="E108" s="1361"/>
      <c r="F108" s="1361"/>
      <c r="G108" s="1361"/>
      <c r="H108" s="1361"/>
      <c r="I108" s="1361"/>
      <c r="J108" s="1361"/>
      <c r="K108" s="1361"/>
      <c r="L108" s="1361"/>
      <c r="M108" s="1361"/>
      <c r="N108" s="1361"/>
      <c r="O108" s="1361"/>
      <c r="P108" s="1361"/>
      <c r="Q108" s="1361"/>
      <c r="R108" s="1361"/>
    </row>
    <row r="109" spans="1:18">
      <c r="A109" s="1361"/>
      <c r="B109" s="1361"/>
      <c r="C109" s="1361"/>
      <c r="D109" s="1361"/>
      <c r="E109" s="1361"/>
      <c r="F109" s="1361"/>
      <c r="G109" s="1361"/>
      <c r="H109" s="1361"/>
      <c r="I109" s="1361"/>
      <c r="J109" s="1361"/>
      <c r="K109" s="1361"/>
      <c r="L109" s="1361"/>
      <c r="M109" s="1361"/>
      <c r="N109" s="1361"/>
      <c r="O109" s="1361"/>
      <c r="P109" s="1361"/>
      <c r="Q109" s="1361"/>
      <c r="R109" s="1361"/>
    </row>
    <row r="110" spans="1:18">
      <c r="A110" s="1361"/>
      <c r="B110" s="1361"/>
      <c r="C110" s="1361"/>
      <c r="D110" s="1361"/>
      <c r="E110" s="1361"/>
      <c r="F110" s="1361"/>
      <c r="G110" s="1361"/>
      <c r="H110" s="1361"/>
      <c r="I110" s="1361"/>
      <c r="J110" s="1361"/>
      <c r="K110" s="1361"/>
      <c r="L110" s="1361"/>
      <c r="M110" s="1361"/>
      <c r="N110" s="1361"/>
      <c r="O110" s="1361"/>
      <c r="P110" s="1361"/>
      <c r="Q110" s="1361"/>
      <c r="R110" s="1361"/>
    </row>
  </sheetData>
  <mergeCells count="2">
    <mergeCell ref="A7:A15"/>
    <mergeCell ref="A43:A51"/>
  </mergeCells>
  <phoneticPr fontId="70" type="noConversion"/>
  <pageMargins left="0.47" right="0.46" top="0.47" bottom="0.33" header="0.25" footer="0.14000000000000001"/>
  <pageSetup paperSize="9" scale="62" orientation="landscape"/>
  <headerFooter alignWithMargins="0">
    <oddHeader>&amp;L&amp;"Helvetica,Bold"Zusatzinformationen zum Gesundheitswesen</oddHeader>
    <oddFooter>&amp;R&amp;8&amp;P/&amp;N</oddFooter>
  </headerFooter>
  <rowBreaks count="1" manualBreakCount="1">
    <brk id="66" max="16383" man="1"/>
  </rowBreaks>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3BE01-271B-9844-AA24-A33427064E66}">
  <sheetPr>
    <pageSetUpPr fitToPage="1"/>
  </sheetPr>
  <dimension ref="A1:V52"/>
  <sheetViews>
    <sheetView topLeftCell="B2" zoomScale="75" workbookViewId="0">
      <selection activeCell="W9" sqref="W9"/>
    </sheetView>
  </sheetViews>
  <sheetFormatPr baseColWidth="10" defaultColWidth="11.3984375" defaultRowHeight="13"/>
  <cols>
    <col min="1" max="1" width="8.19921875" style="2" customWidth="1"/>
    <col min="2" max="3" width="11" style="162" customWidth="1"/>
    <col min="4" max="4" width="10.59765625" style="162" customWidth="1"/>
    <col min="5" max="8" width="11" style="162" customWidth="1"/>
    <col min="9" max="9" width="10.19921875" style="23" customWidth="1"/>
    <col min="10" max="10" width="9.796875" style="162" customWidth="1"/>
    <col min="11" max="11" width="11" style="162" customWidth="1"/>
    <col min="12" max="12" width="11.3984375" style="2"/>
    <col min="13" max="13" width="8.796875" style="2" hidden="1" customWidth="1"/>
    <col min="14" max="22" width="9.796875" style="162" hidden="1" customWidth="1"/>
    <col min="23" max="16384" width="11.3984375" style="2"/>
  </cols>
  <sheetData>
    <row r="1" spans="1:22" s="1" customFormat="1" ht="14" customHeight="1">
      <c r="A1" s="591"/>
      <c r="B1" s="705"/>
      <c r="C1" s="705"/>
      <c r="D1" s="705"/>
      <c r="E1" s="705"/>
      <c r="F1" s="705"/>
      <c r="G1" s="705"/>
      <c r="H1" s="705"/>
      <c r="I1" s="892"/>
      <c r="J1" s="705"/>
      <c r="K1" s="705"/>
      <c r="N1" s="193"/>
      <c r="O1" s="193"/>
      <c r="P1" s="193"/>
      <c r="Q1" s="193"/>
      <c r="R1" s="193"/>
      <c r="S1" s="193"/>
      <c r="T1" s="193"/>
      <c r="U1" s="193"/>
      <c r="V1" s="193"/>
    </row>
    <row r="2" spans="1:22" s="1" customFormat="1" ht="27" customHeight="1">
      <c r="A2" s="592" t="s">
        <v>1687</v>
      </c>
      <c r="B2" s="705"/>
      <c r="C2" s="705"/>
      <c r="D2" s="705"/>
      <c r="E2" s="705"/>
      <c r="F2" s="705"/>
      <c r="G2" s="705"/>
      <c r="H2" s="705"/>
      <c r="I2" s="892"/>
      <c r="J2" s="705"/>
      <c r="K2" s="370">
        <v>2004</v>
      </c>
      <c r="M2" s="178" t="s">
        <v>1650</v>
      </c>
      <c r="N2" s="193"/>
      <c r="O2" s="193"/>
      <c r="P2" s="193"/>
      <c r="Q2" s="193"/>
      <c r="R2" s="193"/>
      <c r="S2" s="193"/>
      <c r="T2" s="193"/>
      <c r="U2" s="193"/>
      <c r="V2" s="193"/>
    </row>
    <row r="3" spans="1:22" ht="27" customHeight="1">
      <c r="A3" s="139" t="s">
        <v>503</v>
      </c>
      <c r="B3" s="164" t="s">
        <v>1972</v>
      </c>
      <c r="C3" s="141" t="s">
        <v>1651</v>
      </c>
      <c r="D3" s="164" t="s">
        <v>1651</v>
      </c>
      <c r="E3" s="141" t="s">
        <v>652</v>
      </c>
      <c r="F3" s="164" t="s">
        <v>1652</v>
      </c>
      <c r="G3" s="141" t="s">
        <v>1688</v>
      </c>
      <c r="H3" s="164" t="s">
        <v>1519</v>
      </c>
      <c r="I3" s="210" t="s">
        <v>1653</v>
      </c>
      <c r="J3" s="164" t="s">
        <v>1654</v>
      </c>
      <c r="K3" s="141" t="s">
        <v>1688</v>
      </c>
      <c r="M3" s="139" t="s">
        <v>503</v>
      </c>
      <c r="N3" s="164" t="s">
        <v>1972</v>
      </c>
      <c r="O3" s="141" t="s">
        <v>1651</v>
      </c>
      <c r="P3" s="164" t="s">
        <v>1651</v>
      </c>
      <c r="Q3" s="141" t="s">
        <v>652</v>
      </c>
      <c r="R3" s="164" t="s">
        <v>451</v>
      </c>
      <c r="S3" s="141" t="s">
        <v>1655</v>
      </c>
      <c r="T3" s="164" t="s">
        <v>1519</v>
      </c>
      <c r="U3" s="141" t="s">
        <v>451</v>
      </c>
      <c r="V3" s="164" t="s">
        <v>1654</v>
      </c>
    </row>
    <row r="4" spans="1:22" ht="15" customHeight="1">
      <c r="A4" s="165"/>
      <c r="B4" s="363" t="s">
        <v>1656</v>
      </c>
      <c r="C4" s="144" t="s">
        <v>1657</v>
      </c>
      <c r="D4" s="166" t="s">
        <v>1658</v>
      </c>
      <c r="E4" s="706" t="s">
        <v>1659</v>
      </c>
      <c r="F4" s="166" t="s">
        <v>1689</v>
      </c>
      <c r="G4" s="144" t="s">
        <v>486</v>
      </c>
      <c r="H4" s="166" t="s">
        <v>1660</v>
      </c>
      <c r="I4" s="142" t="s">
        <v>1661</v>
      </c>
      <c r="J4" s="166" t="s">
        <v>1662</v>
      </c>
      <c r="K4" s="144" t="s">
        <v>486</v>
      </c>
      <c r="M4" s="165"/>
      <c r="N4" s="363" t="s">
        <v>1656</v>
      </c>
      <c r="O4" s="144" t="s">
        <v>1657</v>
      </c>
      <c r="P4" s="166" t="s">
        <v>1658</v>
      </c>
      <c r="Q4" s="706" t="s">
        <v>1659</v>
      </c>
      <c r="R4" s="166" t="s">
        <v>486</v>
      </c>
      <c r="S4" s="144" t="s">
        <v>1690</v>
      </c>
      <c r="T4" s="166" t="s">
        <v>1660</v>
      </c>
      <c r="U4" s="144" t="s">
        <v>486</v>
      </c>
      <c r="V4" s="166" t="s">
        <v>1662</v>
      </c>
    </row>
    <row r="5" spans="1:22" ht="15" hidden="1" customHeight="1">
      <c r="A5" s="165"/>
      <c r="B5" s="363"/>
      <c r="C5" s="706" t="s">
        <v>1663</v>
      </c>
      <c r="D5" s="363"/>
      <c r="E5" s="706"/>
      <c r="F5" s="166"/>
      <c r="G5" s="706"/>
      <c r="H5" s="166" t="s">
        <v>1664</v>
      </c>
      <c r="I5" s="893"/>
      <c r="J5" s="363"/>
      <c r="K5" s="144"/>
      <c r="M5" s="165"/>
      <c r="N5" s="363"/>
      <c r="O5" s="144" t="s">
        <v>1663</v>
      </c>
      <c r="P5" s="166"/>
      <c r="Q5" s="706"/>
      <c r="R5" s="166"/>
      <c r="S5" s="144"/>
      <c r="T5" s="166" t="s">
        <v>1664</v>
      </c>
      <c r="U5" s="144"/>
      <c r="V5" s="166"/>
    </row>
    <row r="6" spans="1:22" ht="15" customHeight="1">
      <c r="A6" s="165"/>
      <c r="B6" s="363" t="s">
        <v>1665</v>
      </c>
      <c r="C6" s="706" t="s">
        <v>1666</v>
      </c>
      <c r="D6" s="363" t="s">
        <v>1667</v>
      </c>
      <c r="E6" s="706" t="s">
        <v>1668</v>
      </c>
      <c r="F6" s="363"/>
      <c r="G6" s="706" t="s">
        <v>454</v>
      </c>
      <c r="H6" s="363" t="s">
        <v>1691</v>
      </c>
      <c r="I6" s="893" t="s">
        <v>1692</v>
      </c>
      <c r="J6" s="363" t="s">
        <v>1693</v>
      </c>
      <c r="K6" s="706" t="s">
        <v>454</v>
      </c>
      <c r="M6" s="165"/>
      <c r="N6" s="363" t="s">
        <v>1665</v>
      </c>
      <c r="O6" s="706" t="s">
        <v>1666</v>
      </c>
      <c r="P6" s="363" t="s">
        <v>1669</v>
      </c>
      <c r="Q6" s="706" t="s">
        <v>1668</v>
      </c>
      <c r="R6" s="363" t="s">
        <v>454</v>
      </c>
      <c r="S6" s="706"/>
      <c r="T6" s="166" t="s">
        <v>1670</v>
      </c>
      <c r="U6" s="706" t="s">
        <v>454</v>
      </c>
      <c r="V6" s="166" t="s">
        <v>1690</v>
      </c>
    </row>
    <row r="7" spans="1:22" ht="27" customHeight="1">
      <c r="A7" s="165"/>
      <c r="B7" s="363" t="s">
        <v>1694</v>
      </c>
      <c r="C7" s="706" t="s">
        <v>1695</v>
      </c>
      <c r="D7" s="363" t="s">
        <v>1696</v>
      </c>
      <c r="E7" s="706" t="s">
        <v>1697</v>
      </c>
      <c r="F7" s="363"/>
      <c r="G7" s="706"/>
      <c r="H7" s="363"/>
      <c r="I7" s="893"/>
      <c r="J7" s="363"/>
      <c r="K7" s="706"/>
      <c r="M7" s="306"/>
      <c r="N7" s="168" t="s">
        <v>1281</v>
      </c>
      <c r="O7" s="147" t="s">
        <v>1671</v>
      </c>
      <c r="P7" s="168" t="s">
        <v>1672</v>
      </c>
      <c r="Q7" s="147" t="s">
        <v>1673</v>
      </c>
      <c r="R7" s="168" t="s">
        <v>2077</v>
      </c>
      <c r="S7" s="147"/>
      <c r="T7" s="168"/>
      <c r="U7" s="147" t="s">
        <v>2077</v>
      </c>
      <c r="V7" s="168"/>
    </row>
    <row r="8" spans="1:22" ht="30" customHeight="1" thickBot="1">
      <c r="A8" s="777" t="s">
        <v>510</v>
      </c>
      <c r="B8" s="330">
        <v>1281018</v>
      </c>
      <c r="C8" s="381">
        <v>925</v>
      </c>
      <c r="D8" s="330">
        <v>2046</v>
      </c>
      <c r="E8" s="381">
        <v>2971</v>
      </c>
      <c r="F8" s="894">
        <v>2.3192492221030463</v>
      </c>
      <c r="G8" s="626">
        <v>2.1410697517122212E-2</v>
      </c>
      <c r="H8" s="330">
        <v>217</v>
      </c>
      <c r="I8" s="895">
        <v>2</v>
      </c>
      <c r="J8" s="894">
        <v>1.693965268247597</v>
      </c>
      <c r="K8" s="626">
        <v>-1.6872835817056453E-2</v>
      </c>
      <c r="M8" s="777" t="s">
        <v>510</v>
      </c>
      <c r="N8" s="330">
        <v>1209530</v>
      </c>
      <c r="O8" s="381">
        <v>875</v>
      </c>
      <c r="P8" s="330">
        <v>1726</v>
      </c>
      <c r="Q8" s="381">
        <v>2601</v>
      </c>
      <c r="R8" s="758"/>
      <c r="S8" s="381">
        <f t="shared" ref="S8:S34" si="0">N8/Q8</f>
        <v>465.02499038831218</v>
      </c>
      <c r="T8" s="330">
        <v>223</v>
      </c>
      <c r="U8" s="757"/>
      <c r="V8" s="330">
        <f t="shared" ref="V8:V34" si="1">N8/T8</f>
        <v>5423.9013452914796</v>
      </c>
    </row>
    <row r="9" spans="1:22" ht="18" customHeight="1" thickBot="1">
      <c r="A9" s="625" t="s">
        <v>511</v>
      </c>
      <c r="B9" s="153">
        <v>961647</v>
      </c>
      <c r="C9" s="228">
        <v>631</v>
      </c>
      <c r="D9" s="153">
        <v>1395</v>
      </c>
      <c r="E9" s="228">
        <v>2026</v>
      </c>
      <c r="F9" s="894">
        <v>2.1068021841694509</v>
      </c>
      <c r="G9" s="626">
        <v>2.1586993750787542E-2</v>
      </c>
      <c r="H9" s="153">
        <v>177</v>
      </c>
      <c r="I9" s="895">
        <v>2</v>
      </c>
      <c r="J9" s="894">
        <v>1.8405922339486318</v>
      </c>
      <c r="K9" s="626">
        <v>8.2722186890971106E-3</v>
      </c>
      <c r="M9" s="625" t="s">
        <v>511</v>
      </c>
      <c r="N9" s="153">
        <v>949795</v>
      </c>
      <c r="O9" s="228">
        <v>581</v>
      </c>
      <c r="P9" s="153">
        <v>1249</v>
      </c>
      <c r="Q9" s="228">
        <v>1830</v>
      </c>
      <c r="R9" s="507"/>
      <c r="S9" s="228">
        <f t="shared" si="0"/>
        <v>519.01366120218574</v>
      </c>
      <c r="T9" s="153">
        <v>172</v>
      </c>
      <c r="U9" s="508"/>
      <c r="V9" s="153">
        <f t="shared" si="1"/>
        <v>5522.0639534883721</v>
      </c>
    </row>
    <row r="10" spans="1:22" ht="18" customHeight="1" thickBot="1">
      <c r="A10" s="625" t="s">
        <v>512</v>
      </c>
      <c r="B10" s="153">
        <v>353891</v>
      </c>
      <c r="C10" s="228">
        <v>209</v>
      </c>
      <c r="D10" s="153">
        <v>328</v>
      </c>
      <c r="E10" s="228">
        <v>537</v>
      </c>
      <c r="F10" s="894">
        <v>1.5174163796197135</v>
      </c>
      <c r="G10" s="626">
        <v>4.3284398485204489E-2</v>
      </c>
      <c r="H10" s="153">
        <v>32</v>
      </c>
      <c r="I10" s="895">
        <v>1</v>
      </c>
      <c r="J10" s="894">
        <v>0.90423322435439157</v>
      </c>
      <c r="K10" s="626">
        <v>-3.3544569407306879E-2</v>
      </c>
      <c r="M10" s="625" t="s">
        <v>512</v>
      </c>
      <c r="N10" s="153">
        <v>343180</v>
      </c>
      <c r="O10" s="228">
        <v>203</v>
      </c>
      <c r="P10" s="153">
        <v>282</v>
      </c>
      <c r="Q10" s="228">
        <v>485</v>
      </c>
      <c r="R10" s="507"/>
      <c r="S10" s="228">
        <f t="shared" si="0"/>
        <v>707.58762886597935</v>
      </c>
      <c r="T10" s="153">
        <v>34</v>
      </c>
      <c r="U10" s="508"/>
      <c r="V10" s="153">
        <f t="shared" si="1"/>
        <v>10093.529411764706</v>
      </c>
    </row>
    <row r="11" spans="1:22" ht="18" customHeight="1" thickBot="1">
      <c r="A11" s="625" t="s">
        <v>513</v>
      </c>
      <c r="B11" s="153">
        <v>34765</v>
      </c>
      <c r="C11" s="228">
        <v>20</v>
      </c>
      <c r="D11" s="153">
        <v>24</v>
      </c>
      <c r="E11" s="228">
        <v>44</v>
      </c>
      <c r="F11" s="894">
        <v>1.2656407306198765</v>
      </c>
      <c r="G11" s="626">
        <v>-7.191140514883898E-4</v>
      </c>
      <c r="H11" s="153">
        <v>2</v>
      </c>
      <c r="I11" s="895">
        <v>1</v>
      </c>
      <c r="J11" s="894">
        <v>0.57529124119085284</v>
      </c>
      <c r="K11" s="626">
        <v>-7.1911405148872287E-4</v>
      </c>
      <c r="M11" s="625" t="s">
        <v>513</v>
      </c>
      <c r="N11" s="153">
        <v>34560</v>
      </c>
      <c r="O11" s="228">
        <v>21</v>
      </c>
      <c r="P11" s="153">
        <v>22</v>
      </c>
      <c r="Q11" s="228">
        <v>43</v>
      </c>
      <c r="R11" s="507"/>
      <c r="S11" s="228">
        <f t="shared" si="0"/>
        <v>803.72093023255809</v>
      </c>
      <c r="T11" s="153">
        <v>2</v>
      </c>
      <c r="U11" s="508"/>
      <c r="V11" s="153">
        <f t="shared" si="1"/>
        <v>17280</v>
      </c>
    </row>
    <row r="12" spans="1:22" ht="18" customHeight="1" thickBot="1">
      <c r="A12" s="625" t="s">
        <v>514</v>
      </c>
      <c r="B12" s="153">
        <v>135175</v>
      </c>
      <c r="C12" s="228">
        <v>75</v>
      </c>
      <c r="D12" s="153">
        <v>100</v>
      </c>
      <c r="E12" s="228">
        <v>175</v>
      </c>
      <c r="F12" s="894">
        <v>1.2946180876641391</v>
      </c>
      <c r="G12" s="626">
        <v>5.527951571359635E-2</v>
      </c>
      <c r="H12" s="153">
        <v>12</v>
      </c>
      <c r="I12" s="895">
        <v>1</v>
      </c>
      <c r="J12" s="894">
        <v>0.88773811725540963</v>
      </c>
      <c r="K12" s="626">
        <v>7.8851993207458282E-2</v>
      </c>
      <c r="M12" s="625" t="s">
        <v>514</v>
      </c>
      <c r="N12" s="153">
        <v>126680</v>
      </c>
      <c r="O12" s="228">
        <v>65</v>
      </c>
      <c r="P12" s="153">
        <v>66</v>
      </c>
      <c r="Q12" s="228">
        <v>131</v>
      </c>
      <c r="R12" s="507"/>
      <c r="S12" s="228">
        <f t="shared" si="0"/>
        <v>967.02290076335873</v>
      </c>
      <c r="T12" s="153">
        <v>11</v>
      </c>
      <c r="U12" s="508"/>
      <c r="V12" s="153">
        <f t="shared" si="1"/>
        <v>11516.363636363636</v>
      </c>
    </row>
    <row r="13" spans="1:22" ht="18" customHeight="1" thickBot="1">
      <c r="A13" s="625" t="s">
        <v>515</v>
      </c>
      <c r="B13" s="153">
        <v>33050</v>
      </c>
      <c r="C13" s="228">
        <v>23</v>
      </c>
      <c r="D13" s="153">
        <v>15</v>
      </c>
      <c r="E13" s="228">
        <v>38</v>
      </c>
      <c r="F13" s="894">
        <v>1.1497730711043874</v>
      </c>
      <c r="G13" s="626">
        <v>5.4437720625315489E-2</v>
      </c>
      <c r="H13" s="153">
        <v>3</v>
      </c>
      <c r="I13" s="895">
        <v>1</v>
      </c>
      <c r="J13" s="894">
        <v>0.90771558245083206</v>
      </c>
      <c r="K13" s="626">
        <v>-1.0590015128593144E-3</v>
      </c>
      <c r="M13" s="625" t="s">
        <v>515</v>
      </c>
      <c r="N13" s="153">
        <v>31952</v>
      </c>
      <c r="O13" s="228">
        <v>19</v>
      </c>
      <c r="P13" s="153">
        <v>13</v>
      </c>
      <c r="Q13" s="228">
        <v>32</v>
      </c>
      <c r="R13" s="507"/>
      <c r="S13" s="228">
        <f t="shared" si="0"/>
        <v>998.5</v>
      </c>
      <c r="T13" s="153">
        <v>2</v>
      </c>
      <c r="U13" s="508"/>
      <c r="V13" s="153">
        <f t="shared" si="1"/>
        <v>15976</v>
      </c>
    </row>
    <row r="14" spans="1:22" ht="18" customHeight="1" thickBot="1">
      <c r="A14" s="625" t="s">
        <v>516</v>
      </c>
      <c r="B14" s="153">
        <v>38741</v>
      </c>
      <c r="C14" s="228">
        <v>17</v>
      </c>
      <c r="D14" s="153">
        <v>30</v>
      </c>
      <c r="E14" s="228">
        <v>47</v>
      </c>
      <c r="F14" s="894">
        <v>1.2131849978059419</v>
      </c>
      <c r="G14" s="626">
        <v>-9.1892310472110328E-3</v>
      </c>
      <c r="H14" s="153">
        <v>2</v>
      </c>
      <c r="I14" s="895">
        <v>1</v>
      </c>
      <c r="J14" s="894">
        <v>0.51624893523657112</v>
      </c>
      <c r="K14" s="626">
        <v>-9.1892310472110328E-3</v>
      </c>
      <c r="M14" s="625" t="s">
        <v>516</v>
      </c>
      <c r="N14" s="153">
        <v>36549</v>
      </c>
      <c r="O14" s="228">
        <v>16</v>
      </c>
      <c r="P14" s="153">
        <v>20</v>
      </c>
      <c r="Q14" s="228">
        <v>36</v>
      </c>
      <c r="R14" s="507"/>
      <c r="S14" s="228">
        <f t="shared" si="0"/>
        <v>1015.25</v>
      </c>
      <c r="T14" s="153">
        <v>2</v>
      </c>
      <c r="U14" s="508"/>
      <c r="V14" s="153">
        <f t="shared" si="1"/>
        <v>18274.5</v>
      </c>
    </row>
    <row r="15" spans="1:22" ht="18" customHeight="1" thickBot="1">
      <c r="A15" s="625" t="s">
        <v>517</v>
      </c>
      <c r="B15" s="153">
        <v>38273</v>
      </c>
      <c r="C15" s="228">
        <v>28</v>
      </c>
      <c r="D15" s="153">
        <v>27</v>
      </c>
      <c r="E15" s="228">
        <v>55</v>
      </c>
      <c r="F15" s="894">
        <v>1.4370443916076607</v>
      </c>
      <c r="G15" s="626">
        <v>3.800698950785053E-2</v>
      </c>
      <c r="H15" s="153">
        <v>2</v>
      </c>
      <c r="I15" s="895">
        <v>1</v>
      </c>
      <c r="J15" s="894">
        <v>0.52256159694824023</v>
      </c>
      <c r="K15" s="626">
        <v>2.6128079847387298E-4</v>
      </c>
      <c r="M15" s="625" t="s">
        <v>517</v>
      </c>
      <c r="N15" s="153">
        <v>38305</v>
      </c>
      <c r="O15" s="228">
        <v>25</v>
      </c>
      <c r="P15" s="153">
        <v>22</v>
      </c>
      <c r="Q15" s="228">
        <v>47</v>
      </c>
      <c r="R15" s="507"/>
      <c r="S15" s="228">
        <f t="shared" si="0"/>
        <v>815</v>
      </c>
      <c r="T15" s="153">
        <v>3</v>
      </c>
      <c r="U15" s="508"/>
      <c r="V15" s="153">
        <f t="shared" si="1"/>
        <v>12768.333333333334</v>
      </c>
    </row>
    <row r="16" spans="1:22" ht="18" customHeight="1" thickBot="1">
      <c r="A16" s="625" t="s">
        <v>518</v>
      </c>
      <c r="B16" s="153">
        <v>104680</v>
      </c>
      <c r="C16" s="228">
        <v>64</v>
      </c>
      <c r="D16" s="153">
        <v>123</v>
      </c>
      <c r="E16" s="228">
        <v>187</v>
      </c>
      <c r="F16" s="894">
        <v>1.7863966373710356</v>
      </c>
      <c r="G16" s="626">
        <v>2.9483416338807578E-2</v>
      </c>
      <c r="H16" s="153">
        <v>14</v>
      </c>
      <c r="I16" s="895">
        <v>1</v>
      </c>
      <c r="J16" s="894">
        <v>1.3374092472296522</v>
      </c>
      <c r="K16" s="626">
        <v>0.14968156922685005</v>
      </c>
      <c r="M16" s="625" t="s">
        <v>518</v>
      </c>
      <c r="N16" s="153">
        <v>97049</v>
      </c>
      <c r="O16" s="228">
        <v>53</v>
      </c>
      <c r="P16" s="153">
        <v>102</v>
      </c>
      <c r="Q16" s="228">
        <v>155</v>
      </c>
      <c r="R16" s="507"/>
      <c r="S16" s="228">
        <f t="shared" si="0"/>
        <v>626.12258064516129</v>
      </c>
      <c r="T16" s="153">
        <v>14</v>
      </c>
      <c r="U16" s="508"/>
      <c r="V16" s="153">
        <f t="shared" si="1"/>
        <v>6932.0714285714284</v>
      </c>
    </row>
    <row r="17" spans="1:22" ht="18" customHeight="1" thickBot="1">
      <c r="A17" s="625" t="s">
        <v>519</v>
      </c>
      <c r="B17" s="153">
        <v>251943</v>
      </c>
      <c r="C17" s="228">
        <v>127</v>
      </c>
      <c r="D17" s="153">
        <v>261</v>
      </c>
      <c r="E17" s="228">
        <v>388</v>
      </c>
      <c r="F17" s="894">
        <v>1.540030880000635</v>
      </c>
      <c r="G17" s="626">
        <v>2.3301107004913835E-2</v>
      </c>
      <c r="H17" s="153">
        <v>63</v>
      </c>
      <c r="I17" s="895">
        <v>2</v>
      </c>
      <c r="J17" s="894">
        <v>2.5005656041247426</v>
      </c>
      <c r="K17" s="626">
        <v>-7.251035993038224E-2</v>
      </c>
      <c r="M17" s="625" t="s">
        <v>519</v>
      </c>
      <c r="N17" s="153">
        <v>235151</v>
      </c>
      <c r="O17" s="228">
        <v>112</v>
      </c>
      <c r="P17" s="153">
        <v>225</v>
      </c>
      <c r="Q17" s="228">
        <v>337</v>
      </c>
      <c r="R17" s="507"/>
      <c r="S17" s="228">
        <f t="shared" si="0"/>
        <v>697.77744807121667</v>
      </c>
      <c r="T17" s="153">
        <v>71</v>
      </c>
      <c r="U17" s="508"/>
      <c r="V17" s="153">
        <f t="shared" si="1"/>
        <v>3311.9859154929577</v>
      </c>
    </row>
    <row r="18" spans="1:22" ht="18" customHeight="1" thickBot="1">
      <c r="A18" s="625" t="s">
        <v>520</v>
      </c>
      <c r="B18" s="153">
        <v>246139</v>
      </c>
      <c r="C18" s="228">
        <v>160</v>
      </c>
      <c r="D18" s="153">
        <v>234</v>
      </c>
      <c r="E18" s="228">
        <v>394</v>
      </c>
      <c r="F18" s="894">
        <v>1.6007215435180935</v>
      </c>
      <c r="G18" s="626">
        <v>5.7648689532494579E-3</v>
      </c>
      <c r="H18" s="153">
        <v>27</v>
      </c>
      <c r="I18" s="895">
        <v>1</v>
      </c>
      <c r="J18" s="894">
        <v>1.0969411592636682</v>
      </c>
      <c r="K18" s="626">
        <v>3.6495482383781308E-2</v>
      </c>
      <c r="M18" s="625" t="s">
        <v>520</v>
      </c>
      <c r="N18" s="153">
        <v>241747</v>
      </c>
      <c r="O18" s="228">
        <v>158</v>
      </c>
      <c r="P18" s="153">
        <v>210</v>
      </c>
      <c r="Q18" s="228">
        <v>368</v>
      </c>
      <c r="R18" s="507"/>
      <c r="S18" s="228">
        <f t="shared" si="0"/>
        <v>656.92119565217388</v>
      </c>
      <c r="T18" s="153">
        <v>28</v>
      </c>
      <c r="U18" s="508"/>
      <c r="V18" s="153">
        <f t="shared" si="1"/>
        <v>8633.8214285714294</v>
      </c>
    </row>
    <row r="19" spans="1:22" ht="18" customHeight="1" thickBot="1">
      <c r="A19" s="625" t="s">
        <v>521</v>
      </c>
      <c r="B19" s="153">
        <v>190948</v>
      </c>
      <c r="C19" s="228">
        <v>135</v>
      </c>
      <c r="D19" s="153">
        <v>583</v>
      </c>
      <c r="E19" s="228">
        <v>718</v>
      </c>
      <c r="F19" s="894">
        <v>3.7601860192303662</v>
      </c>
      <c r="G19" s="626">
        <v>3.4827066689144148E-2</v>
      </c>
      <c r="H19" s="153">
        <v>70</v>
      </c>
      <c r="I19" s="895">
        <v>3</v>
      </c>
      <c r="J19" s="894">
        <v>3.6659195173555101</v>
      </c>
      <c r="K19" s="626">
        <v>1.3270780450736597E-2</v>
      </c>
      <c r="M19" s="625" t="s">
        <v>521</v>
      </c>
      <c r="N19" s="153">
        <v>192347</v>
      </c>
      <c r="O19" s="228">
        <v>118</v>
      </c>
      <c r="P19" s="153">
        <v>556</v>
      </c>
      <c r="Q19" s="228">
        <v>674</v>
      </c>
      <c r="R19" s="507"/>
      <c r="S19" s="228">
        <f t="shared" si="0"/>
        <v>285.38130563798222</v>
      </c>
      <c r="T19" s="153">
        <v>70</v>
      </c>
      <c r="U19" s="508"/>
      <c r="V19" s="153">
        <f t="shared" si="1"/>
        <v>2747.8142857142857</v>
      </c>
    </row>
    <row r="20" spans="1:22" ht="18" customHeight="1" thickBot="1">
      <c r="A20" s="625" t="s">
        <v>522</v>
      </c>
      <c r="B20" s="153">
        <v>264028</v>
      </c>
      <c r="C20" s="228">
        <v>168</v>
      </c>
      <c r="D20" s="153">
        <v>348</v>
      </c>
      <c r="E20" s="228">
        <v>516</v>
      </c>
      <c r="F20" s="894">
        <v>1.9543381762540339</v>
      </c>
      <c r="G20" s="626">
        <v>1.345347718634482E-2</v>
      </c>
      <c r="H20" s="153">
        <v>36</v>
      </c>
      <c r="I20" s="895">
        <v>1</v>
      </c>
      <c r="J20" s="894">
        <v>1.3634917508749071</v>
      </c>
      <c r="K20" s="626">
        <v>-4.2230369506265353E-3</v>
      </c>
      <c r="M20" s="625" t="s">
        <v>522</v>
      </c>
      <c r="N20" s="153">
        <v>255485</v>
      </c>
      <c r="O20" s="228">
        <v>164</v>
      </c>
      <c r="P20" s="153">
        <v>306</v>
      </c>
      <c r="Q20" s="228">
        <v>470</v>
      </c>
      <c r="R20" s="507"/>
      <c r="S20" s="228">
        <f t="shared" si="0"/>
        <v>543.58510638297878</v>
      </c>
      <c r="T20" s="153">
        <v>36</v>
      </c>
      <c r="U20" s="508"/>
      <c r="V20" s="153">
        <f t="shared" si="1"/>
        <v>7096.8055555555557</v>
      </c>
    </row>
    <row r="21" spans="1:22" ht="18" customHeight="1" thickBot="1">
      <c r="A21" s="625" t="s">
        <v>523</v>
      </c>
      <c r="B21" s="153">
        <v>74165</v>
      </c>
      <c r="C21" s="228">
        <v>56</v>
      </c>
      <c r="D21" s="153">
        <v>82</v>
      </c>
      <c r="E21" s="228">
        <v>138</v>
      </c>
      <c r="F21" s="894">
        <v>1.8607159711454191</v>
      </c>
      <c r="G21" s="626">
        <v>-7.0603801459606652E-3</v>
      </c>
      <c r="H21" s="153">
        <v>13</v>
      </c>
      <c r="I21" s="895">
        <v>2</v>
      </c>
      <c r="J21" s="894">
        <v>1.7528483786152498</v>
      </c>
      <c r="K21" s="626">
        <v>1.3483449066264974E-4</v>
      </c>
      <c r="M21" s="625" t="s">
        <v>523</v>
      </c>
      <c r="N21" s="153">
        <v>73115</v>
      </c>
      <c r="O21" s="228">
        <v>55</v>
      </c>
      <c r="P21" s="153">
        <v>81</v>
      </c>
      <c r="Q21" s="228">
        <v>136</v>
      </c>
      <c r="R21" s="507"/>
      <c r="S21" s="228">
        <f t="shared" si="0"/>
        <v>537.61029411764707</v>
      </c>
      <c r="T21" s="153">
        <v>14</v>
      </c>
      <c r="U21" s="508"/>
      <c r="V21" s="153">
        <f t="shared" si="1"/>
        <v>5222.5</v>
      </c>
    </row>
    <row r="22" spans="1:22" ht="18" customHeight="1" thickBot="1">
      <c r="A22" s="625" t="s">
        <v>2047</v>
      </c>
      <c r="B22" s="153">
        <v>52540</v>
      </c>
      <c r="C22" s="228">
        <v>40</v>
      </c>
      <c r="D22" s="153">
        <v>51</v>
      </c>
      <c r="E22" s="228">
        <v>91</v>
      </c>
      <c r="F22" s="894">
        <v>1.7320137038446897</v>
      </c>
      <c r="G22" s="626">
        <v>3.7259706889988475E-2</v>
      </c>
      <c r="H22" s="153">
        <v>5</v>
      </c>
      <c r="I22" s="895">
        <v>1</v>
      </c>
      <c r="J22" s="894">
        <v>0.9516558812333461</v>
      </c>
      <c r="K22" s="626">
        <v>3.0643319375713851E-3</v>
      </c>
      <c r="M22" s="625" t="s">
        <v>2047</v>
      </c>
      <c r="N22" s="153">
        <v>53390</v>
      </c>
      <c r="O22" s="228">
        <v>44</v>
      </c>
      <c r="P22" s="153">
        <v>36</v>
      </c>
      <c r="Q22" s="228">
        <v>80</v>
      </c>
      <c r="R22" s="507"/>
      <c r="S22" s="228">
        <f t="shared" si="0"/>
        <v>667.375</v>
      </c>
      <c r="T22" s="153">
        <v>4</v>
      </c>
      <c r="U22" s="508"/>
      <c r="V22" s="153">
        <f t="shared" si="1"/>
        <v>13347.5</v>
      </c>
    </row>
    <row r="23" spans="1:22" ht="18" customHeight="1" thickBot="1">
      <c r="A23" s="625" t="s">
        <v>2048</v>
      </c>
      <c r="B23" s="153">
        <v>14675</v>
      </c>
      <c r="C23" s="228">
        <v>6</v>
      </c>
      <c r="D23" s="153">
        <v>12</v>
      </c>
      <c r="E23" s="228">
        <v>18</v>
      </c>
      <c r="F23" s="894">
        <v>1.2265758091993186</v>
      </c>
      <c r="G23" s="626">
        <v>-5.2567022325831547E-2</v>
      </c>
      <c r="H23" s="153">
        <v>1</v>
      </c>
      <c r="I23" s="895">
        <v>1</v>
      </c>
      <c r="J23" s="894">
        <v>0.68143100511073251</v>
      </c>
      <c r="K23" s="626">
        <v>6.8143100510953403E-5</v>
      </c>
      <c r="M23" s="625" t="s">
        <v>2048</v>
      </c>
      <c r="N23" s="153">
        <v>14520</v>
      </c>
      <c r="O23" s="228">
        <v>8</v>
      </c>
      <c r="P23" s="153">
        <v>7</v>
      </c>
      <c r="Q23" s="228">
        <v>15</v>
      </c>
      <c r="R23" s="507"/>
      <c r="S23" s="228">
        <f t="shared" si="0"/>
        <v>968</v>
      </c>
      <c r="T23" s="153">
        <v>1</v>
      </c>
      <c r="U23" s="508"/>
      <c r="V23" s="153">
        <f t="shared" si="1"/>
        <v>14520</v>
      </c>
    </row>
    <row r="24" spans="1:22" ht="18" customHeight="1" thickBot="1">
      <c r="A24" s="625" t="s">
        <v>2049</v>
      </c>
      <c r="B24" s="153">
        <v>459377</v>
      </c>
      <c r="C24" s="228">
        <v>296</v>
      </c>
      <c r="D24" s="153">
        <v>446</v>
      </c>
      <c r="E24" s="228">
        <v>742</v>
      </c>
      <c r="F24" s="894">
        <v>1.6152310629395898</v>
      </c>
      <c r="G24" s="626">
        <v>2.141441555171264E-3</v>
      </c>
      <c r="H24" s="153">
        <v>48</v>
      </c>
      <c r="I24" s="895">
        <v>1</v>
      </c>
      <c r="J24" s="894">
        <v>1.0448934099878748</v>
      </c>
      <c r="K24" s="626">
        <v>-3.2609381836705698E-3</v>
      </c>
      <c r="M24" s="625" t="s">
        <v>2049</v>
      </c>
      <c r="N24" s="153">
        <v>445797</v>
      </c>
      <c r="O24" s="228">
        <v>300</v>
      </c>
      <c r="P24" s="153">
        <v>370</v>
      </c>
      <c r="Q24" s="228">
        <v>670</v>
      </c>
      <c r="R24" s="507"/>
      <c r="S24" s="228">
        <f t="shared" si="0"/>
        <v>665.36865671641795</v>
      </c>
      <c r="T24" s="153">
        <v>49</v>
      </c>
      <c r="U24" s="508"/>
      <c r="V24" s="153">
        <f t="shared" si="1"/>
        <v>9097.8979591836742</v>
      </c>
    </row>
    <row r="25" spans="1:22" ht="18" customHeight="1" thickBot="1">
      <c r="A25" s="625" t="s">
        <v>2050</v>
      </c>
      <c r="B25" s="153">
        <v>191618</v>
      </c>
      <c r="C25" s="228">
        <v>139</v>
      </c>
      <c r="D25" s="153">
        <v>196</v>
      </c>
      <c r="E25" s="228">
        <v>335</v>
      </c>
      <c r="F25" s="894">
        <v>1.7482699955119039</v>
      </c>
      <c r="G25" s="626">
        <v>1.9092164822847479E-2</v>
      </c>
      <c r="H25" s="153">
        <v>37</v>
      </c>
      <c r="I25" s="895">
        <v>2</v>
      </c>
      <c r="J25" s="894">
        <v>1.9309250696698639</v>
      </c>
      <c r="K25" s="626">
        <v>2.5514304501664586E-2</v>
      </c>
      <c r="M25" s="625" t="s">
        <v>2050</v>
      </c>
      <c r="N25" s="153">
        <v>187572</v>
      </c>
      <c r="O25" s="228">
        <v>146</v>
      </c>
      <c r="P25" s="153">
        <v>178</v>
      </c>
      <c r="Q25" s="228">
        <v>324</v>
      </c>
      <c r="R25" s="507"/>
      <c r="S25" s="228">
        <f t="shared" si="0"/>
        <v>578.92592592592598</v>
      </c>
      <c r="T25" s="153">
        <v>36</v>
      </c>
      <c r="U25" s="508"/>
      <c r="V25" s="153">
        <f t="shared" si="1"/>
        <v>5210.333333333333</v>
      </c>
    </row>
    <row r="26" spans="1:22" ht="18" customHeight="1" thickBot="1">
      <c r="A26" s="625" t="s">
        <v>2051</v>
      </c>
      <c r="B26" s="153">
        <v>563334</v>
      </c>
      <c r="C26" s="228">
        <v>284</v>
      </c>
      <c r="D26" s="153">
        <v>562</v>
      </c>
      <c r="E26" s="228">
        <v>846</v>
      </c>
      <c r="F26" s="894">
        <v>1.5017733706824015</v>
      </c>
      <c r="G26" s="626">
        <v>2.6061870750408112E-2</v>
      </c>
      <c r="H26" s="153">
        <v>110</v>
      </c>
      <c r="I26" s="895">
        <v>2</v>
      </c>
      <c r="J26" s="894">
        <v>1.9526604110527679</v>
      </c>
      <c r="K26" s="626">
        <v>1.047464243632068E-2</v>
      </c>
      <c r="M26" s="625" t="s">
        <v>2051</v>
      </c>
      <c r="N26" s="153">
        <v>536746</v>
      </c>
      <c r="O26" s="228">
        <v>281</v>
      </c>
      <c r="P26" s="153">
        <v>454</v>
      </c>
      <c r="Q26" s="228">
        <v>735</v>
      </c>
      <c r="R26" s="507"/>
      <c r="S26" s="228">
        <f t="shared" si="0"/>
        <v>730.26666666666665</v>
      </c>
      <c r="T26" s="153">
        <v>108</v>
      </c>
      <c r="U26" s="508"/>
      <c r="V26" s="153">
        <f t="shared" si="1"/>
        <v>4969.8703703703704</v>
      </c>
    </row>
    <row r="27" spans="1:22" ht="18" customHeight="1" thickBot="1">
      <c r="A27" s="625" t="s">
        <v>2052</v>
      </c>
      <c r="B27" s="153">
        <v>232953</v>
      </c>
      <c r="C27" s="228">
        <v>138</v>
      </c>
      <c r="D27" s="153">
        <v>171</v>
      </c>
      <c r="E27" s="228">
        <v>309</v>
      </c>
      <c r="F27" s="894">
        <v>1.3264478242392244</v>
      </c>
      <c r="G27" s="626">
        <v>-3.1787667330028802E-3</v>
      </c>
      <c r="H27" s="153">
        <v>20</v>
      </c>
      <c r="I27" s="895">
        <v>1</v>
      </c>
      <c r="J27" s="894">
        <v>0.85854228106098662</v>
      </c>
      <c r="K27" s="626">
        <v>-5.3718786111156991E-2</v>
      </c>
      <c r="M27" s="625" t="s">
        <v>2052</v>
      </c>
      <c r="N27" s="153">
        <v>226619</v>
      </c>
      <c r="O27" s="228">
        <v>144</v>
      </c>
      <c r="P27" s="153">
        <v>138</v>
      </c>
      <c r="Q27" s="228">
        <v>282</v>
      </c>
      <c r="R27" s="507"/>
      <c r="S27" s="228">
        <f t="shared" si="0"/>
        <v>803.61347517730496</v>
      </c>
      <c r="T27" s="153">
        <v>23</v>
      </c>
      <c r="U27" s="508"/>
      <c r="V27" s="153">
        <f t="shared" si="1"/>
        <v>9853</v>
      </c>
    </row>
    <row r="28" spans="1:22" ht="18" customHeight="1" thickBot="1">
      <c r="A28" s="625" t="s">
        <v>2053</v>
      </c>
      <c r="B28" s="153">
        <v>319394</v>
      </c>
      <c r="C28" s="228">
        <v>183</v>
      </c>
      <c r="D28" s="153">
        <v>463</v>
      </c>
      <c r="E28" s="228">
        <v>646</v>
      </c>
      <c r="F28" s="894">
        <v>2.0225802613699693</v>
      </c>
      <c r="G28" s="626">
        <v>-5.9175047995589924E-3</v>
      </c>
      <c r="H28" s="153">
        <v>173</v>
      </c>
      <c r="I28" s="895">
        <v>3</v>
      </c>
      <c r="J28" s="894">
        <v>5.4165075110991436</v>
      </c>
      <c r="K28" s="626">
        <v>-3.2335035345277818E-3</v>
      </c>
      <c r="M28" s="625" t="s">
        <v>2053</v>
      </c>
      <c r="N28" s="153">
        <v>303836</v>
      </c>
      <c r="O28" s="228">
        <v>193</v>
      </c>
      <c r="P28" s="153">
        <v>384</v>
      </c>
      <c r="Q28" s="228">
        <v>577</v>
      </c>
      <c r="R28" s="507"/>
      <c r="S28" s="228">
        <f t="shared" si="0"/>
        <v>526.57885615251303</v>
      </c>
      <c r="T28" s="153">
        <v>171</v>
      </c>
      <c r="U28" s="508"/>
      <c r="V28" s="153">
        <f t="shared" si="1"/>
        <v>1776.8187134502923</v>
      </c>
    </row>
    <row r="29" spans="1:22" ht="18" customHeight="1" thickBot="1">
      <c r="A29" s="625" t="s">
        <v>2054</v>
      </c>
      <c r="B29" s="153">
        <v>656405</v>
      </c>
      <c r="C29" s="228">
        <v>434</v>
      </c>
      <c r="D29" s="153">
        <v>1149</v>
      </c>
      <c r="E29" s="228">
        <v>1583</v>
      </c>
      <c r="F29" s="894">
        <v>2.4116208743077827</v>
      </c>
      <c r="G29" s="626">
        <v>-7.4224339563500052E-7</v>
      </c>
      <c r="H29" s="153">
        <v>242</v>
      </c>
      <c r="I29" s="895">
        <v>3</v>
      </c>
      <c r="J29" s="894">
        <v>3.6867482727889036</v>
      </c>
      <c r="K29" s="626">
        <v>-1.2003260182356756E-2</v>
      </c>
      <c r="M29" s="625" t="s">
        <v>2054</v>
      </c>
      <c r="N29" s="153">
        <v>623912</v>
      </c>
      <c r="O29" s="228">
        <v>474</v>
      </c>
      <c r="P29" s="153">
        <v>999</v>
      </c>
      <c r="Q29" s="228">
        <v>1473</v>
      </c>
      <c r="R29" s="507"/>
      <c r="S29" s="228">
        <f t="shared" si="0"/>
        <v>423.56551255940258</v>
      </c>
      <c r="T29" s="153">
        <v>234</v>
      </c>
      <c r="U29" s="508"/>
      <c r="V29" s="153">
        <f t="shared" si="1"/>
        <v>2666.2905982905982</v>
      </c>
    </row>
    <row r="30" spans="1:22" ht="18" customHeight="1" thickBot="1">
      <c r="A30" s="625" t="s">
        <v>2055</v>
      </c>
      <c r="B30" s="153">
        <v>286549</v>
      </c>
      <c r="C30" s="228">
        <v>177</v>
      </c>
      <c r="D30" s="153">
        <v>321</v>
      </c>
      <c r="E30" s="228">
        <v>498</v>
      </c>
      <c r="F30" s="894">
        <v>1.7379226589518721</v>
      </c>
      <c r="G30" s="626">
        <v>-2.3127796514951227E-3</v>
      </c>
      <c r="H30" s="153">
        <v>108</v>
      </c>
      <c r="I30" s="895">
        <v>2</v>
      </c>
      <c r="J30" s="894">
        <v>3.7689888989317706</v>
      </c>
      <c r="K30" s="626">
        <v>-1.0770450018122713E-3</v>
      </c>
      <c r="M30" s="625" t="s">
        <v>2055</v>
      </c>
      <c r="N30" s="153">
        <v>271444</v>
      </c>
      <c r="O30" s="228">
        <v>172</v>
      </c>
      <c r="P30" s="153">
        <v>274</v>
      </c>
      <c r="Q30" s="228">
        <v>446</v>
      </c>
      <c r="R30" s="507"/>
      <c r="S30" s="228">
        <f t="shared" si="0"/>
        <v>608.61883408071753</v>
      </c>
      <c r="T30" s="153">
        <v>105</v>
      </c>
      <c r="U30" s="508"/>
      <c r="V30" s="153">
        <f t="shared" si="1"/>
        <v>2585.1809523809525</v>
      </c>
    </row>
    <row r="31" spans="1:22" ht="18" customHeight="1" thickBot="1">
      <c r="A31" s="625" t="s">
        <v>2056</v>
      </c>
      <c r="B31" s="153">
        <v>168676</v>
      </c>
      <c r="C31" s="228">
        <v>104</v>
      </c>
      <c r="D31" s="153">
        <v>250</v>
      </c>
      <c r="E31" s="228">
        <v>354</v>
      </c>
      <c r="F31" s="894">
        <v>2.098698095757547</v>
      </c>
      <c r="G31" s="626">
        <v>8.4004498904068914E-3</v>
      </c>
      <c r="H31" s="153">
        <v>55</v>
      </c>
      <c r="I31" s="895">
        <v>3</v>
      </c>
      <c r="J31" s="894">
        <v>3.2606891318266973</v>
      </c>
      <c r="K31" s="626">
        <v>-2.9939054755863115E-3</v>
      </c>
      <c r="M31" s="625" t="s">
        <v>2056</v>
      </c>
      <c r="N31" s="153">
        <v>166096</v>
      </c>
      <c r="O31" s="228">
        <v>119</v>
      </c>
      <c r="P31" s="153">
        <v>198</v>
      </c>
      <c r="Q31" s="228">
        <v>317</v>
      </c>
      <c r="R31" s="507"/>
      <c r="S31" s="228">
        <f t="shared" si="0"/>
        <v>523.96214511041012</v>
      </c>
      <c r="T31" s="153">
        <v>54</v>
      </c>
      <c r="U31" s="508"/>
      <c r="V31" s="153">
        <f t="shared" si="1"/>
        <v>3075.8518518518517</v>
      </c>
    </row>
    <row r="32" spans="1:22" ht="18" customHeight="1" thickBot="1">
      <c r="A32" s="625" t="s">
        <v>2057</v>
      </c>
      <c r="B32" s="153">
        <v>432235</v>
      </c>
      <c r="C32" s="228">
        <v>247</v>
      </c>
      <c r="D32" s="153">
        <v>1183</v>
      </c>
      <c r="E32" s="228">
        <v>1430</v>
      </c>
      <c r="F32" s="894">
        <v>3.3083854847478804</v>
      </c>
      <c r="G32" s="626">
        <v>2.6235597170003455E-3</v>
      </c>
      <c r="H32" s="153">
        <v>168</v>
      </c>
      <c r="I32" s="895">
        <v>3</v>
      </c>
      <c r="J32" s="894">
        <v>3.8867745555079991</v>
      </c>
      <c r="K32" s="626">
        <v>-1.5854883345769344E-2</v>
      </c>
      <c r="M32" s="625" t="s">
        <v>2057</v>
      </c>
      <c r="N32" s="153">
        <v>404080</v>
      </c>
      <c r="O32" s="228">
        <v>235</v>
      </c>
      <c r="P32" s="153">
        <v>1022</v>
      </c>
      <c r="Q32" s="228">
        <v>1257</v>
      </c>
      <c r="R32" s="507"/>
      <c r="S32" s="228">
        <f t="shared" si="0"/>
        <v>321.46380270485281</v>
      </c>
      <c r="T32" s="153">
        <v>170</v>
      </c>
      <c r="U32" s="508"/>
      <c r="V32" s="153">
        <f t="shared" si="1"/>
        <v>2376.9411764705883</v>
      </c>
    </row>
    <row r="33" spans="1:22" ht="18" customHeight="1" thickBot="1">
      <c r="A33" s="625" t="s">
        <v>2058</v>
      </c>
      <c r="B33" s="153">
        <v>67893</v>
      </c>
      <c r="C33" s="228">
        <v>43</v>
      </c>
      <c r="D33" s="153">
        <v>70</v>
      </c>
      <c r="E33" s="228">
        <v>113</v>
      </c>
      <c r="F33" s="894">
        <v>1.664383662527801</v>
      </c>
      <c r="G33" s="626">
        <v>3.3876835608981359E-4</v>
      </c>
      <c r="H33" s="153">
        <v>19</v>
      </c>
      <c r="I33" s="895">
        <v>2</v>
      </c>
      <c r="J33" s="894">
        <v>2.7985212024803734</v>
      </c>
      <c r="K33" s="626">
        <v>3.3876835608959155E-4</v>
      </c>
      <c r="M33" s="625" t="s">
        <v>2058</v>
      </c>
      <c r="N33" s="153">
        <v>67281</v>
      </c>
      <c r="O33" s="228">
        <v>41</v>
      </c>
      <c r="P33" s="153">
        <v>60</v>
      </c>
      <c r="Q33" s="228">
        <v>101</v>
      </c>
      <c r="R33" s="507"/>
      <c r="S33" s="228">
        <f t="shared" si="0"/>
        <v>666.14851485148517</v>
      </c>
      <c r="T33" s="153">
        <v>17</v>
      </c>
      <c r="U33" s="508"/>
      <c r="V33" s="153">
        <f t="shared" si="1"/>
        <v>3957.705882352941</v>
      </c>
    </row>
    <row r="34" spans="1:22" ht="30" customHeight="1" thickBot="1">
      <c r="A34" s="627" t="s">
        <v>2059</v>
      </c>
      <c r="B34" s="392">
        <v>7454112</v>
      </c>
      <c r="C34" s="393">
        <v>4729</v>
      </c>
      <c r="D34" s="392">
        <v>10470</v>
      </c>
      <c r="E34" s="393">
        <v>15199</v>
      </c>
      <c r="F34" s="896">
        <v>2.03900880480465</v>
      </c>
      <c r="G34" s="628">
        <v>1.4783533102189272E-2</v>
      </c>
      <c r="H34" s="392">
        <v>1656</v>
      </c>
      <c r="I34" s="897" t="s">
        <v>1300</v>
      </c>
      <c r="J34" s="896">
        <v>2.2215925921155999</v>
      </c>
      <c r="K34" s="628">
        <v>-4.7787994048267279E-3</v>
      </c>
      <c r="M34" s="898" t="s">
        <v>652</v>
      </c>
      <c r="N34" s="337">
        <f>SUM(N8:N33)</f>
        <v>7166738</v>
      </c>
      <c r="O34" s="899">
        <f>SUM(O8:O33)</f>
        <v>4622</v>
      </c>
      <c r="P34" s="337">
        <f>SUM(P8:P33)</f>
        <v>9000</v>
      </c>
      <c r="Q34" s="899">
        <f>SUM(Q8:Q33)</f>
        <v>13622</v>
      </c>
      <c r="R34" s="512"/>
      <c r="S34" s="899">
        <f t="shared" si="0"/>
        <v>526.11496109235065</v>
      </c>
      <c r="T34" s="337">
        <f>SUM(T8:T33)</f>
        <v>1654</v>
      </c>
      <c r="U34" s="513"/>
      <c r="V34" s="337">
        <f t="shared" si="1"/>
        <v>4332.9733978234581</v>
      </c>
    </row>
    <row r="35" spans="1:22" ht="20" customHeight="1">
      <c r="A35" s="718" t="s">
        <v>1674</v>
      </c>
      <c r="B35" s="719"/>
      <c r="C35" s="719"/>
      <c r="D35" s="719"/>
      <c r="E35" s="719"/>
      <c r="F35" s="719"/>
      <c r="G35" s="719"/>
      <c r="H35" s="719"/>
      <c r="I35" s="900"/>
      <c r="J35" s="719"/>
      <c r="K35" s="719"/>
      <c r="M35" s="901" t="s">
        <v>1675</v>
      </c>
      <c r="N35" s="902"/>
      <c r="O35" s="902"/>
      <c r="P35" s="902"/>
      <c r="Q35" s="902"/>
      <c r="R35" s="902"/>
      <c r="S35" s="902"/>
      <c r="T35" s="902"/>
      <c r="U35" s="902"/>
      <c r="V35" s="902"/>
    </row>
    <row r="36" spans="1:22" ht="10.5" customHeight="1">
      <c r="A36" s="722"/>
      <c r="B36" s="723"/>
      <c r="C36" s="723"/>
      <c r="D36" s="723"/>
      <c r="E36" s="723"/>
      <c r="F36" s="723"/>
      <c r="G36" s="723"/>
      <c r="H36" s="723"/>
      <c r="I36" s="903"/>
      <c r="J36" s="723"/>
      <c r="K36" s="723"/>
      <c r="M36" s="90"/>
      <c r="N36" s="904"/>
      <c r="O36" s="904"/>
      <c r="P36" s="904"/>
      <c r="Q36" s="904"/>
      <c r="R36" s="904"/>
      <c r="S36" s="904"/>
      <c r="T36" s="904"/>
      <c r="U36" s="904"/>
      <c r="V36" s="904"/>
    </row>
    <row r="37" spans="1:22" ht="12" customHeight="1">
      <c r="A37" s="722" t="s">
        <v>1676</v>
      </c>
      <c r="B37" s="723"/>
      <c r="C37" s="723"/>
      <c r="D37" s="723"/>
      <c r="E37" s="723"/>
      <c r="F37" s="723"/>
      <c r="G37" s="723"/>
      <c r="H37" s="723"/>
      <c r="I37" s="903"/>
      <c r="J37" s="723"/>
      <c r="K37" s="723"/>
      <c r="M37" s="2" t="s">
        <v>1677</v>
      </c>
      <c r="N37" s="904"/>
      <c r="O37" s="904"/>
      <c r="P37" s="904"/>
      <c r="Q37" s="904"/>
      <c r="R37" s="904"/>
      <c r="S37" s="904"/>
      <c r="T37" s="904"/>
      <c r="U37" s="904"/>
      <c r="V37" s="904"/>
    </row>
    <row r="38" spans="1:22" ht="12" customHeight="1">
      <c r="A38" s="722" t="s">
        <v>1678</v>
      </c>
      <c r="B38" s="723"/>
      <c r="C38" s="723"/>
      <c r="D38" s="723"/>
      <c r="E38" s="723"/>
      <c r="F38" s="723"/>
      <c r="G38" s="723"/>
      <c r="H38" s="723"/>
      <c r="I38" s="903"/>
      <c r="J38" s="723"/>
      <c r="K38" s="723"/>
      <c r="N38" s="904"/>
      <c r="O38" s="904"/>
      <c r="P38" s="904"/>
      <c r="Q38" s="904"/>
      <c r="R38" s="904"/>
      <c r="S38" s="904"/>
      <c r="T38" s="904"/>
      <c r="U38" s="904"/>
      <c r="V38" s="904"/>
    </row>
    <row r="39" spans="1:22" ht="12" customHeight="1">
      <c r="A39" s="722" t="s">
        <v>1679</v>
      </c>
      <c r="B39" s="723"/>
      <c r="C39" s="723"/>
      <c r="D39" s="723"/>
      <c r="E39" s="723"/>
      <c r="F39" s="723"/>
      <c r="G39" s="723"/>
      <c r="H39" s="723"/>
      <c r="I39" s="903"/>
      <c r="J39" s="723"/>
      <c r="K39" s="723"/>
      <c r="N39" s="904"/>
      <c r="O39" s="904"/>
      <c r="P39" s="904"/>
      <c r="Q39" s="904"/>
      <c r="R39" s="904"/>
      <c r="S39" s="904"/>
      <c r="T39" s="904"/>
      <c r="U39" s="904"/>
      <c r="V39" s="904"/>
    </row>
    <row r="40" spans="1:22" ht="12" customHeight="1">
      <c r="A40" s="722" t="s">
        <v>1680</v>
      </c>
      <c r="B40" s="723"/>
      <c r="C40" s="723"/>
      <c r="D40" s="723"/>
      <c r="E40" s="723"/>
      <c r="F40" s="723"/>
      <c r="G40" s="723"/>
      <c r="H40" s="723"/>
      <c r="I40" s="903"/>
      <c r="J40" s="723"/>
      <c r="K40" s="723"/>
      <c r="M40" s="2" t="s">
        <v>1677</v>
      </c>
      <c r="N40" s="904"/>
      <c r="O40" s="904"/>
      <c r="P40" s="904"/>
      <c r="Q40" s="904"/>
      <c r="R40" s="904"/>
      <c r="S40" s="904"/>
      <c r="T40" s="904"/>
      <c r="U40" s="904"/>
      <c r="V40" s="904"/>
    </row>
    <row r="41" spans="1:22" ht="12" customHeight="1">
      <c r="A41" s="722" t="s">
        <v>1681</v>
      </c>
      <c r="B41" s="723"/>
      <c r="C41" s="723"/>
      <c r="D41" s="723"/>
      <c r="E41" s="723"/>
      <c r="F41" s="723"/>
      <c r="G41" s="723"/>
      <c r="H41" s="723"/>
      <c r="I41" s="903"/>
      <c r="J41" s="723"/>
      <c r="K41" s="723"/>
      <c r="N41" s="904"/>
      <c r="O41" s="904"/>
      <c r="P41" s="904"/>
      <c r="Q41" s="904"/>
      <c r="R41" s="904"/>
      <c r="S41" s="904"/>
      <c r="T41" s="904"/>
      <c r="U41" s="904"/>
      <c r="V41" s="904"/>
    </row>
    <row r="42" spans="1:22" ht="12" customHeight="1">
      <c r="A42" s="722" t="s">
        <v>1682</v>
      </c>
      <c r="B42" s="723"/>
      <c r="C42" s="723"/>
      <c r="D42" s="723"/>
      <c r="E42" s="723"/>
      <c r="F42" s="723"/>
      <c r="G42" s="723"/>
      <c r="H42" s="723"/>
      <c r="I42" s="903"/>
      <c r="J42" s="723"/>
      <c r="K42" s="723"/>
      <c r="N42" s="904"/>
      <c r="O42" s="904"/>
      <c r="P42" s="904"/>
      <c r="Q42" s="904"/>
      <c r="R42" s="904"/>
      <c r="S42" s="904"/>
      <c r="T42" s="904"/>
      <c r="U42" s="904"/>
      <c r="V42" s="904"/>
    </row>
    <row r="43" spans="1:22" ht="12" customHeight="1">
      <c r="A43" s="722" t="s">
        <v>1683</v>
      </c>
      <c r="B43" s="723"/>
      <c r="C43" s="723"/>
      <c r="D43" s="723"/>
      <c r="E43" s="723"/>
      <c r="F43" s="723"/>
      <c r="G43" s="723"/>
      <c r="H43" s="723"/>
      <c r="I43" s="903"/>
      <c r="J43" s="723"/>
      <c r="K43" s="723"/>
      <c r="N43" s="904"/>
      <c r="O43" s="904"/>
      <c r="P43" s="904"/>
      <c r="Q43" s="904"/>
      <c r="R43" s="904"/>
      <c r="S43" s="904"/>
      <c r="T43" s="904"/>
      <c r="U43" s="904"/>
      <c r="V43" s="904"/>
    </row>
    <row r="44" spans="1:22" ht="12" customHeight="1">
      <c r="A44" s="722" t="s">
        <v>1684</v>
      </c>
      <c r="B44" s="723"/>
      <c r="C44" s="723"/>
      <c r="D44" s="723"/>
      <c r="E44" s="723"/>
      <c r="F44" s="723"/>
      <c r="G44" s="723"/>
      <c r="H44" s="723"/>
      <c r="I44" s="903"/>
      <c r="J44" s="723"/>
      <c r="K44" s="723"/>
      <c r="N44" s="904"/>
      <c r="O44" s="904"/>
      <c r="P44" s="904"/>
      <c r="Q44" s="904"/>
      <c r="R44" s="904"/>
      <c r="S44" s="904"/>
      <c r="T44" s="904"/>
      <c r="U44" s="904"/>
      <c r="V44" s="904"/>
    </row>
    <row r="45" spans="1:22" ht="12" customHeight="1">
      <c r="A45" s="722" t="s">
        <v>1685</v>
      </c>
      <c r="B45" s="723"/>
      <c r="C45" s="723"/>
      <c r="D45" s="723"/>
      <c r="E45" s="723"/>
      <c r="F45" s="723"/>
      <c r="G45" s="723"/>
      <c r="H45" s="723"/>
      <c r="I45" s="903"/>
      <c r="J45" s="723"/>
      <c r="K45" s="723"/>
      <c r="N45" s="904"/>
      <c r="O45" s="904"/>
      <c r="P45" s="904"/>
      <c r="Q45" s="904"/>
      <c r="R45" s="904"/>
      <c r="S45" s="904"/>
      <c r="T45" s="904"/>
      <c r="U45" s="904"/>
      <c r="V45" s="904"/>
    </row>
    <row r="46" spans="1:22" ht="12" customHeight="1">
      <c r="A46" s="713" t="s">
        <v>1686</v>
      </c>
      <c r="B46" s="723"/>
      <c r="C46" s="723"/>
      <c r="D46" s="723"/>
      <c r="E46" s="723"/>
      <c r="F46" s="723"/>
      <c r="G46" s="723"/>
      <c r="H46" s="723"/>
      <c r="I46" s="903"/>
      <c r="J46" s="723"/>
      <c r="K46" s="723"/>
      <c r="N46" s="904"/>
      <c r="O46" s="904"/>
      <c r="P46" s="904"/>
      <c r="Q46" s="904"/>
      <c r="R46" s="904"/>
      <c r="S46" s="904"/>
      <c r="T46" s="904"/>
      <c r="U46" s="904"/>
      <c r="V46" s="904"/>
    </row>
    <row r="47" spans="1:22" ht="12" customHeight="1">
      <c r="A47" s="722"/>
      <c r="B47" s="723"/>
      <c r="C47" s="723"/>
      <c r="D47" s="723"/>
      <c r="E47" s="723"/>
      <c r="F47" s="723"/>
      <c r="G47" s="723"/>
      <c r="H47" s="723"/>
      <c r="I47" s="903"/>
      <c r="J47" s="723"/>
      <c r="K47" s="723"/>
      <c r="N47" s="904"/>
      <c r="O47" s="904"/>
      <c r="P47" s="904"/>
      <c r="Q47" s="904"/>
      <c r="R47" s="904"/>
      <c r="S47" s="904"/>
      <c r="T47" s="904"/>
      <c r="U47" s="904"/>
      <c r="V47" s="904"/>
    </row>
    <row r="48" spans="1:22" ht="12" customHeight="1">
      <c r="A48" s="722"/>
      <c r="B48" s="723"/>
      <c r="C48" s="723"/>
      <c r="D48" s="723"/>
      <c r="E48" s="723"/>
      <c r="F48" s="723"/>
      <c r="G48" s="723"/>
      <c r="H48" s="723"/>
      <c r="I48" s="903"/>
      <c r="J48" s="723"/>
      <c r="K48" s="723"/>
      <c r="N48" s="904"/>
      <c r="O48" s="904"/>
      <c r="P48" s="904"/>
      <c r="Q48" s="904"/>
      <c r="R48" s="904"/>
      <c r="S48" s="904"/>
      <c r="T48" s="904"/>
      <c r="U48" s="904"/>
      <c r="V48" s="904"/>
    </row>
    <row r="49" spans="1:22" ht="12" customHeight="1">
      <c r="A49" s="722" t="s">
        <v>104</v>
      </c>
      <c r="B49" s="723"/>
      <c r="C49" s="723"/>
      <c r="D49" s="723"/>
      <c r="E49" s="723"/>
      <c r="F49" s="723"/>
      <c r="G49" s="723"/>
      <c r="H49" s="723"/>
      <c r="I49" s="903"/>
      <c r="J49" s="723"/>
      <c r="K49" s="723"/>
      <c r="N49" s="904"/>
      <c r="O49" s="904"/>
      <c r="P49" s="904"/>
      <c r="Q49" s="904"/>
      <c r="R49" s="904"/>
      <c r="S49" s="904"/>
      <c r="T49" s="904"/>
      <c r="U49" s="904"/>
      <c r="V49" s="904"/>
    </row>
    <row r="50" spans="1:22" ht="12" customHeight="1">
      <c r="A50" s="722"/>
      <c r="B50" s="723"/>
      <c r="C50" s="723"/>
      <c r="D50" s="723"/>
      <c r="E50" s="723"/>
      <c r="F50" s="723"/>
      <c r="G50" s="723"/>
      <c r="H50" s="723"/>
      <c r="I50" s="903"/>
      <c r="J50" s="723"/>
      <c r="K50" s="723"/>
      <c r="N50" s="904"/>
      <c r="O50" s="904"/>
      <c r="P50" s="904"/>
      <c r="Q50" s="904"/>
      <c r="R50" s="904"/>
      <c r="S50" s="904"/>
      <c r="T50" s="904"/>
      <c r="U50" s="904"/>
      <c r="V50" s="904"/>
    </row>
    <row r="51" spans="1:22" ht="12" customHeight="1">
      <c r="A51" s="713"/>
      <c r="B51" s="714"/>
      <c r="C51" s="714"/>
      <c r="D51" s="714"/>
      <c r="E51" s="714"/>
      <c r="F51" s="714"/>
      <c r="G51" s="714"/>
      <c r="H51" s="714"/>
      <c r="I51" s="905"/>
      <c r="J51" s="714"/>
      <c r="K51" s="714"/>
      <c r="N51" s="904"/>
      <c r="O51" s="904"/>
      <c r="P51" s="904"/>
      <c r="Q51" s="904"/>
      <c r="R51" s="904"/>
      <c r="S51" s="904"/>
      <c r="T51" s="904"/>
      <c r="U51" s="904"/>
      <c r="V51" s="904"/>
    </row>
    <row r="52" spans="1:22">
      <c r="A52" s="231"/>
      <c r="B52" s="769"/>
      <c r="C52" s="769"/>
      <c r="D52" s="769"/>
      <c r="E52" s="769"/>
      <c r="F52" s="769"/>
      <c r="G52" s="769"/>
      <c r="H52" s="769"/>
      <c r="I52" s="906"/>
      <c r="J52" s="769"/>
      <c r="K52" s="769"/>
    </row>
  </sheetData>
  <phoneticPr fontId="0" type="noConversion"/>
  <pageMargins left="0.48" right="0.47" top="1" bottom="0.49" header="0.48" footer="0.4921259845"/>
  <pageSetup paperSize="9" scale="82" orientation="portrait" horizontalDpi="4294967292" verticalDpi="4294967292"/>
  <headerFooter alignWithMargins="0">
    <oddHeader>&amp;L&amp;"Arial,Bold"Zusatzinformationen zum Gesundheitswesen</oddHeader>
  </headerFooter>
  <drawing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3A690-576E-4646-B9F0-21788A799F46}">
  <sheetPr>
    <pageSetUpPr fitToPage="1"/>
  </sheetPr>
  <dimension ref="A1:N35"/>
  <sheetViews>
    <sheetView topLeftCell="A8" zoomScale="75" workbookViewId="0">
      <selection activeCell="A19" sqref="A19"/>
    </sheetView>
  </sheetViews>
  <sheetFormatPr baseColWidth="10" defaultColWidth="11.3984375" defaultRowHeight="13"/>
  <cols>
    <col min="1" max="1" width="11.796875" style="2" customWidth="1"/>
    <col min="2" max="8" width="11.796875" style="162" customWidth="1"/>
    <col min="9" max="9" width="12.19921875" style="162" customWidth="1"/>
    <col min="10" max="10" width="7.19921875" style="2" customWidth="1"/>
    <col min="11" max="16384" width="11.3984375" style="2"/>
  </cols>
  <sheetData>
    <row r="1" spans="1:9" s="1" customFormat="1" ht="14" customHeight="1">
      <c r="A1" s="591"/>
      <c r="B1" s="705"/>
      <c r="C1" s="705"/>
      <c r="D1" s="705"/>
      <c r="E1" s="705"/>
      <c r="F1" s="705"/>
      <c r="G1" s="705"/>
      <c r="H1" s="705"/>
      <c r="I1" s="705"/>
    </row>
    <row r="2" spans="1:9" s="1" customFormat="1" ht="42.75" customHeight="1">
      <c r="A2" s="1717" t="s">
        <v>1743</v>
      </c>
      <c r="B2" s="1716"/>
      <c r="C2" s="1716"/>
      <c r="D2" s="1716"/>
      <c r="E2" s="1716"/>
      <c r="F2" s="1716"/>
      <c r="G2" s="1716"/>
      <c r="H2" s="1716"/>
      <c r="I2" s="370">
        <v>2004</v>
      </c>
    </row>
    <row r="3" spans="1:9" ht="27" customHeight="1">
      <c r="A3" s="139" t="s">
        <v>1250</v>
      </c>
      <c r="B3" s="164" t="s">
        <v>1972</v>
      </c>
      <c r="C3" s="141" t="s">
        <v>451</v>
      </c>
      <c r="D3" s="164" t="s">
        <v>1519</v>
      </c>
      <c r="E3" s="141" t="s">
        <v>1744</v>
      </c>
      <c r="F3" s="164" t="s">
        <v>1751</v>
      </c>
      <c r="G3" s="141" t="s">
        <v>1519</v>
      </c>
      <c r="H3" s="164" t="s">
        <v>1745</v>
      </c>
      <c r="I3" s="141" t="s">
        <v>1751</v>
      </c>
    </row>
    <row r="4" spans="1:9" ht="17.25" customHeight="1">
      <c r="A4" s="165"/>
      <c r="B4" s="363" t="s">
        <v>1656</v>
      </c>
      <c r="C4" s="706" t="s">
        <v>486</v>
      </c>
      <c r="D4" s="166" t="s">
        <v>1752</v>
      </c>
      <c r="E4" s="144" t="s">
        <v>1753</v>
      </c>
      <c r="F4" s="166" t="s">
        <v>486</v>
      </c>
      <c r="G4" s="144" t="s">
        <v>1660</v>
      </c>
      <c r="H4" s="166" t="s">
        <v>1746</v>
      </c>
      <c r="I4" s="144" t="s">
        <v>486</v>
      </c>
    </row>
    <row r="5" spans="1:9" ht="18.75" customHeight="1">
      <c r="A5" s="165"/>
      <c r="B5" s="363" t="s">
        <v>1665</v>
      </c>
      <c r="C5" s="706" t="s">
        <v>454</v>
      </c>
      <c r="D5" s="363"/>
      <c r="E5" s="706"/>
      <c r="F5" s="363" t="s">
        <v>454</v>
      </c>
      <c r="G5" s="144" t="s">
        <v>1754</v>
      </c>
      <c r="H5" s="363" t="s">
        <v>1755</v>
      </c>
      <c r="I5" s="144" t="s">
        <v>454</v>
      </c>
    </row>
    <row r="6" spans="1:9" ht="21" customHeight="1">
      <c r="A6" s="306"/>
      <c r="B6" s="168" t="s">
        <v>1694</v>
      </c>
      <c r="C6" s="147"/>
      <c r="D6" s="168"/>
      <c r="E6" s="147"/>
      <c r="F6" s="168"/>
      <c r="G6" s="147"/>
      <c r="H6" s="168"/>
      <c r="I6" s="147"/>
    </row>
    <row r="7" spans="1:9" ht="21.75" customHeight="1" thickBot="1">
      <c r="A7" s="624">
        <v>1996</v>
      </c>
      <c r="B7" s="149">
        <v>7105446</v>
      </c>
      <c r="C7" s="150">
        <v>3.459706242723432E-3</v>
      </c>
      <c r="D7" s="149">
        <v>12711</v>
      </c>
      <c r="E7" s="918">
        <v>1.7889095209505499</v>
      </c>
      <c r="F7" s="633">
        <v>2.7595951533686547E-2</v>
      </c>
      <c r="G7" s="225">
        <v>1649</v>
      </c>
      <c r="H7" s="919">
        <v>2.3207550940503947</v>
      </c>
      <c r="I7" s="150">
        <v>1.4104900491136441E-3</v>
      </c>
    </row>
    <row r="8" spans="1:9" ht="18" customHeight="1" thickBot="1">
      <c r="A8" s="625">
        <v>1997</v>
      </c>
      <c r="B8" s="153">
        <v>7113565</v>
      </c>
      <c r="C8" s="154">
        <v>1.142644670017899E-3</v>
      </c>
      <c r="D8" s="153">
        <v>13038</v>
      </c>
      <c r="E8" s="920">
        <v>1.8328362782936545</v>
      </c>
      <c r="F8" s="544">
        <v>2.4555046987375651E-2</v>
      </c>
      <c r="G8" s="228">
        <v>1651</v>
      </c>
      <c r="H8" s="894">
        <v>2.3209178520193463</v>
      </c>
      <c r="I8" s="154">
        <v>7.0131471161527514E-5</v>
      </c>
    </row>
    <row r="9" spans="1:9" ht="18" customHeight="1" thickBot="1">
      <c r="A9" s="625">
        <v>1998</v>
      </c>
      <c r="B9" s="153">
        <v>7131888</v>
      </c>
      <c r="C9" s="154">
        <v>2.5757830286220764E-3</v>
      </c>
      <c r="D9" s="153">
        <v>13357</v>
      </c>
      <c r="E9" s="920">
        <v>1.8728561076674226</v>
      </c>
      <c r="F9" s="544">
        <v>2.1834917743458249E-2</v>
      </c>
      <c r="G9" s="228">
        <v>1653</v>
      </c>
      <c r="H9" s="894">
        <v>2.3177593366581193</v>
      </c>
      <c r="I9" s="154">
        <v>-1.3608906314710456E-3</v>
      </c>
    </row>
    <row r="10" spans="1:9" ht="18" customHeight="1" thickBot="1">
      <c r="A10" s="625">
        <v>1999</v>
      </c>
      <c r="B10" s="153">
        <v>7166738</v>
      </c>
      <c r="C10" s="154">
        <v>4.8865041066264644E-3</v>
      </c>
      <c r="D10" s="153">
        <v>13622</v>
      </c>
      <c r="E10" s="920">
        <v>1.9007252671996662</v>
      </c>
      <c r="F10" s="544">
        <v>1.4880566327625466E-2</v>
      </c>
      <c r="G10" s="228">
        <v>1654</v>
      </c>
      <c r="H10" s="894">
        <v>2.3078840052475758</v>
      </c>
      <c r="I10" s="154">
        <v>-4.260723386743992E-3</v>
      </c>
    </row>
    <row r="11" spans="1:9" ht="18" customHeight="1" thickBot="1">
      <c r="A11" s="625">
        <v>2000</v>
      </c>
      <c r="B11" s="153">
        <v>7209042</v>
      </c>
      <c r="C11" s="154">
        <v>5.9028249672305588E-3</v>
      </c>
      <c r="D11" s="153">
        <v>13935</v>
      </c>
      <c r="E11" s="920">
        <v>1.9329891544535323</v>
      </c>
      <c r="F11" s="544">
        <v>1.6974513787255674E-2</v>
      </c>
      <c r="G11" s="228">
        <v>1664</v>
      </c>
      <c r="H11" s="894">
        <v>2.3082123810625603</v>
      </c>
      <c r="I11" s="154">
        <v>1.4228436708174641E-4</v>
      </c>
    </row>
    <row r="12" spans="1:9" ht="18" customHeight="1" thickBot="1">
      <c r="A12" s="625">
        <v>2001</v>
      </c>
      <c r="B12" s="153">
        <v>7260339</v>
      </c>
      <c r="C12" s="154">
        <v>7.1156472663080617E-3</v>
      </c>
      <c r="D12" s="153">
        <v>14178</v>
      </c>
      <c r="E12" s="920">
        <v>1.952801377456342</v>
      </c>
      <c r="F12" s="544">
        <v>1.0249526210306614E-2</v>
      </c>
      <c r="G12" s="228">
        <v>1653</v>
      </c>
      <c r="H12" s="894">
        <v>2.2767531929294211</v>
      </c>
      <c r="I12" s="154">
        <v>-1.362924330154458E-2</v>
      </c>
    </row>
    <row r="13" spans="1:9" ht="18" customHeight="1" thickBot="1">
      <c r="A13" s="625">
        <v>2002</v>
      </c>
      <c r="B13" s="153">
        <v>7347770</v>
      </c>
      <c r="C13" s="154">
        <v>1.2042275160980775E-2</v>
      </c>
      <c r="D13" s="153">
        <v>14408</v>
      </c>
      <c r="E13" s="920">
        <v>1.9608670385708864</v>
      </c>
      <c r="F13" s="544">
        <v>4.1303028601149538E-3</v>
      </c>
      <c r="G13" s="228">
        <v>1648</v>
      </c>
      <c r="H13" s="894">
        <v>2.2428573567218355</v>
      </c>
      <c r="I13" s="154">
        <v>-1.4887795617395394E-2</v>
      </c>
    </row>
    <row r="14" spans="1:9" ht="18" customHeight="1" thickBot="1">
      <c r="A14" s="625">
        <v>2003</v>
      </c>
      <c r="B14" s="153">
        <v>7405051</v>
      </c>
      <c r="C14" s="154">
        <v>7.7956985588824908E-3</v>
      </c>
      <c r="D14" s="153">
        <v>14879</v>
      </c>
      <c r="E14" s="920">
        <v>2.0093041898023394</v>
      </c>
      <c r="F14" s="544">
        <v>2.4701904962793897E-2</v>
      </c>
      <c r="G14" s="228">
        <v>1653</v>
      </c>
      <c r="H14" s="894">
        <v>2.2322601154266191</v>
      </c>
      <c r="I14" s="154">
        <v>-4.7248842033830174E-3</v>
      </c>
    </row>
    <row r="15" spans="1:9" ht="30" customHeight="1" thickBot="1">
      <c r="A15" s="627">
        <v>2004</v>
      </c>
      <c r="B15" s="392">
        <v>7454112</v>
      </c>
      <c r="C15" s="635">
        <v>6.6253426208678374E-3</v>
      </c>
      <c r="D15" s="392">
        <v>15199</v>
      </c>
      <c r="E15" s="921">
        <v>2.03900880480465</v>
      </c>
      <c r="F15" s="634">
        <v>1.4783533102189272E-2</v>
      </c>
      <c r="G15" s="393">
        <v>1656</v>
      </c>
      <c r="H15" s="922">
        <v>2.2215925921155999</v>
      </c>
      <c r="I15" s="635">
        <v>-4.7787994048267279E-3</v>
      </c>
    </row>
    <row r="16" spans="1:9" ht="20" customHeight="1">
      <c r="A16" s="718" t="s">
        <v>1674</v>
      </c>
      <c r="B16" s="719"/>
      <c r="C16" s="719"/>
      <c r="D16" s="719"/>
      <c r="E16" s="719"/>
      <c r="F16" s="719"/>
      <c r="G16" s="719"/>
      <c r="H16" s="719"/>
      <c r="I16" s="719"/>
    </row>
    <row r="17" spans="1:14" ht="17.25" customHeight="1">
      <c r="A17" s="722"/>
      <c r="B17" s="723"/>
      <c r="C17" s="723"/>
      <c r="D17" s="723"/>
      <c r="E17" s="723"/>
      <c r="F17" s="723"/>
      <c r="G17" s="723"/>
      <c r="H17" s="723"/>
      <c r="I17" s="723"/>
    </row>
    <row r="18" spans="1:14" ht="12" customHeight="1">
      <c r="A18" s="722" t="s">
        <v>1747</v>
      </c>
      <c r="B18" s="723"/>
      <c r="C18" s="723"/>
      <c r="D18" s="723"/>
      <c r="E18" s="723"/>
      <c r="F18" s="723"/>
      <c r="G18" s="723"/>
      <c r="H18" s="723"/>
      <c r="I18" s="723"/>
    </row>
    <row r="19" spans="1:14" ht="12" customHeight="1">
      <c r="A19" s="394" t="s">
        <v>1748</v>
      </c>
      <c r="B19" s="723"/>
      <c r="C19" s="723"/>
      <c r="D19" s="723"/>
      <c r="E19" s="723"/>
      <c r="F19" s="723"/>
      <c r="G19" s="723"/>
      <c r="H19" s="723"/>
      <c r="I19" s="723"/>
    </row>
    <row r="20" spans="1:14" ht="12" customHeight="1">
      <c r="A20" s="394" t="s">
        <v>1749</v>
      </c>
      <c r="B20" s="723"/>
      <c r="C20" s="723"/>
      <c r="D20" s="723"/>
      <c r="E20" s="723"/>
      <c r="F20" s="723"/>
      <c r="G20" s="723"/>
      <c r="H20" s="723"/>
      <c r="I20" s="723"/>
    </row>
    <row r="21" spans="1:14" ht="12" customHeight="1">
      <c r="A21" s="394" t="s">
        <v>1750</v>
      </c>
      <c r="B21" s="723"/>
      <c r="C21" s="723"/>
      <c r="D21" s="723"/>
      <c r="E21" s="723"/>
      <c r="F21" s="723"/>
      <c r="G21" s="723"/>
      <c r="H21" s="723"/>
      <c r="I21" s="723"/>
    </row>
    <row r="22" spans="1:14" ht="15" customHeight="1">
      <c r="A22" s="221"/>
      <c r="B22" s="717"/>
      <c r="C22" s="717"/>
      <c r="D22" s="717"/>
      <c r="E22" s="717"/>
      <c r="F22" s="717"/>
      <c r="G22" s="717"/>
      <c r="H22" s="717"/>
      <c r="I22" s="717"/>
    </row>
    <row r="23" spans="1:14" ht="15" customHeight="1">
      <c r="A23" s="5"/>
      <c r="B23" s="715"/>
      <c r="C23" s="715"/>
      <c r="D23" s="715"/>
      <c r="E23" s="715"/>
      <c r="F23" s="715"/>
      <c r="G23" s="715"/>
      <c r="H23" s="715"/>
      <c r="I23" s="715"/>
      <c r="J23" s="5"/>
      <c r="K23" s="5"/>
      <c r="L23" s="5"/>
      <c r="M23" s="5"/>
      <c r="N23" s="5"/>
    </row>
    <row r="24" spans="1:14" ht="15" customHeight="1">
      <c r="A24" s="5" t="s">
        <v>104</v>
      </c>
      <c r="B24" s="715"/>
      <c r="C24" s="715"/>
      <c r="D24" s="715"/>
      <c r="E24" s="715"/>
      <c r="F24" s="715"/>
      <c r="G24" s="715"/>
      <c r="H24" s="715"/>
      <c r="I24" s="715"/>
      <c r="J24" s="5"/>
      <c r="K24" s="5"/>
      <c r="L24" s="716"/>
      <c r="M24" s="5"/>
      <c r="N24" s="5"/>
    </row>
    <row r="25" spans="1:14" ht="31" customHeight="1">
      <c r="A25" s="5"/>
      <c r="B25" s="715"/>
      <c r="C25" s="715"/>
      <c r="D25" s="715"/>
      <c r="E25" s="715"/>
      <c r="F25" s="715"/>
      <c r="G25" s="715"/>
      <c r="H25" s="715"/>
      <c r="I25" s="715"/>
      <c r="J25" s="5"/>
      <c r="K25" s="5"/>
      <c r="L25" s="5"/>
      <c r="M25" s="5"/>
      <c r="N25" s="5"/>
    </row>
    <row r="26" spans="1:14" ht="31" customHeight="1">
      <c r="A26" s="5"/>
      <c r="B26" s="715"/>
      <c r="C26" s="715"/>
      <c r="D26" s="715"/>
      <c r="E26" s="715"/>
      <c r="F26" s="715"/>
      <c r="G26" s="715"/>
      <c r="H26" s="715"/>
      <c r="I26" s="715"/>
      <c r="J26" s="5"/>
      <c r="K26" s="5"/>
      <c r="L26" s="5"/>
      <c r="M26" s="5"/>
      <c r="N26" s="5"/>
    </row>
    <row r="27" spans="1:14" ht="31" customHeight="1">
      <c r="A27" s="5"/>
      <c r="B27" s="715"/>
      <c r="C27" s="715"/>
      <c r="D27" s="715"/>
      <c r="E27" s="715"/>
      <c r="F27" s="715"/>
      <c r="G27" s="715"/>
      <c r="H27" s="715"/>
      <c r="I27" s="715"/>
      <c r="J27" s="5"/>
      <c r="K27" s="5"/>
      <c r="L27" s="5"/>
      <c r="M27" s="5"/>
      <c r="N27" s="5"/>
    </row>
    <row r="28" spans="1:14" ht="31" customHeight="1">
      <c r="A28" s="5"/>
      <c r="B28" s="715"/>
      <c r="C28" s="715"/>
      <c r="D28" s="715"/>
      <c r="E28" s="715"/>
      <c r="F28" s="715"/>
      <c r="G28" s="715"/>
      <c r="H28" s="715"/>
      <c r="I28" s="715"/>
      <c r="J28" s="5"/>
      <c r="K28" s="5"/>
      <c r="L28" s="5"/>
      <c r="M28" s="5"/>
      <c r="N28" s="5"/>
    </row>
    <row r="29" spans="1:14" ht="31" customHeight="1">
      <c r="A29" s="5"/>
      <c r="B29" s="715"/>
      <c r="C29" s="715"/>
      <c r="D29" s="715"/>
      <c r="E29" s="715"/>
      <c r="F29" s="715"/>
      <c r="G29" s="715"/>
      <c r="H29" s="715"/>
      <c r="I29" s="715"/>
      <c r="J29" s="5"/>
      <c r="K29" s="5"/>
      <c r="L29" s="5"/>
      <c r="M29" s="5"/>
      <c r="N29" s="5"/>
    </row>
    <row r="30" spans="1:14" ht="18" customHeight="1">
      <c r="A30" s="5"/>
      <c r="B30" s="715"/>
      <c r="C30" s="715"/>
      <c r="D30" s="715"/>
      <c r="E30" s="715"/>
      <c r="F30" s="715"/>
      <c r="G30" s="715"/>
      <c r="H30" s="715"/>
      <c r="I30" s="715"/>
      <c r="J30" s="5"/>
      <c r="K30" s="5"/>
      <c r="L30" s="5"/>
      <c r="M30" s="5"/>
      <c r="N30" s="5"/>
    </row>
    <row r="31" spans="1:14">
      <c r="A31" s="5"/>
      <c r="B31" s="715"/>
      <c r="C31" s="715"/>
      <c r="D31" s="715"/>
      <c r="E31" s="715"/>
      <c r="F31" s="715"/>
      <c r="G31" s="715"/>
      <c r="H31" s="715"/>
      <c r="I31" s="715"/>
      <c r="J31" s="5"/>
      <c r="K31" s="5"/>
      <c r="L31" s="5"/>
      <c r="M31" s="5"/>
      <c r="N31" s="5"/>
    </row>
    <row r="32" spans="1:14">
      <c r="A32" s="5"/>
      <c r="B32" s="715"/>
      <c r="C32" s="715"/>
      <c r="D32" s="715"/>
      <c r="E32" s="715"/>
      <c r="F32" s="715"/>
      <c r="G32" s="715"/>
      <c r="H32" s="715"/>
      <c r="I32" s="715"/>
      <c r="J32" s="5"/>
      <c r="K32" s="5"/>
      <c r="L32" s="5"/>
      <c r="M32" s="5"/>
      <c r="N32" s="5"/>
    </row>
    <row r="33" spans="1:14">
      <c r="A33" s="5"/>
      <c r="B33" s="715"/>
      <c r="C33" s="715"/>
      <c r="D33" s="715"/>
      <c r="E33" s="715"/>
      <c r="F33" s="715"/>
      <c r="G33" s="715"/>
      <c r="H33" s="715"/>
      <c r="I33" s="715"/>
      <c r="J33" s="5"/>
      <c r="K33" s="5"/>
      <c r="L33" s="5"/>
      <c r="M33" s="5"/>
      <c r="N33" s="5"/>
    </row>
    <row r="34" spans="1:14">
      <c r="A34" s="5"/>
      <c r="B34" s="715"/>
      <c r="C34" s="715"/>
      <c r="D34" s="715"/>
      <c r="E34" s="715"/>
      <c r="F34" s="715"/>
      <c r="G34" s="715"/>
      <c r="H34" s="715"/>
      <c r="I34" s="715"/>
      <c r="J34" s="5"/>
      <c r="K34" s="5"/>
      <c r="L34" s="5"/>
      <c r="M34" s="5"/>
      <c r="N34" s="5"/>
    </row>
    <row r="35" spans="1:14">
      <c r="A35" s="5"/>
      <c r="B35" s="715"/>
      <c r="C35" s="715"/>
      <c r="D35" s="715"/>
      <c r="E35" s="715"/>
      <c r="F35" s="715"/>
      <c r="G35" s="715"/>
      <c r="H35" s="715"/>
      <c r="I35" s="715"/>
      <c r="J35" s="5"/>
      <c r="K35" s="5"/>
      <c r="L35" s="5"/>
      <c r="M35" s="5"/>
      <c r="N35" s="5"/>
    </row>
  </sheetData>
  <mergeCells count="1">
    <mergeCell ref="A2:H2"/>
  </mergeCells>
  <phoneticPr fontId="0" type="noConversion"/>
  <pageMargins left="0.55000000000000004" right="0.61" top="0.94" bottom="0.49" header="0.56999999999999995" footer="0.4921259845"/>
  <pageSetup paperSize="9" scale="87" orientation="portrait" horizontalDpi="4294967292" verticalDpi="4294967292"/>
  <headerFooter alignWithMargins="0">
    <oddHeader>&amp;L&amp;"Arial,Bold"Zusatzinformationen zum Gesundheitswesen</oddHeader>
  </headerFooter>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316D6-71F6-0140-854E-AA403818AA47}">
  <sheetPr>
    <pageSetUpPr fitToPage="1"/>
  </sheetPr>
  <dimension ref="A1:N36"/>
  <sheetViews>
    <sheetView zoomScale="75" workbookViewId="0"/>
  </sheetViews>
  <sheetFormatPr baseColWidth="10" defaultColWidth="11.3984375" defaultRowHeight="13"/>
  <cols>
    <col min="1" max="1" width="9.3984375" style="2" customWidth="1"/>
    <col min="2" max="2" width="14" style="162" customWidth="1"/>
    <col min="3" max="3" width="0.19921875" style="162" customWidth="1"/>
    <col min="4" max="4" width="12.796875" style="162" customWidth="1"/>
    <col min="5" max="5" width="13" style="162" customWidth="1"/>
    <col min="6" max="6" width="13.796875" style="162" customWidth="1"/>
    <col min="7" max="7" width="0.19921875" style="162" customWidth="1"/>
    <col min="8" max="8" width="13.19921875" style="2" customWidth="1"/>
    <col min="9" max="9" width="12.796875" style="2" customWidth="1"/>
    <col min="10" max="10" width="13.3984375" customWidth="1"/>
    <col min="11" max="11" width="0.19921875" style="2" customWidth="1"/>
    <col min="12" max="12" width="12.19921875" style="2" customWidth="1"/>
    <col min="13" max="13" width="11.3984375" style="2"/>
    <col min="14" max="14" width="14.19921875" style="2" customWidth="1"/>
    <col min="15" max="16384" width="11.3984375" style="2"/>
  </cols>
  <sheetData>
    <row r="1" spans="1:14" s="1" customFormat="1" ht="14" customHeight="1">
      <c r="A1" s="591"/>
      <c r="B1" s="705"/>
      <c r="C1" s="705"/>
      <c r="D1" s="705"/>
      <c r="E1" s="705"/>
      <c r="F1" s="705"/>
      <c r="G1" s="705"/>
      <c r="H1" s="591"/>
      <c r="J1"/>
    </row>
    <row r="2" spans="1:14" s="1" customFormat="1" ht="27" customHeight="1">
      <c r="A2" s="592" t="s">
        <v>79</v>
      </c>
      <c r="B2" s="705"/>
      <c r="C2" s="705"/>
      <c r="D2" s="1031"/>
      <c r="E2" s="1031"/>
      <c r="F2" s="1031"/>
      <c r="G2" s="1031"/>
      <c r="H2" s="1063"/>
      <c r="I2" s="1064"/>
      <c r="J2" s="1065"/>
      <c r="K2" s="729"/>
      <c r="L2" s="729"/>
      <c r="M2" s="729"/>
      <c r="N2" s="370">
        <v>2004</v>
      </c>
    </row>
    <row r="3" spans="1:14" ht="21.75" customHeight="1">
      <c r="A3" s="139" t="s">
        <v>1250</v>
      </c>
      <c r="B3" s="462" t="s">
        <v>80</v>
      </c>
      <c r="C3" s="1044"/>
      <c r="D3" s="1032" t="s">
        <v>90</v>
      </c>
      <c r="E3" s="144"/>
      <c r="F3" s="166"/>
      <c r="G3" s="1066"/>
      <c r="H3" s="1032" t="s">
        <v>91</v>
      </c>
      <c r="I3" s="144"/>
      <c r="J3" s="166"/>
      <c r="K3" s="1066"/>
      <c r="L3" s="1032" t="s">
        <v>81</v>
      </c>
      <c r="M3" s="144"/>
      <c r="N3" s="164"/>
    </row>
    <row r="4" spans="1:14" ht="18" customHeight="1">
      <c r="A4" s="165"/>
      <c r="B4" s="464" t="s">
        <v>841</v>
      </c>
      <c r="C4" s="1067"/>
      <c r="D4" s="363"/>
      <c r="E4" s="144"/>
      <c r="F4" s="166"/>
      <c r="G4" s="1067"/>
      <c r="H4" s="363"/>
      <c r="I4" s="144"/>
      <c r="J4" s="166"/>
      <c r="K4" s="1067"/>
      <c r="L4" s="1068" t="s">
        <v>82</v>
      </c>
      <c r="M4" s="144"/>
      <c r="N4" s="166"/>
    </row>
    <row r="5" spans="1:14" s="412" customFormat="1" ht="15" customHeight="1">
      <c r="A5" s="312"/>
      <c r="B5" s="464" t="s">
        <v>1709</v>
      </c>
      <c r="C5" s="1069" t="s">
        <v>548</v>
      </c>
      <c r="D5" s="166" t="s">
        <v>548</v>
      </c>
      <c r="E5" s="144" t="s">
        <v>548</v>
      </c>
      <c r="F5" s="464" t="s">
        <v>80</v>
      </c>
      <c r="G5" s="1069" t="s">
        <v>548</v>
      </c>
      <c r="H5" s="166" t="s">
        <v>548</v>
      </c>
      <c r="I5" s="144" t="s">
        <v>548</v>
      </c>
      <c r="J5" s="464" t="s">
        <v>80</v>
      </c>
      <c r="K5" s="1069" t="s">
        <v>548</v>
      </c>
      <c r="L5" s="166" t="s">
        <v>548</v>
      </c>
      <c r="M5" s="144" t="s">
        <v>548</v>
      </c>
      <c r="N5" s="464" t="s">
        <v>80</v>
      </c>
    </row>
    <row r="6" spans="1:14" s="412" customFormat="1" ht="15" customHeight="1">
      <c r="A6" s="312"/>
      <c r="B6" s="464" t="s">
        <v>83</v>
      </c>
      <c r="C6" s="1069" t="s">
        <v>687</v>
      </c>
      <c r="D6" s="363" t="s">
        <v>688</v>
      </c>
      <c r="E6" s="144" t="s">
        <v>689</v>
      </c>
      <c r="F6" s="464" t="s">
        <v>841</v>
      </c>
      <c r="G6" s="1069" t="s">
        <v>687</v>
      </c>
      <c r="H6" s="363" t="s">
        <v>688</v>
      </c>
      <c r="I6" s="144" t="s">
        <v>689</v>
      </c>
      <c r="J6" s="464" t="s">
        <v>841</v>
      </c>
      <c r="K6" s="1069" t="s">
        <v>687</v>
      </c>
      <c r="L6" s="363" t="s">
        <v>688</v>
      </c>
      <c r="M6" s="144" t="s">
        <v>689</v>
      </c>
      <c r="N6" s="464" t="s">
        <v>841</v>
      </c>
    </row>
    <row r="7" spans="1:14" s="412" customFormat="1" ht="18" customHeight="1">
      <c r="A7" s="312"/>
      <c r="B7" s="1070" t="s">
        <v>92</v>
      </c>
      <c r="C7" s="1069" t="s">
        <v>84</v>
      </c>
      <c r="D7" s="464" t="s">
        <v>85</v>
      </c>
      <c r="E7" s="465" t="s">
        <v>86</v>
      </c>
      <c r="F7" s="464"/>
      <c r="G7" s="1069" t="s">
        <v>84</v>
      </c>
      <c r="H7" s="464" t="s">
        <v>86</v>
      </c>
      <c r="I7" s="465" t="s">
        <v>86</v>
      </c>
      <c r="J7" s="464"/>
      <c r="K7" s="1069" t="s">
        <v>84</v>
      </c>
      <c r="L7" s="464" t="s">
        <v>86</v>
      </c>
      <c r="M7" s="465" t="s">
        <v>86</v>
      </c>
      <c r="N7" s="464"/>
    </row>
    <row r="8" spans="1:14" s="412" customFormat="1" ht="24" customHeight="1">
      <c r="A8" s="312"/>
      <c r="B8" s="464"/>
      <c r="C8" s="1071"/>
      <c r="D8" s="464"/>
      <c r="E8" s="465"/>
      <c r="F8" s="464"/>
      <c r="G8" s="1071"/>
      <c r="H8" s="464"/>
      <c r="I8" s="465"/>
      <c r="J8" s="464"/>
      <c r="K8" s="1071"/>
      <c r="L8" s="464"/>
      <c r="M8" s="465"/>
      <c r="N8" s="464"/>
    </row>
    <row r="9" spans="1:14" ht="3" customHeight="1" thickBot="1">
      <c r="A9" s="913">
        <v>1994</v>
      </c>
      <c r="B9" s="1072">
        <v>7131653</v>
      </c>
      <c r="C9" s="1073" t="s">
        <v>1300</v>
      </c>
      <c r="D9" s="1074">
        <v>0.19055217633275204</v>
      </c>
      <c r="E9" s="1075">
        <v>0.10299505598491682</v>
      </c>
      <c r="F9" s="1072">
        <v>2093477</v>
      </c>
      <c r="G9" s="1073" t="s">
        <v>1300</v>
      </c>
      <c r="H9" s="1074" t="s">
        <v>1300</v>
      </c>
      <c r="I9" s="1075" t="s">
        <v>1300</v>
      </c>
      <c r="J9" s="1074" t="s">
        <v>1300</v>
      </c>
      <c r="K9" s="1073" t="s">
        <v>1300</v>
      </c>
      <c r="L9" s="1074" t="s">
        <v>1300</v>
      </c>
      <c r="M9" s="1075" t="s">
        <v>1300</v>
      </c>
      <c r="N9" s="1074" t="s">
        <v>1300</v>
      </c>
    </row>
    <row r="10" spans="1:14" ht="24" hidden="1" customHeight="1" thickBot="1">
      <c r="A10" s="913">
        <v>1995</v>
      </c>
      <c r="B10" s="1072">
        <v>7166317</v>
      </c>
      <c r="C10" s="1073" t="s">
        <v>1300</v>
      </c>
      <c r="D10" s="1074">
        <v>0.19392360120268193</v>
      </c>
      <c r="E10" s="1075">
        <v>0.10486920966515995</v>
      </c>
      <c r="F10" s="1072">
        <v>2141244</v>
      </c>
      <c r="G10" s="1073" t="s">
        <v>1300</v>
      </c>
      <c r="H10" s="1074" t="s">
        <v>1300</v>
      </c>
      <c r="I10" s="1075" t="s">
        <v>1300</v>
      </c>
      <c r="J10" s="1074" t="s">
        <v>1300</v>
      </c>
      <c r="K10" s="1073" t="s">
        <v>1300</v>
      </c>
      <c r="L10" s="1074" t="s">
        <v>1300</v>
      </c>
      <c r="M10" s="1075" t="s">
        <v>1300</v>
      </c>
      <c r="N10" s="1074" t="s">
        <v>1300</v>
      </c>
    </row>
    <row r="11" spans="1:14" ht="23.25" customHeight="1" thickBot="1">
      <c r="A11" s="913">
        <v>1996</v>
      </c>
      <c r="B11" s="1072">
        <v>7194754</v>
      </c>
      <c r="C11" s="1073" t="s">
        <v>1300</v>
      </c>
      <c r="D11" s="1074">
        <v>0.18782351696805755</v>
      </c>
      <c r="E11" s="1075">
        <v>0.10061414191506757</v>
      </c>
      <c r="F11" s="1072">
        <v>2075238</v>
      </c>
      <c r="G11" s="1073" t="s">
        <v>1300</v>
      </c>
      <c r="H11" s="1074" t="s">
        <v>1300</v>
      </c>
      <c r="I11" s="1075" t="s">
        <v>1300</v>
      </c>
      <c r="J11" s="1074" t="s">
        <v>1300</v>
      </c>
      <c r="K11" s="1073" t="s">
        <v>1300</v>
      </c>
      <c r="L11" s="1074" t="s">
        <v>1300</v>
      </c>
      <c r="M11" s="1075" t="s">
        <v>1300</v>
      </c>
      <c r="N11" s="1074" t="s">
        <v>1300</v>
      </c>
    </row>
    <row r="12" spans="1:14" ht="24" customHeight="1" thickBot="1">
      <c r="A12" s="913">
        <v>1997</v>
      </c>
      <c r="B12" s="1072">
        <v>7214805</v>
      </c>
      <c r="C12" s="1073" t="s">
        <v>1300</v>
      </c>
      <c r="D12" s="1074">
        <v>0.17122098241047401</v>
      </c>
      <c r="E12" s="1075">
        <v>8.6709897218289339E-2</v>
      </c>
      <c r="F12" s="1072">
        <v>1860921</v>
      </c>
      <c r="G12" s="1073">
        <v>4.6746100552960197E-2</v>
      </c>
      <c r="H12" s="1074">
        <v>2.1729346808402997E-2</v>
      </c>
      <c r="I12" s="1075">
        <v>6.734901359080391E-3</v>
      </c>
      <c r="J12" s="1072">
        <v>205364</v>
      </c>
      <c r="K12" s="1073" t="s">
        <v>1300</v>
      </c>
      <c r="L12" s="1074">
        <v>0.192950329218877</v>
      </c>
      <c r="M12" s="1075">
        <v>9.3444798577369731E-2</v>
      </c>
      <c r="N12" s="1072">
        <v>2066285</v>
      </c>
    </row>
    <row r="13" spans="1:14" ht="24" customHeight="1" thickBot="1">
      <c r="A13" s="913">
        <v>1998</v>
      </c>
      <c r="B13" s="1072">
        <v>7248603</v>
      </c>
      <c r="C13" s="1073" t="s">
        <v>1300</v>
      </c>
      <c r="D13" s="1074">
        <v>0.16889778623549945</v>
      </c>
      <c r="E13" s="1075">
        <v>8.0429428953413512E-2</v>
      </c>
      <c r="F13" s="1072">
        <v>1807274</v>
      </c>
      <c r="G13" s="1073">
        <v>4.7327740255605114E-2</v>
      </c>
      <c r="H13" s="1074">
        <v>2.1183943995829266E-2</v>
      </c>
      <c r="I13" s="1075">
        <v>6.9956928252243918E-3</v>
      </c>
      <c r="J13" s="1072">
        <v>204263</v>
      </c>
      <c r="K13" s="1073" t="s">
        <v>1300</v>
      </c>
      <c r="L13" s="1074">
        <v>0.19008173023132871</v>
      </c>
      <c r="M13" s="1075">
        <v>8.7425121778637899E-2</v>
      </c>
      <c r="N13" s="1072">
        <v>2011537</v>
      </c>
    </row>
    <row r="14" spans="1:14" ht="24" customHeight="1" thickBot="1">
      <c r="A14" s="625">
        <v>1999</v>
      </c>
      <c r="B14" s="1072">
        <v>7266534</v>
      </c>
      <c r="C14" s="1073" t="s">
        <v>1300</v>
      </c>
      <c r="D14" s="1074">
        <v>0.15472314586293823</v>
      </c>
      <c r="E14" s="1075">
        <v>7.4331173569132131E-2</v>
      </c>
      <c r="F14" s="1072">
        <v>1664431</v>
      </c>
      <c r="G14" s="1073">
        <v>7.5837668962947122E-2</v>
      </c>
      <c r="H14" s="1074">
        <v>3.5360462085500463E-2</v>
      </c>
      <c r="I14" s="1075">
        <v>5.9961186447348904E-3</v>
      </c>
      <c r="J14" s="1072">
        <v>300519</v>
      </c>
      <c r="K14" s="1073" t="s">
        <v>1300</v>
      </c>
      <c r="L14" s="1074">
        <v>0.1900836079484387</v>
      </c>
      <c r="M14" s="1075">
        <v>8.0327292213867016E-2</v>
      </c>
      <c r="N14" s="1072">
        <v>1964950</v>
      </c>
    </row>
    <row r="15" spans="1:14" ht="24" customHeight="1" thickBot="1">
      <c r="A15" s="625">
        <v>2000</v>
      </c>
      <c r="B15" s="1072">
        <v>7268111</v>
      </c>
      <c r="C15" s="1073" t="s">
        <v>1300</v>
      </c>
      <c r="D15" s="1074">
        <v>0.12321647261578696</v>
      </c>
      <c r="E15" s="1075">
        <v>6.2163057223534421E-2</v>
      </c>
      <c r="F15" s="1072">
        <v>1347359</v>
      </c>
      <c r="G15" s="1073">
        <v>0.19326576052567165</v>
      </c>
      <c r="H15" s="1074">
        <v>6.6940089384985996E-2</v>
      </c>
      <c r="I15" s="1075">
        <v>2.2992631785618025E-2</v>
      </c>
      <c r="J15" s="1072">
        <v>653641</v>
      </c>
      <c r="K15" s="1073" t="s">
        <v>1300</v>
      </c>
      <c r="L15" s="1074">
        <v>0.19015656200077297</v>
      </c>
      <c r="M15" s="1075">
        <v>8.5155689009152449E-2</v>
      </c>
      <c r="N15" s="1072">
        <v>2001000</v>
      </c>
    </row>
    <row r="16" spans="1:14" ht="24" customHeight="1" thickBot="1">
      <c r="A16" s="625">
        <v>2001</v>
      </c>
      <c r="B16" s="1072">
        <v>7321287</v>
      </c>
      <c r="C16" s="1073" t="s">
        <v>1300</v>
      </c>
      <c r="D16" s="1074">
        <v>0.11914653803354519</v>
      </c>
      <c r="E16" s="1075">
        <v>6.1670168100226096E-2</v>
      </c>
      <c r="F16" s="1072">
        <v>1323811</v>
      </c>
      <c r="G16" s="1073">
        <v>0.22884637632700372</v>
      </c>
      <c r="H16" s="1074">
        <v>9.1391855011284218E-2</v>
      </c>
      <c r="I16" s="1075">
        <v>3.6045984811140443E-2</v>
      </c>
      <c r="J16" s="1072">
        <v>933009</v>
      </c>
      <c r="K16" s="1073" t="s">
        <v>1300</v>
      </c>
      <c r="L16" s="1074">
        <v>0.21053839304482941</v>
      </c>
      <c r="M16" s="1075">
        <v>9.7716152911366538E-2</v>
      </c>
      <c r="N16" s="1072">
        <v>2256820</v>
      </c>
    </row>
    <row r="17" spans="1:14" ht="24" customHeight="1" thickBot="1">
      <c r="A17" s="625">
        <v>2002</v>
      </c>
      <c r="B17" s="1072">
        <v>7359365</v>
      </c>
      <c r="C17" s="1073">
        <v>0.41612068432534599</v>
      </c>
      <c r="D17" s="1074">
        <v>0.10741619691372829</v>
      </c>
      <c r="E17" s="1075">
        <v>5.1274804279988831E-2</v>
      </c>
      <c r="F17" s="1072">
        <v>1167865</v>
      </c>
      <c r="G17" s="1073">
        <v>0.22534498560677449</v>
      </c>
      <c r="H17" s="1074">
        <v>9.5236341722417628E-2</v>
      </c>
      <c r="I17" s="1075">
        <v>4.2874215370483727E-2</v>
      </c>
      <c r="J17" s="1072">
        <v>1016406</v>
      </c>
      <c r="K17" s="1073">
        <v>0.64146566993212051</v>
      </c>
      <c r="L17" s="1074">
        <v>0.20265253863614591</v>
      </c>
      <c r="M17" s="1075">
        <v>9.4149019650472565E-2</v>
      </c>
      <c r="N17" s="1072">
        <v>2184271</v>
      </c>
    </row>
    <row r="18" spans="1:14" ht="24" customHeight="1" thickBot="1">
      <c r="A18" s="625">
        <v>2003</v>
      </c>
      <c r="B18" s="1072">
        <v>7393188</v>
      </c>
      <c r="C18" s="1073">
        <v>0.40096288637594502</v>
      </c>
      <c r="D18" s="1074">
        <v>0.10284683684494429</v>
      </c>
      <c r="E18" s="1075">
        <v>4.5843416940026416E-2</v>
      </c>
      <c r="F18" s="1072">
        <v>1099295</v>
      </c>
      <c r="G18" s="1073">
        <v>0.2580031780606688</v>
      </c>
      <c r="H18" s="1074">
        <v>9.3782276333294917E-2</v>
      </c>
      <c r="I18" s="1075">
        <v>4.102993187783132E-2</v>
      </c>
      <c r="J18" s="1072">
        <v>996692</v>
      </c>
      <c r="K18" s="1073">
        <v>0.65896606443661376</v>
      </c>
      <c r="L18" s="1074">
        <v>0.19662911317823922</v>
      </c>
      <c r="M18" s="1075">
        <v>8.6873348817857743E-2</v>
      </c>
      <c r="N18" s="1072">
        <v>2095987</v>
      </c>
    </row>
    <row r="19" spans="1:14" s="205" customFormat="1" ht="27.75" customHeight="1" thickBot="1">
      <c r="A19" s="627">
        <v>2004</v>
      </c>
      <c r="B19" s="483">
        <v>7419974</v>
      </c>
      <c r="C19" s="1076">
        <v>0.41515172425132485</v>
      </c>
      <c r="D19" s="1077">
        <v>8.8858128074303225E-2</v>
      </c>
      <c r="E19" s="1078">
        <v>3.8901214478649117E-2</v>
      </c>
      <c r="F19" s="1079">
        <v>947971</v>
      </c>
      <c r="G19" s="1076">
        <v>0.2942960447031216</v>
      </c>
      <c r="H19" s="1077">
        <v>0.1022666656244348</v>
      </c>
      <c r="I19" s="659">
        <v>4.6828870289841985E-2</v>
      </c>
      <c r="J19" s="483">
        <v>1106285</v>
      </c>
      <c r="K19" s="1080">
        <v>0.7094477689544465</v>
      </c>
      <c r="L19" s="486">
        <v>0.19112479369873803</v>
      </c>
      <c r="M19" s="659">
        <v>8.5730084768491102E-2</v>
      </c>
      <c r="N19" s="483">
        <v>2054256</v>
      </c>
    </row>
    <row r="20" spans="1:14" ht="20" customHeight="1">
      <c r="A20" s="718" t="s">
        <v>36</v>
      </c>
      <c r="B20" s="719"/>
      <c r="C20" s="719"/>
      <c r="D20" s="719"/>
      <c r="E20" s="719"/>
      <c r="F20" s="719"/>
      <c r="G20" s="719"/>
      <c r="H20" s="719"/>
    </row>
    <row r="21" spans="1:14" ht="11.25" customHeight="1">
      <c r="A21" s="722"/>
      <c r="B21" s="723"/>
      <c r="C21" s="723"/>
      <c r="D21" s="723"/>
      <c r="E21" s="723"/>
      <c r="F21" s="723"/>
      <c r="G21" s="723"/>
      <c r="H21" s="723"/>
    </row>
    <row r="22" spans="1:14" ht="12.75" customHeight="1">
      <c r="A22" s="722" t="s">
        <v>87</v>
      </c>
      <c r="B22" s="723"/>
      <c r="C22" s="723"/>
      <c r="D22" s="723"/>
      <c r="E22" s="723"/>
      <c r="F22" s="723"/>
      <c r="G22" s="723"/>
      <c r="H22" s="723"/>
    </row>
    <row r="23" spans="1:14" ht="11.25" customHeight="1">
      <c r="A23" s="722" t="s">
        <v>88</v>
      </c>
      <c r="B23" s="723"/>
      <c r="C23" s="723"/>
      <c r="D23" s="723"/>
      <c r="E23" s="723"/>
      <c r="F23" s="723"/>
      <c r="G23" s="723"/>
      <c r="H23" s="723"/>
    </row>
    <row r="24" spans="1:14" ht="15" customHeight="1">
      <c r="A24" s="713" t="s">
        <v>89</v>
      </c>
      <c r="B24" s="717"/>
      <c r="C24" s="717"/>
      <c r="D24" s="717"/>
      <c r="E24" s="717"/>
      <c r="F24" s="717"/>
      <c r="G24" s="717"/>
      <c r="H24" s="394"/>
    </row>
    <row r="25" spans="1:14" ht="15" customHeight="1">
      <c r="A25" s="713"/>
      <c r="B25" s="717"/>
      <c r="C25" s="717"/>
      <c r="D25" s="717"/>
      <c r="E25" s="717"/>
      <c r="F25" s="717"/>
      <c r="G25" s="717"/>
      <c r="H25" s="394"/>
    </row>
    <row r="26" spans="1:14" ht="15" customHeight="1">
      <c r="A26" s="221"/>
      <c r="B26" s="717"/>
      <c r="C26" s="717"/>
      <c r="D26" s="717"/>
      <c r="E26" s="717"/>
      <c r="F26" s="717"/>
      <c r="G26" s="717"/>
      <c r="H26" s="394"/>
    </row>
    <row r="27" spans="1:14" ht="15" customHeight="1">
      <c r="A27" s="394" t="s">
        <v>104</v>
      </c>
      <c r="B27" s="717"/>
      <c r="C27" s="717"/>
      <c r="D27" s="717"/>
      <c r="E27" s="717"/>
      <c r="F27" s="717"/>
      <c r="G27" s="717"/>
      <c r="H27" s="394"/>
    </row>
    <row r="28" spans="1:14" ht="31" customHeight="1">
      <c r="A28" s="394"/>
      <c r="B28" s="717"/>
      <c r="C28" s="717"/>
      <c r="D28" s="717"/>
      <c r="E28" s="717"/>
      <c r="F28" s="717"/>
      <c r="G28" s="717"/>
      <c r="H28" s="394"/>
    </row>
    <row r="29" spans="1:14" ht="31" customHeight="1">
      <c r="A29" s="394"/>
      <c r="B29" s="717"/>
      <c r="C29" s="717"/>
      <c r="D29" s="717"/>
      <c r="E29" s="717"/>
      <c r="F29" s="717"/>
      <c r="G29" s="717"/>
      <c r="H29" s="394"/>
    </row>
    <row r="30" spans="1:14" ht="31" customHeight="1">
      <c r="A30" s="394"/>
      <c r="B30" s="717"/>
      <c r="C30" s="717"/>
      <c r="D30" s="717"/>
      <c r="E30" s="717"/>
      <c r="F30" s="717"/>
      <c r="G30" s="717"/>
      <c r="H30" s="394"/>
    </row>
    <row r="31" spans="1:14" ht="31" customHeight="1">
      <c r="A31" s="394"/>
      <c r="B31" s="717"/>
      <c r="C31" s="717"/>
      <c r="D31" s="717"/>
      <c r="E31" s="717"/>
      <c r="F31" s="717"/>
      <c r="G31" s="717"/>
      <c r="H31" s="394"/>
    </row>
    <row r="32" spans="1:14" ht="31" customHeight="1">
      <c r="A32" s="394"/>
      <c r="B32" s="717"/>
      <c r="C32" s="717"/>
      <c r="D32" s="717"/>
      <c r="E32" s="717"/>
      <c r="F32" s="717"/>
      <c r="G32" s="717"/>
      <c r="H32" s="394"/>
    </row>
    <row r="33" spans="1:8" ht="31" customHeight="1">
      <c r="A33" s="394"/>
      <c r="B33" s="717"/>
      <c r="C33" s="717"/>
      <c r="D33" s="717"/>
      <c r="E33" s="717"/>
      <c r="F33" s="717"/>
      <c r="G33" s="717"/>
      <c r="H33" s="394"/>
    </row>
    <row r="34" spans="1:8" ht="31" customHeight="1">
      <c r="A34" s="394"/>
      <c r="B34" s="717"/>
      <c r="C34" s="717"/>
      <c r="D34" s="717"/>
      <c r="E34" s="717"/>
      <c r="F34" s="717"/>
      <c r="G34" s="717"/>
      <c r="H34" s="394"/>
    </row>
    <row r="35" spans="1:8">
      <c r="A35" s="394"/>
      <c r="B35" s="717"/>
      <c r="C35" s="717"/>
      <c r="D35" s="717"/>
      <c r="E35" s="717"/>
      <c r="F35" s="717"/>
      <c r="G35" s="717"/>
      <c r="H35" s="394"/>
    </row>
    <row r="36" spans="1:8">
      <c r="A36" s="394"/>
      <c r="B36" s="717"/>
      <c r="C36" s="717"/>
      <c r="D36" s="717"/>
      <c r="E36" s="717"/>
      <c r="F36" s="717"/>
      <c r="G36" s="717"/>
      <c r="H36" s="394"/>
    </row>
  </sheetData>
  <phoneticPr fontId="0" type="noConversion"/>
  <pageMargins left="0.59" right="0.51" top="0.86" bottom="0.49" header="0.44" footer="0.4921259845"/>
  <pageSetup paperSize="9" scale="90" orientation="landscape" horizontalDpi="1200" verticalDpi="1200"/>
  <headerFooter alignWithMargins="0">
    <oddHeader>&amp;L&amp;"Arial,Bold"Zusatzinformationen zum Gesundheitswesen</oddHeader>
  </headerFooter>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0F7A2-309B-4C47-B0F2-B806C9879948}">
  <sheetPr>
    <pageSetUpPr fitToPage="1"/>
  </sheetPr>
  <dimension ref="A1:K68"/>
  <sheetViews>
    <sheetView zoomScale="75" workbookViewId="0">
      <selection activeCell="J39" sqref="J39"/>
    </sheetView>
  </sheetViews>
  <sheetFormatPr baseColWidth="10" defaultColWidth="11.3984375" defaultRowHeight="13"/>
  <cols>
    <col min="1" max="1" width="12.19921875" style="2" customWidth="1"/>
    <col min="2" max="2" width="13.19921875" style="162" customWidth="1"/>
    <col min="3" max="3" width="12.796875" style="162" customWidth="1"/>
    <col min="4" max="4" width="14" style="162" customWidth="1"/>
    <col min="5" max="5" width="13.3984375" style="162" customWidth="1"/>
    <col min="6" max="6" width="13.59765625" style="162" customWidth="1"/>
    <col min="7" max="7" width="13.19921875" style="162" customWidth="1"/>
    <col min="8" max="8" width="13.3984375" style="162" customWidth="1"/>
    <col min="9" max="9" width="12.796875" style="162" customWidth="1"/>
    <col min="10" max="16384" width="11.3984375" style="2"/>
  </cols>
  <sheetData>
    <row r="1" spans="1:9" s="1" customFormat="1" ht="14" customHeight="1">
      <c r="A1" s="591"/>
      <c r="B1" s="705"/>
      <c r="C1" s="705"/>
      <c r="D1" s="705"/>
      <c r="E1" s="705"/>
      <c r="F1" s="705"/>
      <c r="G1" s="705"/>
      <c r="H1" s="705"/>
      <c r="I1" s="705"/>
    </row>
    <row r="2" spans="1:9" s="1" customFormat="1" ht="27" customHeight="1">
      <c r="A2" s="592" t="s">
        <v>1742</v>
      </c>
      <c r="B2" s="705"/>
      <c r="C2" s="705"/>
      <c r="D2" s="705"/>
      <c r="E2" s="705"/>
      <c r="F2" s="705"/>
      <c r="G2" s="705"/>
      <c r="H2" s="705"/>
      <c r="I2" s="370">
        <v>2004</v>
      </c>
    </row>
    <row r="3" spans="1:9" s="912" customFormat="1" ht="50.25" customHeight="1">
      <c r="A3" s="909" t="s">
        <v>1250</v>
      </c>
      <c r="B3" s="910" t="s">
        <v>549</v>
      </c>
      <c r="C3" s="911" t="s">
        <v>1722</v>
      </c>
      <c r="D3" s="910" t="s">
        <v>1723</v>
      </c>
      <c r="E3" s="911" t="s">
        <v>1724</v>
      </c>
      <c r="F3" s="910" t="s">
        <v>1725</v>
      </c>
      <c r="G3" s="911" t="s">
        <v>1726</v>
      </c>
      <c r="H3" s="910" t="s">
        <v>1727</v>
      </c>
      <c r="I3" s="911" t="s">
        <v>1728</v>
      </c>
    </row>
    <row r="4" spans="1:9" ht="18.75" customHeight="1">
      <c r="A4" s="167"/>
      <c r="B4" s="168"/>
      <c r="C4" s="147"/>
      <c r="D4" s="168"/>
      <c r="E4" s="147"/>
      <c r="F4" s="168"/>
      <c r="G4" s="914"/>
      <c r="H4" s="168"/>
      <c r="I4" s="914"/>
    </row>
    <row r="5" spans="1:9" ht="1.5" customHeight="1" thickBot="1">
      <c r="A5" s="624">
        <v>1985</v>
      </c>
      <c r="B5" s="708">
        <v>79.540024670622799</v>
      </c>
      <c r="C5" s="170">
        <v>81.709173518706507</v>
      </c>
      <c r="D5" s="708">
        <v>74.423565482650218</v>
      </c>
      <c r="E5" s="170">
        <v>55.021766094593694</v>
      </c>
      <c r="F5" s="708" t="s">
        <v>106</v>
      </c>
      <c r="G5" s="170" t="s">
        <v>106</v>
      </c>
      <c r="H5" s="708">
        <v>70.445761478448915</v>
      </c>
      <c r="I5" s="170">
        <v>75.025335690417464</v>
      </c>
    </row>
    <row r="6" spans="1:9" ht="18.75" hidden="1" customHeight="1" thickBot="1">
      <c r="A6" s="625">
        <v>1986</v>
      </c>
      <c r="B6" s="507">
        <v>81.421424194589449</v>
      </c>
      <c r="C6" s="508">
        <v>84.689882960362155</v>
      </c>
      <c r="D6" s="507">
        <v>74.423565482650218</v>
      </c>
      <c r="E6" s="508">
        <v>56.632583527524247</v>
      </c>
      <c r="F6" s="507" t="s">
        <v>106</v>
      </c>
      <c r="G6" s="508" t="s">
        <v>106</v>
      </c>
      <c r="H6" s="507">
        <v>72.010463915635086</v>
      </c>
      <c r="I6" s="508">
        <v>75.58823514324861</v>
      </c>
    </row>
    <row r="7" spans="1:9" ht="18.75" hidden="1" customHeight="1" thickBot="1">
      <c r="A7" s="625">
        <v>1987</v>
      </c>
      <c r="B7" s="507">
        <v>83.301533112150608</v>
      </c>
      <c r="C7" s="508">
        <v>86.496007167709024</v>
      </c>
      <c r="D7" s="507">
        <v>75.835253486074862</v>
      </c>
      <c r="E7" s="508">
        <v>59.420535770728996</v>
      </c>
      <c r="F7" s="507" t="s">
        <v>106</v>
      </c>
      <c r="G7" s="508" t="s">
        <v>106</v>
      </c>
      <c r="H7" s="507">
        <v>73.965976019526707</v>
      </c>
      <c r="I7" s="508">
        <v>76.676921772176641</v>
      </c>
    </row>
    <row r="8" spans="1:9" ht="18.75" hidden="1" customHeight="1" thickBot="1">
      <c r="A8" s="625">
        <v>1988</v>
      </c>
      <c r="B8" s="507">
        <v>84.596428178635293</v>
      </c>
      <c r="C8" s="508">
        <v>86.924474430296826</v>
      </c>
      <c r="D8" s="507">
        <v>80.070317496348835</v>
      </c>
      <c r="E8" s="508">
        <v>63.286246487669516</v>
      </c>
      <c r="F8" s="507" t="s">
        <v>106</v>
      </c>
      <c r="G8" s="508" t="s">
        <v>106</v>
      </c>
      <c r="H8" s="507">
        <v>76.593809766190788</v>
      </c>
      <c r="I8" s="508">
        <v>78.112690688793933</v>
      </c>
    </row>
    <row r="9" spans="1:9" ht="18.75" hidden="1" customHeight="1" thickBot="1">
      <c r="A9" s="625">
        <v>1989</v>
      </c>
      <c r="B9" s="507">
        <v>86.122959038236885</v>
      </c>
      <c r="C9" s="508">
        <v>89.241940027124727</v>
      </c>
      <c r="D9" s="507">
        <v>80.070317496348835</v>
      </c>
      <c r="E9" s="508">
        <v>65.302076770988421</v>
      </c>
      <c r="F9" s="507" t="s">
        <v>106</v>
      </c>
      <c r="G9" s="508" t="s">
        <v>106</v>
      </c>
      <c r="H9" s="507">
        <v>78.037997946806755</v>
      </c>
      <c r="I9" s="508">
        <v>80.577369906551638</v>
      </c>
    </row>
    <row r="10" spans="1:9" ht="18.75" hidden="1" customHeight="1" thickBot="1">
      <c r="A10" s="625">
        <v>1990</v>
      </c>
      <c r="B10" s="507">
        <v>87.906168264934408</v>
      </c>
      <c r="C10" s="508">
        <v>91.103823672753563</v>
      </c>
      <c r="D10" s="507">
        <v>84.469652603512927</v>
      </c>
      <c r="E10" s="508">
        <v>69.397041031867673</v>
      </c>
      <c r="F10" s="507" t="s">
        <v>106</v>
      </c>
      <c r="G10" s="508" t="s">
        <v>106</v>
      </c>
      <c r="H10" s="507">
        <v>81.275551622287338</v>
      </c>
      <c r="I10" s="508">
        <v>84.931731706195279</v>
      </c>
    </row>
    <row r="11" spans="1:9" ht="18.75" hidden="1" customHeight="1" thickBot="1">
      <c r="A11" s="625">
        <v>1991</v>
      </c>
      <c r="B11" s="507">
        <v>91.417291047616473</v>
      </c>
      <c r="C11" s="508">
        <v>94.627052633347986</v>
      </c>
      <c r="D11" s="507">
        <v>89.495287463190593</v>
      </c>
      <c r="E11" s="508">
        <v>76.918723201109117</v>
      </c>
      <c r="F11" s="507" t="s">
        <v>106</v>
      </c>
      <c r="G11" s="508" t="s">
        <v>106</v>
      </c>
      <c r="H11" s="507">
        <v>86.362766379611671</v>
      </c>
      <c r="I11" s="508">
        <v>89.908384570389316</v>
      </c>
    </row>
    <row r="12" spans="1:9" ht="18.75" hidden="1" customHeight="1" thickBot="1">
      <c r="A12" s="625">
        <v>1992</v>
      </c>
      <c r="B12" s="507">
        <v>94.003778510778062</v>
      </c>
      <c r="C12" s="508">
        <v>99.083418176473245</v>
      </c>
      <c r="D12" s="507">
        <v>93.107092178733282</v>
      </c>
      <c r="E12" s="508">
        <v>84.655245552501313</v>
      </c>
      <c r="F12" s="507" t="s">
        <v>106</v>
      </c>
      <c r="G12" s="508" t="s">
        <v>106</v>
      </c>
      <c r="H12" s="507">
        <v>91.315092995799233</v>
      </c>
      <c r="I12" s="508">
        <v>93.537992592591351</v>
      </c>
    </row>
    <row r="13" spans="1:9" ht="18.75" hidden="1" customHeight="1" thickBot="1">
      <c r="A13" s="625">
        <v>1993</v>
      </c>
      <c r="B13" s="507">
        <v>95.836463655080706</v>
      </c>
      <c r="C13" s="508">
        <v>99.169001263930795</v>
      </c>
      <c r="D13" s="507">
        <v>97.235342834072867</v>
      </c>
      <c r="E13" s="508">
        <v>90.84945971692089</v>
      </c>
      <c r="F13" s="507">
        <v>97.895835844341434</v>
      </c>
      <c r="G13" s="508">
        <v>100.04968578476586</v>
      </c>
      <c r="H13" s="507">
        <v>94.527966822112859</v>
      </c>
      <c r="I13" s="508">
        <v>96.617824254518595</v>
      </c>
    </row>
    <row r="14" spans="1:9" ht="18.75" hidden="1" customHeight="1" thickBot="1">
      <c r="A14" s="625">
        <v>1994</v>
      </c>
      <c r="B14" s="507">
        <v>97.139423007552196</v>
      </c>
      <c r="C14" s="508">
        <v>99.181066171629212</v>
      </c>
      <c r="D14" s="507">
        <v>98.622802189544174</v>
      </c>
      <c r="E14" s="508">
        <v>94.153938714873988</v>
      </c>
      <c r="F14" s="507">
        <v>99.257771488789899</v>
      </c>
      <c r="G14" s="508">
        <v>100.04968578476586</v>
      </c>
      <c r="H14" s="507">
        <v>96.403473663239367</v>
      </c>
      <c r="I14" s="508">
        <v>97.441099542461487</v>
      </c>
    </row>
    <row r="15" spans="1:9" ht="18.75" hidden="1" customHeight="1" thickBot="1">
      <c r="A15" s="625">
        <v>1995</v>
      </c>
      <c r="B15" s="507">
        <v>99.669332209784301</v>
      </c>
      <c r="C15" s="508">
        <v>99.494059809668784</v>
      </c>
      <c r="D15" s="507">
        <v>99.364587511803364</v>
      </c>
      <c r="E15" s="508">
        <v>96.693541671662231</v>
      </c>
      <c r="F15" s="507">
        <v>99.850132140098751</v>
      </c>
      <c r="G15" s="508">
        <v>100.04968578476586</v>
      </c>
      <c r="H15" s="507">
        <v>98.151079313631271</v>
      </c>
      <c r="I15" s="508">
        <v>99.194874761240953</v>
      </c>
    </row>
    <row r="16" spans="1:9" ht="18.75" customHeight="1" thickBot="1">
      <c r="A16" s="625">
        <v>1996</v>
      </c>
      <c r="B16" s="507">
        <v>100</v>
      </c>
      <c r="C16" s="508">
        <v>100</v>
      </c>
      <c r="D16" s="507">
        <v>100</v>
      </c>
      <c r="E16" s="508">
        <v>100</v>
      </c>
      <c r="F16" s="507">
        <v>100</v>
      </c>
      <c r="G16" s="508">
        <v>100</v>
      </c>
      <c r="H16" s="507">
        <v>100</v>
      </c>
      <c r="I16" s="508">
        <v>100</v>
      </c>
    </row>
    <row r="17" spans="1:9" ht="18" customHeight="1" thickBot="1">
      <c r="A17" s="625">
        <v>1997</v>
      </c>
      <c r="B17" s="507">
        <v>99.603751768772071</v>
      </c>
      <c r="C17" s="508">
        <v>100.38008221695314</v>
      </c>
      <c r="D17" s="507">
        <v>100.54808570359472</v>
      </c>
      <c r="E17" s="508">
        <v>101.42789940293106</v>
      </c>
      <c r="F17" s="507">
        <v>99.259050938587137</v>
      </c>
      <c r="G17" s="508">
        <v>99.621819781936267</v>
      </c>
      <c r="H17" s="507">
        <v>100.76095634245317</v>
      </c>
      <c r="I17" s="508">
        <v>100.52020451848172</v>
      </c>
    </row>
    <row r="18" spans="1:9" ht="18" customHeight="1" thickBot="1">
      <c r="A18" s="625">
        <v>1998</v>
      </c>
      <c r="B18" s="507">
        <v>96.927242504783251</v>
      </c>
      <c r="C18" s="508">
        <v>100.33490779124649</v>
      </c>
      <c r="D18" s="507">
        <v>101.27038445552139</v>
      </c>
      <c r="E18" s="508">
        <v>102.99618303138374</v>
      </c>
      <c r="F18" s="507">
        <v>98.452579284674385</v>
      </c>
      <c r="G18" s="508">
        <v>100.44765774993816</v>
      </c>
      <c r="H18" s="507">
        <v>101.24816209588769</v>
      </c>
      <c r="I18" s="508">
        <v>100.538234878222</v>
      </c>
    </row>
    <row r="19" spans="1:9" ht="18" customHeight="1" thickBot="1">
      <c r="A19" s="625">
        <v>1999</v>
      </c>
      <c r="B19" s="507">
        <v>95.844672232466905</v>
      </c>
      <c r="C19" s="508">
        <v>100.33187275209576</v>
      </c>
      <c r="D19" s="507">
        <v>101.87444222283719</v>
      </c>
      <c r="E19" s="508">
        <v>104.14320934906627</v>
      </c>
      <c r="F19" s="507">
        <v>98.676778256833302</v>
      </c>
      <c r="G19" s="508">
        <v>98.097369567529682</v>
      </c>
      <c r="H19" s="507">
        <v>101.67388949401801</v>
      </c>
      <c r="I19" s="508">
        <v>101.34904536554785</v>
      </c>
    </row>
    <row r="20" spans="1:9" ht="18" customHeight="1" thickBot="1">
      <c r="A20" s="625">
        <v>2000</v>
      </c>
      <c r="B20" s="507">
        <v>96.254772438034038</v>
      </c>
      <c r="C20" s="508">
        <v>100.33187275209576</v>
      </c>
      <c r="D20" s="507">
        <v>103.57018844964638</v>
      </c>
      <c r="E20" s="508">
        <v>104.72011004030597</v>
      </c>
      <c r="F20" s="507">
        <v>98.363608314160032</v>
      </c>
      <c r="G20" s="508">
        <v>97.073589844089597</v>
      </c>
      <c r="H20" s="507">
        <v>102.16099312393871</v>
      </c>
      <c r="I20" s="508">
        <v>102.92856130382158</v>
      </c>
    </row>
    <row r="21" spans="1:9" ht="18" customHeight="1" thickBot="1">
      <c r="A21" s="625">
        <v>2001</v>
      </c>
      <c r="B21" s="507">
        <v>95.617677812696272</v>
      </c>
      <c r="C21" s="508">
        <v>100.39157021638326</v>
      </c>
      <c r="D21" s="507">
        <v>105.66882988327751</v>
      </c>
      <c r="E21" s="508">
        <v>105.48310266577438</v>
      </c>
      <c r="F21" s="507">
        <v>99.731930662678707</v>
      </c>
      <c r="G21" s="508">
        <v>97.957928816735219</v>
      </c>
      <c r="H21" s="507">
        <v>102.72634889630439</v>
      </c>
      <c r="I21" s="508">
        <v>103.94658841484843</v>
      </c>
    </row>
    <row r="22" spans="1:9" ht="18" customHeight="1" thickBot="1">
      <c r="A22" s="625">
        <v>2002</v>
      </c>
      <c r="B22" s="507">
        <v>92.551966547481953</v>
      </c>
      <c r="C22" s="508">
        <v>100.41926181326284</v>
      </c>
      <c r="D22" s="507">
        <v>106.79946557044345</v>
      </c>
      <c r="E22" s="508">
        <v>107.26502318301614</v>
      </c>
      <c r="F22" s="507">
        <v>100.07068960129637</v>
      </c>
      <c r="G22" s="508">
        <v>98.584756517798724</v>
      </c>
      <c r="H22" s="507">
        <v>103.14270646204406</v>
      </c>
      <c r="I22" s="508">
        <v>104.61466069154169</v>
      </c>
    </row>
    <row r="23" spans="1:9" ht="18" customHeight="1" thickBot="1">
      <c r="A23" s="625">
        <v>2003</v>
      </c>
      <c r="B23" s="507">
        <v>91.45775676895002</v>
      </c>
      <c r="C23" s="508">
        <v>100.41926181326284</v>
      </c>
      <c r="D23" s="507">
        <v>107.42707824790855</v>
      </c>
      <c r="E23" s="508">
        <v>109.53160933947478</v>
      </c>
      <c r="F23" s="507">
        <v>99.942646202359242</v>
      </c>
      <c r="G23" s="508">
        <v>101.42505436052258</v>
      </c>
      <c r="H23" s="507">
        <v>104.03822755450696</v>
      </c>
      <c r="I23" s="508">
        <v>105.28242519538023</v>
      </c>
    </row>
    <row r="24" spans="1:9" s="219" customFormat="1" ht="27" customHeight="1" thickBot="1">
      <c r="A24" s="627">
        <v>2004</v>
      </c>
      <c r="B24" s="514">
        <v>91.277873491072683</v>
      </c>
      <c r="C24" s="710">
        <v>100.41926181326284</v>
      </c>
      <c r="D24" s="514">
        <v>108.0206930792616</v>
      </c>
      <c r="E24" s="710">
        <v>111.84653649880872</v>
      </c>
      <c r="F24" s="514">
        <v>99.616681761713792</v>
      </c>
      <c r="G24" s="710">
        <v>102.9912008077947</v>
      </c>
      <c r="H24" s="514">
        <v>105.00309051283621</v>
      </c>
      <c r="I24" s="710">
        <v>106.12777463640488</v>
      </c>
    </row>
    <row r="25" spans="1:9" ht="20" customHeight="1">
      <c r="A25" s="718"/>
      <c r="B25" s="719"/>
      <c r="C25" s="719"/>
      <c r="D25" s="719"/>
      <c r="E25" s="719"/>
      <c r="F25" s="719"/>
      <c r="G25" s="719"/>
      <c r="H25" s="719"/>
      <c r="I25" s="719"/>
    </row>
    <row r="26" spans="1:9" ht="28.5" customHeight="1">
      <c r="A26" s="982" t="s">
        <v>746</v>
      </c>
      <c r="B26" s="723"/>
      <c r="C26" s="723"/>
      <c r="D26" s="723"/>
      <c r="E26" s="723"/>
      <c r="F26" s="723"/>
      <c r="G26" s="723"/>
      <c r="H26" s="723"/>
      <c r="I26" s="723"/>
    </row>
    <row r="27" spans="1:9" ht="51" customHeight="1">
      <c r="A27" s="909" t="s">
        <v>1250</v>
      </c>
      <c r="B27" s="910" t="s">
        <v>549</v>
      </c>
      <c r="C27" s="911" t="s">
        <v>1722</v>
      </c>
      <c r="D27" s="910" t="s">
        <v>1723</v>
      </c>
      <c r="E27" s="911" t="s">
        <v>1724</v>
      </c>
      <c r="F27" s="910" t="s">
        <v>1725</v>
      </c>
      <c r="G27" s="911" t="s">
        <v>1726</v>
      </c>
      <c r="H27" s="910" t="s">
        <v>1727</v>
      </c>
      <c r="I27" s="911" t="s">
        <v>1728</v>
      </c>
    </row>
    <row r="28" spans="1:9" ht="19.5" customHeight="1">
      <c r="A28" s="782"/>
      <c r="B28" s="168"/>
      <c r="C28" s="147"/>
      <c r="D28" s="168"/>
      <c r="E28" s="147"/>
      <c r="F28" s="168"/>
      <c r="G28" s="147"/>
      <c r="H28" s="168"/>
      <c r="I28" s="147"/>
    </row>
    <row r="29" spans="1:9" ht="2.25" customHeight="1" thickBot="1">
      <c r="A29" s="913">
        <v>1986</v>
      </c>
      <c r="B29" s="633">
        <v>2.3653494347752213E-2</v>
      </c>
      <c r="C29" s="150">
        <v>3.6479495670987738E-2</v>
      </c>
      <c r="D29" s="633">
        <v>0</v>
      </c>
      <c r="E29" s="150">
        <v>2.9276003793866412E-2</v>
      </c>
      <c r="F29" s="633" t="e">
        <v>#VALUE!</v>
      </c>
      <c r="G29" s="150" t="e">
        <v>#VALUE!</v>
      </c>
      <c r="H29" s="633">
        <v>2.2211448983553872E-2</v>
      </c>
      <c r="I29" s="150">
        <v>7.502791525703767E-3</v>
      </c>
    </row>
    <row r="30" spans="1:9" ht="20" hidden="1" customHeight="1" thickBot="1">
      <c r="A30" s="625">
        <v>1987</v>
      </c>
      <c r="B30" s="544">
        <v>2.3091083657144962E-2</v>
      </c>
      <c r="C30" s="154">
        <v>2.1326327823504077E-2</v>
      </c>
      <c r="D30" s="544">
        <v>1.8968293097348932E-2</v>
      </c>
      <c r="E30" s="154">
        <v>4.9228766719599859E-2</v>
      </c>
      <c r="F30" s="523" t="e">
        <v>#VALUE!</v>
      </c>
      <c r="G30" s="626" t="e">
        <v>#VALUE!</v>
      </c>
      <c r="H30" s="544">
        <v>2.7155943699829876E-2</v>
      </c>
      <c r="I30" s="154">
        <v>1.4402858154643372E-2</v>
      </c>
    </row>
    <row r="31" spans="1:9" ht="20" hidden="1" customHeight="1" thickBot="1">
      <c r="A31" s="625">
        <v>1988</v>
      </c>
      <c r="B31" s="544">
        <v>1.5544672686171879E-2</v>
      </c>
      <c r="C31" s="154">
        <v>4.9536074163174515E-3</v>
      </c>
      <c r="D31" s="544">
        <v>5.584558388865446E-2</v>
      </c>
      <c r="E31" s="154">
        <v>6.5056813554427828E-2</v>
      </c>
      <c r="F31" s="523" t="e">
        <v>#VALUE!</v>
      </c>
      <c r="G31" s="626" t="e">
        <v>#VALUE!</v>
      </c>
      <c r="H31" s="544">
        <v>3.5527601852645585E-2</v>
      </c>
      <c r="I31" s="154">
        <v>1.8724915964718258E-2</v>
      </c>
    </row>
    <row r="32" spans="1:9" ht="19.5" hidden="1" customHeight="1" thickBot="1">
      <c r="A32" s="625">
        <v>1989</v>
      </c>
      <c r="B32" s="544">
        <v>1.8044861851355565E-2</v>
      </c>
      <c r="C32" s="154">
        <v>2.66606799985456E-2</v>
      </c>
      <c r="D32" s="544">
        <v>0</v>
      </c>
      <c r="E32" s="154">
        <v>3.1852580855963097E-2</v>
      </c>
      <c r="F32" s="523" t="e">
        <v>#VALUE!</v>
      </c>
      <c r="G32" s="626" t="e">
        <v>#VALUE!</v>
      </c>
      <c r="H32" s="544">
        <v>1.885515533206239E-2</v>
      </c>
      <c r="I32" s="154">
        <v>3.1552865431011101E-2</v>
      </c>
    </row>
    <row r="33" spans="1:9" ht="20" hidden="1" customHeight="1" thickBot="1">
      <c r="A33" s="625">
        <v>1990</v>
      </c>
      <c r="B33" s="544">
        <v>2.0705387350959503E-2</v>
      </c>
      <c r="C33" s="154">
        <v>2.0863325529038468E-2</v>
      </c>
      <c r="D33" s="544">
        <v>5.4943395314558385E-2</v>
      </c>
      <c r="E33" s="154">
        <v>6.2708024972010001E-2</v>
      </c>
      <c r="F33" s="523" t="e">
        <v>#VALUE!</v>
      </c>
      <c r="G33" s="626" t="e">
        <v>#VALUE!</v>
      </c>
      <c r="H33" s="544">
        <v>4.1486887934867323E-2</v>
      </c>
      <c r="I33" s="154">
        <v>5.4039512641000043E-2</v>
      </c>
    </row>
    <row r="34" spans="1:9" ht="20" hidden="1" customHeight="1" thickBot="1">
      <c r="A34" s="625">
        <v>1991</v>
      </c>
      <c r="B34" s="544">
        <v>3.9941711167527316E-2</v>
      </c>
      <c r="C34" s="154">
        <v>3.8672679351526629E-2</v>
      </c>
      <c r="D34" s="544">
        <v>5.9496336314619258E-2</v>
      </c>
      <c r="E34" s="154">
        <v>0.10838620865387361</v>
      </c>
      <c r="F34" s="523" t="e">
        <v>#VALUE!</v>
      </c>
      <c r="G34" s="626" t="e">
        <v>#VALUE!</v>
      </c>
      <c r="H34" s="544">
        <v>6.2592189850229518E-2</v>
      </c>
      <c r="I34" s="154">
        <v>5.8595918912966338E-2</v>
      </c>
    </row>
    <row r="35" spans="1:9" ht="11.25" hidden="1" customHeight="1" thickBot="1">
      <c r="A35" s="625">
        <v>1992</v>
      </c>
      <c r="B35" s="544">
        <v>2.8293197419450689E-2</v>
      </c>
      <c r="C35" s="154">
        <v>4.7093990768077409E-2</v>
      </c>
      <c r="D35" s="544">
        <v>4.0357484934927079E-2</v>
      </c>
      <c r="E35" s="154">
        <v>0.10058048326107216</v>
      </c>
      <c r="F35" s="523" t="e">
        <v>#VALUE!</v>
      </c>
      <c r="G35" s="626" t="e">
        <v>#VALUE!</v>
      </c>
      <c r="H35" s="544">
        <v>5.7343306887824408E-2</v>
      </c>
      <c r="I35" s="154">
        <v>4.037007270840709E-2</v>
      </c>
    </row>
    <row r="36" spans="1:9" ht="20" hidden="1" customHeight="1" thickBot="1">
      <c r="A36" s="625">
        <v>1993</v>
      </c>
      <c r="B36" s="544">
        <v>1.9495866797444972E-2</v>
      </c>
      <c r="C36" s="154">
        <v>8.6374783018805523E-4</v>
      </c>
      <c r="D36" s="544">
        <v>4.4338734662820123E-2</v>
      </c>
      <c r="E36" s="154">
        <v>7.3169880070551141E-2</v>
      </c>
      <c r="F36" s="544" t="e">
        <v>#VALUE!</v>
      </c>
      <c r="G36" s="154" t="e">
        <v>#VALUE!</v>
      </c>
      <c r="H36" s="544">
        <v>3.5184477405738601E-2</v>
      </c>
      <c r="I36" s="154">
        <v>3.2925996983296235E-2</v>
      </c>
    </row>
    <row r="37" spans="1:9" ht="19.5" hidden="1" customHeight="1" thickBot="1">
      <c r="A37" s="625">
        <v>1994</v>
      </c>
      <c r="B37" s="544">
        <v>1.3595653499495652E-2</v>
      </c>
      <c r="C37" s="154">
        <v>1.2166007063352247E-4</v>
      </c>
      <c r="D37" s="544">
        <v>1.4269084831005641E-2</v>
      </c>
      <c r="E37" s="154">
        <v>3.6373127680115802E-2</v>
      </c>
      <c r="F37" s="544">
        <v>1.3912089648164372E-2</v>
      </c>
      <c r="G37" s="154">
        <v>0</v>
      </c>
      <c r="H37" s="544">
        <v>1.9840761461165535E-2</v>
      </c>
      <c r="I37" s="154">
        <v>8.5209462570192684E-3</v>
      </c>
    </row>
    <row r="38" spans="1:9" ht="19.5" hidden="1" customHeight="1" thickBot="1">
      <c r="A38" s="625">
        <v>1995</v>
      </c>
      <c r="B38" s="544">
        <v>2.6044103659493834E-2</v>
      </c>
      <c r="C38" s="154">
        <v>3.1557801314410217E-3</v>
      </c>
      <c r="D38" s="544">
        <v>7.5214383062605084E-3</v>
      </c>
      <c r="E38" s="154">
        <v>2.6972880704214663E-2</v>
      </c>
      <c r="F38" s="544">
        <v>5.9679019831284652E-3</v>
      </c>
      <c r="G38" s="154">
        <v>0</v>
      </c>
      <c r="H38" s="544">
        <v>1.812803609646596E-2</v>
      </c>
      <c r="I38" s="154">
        <v>1.79983110516444E-2</v>
      </c>
    </row>
    <row r="39" spans="1:9" ht="20.25" customHeight="1" thickBot="1">
      <c r="A39" s="625">
        <v>1996</v>
      </c>
      <c r="B39" s="544">
        <v>3.3176482964660803E-3</v>
      </c>
      <c r="C39" s="154">
        <v>5.0851296177789607E-3</v>
      </c>
      <c r="D39" s="544">
        <v>6.3947579727148263E-3</v>
      </c>
      <c r="E39" s="154">
        <v>3.4195234461111834E-2</v>
      </c>
      <c r="F39" s="544">
        <v>1.5009280076963005E-3</v>
      </c>
      <c r="G39" s="154">
        <v>-4.9661110253507168E-4</v>
      </c>
      <c r="H39" s="544">
        <v>1.8837497247082835E-2</v>
      </c>
      <c r="I39" s="154">
        <v>8.1166011923192727E-3</v>
      </c>
    </row>
    <row r="40" spans="1:9" ht="20.25" customHeight="1" thickBot="1">
      <c r="A40" s="625">
        <v>1997</v>
      </c>
      <c r="B40" s="544">
        <v>-3.9624823122792474E-3</v>
      </c>
      <c r="C40" s="154">
        <v>3.8008221695313704E-3</v>
      </c>
      <c r="D40" s="544">
        <v>5.4808570359472508E-3</v>
      </c>
      <c r="E40" s="154">
        <v>1.4278994029310654E-2</v>
      </c>
      <c r="F40" s="544">
        <v>-7.4094906141286554E-3</v>
      </c>
      <c r="G40" s="154">
        <v>-3.7818021806372837E-3</v>
      </c>
      <c r="H40" s="544">
        <v>7.6095634245316734E-3</v>
      </c>
      <c r="I40" s="154">
        <v>5.2020451848171501E-3</v>
      </c>
    </row>
    <row r="41" spans="1:9" ht="20.25" customHeight="1" thickBot="1">
      <c r="A41" s="625">
        <v>1998</v>
      </c>
      <c r="B41" s="544">
        <v>-2.6871570763742691E-2</v>
      </c>
      <c r="C41" s="154">
        <v>-4.5003375877905594E-4</v>
      </c>
      <c r="D41" s="544">
        <v>7.1836151516193603E-3</v>
      </c>
      <c r="E41" s="154">
        <v>1.5462053711893686E-2</v>
      </c>
      <c r="F41" s="544">
        <v>-8.1249180431084422E-3</v>
      </c>
      <c r="G41" s="154">
        <v>8.2897297982467144E-3</v>
      </c>
      <c r="H41" s="544">
        <v>4.8352632916530691E-3</v>
      </c>
      <c r="I41" s="154">
        <v>1.7937050393657117E-4</v>
      </c>
    </row>
    <row r="42" spans="1:9" ht="20.25" customHeight="1" thickBot="1">
      <c r="A42" s="625">
        <v>1999</v>
      </c>
      <c r="B42" s="544">
        <v>-1.1168895806180856E-2</v>
      </c>
      <c r="C42" s="154">
        <v>-3.0249084964961703E-5</v>
      </c>
      <c r="D42" s="544">
        <v>5.9648017588114222E-3</v>
      </c>
      <c r="E42" s="154">
        <v>1.1136590540768099E-2</v>
      </c>
      <c r="F42" s="544">
        <v>2.2772280197012051E-3</v>
      </c>
      <c r="G42" s="154">
        <v>-2.3398138244890232E-2</v>
      </c>
      <c r="H42" s="544">
        <v>4.2047913692213612E-3</v>
      </c>
      <c r="I42" s="154">
        <v>8.0646978565712679E-3</v>
      </c>
    </row>
    <row r="43" spans="1:9" ht="20.25" customHeight="1" thickBot="1">
      <c r="A43" s="625">
        <v>2000</v>
      </c>
      <c r="B43" s="544">
        <v>4.2788002297347028E-3</v>
      </c>
      <c r="C43" s="154">
        <v>0</v>
      </c>
      <c r="D43" s="544">
        <v>1.6645452871290045E-2</v>
      </c>
      <c r="E43" s="154">
        <v>5.5394940759512235E-3</v>
      </c>
      <c r="F43" s="544">
        <v>-3.1736944416462798E-3</v>
      </c>
      <c r="G43" s="154">
        <v>-1.0436362646149444E-2</v>
      </c>
      <c r="H43" s="544">
        <v>4.7908428835050643E-3</v>
      </c>
      <c r="I43" s="154">
        <v>1.5584911851677541E-2</v>
      </c>
    </row>
    <row r="44" spans="1:9" ht="20.25" customHeight="1" thickBot="1">
      <c r="A44" s="625">
        <v>2001</v>
      </c>
      <c r="B44" s="544">
        <v>-6.618836751683288E-3</v>
      </c>
      <c r="C44" s="154">
        <v>5.9499999999990116E-4</v>
      </c>
      <c r="D44" s="544">
        <v>2.0262987497135176E-2</v>
      </c>
      <c r="E44" s="154">
        <v>7.2860181790750378E-3</v>
      </c>
      <c r="F44" s="544">
        <v>1.3910859635694051E-2</v>
      </c>
      <c r="G44" s="154">
        <v>9.1099852603160336E-3</v>
      </c>
      <c r="H44" s="544">
        <v>5.5339690333648939E-3</v>
      </c>
      <c r="I44" s="154">
        <v>9.8906182903097939E-3</v>
      </c>
    </row>
    <row r="45" spans="1:9" ht="20.25" customHeight="1" thickBot="1">
      <c r="A45" s="625">
        <v>2002</v>
      </c>
      <c r="B45" s="544">
        <v>-3.206218071118272E-2</v>
      </c>
      <c r="C45" s="154">
        <v>2.7583587765289685E-4</v>
      </c>
      <c r="D45" s="544">
        <v>1.0699803228774618E-2</v>
      </c>
      <c r="E45" s="154">
        <v>1.6892947516796264E-2</v>
      </c>
      <c r="F45" s="544">
        <v>3.3966948836419153E-3</v>
      </c>
      <c r="G45" s="154">
        <v>6.3989480855215497E-3</v>
      </c>
      <c r="H45" s="544">
        <v>4.0530747000455669E-3</v>
      </c>
      <c r="I45" s="154">
        <v>6.4270726618462781E-3</v>
      </c>
    </row>
    <row r="46" spans="1:9" ht="20.25" customHeight="1" thickBot="1">
      <c r="A46" s="625">
        <v>2003</v>
      </c>
      <c r="B46" s="544">
        <v>-1.1822652930562727E-2</v>
      </c>
      <c r="C46" s="154">
        <v>0</v>
      </c>
      <c r="D46" s="544">
        <v>5.8765526036377302E-3</v>
      </c>
      <c r="E46" s="154">
        <v>2.1130710544772668E-2</v>
      </c>
      <c r="F46" s="544">
        <v>-1.2795294950727065E-3</v>
      </c>
      <c r="G46" s="154">
        <v>2.8810720268006795E-2</v>
      </c>
      <c r="H46" s="544">
        <v>8.6823501455475238E-3</v>
      </c>
      <c r="I46" s="154">
        <v>6.3830872214694079E-3</v>
      </c>
    </row>
    <row r="47" spans="1:9" ht="24" customHeight="1" thickBot="1">
      <c r="A47" s="766">
        <v>2004</v>
      </c>
      <c r="B47" s="486">
        <v>-1.966845505863235E-3</v>
      </c>
      <c r="C47" s="659">
        <v>0</v>
      </c>
      <c r="D47" s="486">
        <v>5.5257467766476331E-3</v>
      </c>
      <c r="E47" s="659">
        <v>2.1134786326011179E-2</v>
      </c>
      <c r="F47" s="486">
        <v>-3.2615150091729328E-3</v>
      </c>
      <c r="G47" s="659">
        <v>1.5441415902082145E-2</v>
      </c>
      <c r="H47" s="486">
        <v>9.2741195328778225E-3</v>
      </c>
      <c r="I47" s="659">
        <v>8.0293500026797915E-3</v>
      </c>
    </row>
    <row r="48" spans="1:9" ht="20" customHeight="1">
      <c r="A48" s="718" t="s">
        <v>830</v>
      </c>
      <c r="B48" s="723"/>
      <c r="C48" s="723"/>
      <c r="D48" s="723"/>
      <c r="E48" s="723"/>
      <c r="F48" s="723"/>
      <c r="G48" s="723"/>
      <c r="H48" s="723"/>
      <c r="I48" s="723"/>
    </row>
    <row r="49" spans="1:9" ht="11.25" customHeight="1">
      <c r="A49" s="722"/>
      <c r="B49" s="723"/>
      <c r="C49" s="723"/>
      <c r="D49" s="723"/>
      <c r="E49" s="723"/>
      <c r="F49" s="723"/>
      <c r="G49" s="723"/>
      <c r="H49" s="723"/>
      <c r="I49" s="723"/>
    </row>
    <row r="50" spans="1:9" ht="13.5" customHeight="1">
      <c r="A50" s="722" t="s">
        <v>1729</v>
      </c>
      <c r="B50" s="723"/>
      <c r="C50" s="723"/>
      <c r="D50" s="723"/>
      <c r="E50" s="723"/>
      <c r="F50" s="723"/>
      <c r="G50" s="723"/>
      <c r="H50" s="723"/>
      <c r="I50" s="723"/>
    </row>
    <row r="51" spans="1:9" ht="12.75" customHeight="1">
      <c r="A51" s="722"/>
      <c r="B51" s="723"/>
      <c r="C51" s="723"/>
      <c r="D51" s="723"/>
      <c r="E51" s="723"/>
      <c r="F51" s="723"/>
      <c r="G51" s="723"/>
      <c r="H51" s="723"/>
      <c r="I51" s="723"/>
    </row>
    <row r="52" spans="1:9" ht="13.5" customHeight="1">
      <c r="A52" s="915" t="s">
        <v>1730</v>
      </c>
      <c r="B52" s="717"/>
      <c r="C52" s="717"/>
      <c r="D52" s="717"/>
      <c r="E52" s="717"/>
      <c r="F52" s="717"/>
      <c r="G52" s="717"/>
      <c r="H52" s="717"/>
      <c r="I52" s="717"/>
    </row>
    <row r="53" spans="1:9" ht="13.5" customHeight="1">
      <c r="A53" s="916" t="s">
        <v>1731</v>
      </c>
      <c r="B53" s="717"/>
      <c r="C53" s="717"/>
      <c r="D53" s="717"/>
      <c r="E53" s="717"/>
      <c r="F53" s="717"/>
      <c r="G53" s="717"/>
      <c r="H53" s="717"/>
      <c r="I53" s="717"/>
    </row>
    <row r="54" spans="1:9" ht="13.5" customHeight="1">
      <c r="A54" s="916" t="s">
        <v>1732</v>
      </c>
      <c r="B54" s="717"/>
      <c r="C54" s="717"/>
      <c r="D54" s="717"/>
      <c r="E54" s="717"/>
      <c r="F54" s="717"/>
      <c r="G54" s="717"/>
      <c r="H54" s="717"/>
      <c r="I54" s="717"/>
    </row>
    <row r="55" spans="1:9" ht="13.5" customHeight="1">
      <c r="A55" s="917" t="s">
        <v>1733</v>
      </c>
      <c r="B55" s="717"/>
      <c r="C55" s="717"/>
      <c r="D55" s="717"/>
      <c r="E55" s="717"/>
      <c r="F55" s="717"/>
      <c r="G55" s="717"/>
      <c r="H55" s="717"/>
      <c r="I55" s="717"/>
    </row>
    <row r="56" spans="1:9" ht="13.5" customHeight="1">
      <c r="A56" s="917" t="s">
        <v>1734</v>
      </c>
      <c r="B56" s="717"/>
      <c r="C56" s="717"/>
      <c r="D56" s="717"/>
      <c r="E56" s="717"/>
      <c r="F56" s="717"/>
      <c r="G56" s="717"/>
      <c r="H56" s="717"/>
      <c r="I56" s="717"/>
    </row>
    <row r="57" spans="1:9" ht="13.5" customHeight="1">
      <c r="A57" s="916" t="s">
        <v>1735</v>
      </c>
      <c r="B57" s="717"/>
      <c r="C57" s="717"/>
      <c r="D57" s="717"/>
      <c r="E57" s="717"/>
      <c r="F57" s="717"/>
      <c r="G57" s="717"/>
      <c r="H57" s="717"/>
      <c r="I57" s="717"/>
    </row>
    <row r="58" spans="1:9" ht="13.5" customHeight="1">
      <c r="A58" s="916" t="s">
        <v>1736</v>
      </c>
      <c r="B58" s="717"/>
      <c r="C58" s="717"/>
      <c r="D58" s="717"/>
      <c r="E58" s="717"/>
      <c r="F58" s="717"/>
      <c r="G58" s="717"/>
      <c r="H58" s="717"/>
      <c r="I58" s="717"/>
    </row>
    <row r="59" spans="1:9" ht="13.5" customHeight="1">
      <c r="A59" s="916" t="s">
        <v>1737</v>
      </c>
      <c r="B59" s="717"/>
      <c r="C59" s="717"/>
      <c r="D59" s="717"/>
      <c r="E59" s="717"/>
      <c r="F59" s="717"/>
      <c r="G59" s="717"/>
      <c r="H59" s="717"/>
      <c r="I59" s="717"/>
    </row>
    <row r="60" spans="1:9" ht="13.5" customHeight="1">
      <c r="A60" s="916" t="s">
        <v>1738</v>
      </c>
      <c r="B60" s="717"/>
      <c r="C60" s="717"/>
      <c r="D60" s="717"/>
      <c r="E60" s="717"/>
      <c r="F60" s="717"/>
      <c r="G60" s="717"/>
      <c r="H60" s="717"/>
      <c r="I60" s="717"/>
    </row>
    <row r="61" spans="1:9" ht="13.5" customHeight="1">
      <c r="A61" s="917" t="s">
        <v>682</v>
      </c>
      <c r="B61" s="717"/>
      <c r="C61" s="717"/>
      <c r="D61" s="717"/>
      <c r="E61" s="717"/>
      <c r="F61" s="717"/>
      <c r="G61" s="717"/>
      <c r="H61" s="717"/>
      <c r="I61" s="717"/>
    </row>
    <row r="62" spans="1:9" ht="13.5" customHeight="1">
      <c r="A62" s="917" t="s">
        <v>1739</v>
      </c>
      <c r="B62" s="717"/>
      <c r="C62" s="717"/>
      <c r="D62" s="717"/>
      <c r="E62" s="717"/>
      <c r="F62" s="717"/>
      <c r="G62" s="717"/>
      <c r="H62" s="717"/>
      <c r="I62" s="717"/>
    </row>
    <row r="63" spans="1:9" ht="13.5" customHeight="1">
      <c r="A63" s="916" t="s">
        <v>1740</v>
      </c>
      <c r="B63" s="717"/>
      <c r="C63" s="717"/>
      <c r="D63" s="717"/>
      <c r="E63" s="717"/>
      <c r="F63" s="717"/>
      <c r="G63" s="717"/>
      <c r="H63" s="717"/>
      <c r="I63" s="717"/>
    </row>
    <row r="65" spans="1:11">
      <c r="A65" s="722" t="s">
        <v>1741</v>
      </c>
    </row>
    <row r="68" spans="1:11" ht="16">
      <c r="A68" s="231" t="s">
        <v>104</v>
      </c>
      <c r="K68" s="221"/>
    </row>
  </sheetData>
  <phoneticPr fontId="0" type="noConversion"/>
  <pageMargins left="0.5" right="0.44" top="0.76" bottom="0.49" header="0.38" footer="0.4921259845"/>
  <pageSetup paperSize="9" scale="80" orientation="portrait" horizontalDpi="4294967292" verticalDpi="4294967292"/>
  <headerFooter alignWithMargins="0">
    <oddHeader>&amp;L&amp;"Arial,Bold"Zusatzinformationen zum Gesundheitswesen</oddHeader>
  </headerFooter>
  <rowBreaks count="1" manualBreakCount="1">
    <brk id="65" max="16383" man="1"/>
  </rowBreaks>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2257E-D6D5-B742-94C9-49298A934457}">
  <sheetPr>
    <pageSetUpPr fitToPage="1"/>
  </sheetPr>
  <dimension ref="A1:K58"/>
  <sheetViews>
    <sheetView topLeftCell="A20" zoomScale="75" workbookViewId="0">
      <selection activeCell="A37" sqref="A37"/>
    </sheetView>
  </sheetViews>
  <sheetFormatPr baseColWidth="10" defaultColWidth="11.3984375" defaultRowHeight="13"/>
  <cols>
    <col min="1" max="1" width="11.3984375" style="2"/>
    <col min="2" max="7" width="13.59765625" style="162" customWidth="1"/>
    <col min="8" max="9" width="13.59765625" style="2" customWidth="1"/>
    <col min="10" max="10" width="2.796875" style="2" customWidth="1"/>
    <col min="11" max="11" width="12.796875" style="2" customWidth="1"/>
    <col min="12" max="16384" width="11.3984375" style="2"/>
  </cols>
  <sheetData>
    <row r="1" spans="1:11" s="1" customFormat="1" ht="14" customHeight="1">
      <c r="A1" s="591"/>
      <c r="B1" s="705"/>
      <c r="C1" s="705"/>
      <c r="D1" s="705"/>
      <c r="E1" s="705"/>
      <c r="F1" s="705"/>
      <c r="G1" s="705"/>
    </row>
    <row r="2" spans="1:11" s="1" customFormat="1" ht="41.25" customHeight="1">
      <c r="A2" s="1743" t="s">
        <v>683</v>
      </c>
      <c r="B2" s="1716"/>
      <c r="C2" s="1716"/>
      <c r="D2" s="1716"/>
      <c r="E2" s="1716"/>
      <c r="F2" s="1716"/>
      <c r="G2" s="1716"/>
      <c r="H2" s="1716"/>
      <c r="I2" s="445"/>
      <c r="J2" s="983"/>
      <c r="K2" s="445">
        <v>2004</v>
      </c>
    </row>
    <row r="3" spans="1:11" ht="27" customHeight="1">
      <c r="A3" s="139" t="s">
        <v>1250</v>
      </c>
      <c r="B3" s="984" t="s">
        <v>892</v>
      </c>
      <c r="C3" s="141"/>
      <c r="D3" s="164"/>
      <c r="E3" s="985"/>
      <c r="F3" s="986" t="s">
        <v>893</v>
      </c>
      <c r="G3" s="141"/>
      <c r="H3" s="987"/>
      <c r="I3" s="19"/>
      <c r="J3" s="231"/>
      <c r="K3" s="988" t="s">
        <v>684</v>
      </c>
    </row>
    <row r="4" spans="1:11" ht="20.25" customHeight="1">
      <c r="A4" s="165"/>
      <c r="B4" s="363" t="s">
        <v>1247</v>
      </c>
      <c r="C4" s="144" t="s">
        <v>506</v>
      </c>
      <c r="D4" s="166" t="s">
        <v>505</v>
      </c>
      <c r="E4" s="144" t="s">
        <v>685</v>
      </c>
      <c r="F4" s="989" t="s">
        <v>652</v>
      </c>
      <c r="G4" s="465" t="s">
        <v>548</v>
      </c>
      <c r="H4" s="464" t="s">
        <v>548</v>
      </c>
      <c r="I4" s="465" t="s">
        <v>548</v>
      </c>
      <c r="J4" s="990"/>
      <c r="K4" s="991" t="s">
        <v>686</v>
      </c>
    </row>
    <row r="5" spans="1:11" ht="15" customHeight="1">
      <c r="A5" s="165"/>
      <c r="B5" s="363"/>
      <c r="C5" s="144"/>
      <c r="D5" s="166" t="s">
        <v>1592</v>
      </c>
      <c r="E5" s="144"/>
      <c r="F5" s="992"/>
      <c r="G5" s="465" t="s">
        <v>687</v>
      </c>
      <c r="H5" s="464" t="s">
        <v>688</v>
      </c>
      <c r="I5" s="465" t="s">
        <v>689</v>
      </c>
      <c r="J5" s="990"/>
      <c r="K5" s="991" t="s">
        <v>690</v>
      </c>
    </row>
    <row r="6" spans="1:11" s="620" customFormat="1" ht="26.25" customHeight="1">
      <c r="A6" s="782"/>
      <c r="B6" s="363"/>
      <c r="C6" s="706"/>
      <c r="D6" s="363" t="s">
        <v>508</v>
      </c>
      <c r="E6" s="706"/>
      <c r="F6" s="993"/>
      <c r="G6" s="706" t="s">
        <v>691</v>
      </c>
      <c r="H6" s="168"/>
      <c r="I6" s="147"/>
      <c r="J6" s="720"/>
      <c r="K6" s="994" t="s">
        <v>894</v>
      </c>
    </row>
    <row r="7" spans="1:11" ht="30" customHeight="1" thickBot="1">
      <c r="A7" s="777">
        <v>1996</v>
      </c>
      <c r="B7" s="758">
        <v>86.250055751304572</v>
      </c>
      <c r="C7" s="757" t="s">
        <v>1300</v>
      </c>
      <c r="D7" s="758" t="s">
        <v>1300</v>
      </c>
      <c r="E7" s="757" t="s">
        <v>1300</v>
      </c>
      <c r="F7" s="995" t="s">
        <v>1300</v>
      </c>
      <c r="G7" s="757" t="s">
        <v>1300</v>
      </c>
      <c r="H7" s="708" t="s">
        <v>1300</v>
      </c>
      <c r="I7" s="170" t="s">
        <v>1300</v>
      </c>
      <c r="J7" s="714"/>
      <c r="K7" s="708" t="s">
        <v>1300</v>
      </c>
    </row>
    <row r="8" spans="1:11" ht="18" customHeight="1" thickBot="1">
      <c r="A8" s="625">
        <v>1997</v>
      </c>
      <c r="B8" s="758">
        <v>93.042794701396019</v>
      </c>
      <c r="C8" s="508">
        <v>92.444560110674317</v>
      </c>
      <c r="D8" s="507">
        <v>92.272278855639584</v>
      </c>
      <c r="E8" s="508">
        <v>94.708135081815001</v>
      </c>
      <c r="F8" s="995" t="s">
        <v>1300</v>
      </c>
      <c r="G8" s="757" t="s">
        <v>1300</v>
      </c>
      <c r="H8" s="708" t="s">
        <v>1300</v>
      </c>
      <c r="I8" s="170" t="s">
        <v>1300</v>
      </c>
      <c r="J8" s="714"/>
      <c r="K8" s="708" t="s">
        <v>1300</v>
      </c>
    </row>
    <row r="9" spans="1:11" ht="18" customHeight="1" thickBot="1">
      <c r="A9" s="996">
        <v>1998</v>
      </c>
      <c r="B9" s="758">
        <v>97.743187190580258</v>
      </c>
      <c r="C9" s="997">
        <v>97.816191141488716</v>
      </c>
      <c r="D9" s="998">
        <v>98.901550603293458</v>
      </c>
      <c r="E9" s="997">
        <v>97.609376813276072</v>
      </c>
      <c r="F9" s="995" t="s">
        <v>1300</v>
      </c>
      <c r="G9" s="757" t="s">
        <v>1300</v>
      </c>
      <c r="H9" s="708" t="s">
        <v>1300</v>
      </c>
      <c r="I9" s="170" t="s">
        <v>1300</v>
      </c>
      <c r="J9" s="714"/>
      <c r="K9" s="708" t="s">
        <v>1300</v>
      </c>
    </row>
    <row r="10" spans="1:11" ht="18" customHeight="1" thickBot="1">
      <c r="A10" s="625">
        <v>1999</v>
      </c>
      <c r="B10" s="758">
        <v>100</v>
      </c>
      <c r="C10" s="508">
        <v>100</v>
      </c>
      <c r="D10" s="507">
        <v>100</v>
      </c>
      <c r="E10" s="508">
        <v>100</v>
      </c>
      <c r="F10" s="999">
        <v>100</v>
      </c>
      <c r="G10" s="508">
        <v>100</v>
      </c>
      <c r="H10" s="507">
        <v>100</v>
      </c>
      <c r="I10" s="508">
        <v>100</v>
      </c>
      <c r="J10" s="714"/>
      <c r="K10" s="507" t="s">
        <v>1300</v>
      </c>
    </row>
    <row r="11" spans="1:11" ht="18" customHeight="1" thickBot="1">
      <c r="A11" s="624">
        <v>2000</v>
      </c>
      <c r="B11" s="708">
        <v>103.10646269122698</v>
      </c>
      <c r="C11" s="170">
        <v>103.03441222531174</v>
      </c>
      <c r="D11" s="708">
        <v>99.091265525004431</v>
      </c>
      <c r="E11" s="170">
        <v>103.07365838293074</v>
      </c>
      <c r="F11" s="1000">
        <v>106.4</v>
      </c>
      <c r="G11" s="170">
        <v>104.3</v>
      </c>
      <c r="H11" s="708">
        <v>107.5</v>
      </c>
      <c r="I11" s="170">
        <v>106.7</v>
      </c>
      <c r="J11" s="714"/>
      <c r="K11" s="633">
        <v>-3.0000000000000001E-3</v>
      </c>
    </row>
    <row r="12" spans="1:11" ht="18" customHeight="1" thickBot="1">
      <c r="A12" s="625">
        <v>2001</v>
      </c>
      <c r="B12" s="507">
        <v>106.58924668837251</v>
      </c>
      <c r="C12" s="508">
        <v>107.41253121846763</v>
      </c>
      <c r="D12" s="507">
        <v>99.966483697164392</v>
      </c>
      <c r="E12" s="508">
        <v>108.20305376415389</v>
      </c>
      <c r="F12" s="999">
        <v>111.1</v>
      </c>
      <c r="G12" s="508">
        <v>107.5</v>
      </c>
      <c r="H12" s="507">
        <v>112.5</v>
      </c>
      <c r="I12" s="508">
        <v>112.5</v>
      </c>
      <c r="J12" s="714"/>
      <c r="K12" s="544">
        <v>-4.0000000000000001E-3</v>
      </c>
    </row>
    <row r="13" spans="1:11" ht="18" customHeight="1" thickBot="1">
      <c r="A13" s="996">
        <v>2002</v>
      </c>
      <c r="B13" s="998">
        <v>116.32286695508675</v>
      </c>
      <c r="C13" s="997">
        <v>116.60890964793332</v>
      </c>
      <c r="D13" s="998">
        <v>112.72607694837224</v>
      </c>
      <c r="E13" s="997">
        <v>118.09048558497321</v>
      </c>
      <c r="F13" s="1001">
        <v>115.4</v>
      </c>
      <c r="G13" s="997">
        <v>107.9</v>
      </c>
      <c r="H13" s="998">
        <v>117.5</v>
      </c>
      <c r="I13" s="997">
        <v>119.3</v>
      </c>
      <c r="J13" s="714"/>
      <c r="K13" s="1002">
        <v>-5.0000000000000001E-3</v>
      </c>
    </row>
    <row r="14" spans="1:11" ht="18" customHeight="1" thickBot="1">
      <c r="A14" s="996">
        <v>2003</v>
      </c>
      <c r="B14" s="998">
        <v>126.83867802506579</v>
      </c>
      <c r="C14" s="997">
        <v>126.36094255801954</v>
      </c>
      <c r="D14" s="998">
        <v>128.18468115245491</v>
      </c>
      <c r="E14" s="997">
        <v>128.50511447470944</v>
      </c>
      <c r="F14" s="1001">
        <v>116.38</v>
      </c>
      <c r="G14" s="997">
        <v>110</v>
      </c>
      <c r="H14" s="998">
        <v>117.9</v>
      </c>
      <c r="I14" s="997">
        <v>120.1</v>
      </c>
      <c r="J14" s="714"/>
      <c r="K14" s="1002">
        <v>-5.0000000000000001E-3</v>
      </c>
    </row>
    <row r="15" spans="1:11" ht="18" customHeight="1" thickBot="1">
      <c r="A15" s="1003">
        <v>2004</v>
      </c>
      <c r="B15" s="1004">
        <v>135.46953748717718</v>
      </c>
      <c r="C15" s="1005">
        <v>134.46062249738608</v>
      </c>
      <c r="D15" s="1004">
        <v>140.98790883565627</v>
      </c>
      <c r="E15" s="1005">
        <v>134.59274855352376</v>
      </c>
      <c r="F15" s="1006">
        <v>117.9</v>
      </c>
      <c r="G15" s="1005">
        <v>113.3</v>
      </c>
      <c r="H15" s="1004">
        <v>118.6</v>
      </c>
      <c r="I15" s="1005">
        <v>121.2</v>
      </c>
      <c r="J15" s="714"/>
      <c r="K15" s="998" t="s">
        <v>1300</v>
      </c>
    </row>
    <row r="16" spans="1:11" ht="3" customHeight="1" thickBot="1">
      <c r="A16" s="1007" t="s">
        <v>895</v>
      </c>
      <c r="B16" s="1008">
        <v>146.37619217843763</v>
      </c>
      <c r="C16" s="1009" t="s">
        <v>1300</v>
      </c>
      <c r="D16" s="1010" t="s">
        <v>1300</v>
      </c>
      <c r="E16" s="1009" t="s">
        <v>1300</v>
      </c>
      <c r="F16" s="1011" t="s">
        <v>1300</v>
      </c>
      <c r="G16" s="1009" t="s">
        <v>1300</v>
      </c>
      <c r="H16" s="1010" t="s">
        <v>1300</v>
      </c>
      <c r="I16" s="1009" t="s">
        <v>1300</v>
      </c>
      <c r="J16" s="714"/>
      <c r="K16" s="1010" t="s">
        <v>1300</v>
      </c>
    </row>
    <row r="17" spans="1:10" ht="18" customHeight="1">
      <c r="A17" s="767"/>
      <c r="B17" s="714"/>
      <c r="C17" s="1012"/>
      <c r="D17" s="714"/>
      <c r="E17" s="1012"/>
      <c r="F17" s="714"/>
      <c r="G17" s="1012"/>
      <c r="H17" s="714"/>
      <c r="I17" s="1012"/>
      <c r="J17" s="230"/>
    </row>
    <row r="18" spans="1:10" ht="18" customHeight="1">
      <c r="A18" s="767"/>
      <c r="B18" s="714"/>
      <c r="C18" s="1012"/>
      <c r="D18" s="714"/>
      <c r="E18" s="1012"/>
      <c r="F18" s="714"/>
      <c r="G18" s="1012"/>
      <c r="H18" s="714"/>
      <c r="I18" s="1012"/>
      <c r="J18" s="230"/>
    </row>
    <row r="19" spans="1:10" ht="18" customHeight="1">
      <c r="A19" s="1013" t="s">
        <v>692</v>
      </c>
      <c r="B19" s="714"/>
      <c r="C19" s="1012"/>
      <c r="D19" s="714"/>
      <c r="E19" s="1012"/>
      <c r="F19" s="714"/>
      <c r="G19" s="1012"/>
      <c r="H19" s="714"/>
      <c r="I19" s="1012"/>
      <c r="J19" s="230"/>
    </row>
    <row r="20" spans="1:10" ht="12.75" customHeight="1">
      <c r="A20" s="1014"/>
      <c r="B20" s="1015"/>
      <c r="C20" s="1016"/>
      <c r="D20" s="1015"/>
      <c r="E20" s="1016"/>
      <c r="F20" s="1015"/>
      <c r="G20" s="1016"/>
      <c r="H20" s="1015"/>
      <c r="I20" s="1016"/>
      <c r="J20" s="230"/>
    </row>
    <row r="21" spans="1:10" ht="27" customHeight="1">
      <c r="A21" s="139" t="s">
        <v>1250</v>
      </c>
      <c r="B21" s="984" t="s">
        <v>892</v>
      </c>
      <c r="C21" s="141"/>
      <c r="D21" s="164"/>
      <c r="E21" s="985"/>
      <c r="F21" s="986" t="s">
        <v>893</v>
      </c>
      <c r="G21" s="141"/>
      <c r="H21" s="987"/>
      <c r="I21" s="19"/>
      <c r="J21" s="230"/>
    </row>
    <row r="22" spans="1:10" ht="20.25" customHeight="1">
      <c r="A22" s="165"/>
      <c r="B22" s="363" t="s">
        <v>1247</v>
      </c>
      <c r="C22" s="144" t="s">
        <v>506</v>
      </c>
      <c r="D22" s="166" t="s">
        <v>505</v>
      </c>
      <c r="E22" s="144" t="s">
        <v>685</v>
      </c>
      <c r="F22" s="989" t="s">
        <v>652</v>
      </c>
      <c r="G22" s="465" t="s">
        <v>548</v>
      </c>
      <c r="H22" s="464" t="s">
        <v>548</v>
      </c>
      <c r="I22" s="465" t="s">
        <v>548</v>
      </c>
      <c r="J22" s="230"/>
    </row>
    <row r="23" spans="1:10" ht="15" customHeight="1">
      <c r="A23" s="165"/>
      <c r="B23" s="363"/>
      <c r="C23" s="144"/>
      <c r="D23" s="166" t="s">
        <v>1592</v>
      </c>
      <c r="E23" s="144"/>
      <c r="F23" s="992"/>
      <c r="G23" s="465" t="s">
        <v>687</v>
      </c>
      <c r="H23" s="464" t="s">
        <v>688</v>
      </c>
      <c r="I23" s="465" t="s">
        <v>689</v>
      </c>
      <c r="J23" s="230"/>
    </row>
    <row r="24" spans="1:10" s="620" customFormat="1" ht="26.25" customHeight="1">
      <c r="A24" s="167"/>
      <c r="B24" s="168"/>
      <c r="C24" s="147"/>
      <c r="D24" s="168" t="s">
        <v>508</v>
      </c>
      <c r="E24" s="147"/>
      <c r="F24" s="1017"/>
      <c r="G24" s="147" t="s">
        <v>691</v>
      </c>
      <c r="H24" s="168"/>
      <c r="I24" s="147"/>
      <c r="J24" s="230"/>
    </row>
    <row r="25" spans="1:10" ht="26.25" customHeight="1" thickBot="1">
      <c r="A25" s="624">
        <v>1997</v>
      </c>
      <c r="B25" s="633">
        <v>7.8756342716783667E-2</v>
      </c>
      <c r="C25" s="150" t="s">
        <v>1300</v>
      </c>
      <c r="D25" s="633" t="s">
        <v>1300</v>
      </c>
      <c r="E25" s="150" t="s">
        <v>1300</v>
      </c>
      <c r="F25" s="1018" t="s">
        <v>1300</v>
      </c>
      <c r="G25" s="150" t="s">
        <v>1300</v>
      </c>
      <c r="H25" s="633" t="s">
        <v>1300</v>
      </c>
      <c r="I25" s="150" t="s">
        <v>1300</v>
      </c>
      <c r="J25" s="230"/>
    </row>
    <row r="26" spans="1:10" ht="18" customHeight="1" thickBot="1">
      <c r="A26" s="625">
        <v>1998</v>
      </c>
      <c r="B26" s="633">
        <v>5.0518608176692181E-2</v>
      </c>
      <c r="C26" s="154" t="s">
        <v>1300</v>
      </c>
      <c r="D26" s="544" t="s">
        <v>1300</v>
      </c>
      <c r="E26" s="154" t="s">
        <v>1300</v>
      </c>
      <c r="F26" s="1018" t="s">
        <v>1300</v>
      </c>
      <c r="G26" s="150" t="s">
        <v>1300</v>
      </c>
      <c r="H26" s="633" t="s">
        <v>1300</v>
      </c>
      <c r="I26" s="150" t="s">
        <v>1300</v>
      </c>
      <c r="J26" s="230"/>
    </row>
    <row r="27" spans="1:10" ht="18" customHeight="1" thickBot="1">
      <c r="A27" s="624">
        <v>1999</v>
      </c>
      <c r="B27" s="633">
        <v>2.308920830481398E-2</v>
      </c>
      <c r="C27" s="154">
        <v>2.2325637842026236E-2</v>
      </c>
      <c r="D27" s="544">
        <v>1.1106493174334098E-2</v>
      </c>
      <c r="E27" s="154">
        <v>2.4491737011057113E-2</v>
      </c>
      <c r="F27" s="1018" t="s">
        <v>1300</v>
      </c>
      <c r="G27" s="150" t="s">
        <v>1300</v>
      </c>
      <c r="H27" s="633" t="s">
        <v>1300</v>
      </c>
      <c r="I27" s="150" t="s">
        <v>1300</v>
      </c>
      <c r="J27" s="230"/>
    </row>
    <row r="28" spans="1:10" ht="18" customHeight="1" thickBot="1">
      <c r="A28" s="625">
        <v>2000</v>
      </c>
      <c r="B28" s="633">
        <v>3.1064626912269855E-2</v>
      </c>
      <c r="C28" s="154">
        <v>3.0344122253117334E-2</v>
      </c>
      <c r="D28" s="544">
        <v>-9.0873447499556503E-3</v>
      </c>
      <c r="E28" s="154">
        <v>3.073658382930744E-2</v>
      </c>
      <c r="F28" s="1019">
        <v>6.4000000000000001E-2</v>
      </c>
      <c r="G28" s="154">
        <v>4.2999999999999997E-2</v>
      </c>
      <c r="H28" s="544">
        <v>7.4999999999999997E-2</v>
      </c>
      <c r="I28" s="154">
        <v>6.7000000000000004E-2</v>
      </c>
      <c r="J28" s="230"/>
    </row>
    <row r="29" spans="1:10" ht="18" customHeight="1" thickBot="1">
      <c r="A29" s="624">
        <v>2001</v>
      </c>
      <c r="B29" s="633">
        <v>3.3778522764139618E-2</v>
      </c>
      <c r="C29" s="154">
        <v>4.2491813158326064E-2</v>
      </c>
      <c r="D29" s="544">
        <v>8.8324451960815065E-3</v>
      </c>
      <c r="E29" s="154">
        <v>4.9764367169028212E-2</v>
      </c>
      <c r="F29" s="1019">
        <v>4.4000000000000004E-2</v>
      </c>
      <c r="G29" s="154">
        <v>0.03</v>
      </c>
      <c r="H29" s="544">
        <v>4.7E-2</v>
      </c>
      <c r="I29" s="154">
        <v>5.5E-2</v>
      </c>
      <c r="J29" s="230"/>
    </row>
    <row r="30" spans="1:10" ht="18" customHeight="1" thickBot="1">
      <c r="A30" s="625">
        <v>2002</v>
      </c>
      <c r="B30" s="633">
        <v>9.131897043209003E-2</v>
      </c>
      <c r="C30" s="154">
        <v>8.5617370013942429E-2</v>
      </c>
      <c r="D30" s="544">
        <v>0.12763871228942492</v>
      </c>
      <c r="E30" s="154">
        <v>9.1378491427520858E-2</v>
      </c>
      <c r="F30" s="1019">
        <v>3.9E-2</v>
      </c>
      <c r="G30" s="154">
        <v>4.0000000000000001E-3</v>
      </c>
      <c r="H30" s="544">
        <v>4.4000000000000004E-2</v>
      </c>
      <c r="I30" s="154">
        <v>0.06</v>
      </c>
      <c r="J30" s="230"/>
    </row>
    <row r="31" spans="1:10" ht="18" customHeight="1" thickBot="1">
      <c r="A31" s="625">
        <v>2003</v>
      </c>
      <c r="B31" s="633">
        <v>9.0401924791273292E-2</v>
      </c>
      <c r="C31" s="154">
        <v>8.3630255522752606E-2</v>
      </c>
      <c r="D31" s="544">
        <v>0.13713423391078017</v>
      </c>
      <c r="E31" s="154">
        <v>8.8191938903005695E-2</v>
      </c>
      <c r="F31" s="1019">
        <v>8.492201039861369E-3</v>
      </c>
      <c r="G31" s="154">
        <v>1.9462465245597693E-2</v>
      </c>
      <c r="H31" s="544">
        <v>3.4042553191488967E-3</v>
      </c>
      <c r="I31" s="154">
        <v>6.7057837384743024E-3</v>
      </c>
      <c r="J31" s="230"/>
    </row>
    <row r="32" spans="1:10" ht="18" customHeight="1" thickBot="1">
      <c r="A32" s="1003">
        <v>2004</v>
      </c>
      <c r="B32" s="667">
        <v>6.8045958823425901E-2</v>
      </c>
      <c r="C32" s="174">
        <v>6.4099553037502144E-2</v>
      </c>
      <c r="D32" s="668">
        <v>9.9881105667954051E-2</v>
      </c>
      <c r="E32" s="174">
        <v>4.7372698773109123E-2</v>
      </c>
      <c r="F32" s="1020">
        <v>1.3060663344217405E-2</v>
      </c>
      <c r="G32" s="174">
        <v>0.03</v>
      </c>
      <c r="H32" s="668">
        <v>5.9372349448685302E-3</v>
      </c>
      <c r="I32" s="174">
        <v>9.1590341382181695E-3</v>
      </c>
      <c r="J32" s="230"/>
    </row>
    <row r="33" spans="1:10" ht="2.25" customHeight="1" thickBot="1">
      <c r="A33" s="1007" t="s">
        <v>895</v>
      </c>
      <c r="B33" s="544">
        <v>5.4096453443198245E-2</v>
      </c>
      <c r="C33" s="154" t="s">
        <v>1300</v>
      </c>
      <c r="D33" s="544" t="s">
        <v>1300</v>
      </c>
      <c r="E33" s="154" t="s">
        <v>1300</v>
      </c>
      <c r="F33" s="1019" t="s">
        <v>1300</v>
      </c>
      <c r="G33" s="154" t="s">
        <v>1300</v>
      </c>
      <c r="H33" s="1021" t="s">
        <v>1300</v>
      </c>
      <c r="I33" s="648" t="s">
        <v>1300</v>
      </c>
      <c r="J33" s="230"/>
    </row>
    <row r="34" spans="1:10" ht="17.25" customHeight="1">
      <c r="A34" s="711" t="s">
        <v>830</v>
      </c>
      <c r="B34" s="712"/>
      <c r="C34" s="712"/>
      <c r="D34" s="712"/>
      <c r="E34" s="712"/>
      <c r="F34" s="712"/>
      <c r="G34" s="712"/>
    </row>
    <row r="35" spans="1:10" ht="12" customHeight="1">
      <c r="A35" s="713"/>
      <c r="B35" s="714"/>
      <c r="C35" s="714"/>
      <c r="D35" s="714"/>
      <c r="E35" s="714"/>
      <c r="F35" s="714"/>
      <c r="G35" s="714"/>
    </row>
    <row r="36" spans="1:10" ht="14.25" customHeight="1">
      <c r="A36" s="713" t="s">
        <v>888</v>
      </c>
      <c r="B36" s="714"/>
      <c r="C36" s="714"/>
      <c r="D36" s="714"/>
      <c r="E36" s="714"/>
      <c r="F36" s="714"/>
      <c r="G36" s="714"/>
    </row>
    <row r="37" spans="1:10" ht="15" customHeight="1">
      <c r="A37" s="1022" t="s">
        <v>889</v>
      </c>
      <c r="B37"/>
      <c r="C37"/>
      <c r="D37"/>
      <c r="E37"/>
      <c r="F37"/>
      <c r="G37"/>
      <c r="I37" s="231"/>
    </row>
    <row r="38" spans="1:10" ht="15.75" customHeight="1">
      <c r="A38" s="5" t="s">
        <v>890</v>
      </c>
      <c r="B38" s="715"/>
      <c r="C38" s="715"/>
      <c r="D38" s="715"/>
      <c r="E38" s="715"/>
      <c r="F38" s="715"/>
      <c r="G38" s="715"/>
      <c r="I38" s="515"/>
    </row>
    <row r="39" spans="1:10" ht="15.75" customHeight="1">
      <c r="A39" s="5" t="s">
        <v>896</v>
      </c>
      <c r="B39" s="715"/>
      <c r="C39" s="715"/>
      <c r="D39" s="715"/>
      <c r="E39" s="715"/>
      <c r="F39" s="715"/>
      <c r="G39" s="715"/>
      <c r="I39" s="515"/>
    </row>
    <row r="40" spans="1:10" ht="15" customHeight="1">
      <c r="A40" s="713" t="s">
        <v>891</v>
      </c>
      <c r="B40" s="715"/>
      <c r="C40" s="715"/>
      <c r="D40" s="715"/>
      <c r="E40" s="715"/>
      <c r="F40" s="715"/>
      <c r="G40" s="715"/>
    </row>
    <row r="41" spans="1:10" ht="15.75" customHeight="1">
      <c r="A41" s="5"/>
      <c r="B41" s="715"/>
      <c r="C41" s="715"/>
      <c r="D41" s="715"/>
      <c r="E41" s="715"/>
      <c r="F41" s="715"/>
      <c r="G41" s="715"/>
      <c r="I41" s="231"/>
    </row>
    <row r="42" spans="1:10" ht="15" customHeight="1">
      <c r="A42" s="713"/>
      <c r="B42" s="715"/>
      <c r="C42" s="715"/>
      <c r="D42" s="715"/>
      <c r="E42" s="715"/>
      <c r="F42" s="715"/>
      <c r="G42" s="715"/>
    </row>
    <row r="43" spans="1:10" ht="16.5" customHeight="1">
      <c r="A43" s="5" t="s">
        <v>104</v>
      </c>
      <c r="B43" s="715"/>
      <c r="C43" s="715"/>
      <c r="D43" s="715"/>
      <c r="E43" s="715"/>
      <c r="F43" s="715"/>
      <c r="G43" s="715"/>
    </row>
    <row r="44" spans="1:10" ht="31" customHeight="1">
      <c r="A44" s="5"/>
      <c r="B44" s="715"/>
      <c r="C44" s="715"/>
      <c r="D44" s="715"/>
      <c r="E44" s="715"/>
      <c r="F44" s="715"/>
      <c r="G44" s="715"/>
    </row>
    <row r="45" spans="1:10" ht="31" customHeight="1">
      <c r="A45" s="5"/>
      <c r="B45" s="715"/>
      <c r="C45" s="715"/>
      <c r="D45" s="715"/>
      <c r="E45" s="715"/>
      <c r="F45" s="715"/>
      <c r="G45" s="715"/>
    </row>
    <row r="46" spans="1:10">
      <c r="A46" s="5"/>
      <c r="B46" s="715"/>
      <c r="C46" s="715"/>
      <c r="D46" s="715"/>
      <c r="E46" s="715"/>
      <c r="F46" s="715"/>
      <c r="G46" s="715"/>
    </row>
    <row r="47" spans="1:10">
      <c r="A47" s="5"/>
      <c r="B47" s="715"/>
      <c r="C47" s="715"/>
      <c r="D47" s="715"/>
      <c r="E47" s="715"/>
      <c r="F47" s="715"/>
      <c r="G47" s="715"/>
    </row>
    <row r="48" spans="1:10">
      <c r="A48" s="5"/>
      <c r="B48" s="715"/>
      <c r="C48" s="715"/>
      <c r="D48" s="715"/>
      <c r="E48" s="715"/>
      <c r="F48" s="715"/>
      <c r="G48" s="715"/>
    </row>
    <row r="49" spans="1:7">
      <c r="A49" s="5"/>
      <c r="B49" s="715"/>
      <c r="C49" s="715"/>
      <c r="D49" s="715"/>
      <c r="E49" s="715"/>
      <c r="F49" s="715"/>
      <c r="G49" s="715"/>
    </row>
    <row r="50" spans="1:7">
      <c r="A50" s="5"/>
      <c r="B50" s="715"/>
      <c r="C50" s="715"/>
      <c r="D50" s="715"/>
      <c r="E50" s="715"/>
      <c r="F50" s="715"/>
      <c r="G50" s="715"/>
    </row>
    <row r="51" spans="1:7">
      <c r="A51" s="5"/>
      <c r="B51" s="715"/>
      <c r="C51" s="715"/>
      <c r="D51" s="715"/>
      <c r="E51" s="715"/>
      <c r="F51" s="715"/>
      <c r="G51" s="715"/>
    </row>
    <row r="52" spans="1:7">
      <c r="A52" s="5"/>
      <c r="B52" s="715"/>
      <c r="C52" s="715"/>
      <c r="D52" s="715"/>
      <c r="E52" s="715"/>
      <c r="F52" s="715"/>
      <c r="G52" s="715"/>
    </row>
    <row r="53" spans="1:7">
      <c r="A53" s="5"/>
      <c r="B53" s="715"/>
      <c r="C53" s="715"/>
      <c r="D53" s="715"/>
      <c r="E53" s="715"/>
      <c r="F53" s="715"/>
      <c r="G53" s="715"/>
    </row>
    <row r="54" spans="1:7">
      <c r="A54" s="5"/>
      <c r="B54" s="715"/>
      <c r="C54" s="715"/>
      <c r="D54" s="715"/>
      <c r="E54" s="715"/>
      <c r="F54" s="715"/>
      <c r="G54" s="715"/>
    </row>
    <row r="55" spans="1:7">
      <c r="A55" s="5"/>
      <c r="B55" s="715"/>
      <c r="C55" s="715"/>
      <c r="D55" s="715"/>
      <c r="E55" s="715"/>
      <c r="F55" s="715"/>
      <c r="G55" s="715"/>
    </row>
    <row r="56" spans="1:7">
      <c r="A56" s="5"/>
      <c r="B56" s="715"/>
      <c r="C56" s="715"/>
      <c r="D56" s="715"/>
      <c r="E56" s="715"/>
      <c r="F56" s="715"/>
      <c r="G56" s="715"/>
    </row>
    <row r="57" spans="1:7">
      <c r="A57" s="5"/>
      <c r="B57" s="715"/>
      <c r="C57" s="715"/>
      <c r="D57" s="715"/>
      <c r="E57" s="715"/>
      <c r="F57" s="715"/>
      <c r="G57" s="715"/>
    </row>
    <row r="58" spans="1:7">
      <c r="A58" s="5"/>
      <c r="B58" s="715"/>
      <c r="C58" s="715"/>
      <c r="D58" s="715"/>
      <c r="E58" s="715"/>
      <c r="F58" s="715"/>
      <c r="G58" s="715"/>
    </row>
  </sheetData>
  <mergeCells count="1">
    <mergeCell ref="A2:H2"/>
  </mergeCells>
  <phoneticPr fontId="0" type="noConversion"/>
  <pageMargins left="0.46" right="0.44" top="0.82" bottom="0.68" header="0.41" footer="0.33"/>
  <pageSetup paperSize="9" scale="70" orientation="portrait" horizontalDpi="4294967292" verticalDpi="4294967292"/>
  <headerFooter alignWithMargins="0">
    <oddHeader>&amp;L&amp;"Arial,Bold"Zusatzinformationen zum Gesundheitswesen</oddHeader>
  </headerFooter>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9BE8D-6935-194C-AF9E-360D65231D31}">
  <sheetPr>
    <pageSetUpPr fitToPage="1"/>
  </sheetPr>
  <dimension ref="A1:O43"/>
  <sheetViews>
    <sheetView zoomScale="75" workbookViewId="0">
      <selection activeCell="A3" sqref="A3"/>
    </sheetView>
  </sheetViews>
  <sheetFormatPr baseColWidth="10" defaultColWidth="11.3984375" defaultRowHeight="13"/>
  <cols>
    <col min="1" max="1" width="17.19921875" style="2" customWidth="1"/>
    <col min="2" max="2" width="13.3984375" style="162" customWidth="1"/>
    <col min="3" max="3" width="13" style="162" customWidth="1"/>
    <col min="4" max="4" width="14.796875" style="162" customWidth="1"/>
    <col min="5" max="5" width="13.19921875" style="162" customWidth="1"/>
    <col min="6" max="6" width="15" style="162" customWidth="1"/>
    <col min="7" max="7" width="12.796875" style="162" customWidth="1"/>
    <col min="8" max="8" width="13.19921875" style="162" customWidth="1"/>
    <col min="9" max="10" width="13" style="162" customWidth="1"/>
    <col min="11" max="11" width="13.19921875" style="162" customWidth="1"/>
    <col min="12" max="12" width="12.796875" style="2" customWidth="1"/>
    <col min="13" max="13" width="14" style="2" customWidth="1"/>
    <col min="14" max="16384" width="11.3984375" style="2"/>
  </cols>
  <sheetData>
    <row r="1" spans="1:15" s="1" customFormat="1" ht="14" customHeight="1">
      <c r="A1" s="591"/>
      <c r="B1" s="705"/>
      <c r="C1" s="705"/>
      <c r="D1" s="705"/>
      <c r="E1" s="705"/>
      <c r="F1" s="705"/>
      <c r="G1" s="705"/>
      <c r="H1" s="705"/>
      <c r="I1" s="705"/>
      <c r="J1" s="705"/>
      <c r="K1" s="705"/>
    </row>
    <row r="2" spans="1:15" s="1" customFormat="1" ht="27" customHeight="1">
      <c r="A2" s="1023" t="s">
        <v>1303</v>
      </c>
      <c r="B2" s="519"/>
      <c r="C2" s="519"/>
      <c r="D2" s="519"/>
      <c r="E2" s="519"/>
      <c r="F2" s="519"/>
      <c r="G2" s="519"/>
      <c r="H2" s="519"/>
      <c r="I2" s="519"/>
      <c r="J2" s="519"/>
      <c r="K2" s="370"/>
      <c r="M2" s="370">
        <v>2004</v>
      </c>
    </row>
    <row r="3" spans="1:15" ht="27" customHeight="1">
      <c r="A3" s="139" t="s">
        <v>1250</v>
      </c>
      <c r="B3" s="164" t="s">
        <v>1698</v>
      </c>
      <c r="C3" s="141" t="s">
        <v>393</v>
      </c>
      <c r="D3" s="164" t="s">
        <v>1699</v>
      </c>
      <c r="E3" s="141" t="s">
        <v>393</v>
      </c>
      <c r="F3" s="164" t="s">
        <v>1700</v>
      </c>
      <c r="G3" s="141" t="s">
        <v>393</v>
      </c>
      <c r="H3" s="164" t="s">
        <v>1304</v>
      </c>
      <c r="I3" s="141" t="s">
        <v>393</v>
      </c>
      <c r="J3" s="164" t="s">
        <v>1701</v>
      </c>
      <c r="K3" s="141" t="s">
        <v>393</v>
      </c>
      <c r="L3" s="164" t="s">
        <v>1702</v>
      </c>
      <c r="M3" s="141" t="s">
        <v>393</v>
      </c>
    </row>
    <row r="4" spans="1:15" ht="15" customHeight="1">
      <c r="A4" s="165"/>
      <c r="B4" s="363" t="s">
        <v>1703</v>
      </c>
      <c r="C4" s="706" t="s">
        <v>453</v>
      </c>
      <c r="D4" s="363" t="s">
        <v>1704</v>
      </c>
      <c r="E4" s="706" t="s">
        <v>453</v>
      </c>
      <c r="F4" s="363" t="s">
        <v>1705</v>
      </c>
      <c r="G4" s="706" t="s">
        <v>453</v>
      </c>
      <c r="H4" s="363" t="s">
        <v>526</v>
      </c>
      <c r="I4" s="706" t="s">
        <v>453</v>
      </c>
      <c r="J4" s="363" t="s">
        <v>1706</v>
      </c>
      <c r="K4" s="706" t="s">
        <v>453</v>
      </c>
      <c r="L4" s="166" t="s">
        <v>1717</v>
      </c>
      <c r="M4" s="706" t="s">
        <v>453</v>
      </c>
    </row>
    <row r="5" spans="1:15" ht="15" customHeight="1">
      <c r="A5" s="165"/>
      <c r="B5" s="363" t="s">
        <v>1707</v>
      </c>
      <c r="C5" s="706" t="s">
        <v>454</v>
      </c>
      <c r="D5" s="363" t="s">
        <v>1718</v>
      </c>
      <c r="E5" s="706" t="s">
        <v>454</v>
      </c>
      <c r="F5" s="363" t="s">
        <v>1708</v>
      </c>
      <c r="G5" s="706" t="s">
        <v>454</v>
      </c>
      <c r="H5" s="363"/>
      <c r="I5" s="706" t="s">
        <v>454</v>
      </c>
      <c r="J5" s="363" t="s">
        <v>1709</v>
      </c>
      <c r="K5" s="706" t="s">
        <v>454</v>
      </c>
      <c r="L5" s="166" t="s">
        <v>1710</v>
      </c>
      <c r="M5" s="706" t="s">
        <v>454</v>
      </c>
    </row>
    <row r="6" spans="1:15" ht="15" hidden="1" customHeight="1">
      <c r="A6" s="165"/>
      <c r="B6" s="363" t="s">
        <v>1711</v>
      </c>
      <c r="C6" s="706"/>
      <c r="D6" s="363" t="s">
        <v>1711</v>
      </c>
      <c r="E6" s="706"/>
      <c r="F6" s="363" t="s">
        <v>1711</v>
      </c>
      <c r="G6" s="706"/>
      <c r="H6" s="363" t="s">
        <v>1711</v>
      </c>
      <c r="I6" s="706"/>
      <c r="J6" s="363" t="s">
        <v>1711</v>
      </c>
      <c r="K6" s="706"/>
      <c r="L6" s="166" t="s">
        <v>1712</v>
      </c>
      <c r="M6" s="144"/>
    </row>
    <row r="7" spans="1:15" ht="27" customHeight="1">
      <c r="A7" s="306"/>
      <c r="B7" s="168" t="s">
        <v>1719</v>
      </c>
      <c r="C7" s="147"/>
      <c r="D7" s="168"/>
      <c r="E7" s="147"/>
      <c r="F7" s="168" t="s">
        <v>1720</v>
      </c>
      <c r="G7" s="147"/>
      <c r="H7" s="168" t="s">
        <v>1307</v>
      </c>
      <c r="I7" s="147"/>
      <c r="J7" s="168" t="s">
        <v>1721</v>
      </c>
      <c r="K7" s="147"/>
      <c r="L7" s="168"/>
      <c r="M7" s="147"/>
      <c r="O7" s="370"/>
    </row>
    <row r="8" spans="1:15" ht="3" customHeight="1" thickBot="1">
      <c r="A8" s="777">
        <v>1985</v>
      </c>
      <c r="B8" s="758">
        <v>48.039096581879356</v>
      </c>
      <c r="C8" s="757" t="s">
        <v>2115</v>
      </c>
      <c r="D8" s="758" t="s">
        <v>1300</v>
      </c>
      <c r="E8" s="757" t="s">
        <v>2115</v>
      </c>
      <c r="F8" s="758" t="s">
        <v>1300</v>
      </c>
      <c r="G8" s="757" t="s">
        <v>2115</v>
      </c>
      <c r="H8" s="758" t="s">
        <v>1300</v>
      </c>
      <c r="I8" s="757" t="s">
        <v>2115</v>
      </c>
      <c r="J8" s="758" t="s">
        <v>1300</v>
      </c>
      <c r="K8" s="757" t="s">
        <v>2115</v>
      </c>
      <c r="L8" s="758">
        <v>69.267015706806276</v>
      </c>
      <c r="M8" s="757" t="s">
        <v>2115</v>
      </c>
    </row>
    <row r="9" spans="1:15" ht="18" hidden="1" customHeight="1" thickBot="1">
      <c r="A9" s="625">
        <v>1986</v>
      </c>
      <c r="B9" s="507">
        <v>51.277951786841811</v>
      </c>
      <c r="C9" s="154">
        <v>6.7421234690416165E-2</v>
      </c>
      <c r="D9" s="507" t="s">
        <v>1300</v>
      </c>
      <c r="E9" s="154" t="s">
        <v>2115</v>
      </c>
      <c r="F9" s="507" t="s">
        <v>1300</v>
      </c>
      <c r="G9" s="154" t="s">
        <v>2115</v>
      </c>
      <c r="H9" s="507" t="s">
        <v>1300</v>
      </c>
      <c r="I9" s="154" t="s">
        <v>2115</v>
      </c>
      <c r="J9" s="507" t="s">
        <v>1300</v>
      </c>
      <c r="K9" s="154" t="s">
        <v>2115</v>
      </c>
      <c r="L9" s="507">
        <v>71.727748691099478</v>
      </c>
      <c r="M9" s="154">
        <v>3.5525321239607166E-2</v>
      </c>
    </row>
    <row r="10" spans="1:15" ht="18" hidden="1" customHeight="1" thickBot="1">
      <c r="A10" s="625">
        <v>1987</v>
      </c>
      <c r="B10" s="507">
        <v>55.200098828185453</v>
      </c>
      <c r="C10" s="154">
        <v>7.6487981767440427E-2</v>
      </c>
      <c r="D10" s="507" t="s">
        <v>1300</v>
      </c>
      <c r="E10" s="154" t="s">
        <v>2115</v>
      </c>
      <c r="F10" s="507" t="s">
        <v>1300</v>
      </c>
      <c r="G10" s="154" t="s">
        <v>2115</v>
      </c>
      <c r="H10" s="507" t="s">
        <v>1300</v>
      </c>
      <c r="I10" s="154" t="s">
        <v>2115</v>
      </c>
      <c r="J10" s="507" t="s">
        <v>1300</v>
      </c>
      <c r="K10" s="154" t="s">
        <v>2115</v>
      </c>
      <c r="L10" s="507">
        <v>73.455497382198956</v>
      </c>
      <c r="M10" s="154">
        <v>2.4087591240876005E-2</v>
      </c>
    </row>
    <row r="11" spans="1:15" ht="18" hidden="1" customHeight="1" thickBot="1">
      <c r="A11" s="625">
        <v>1988</v>
      </c>
      <c r="B11" s="507">
        <v>57.744887354475971</v>
      </c>
      <c r="C11" s="154">
        <v>4.6101158880373916E-2</v>
      </c>
      <c r="D11" s="507" t="s">
        <v>1300</v>
      </c>
      <c r="E11" s="154" t="s">
        <v>2115</v>
      </c>
      <c r="F11" s="507" t="s">
        <v>1300</v>
      </c>
      <c r="G11" s="154" t="s">
        <v>2115</v>
      </c>
      <c r="H11" s="507" t="s">
        <v>1300</v>
      </c>
      <c r="I11" s="154" t="s">
        <v>2115</v>
      </c>
      <c r="J11" s="507" t="s">
        <v>1300</v>
      </c>
      <c r="K11" s="154" t="s">
        <v>2115</v>
      </c>
      <c r="L11" s="507">
        <v>76.020942408376968</v>
      </c>
      <c r="M11" s="154">
        <v>3.4925160370634423E-2</v>
      </c>
    </row>
    <row r="12" spans="1:15" ht="18" hidden="1" customHeight="1" thickBot="1">
      <c r="A12" s="625">
        <v>1989</v>
      </c>
      <c r="B12" s="507">
        <v>61.063012459590368</v>
      </c>
      <c r="C12" s="154">
        <v>5.746179890776415E-2</v>
      </c>
      <c r="D12" s="507" t="s">
        <v>1300</v>
      </c>
      <c r="E12" s="154" t="s">
        <v>2115</v>
      </c>
      <c r="F12" s="507" t="s">
        <v>1300</v>
      </c>
      <c r="G12" s="154" t="s">
        <v>2115</v>
      </c>
      <c r="H12" s="507" t="s">
        <v>1300</v>
      </c>
      <c r="I12" s="154" t="s">
        <v>2115</v>
      </c>
      <c r="J12" s="507" t="s">
        <v>1300</v>
      </c>
      <c r="K12" s="154" t="s">
        <v>2115</v>
      </c>
      <c r="L12" s="507">
        <v>78.900523560209422</v>
      </c>
      <c r="M12" s="154">
        <v>3.7878787878787845E-2</v>
      </c>
    </row>
    <row r="13" spans="1:15" ht="18" hidden="1" customHeight="1" thickBot="1">
      <c r="A13" s="625">
        <v>1990</v>
      </c>
      <c r="B13" s="507">
        <v>64.274565419161277</v>
      </c>
      <c r="C13" s="154">
        <v>5.2594079954640494E-2</v>
      </c>
      <c r="D13" s="507" t="s">
        <v>1300</v>
      </c>
      <c r="E13" s="154" t="s">
        <v>2115</v>
      </c>
      <c r="F13" s="507" t="s">
        <v>1300</v>
      </c>
      <c r="G13" s="154" t="s">
        <v>2115</v>
      </c>
      <c r="H13" s="507" t="s">
        <v>1300</v>
      </c>
      <c r="I13" s="154" t="s">
        <v>2115</v>
      </c>
      <c r="J13" s="507" t="s">
        <v>1300</v>
      </c>
      <c r="K13" s="154" t="s">
        <v>2115</v>
      </c>
      <c r="L13" s="507">
        <v>83.507853403141368</v>
      </c>
      <c r="M13" s="154">
        <v>5.8394160583941757E-2</v>
      </c>
    </row>
    <row r="14" spans="1:15" ht="18" hidden="1" customHeight="1" thickBot="1">
      <c r="A14" s="625">
        <v>1991</v>
      </c>
      <c r="B14" s="507">
        <v>71.042687968138111</v>
      </c>
      <c r="C14" s="154">
        <v>0.10530016818999988</v>
      </c>
      <c r="D14" s="507" t="s">
        <v>1300</v>
      </c>
      <c r="E14" s="154" t="s">
        <v>2115</v>
      </c>
      <c r="F14" s="507" t="s">
        <v>1300</v>
      </c>
      <c r="G14" s="154" t="s">
        <v>2115</v>
      </c>
      <c r="H14" s="507" t="s">
        <v>1300</v>
      </c>
      <c r="I14" s="154" t="s">
        <v>2115</v>
      </c>
      <c r="J14" s="507" t="s">
        <v>1300</v>
      </c>
      <c r="K14" s="154" t="s">
        <v>2115</v>
      </c>
      <c r="L14" s="507">
        <v>89.319371727748688</v>
      </c>
      <c r="M14" s="154">
        <v>6.959247648902811E-2</v>
      </c>
    </row>
    <row r="15" spans="1:15" ht="18" hidden="1" customHeight="1" thickBot="1">
      <c r="A15" s="625">
        <v>1992</v>
      </c>
      <c r="B15" s="507">
        <v>77.338471246969561</v>
      </c>
      <c r="C15" s="154">
        <v>8.8619722295066428E-2</v>
      </c>
      <c r="D15" s="507" t="s">
        <v>1300</v>
      </c>
      <c r="E15" s="154" t="s">
        <v>2115</v>
      </c>
      <c r="F15" s="507" t="s">
        <v>1300</v>
      </c>
      <c r="G15" s="154" t="s">
        <v>2115</v>
      </c>
      <c r="H15" s="507" t="s">
        <v>1300</v>
      </c>
      <c r="I15" s="154" t="s">
        <v>2115</v>
      </c>
      <c r="J15" s="507" t="s">
        <v>1300</v>
      </c>
      <c r="K15" s="154" t="s">
        <v>2115</v>
      </c>
      <c r="L15" s="507">
        <v>93.612565445026178</v>
      </c>
      <c r="M15" s="154">
        <v>4.8065650644783187E-2</v>
      </c>
    </row>
    <row r="16" spans="1:15" ht="18" hidden="1" customHeight="1" thickBot="1">
      <c r="A16" s="625">
        <v>1993</v>
      </c>
      <c r="B16" s="507">
        <v>82.47634907609573</v>
      </c>
      <c r="C16" s="154">
        <v>6.643366162125286E-2</v>
      </c>
      <c r="D16" s="507" t="s">
        <v>1300</v>
      </c>
      <c r="E16" s="154" t="s">
        <v>2115</v>
      </c>
      <c r="F16" s="507" t="s">
        <v>1300</v>
      </c>
      <c r="G16" s="154" t="s">
        <v>2115</v>
      </c>
      <c r="H16" s="507" t="s">
        <v>1300</v>
      </c>
      <c r="I16" s="154" t="s">
        <v>2115</v>
      </c>
      <c r="J16" s="507" t="s">
        <v>1300</v>
      </c>
      <c r="K16" s="154" t="s">
        <v>2115</v>
      </c>
      <c r="L16" s="507">
        <v>96.125654450261777</v>
      </c>
      <c r="M16" s="154">
        <v>2.6845637583892579E-2</v>
      </c>
    </row>
    <row r="17" spans="1:14" ht="18" hidden="1" customHeight="1" thickBot="1">
      <c r="A17" s="625">
        <v>1994</v>
      </c>
      <c r="B17" s="507">
        <v>87.519197555085469</v>
      </c>
      <c r="C17" s="154">
        <v>6.1142964443503978E-2</v>
      </c>
      <c r="D17" s="507" t="s">
        <v>1300</v>
      </c>
      <c r="E17" s="154" t="s">
        <v>2115</v>
      </c>
      <c r="F17" s="507" t="s">
        <v>1300</v>
      </c>
      <c r="G17" s="154" t="s">
        <v>2115</v>
      </c>
      <c r="H17" s="507" t="s">
        <v>1300</v>
      </c>
      <c r="I17" s="154" t="s">
        <v>2115</v>
      </c>
      <c r="J17" s="507" t="s">
        <v>1300</v>
      </c>
      <c r="K17" s="154" t="s">
        <v>2115</v>
      </c>
      <c r="L17" s="507">
        <v>97.486910994764401</v>
      </c>
      <c r="M17" s="154">
        <v>1.4161220043573008E-2</v>
      </c>
    </row>
    <row r="18" spans="1:14" ht="18" hidden="1" customHeight="1" thickBot="1">
      <c r="A18" s="625">
        <v>1995</v>
      </c>
      <c r="B18" s="507">
        <v>91.116876985480161</v>
      </c>
      <c r="C18" s="154">
        <v>4.1107317376056551E-2</v>
      </c>
      <c r="D18" s="507" t="s">
        <v>1300</v>
      </c>
      <c r="E18" s="154" t="s">
        <v>2115</v>
      </c>
      <c r="F18" s="507" t="s">
        <v>1300</v>
      </c>
      <c r="G18" s="154" t="s">
        <v>2115</v>
      </c>
      <c r="H18" s="507" t="s">
        <v>1300</v>
      </c>
      <c r="I18" s="154" t="s">
        <v>2115</v>
      </c>
      <c r="J18" s="507" t="s">
        <v>1300</v>
      </c>
      <c r="K18" s="154" t="s">
        <v>2115</v>
      </c>
      <c r="L18" s="507">
        <v>98.795811518324612</v>
      </c>
      <c r="M18" s="154">
        <v>1.3426423200859405E-2</v>
      </c>
    </row>
    <row r="19" spans="1:14" ht="18" customHeight="1" thickBot="1">
      <c r="A19" s="625">
        <v>1996</v>
      </c>
      <c r="B19" s="507">
        <v>100</v>
      </c>
      <c r="C19" s="154" t="s">
        <v>2115</v>
      </c>
      <c r="D19" s="507">
        <v>100</v>
      </c>
      <c r="E19" s="154" t="s">
        <v>2115</v>
      </c>
      <c r="F19" s="507">
        <v>100</v>
      </c>
      <c r="G19" s="154" t="s">
        <v>2115</v>
      </c>
      <c r="H19" s="507">
        <v>100</v>
      </c>
      <c r="I19" s="154" t="s">
        <v>2115</v>
      </c>
      <c r="J19" s="507">
        <v>100</v>
      </c>
      <c r="K19" s="154" t="s">
        <v>2115</v>
      </c>
      <c r="L19" s="507">
        <v>100</v>
      </c>
      <c r="M19" s="154" t="s">
        <v>2115</v>
      </c>
    </row>
    <row r="20" spans="1:14" ht="18" customHeight="1" thickBot="1">
      <c r="A20" s="625">
        <v>1997</v>
      </c>
      <c r="B20" s="507">
        <v>105.16030675413471</v>
      </c>
      <c r="C20" s="154">
        <v>5.1603067541347025E-2</v>
      </c>
      <c r="D20" s="507">
        <v>101.89193877392979</v>
      </c>
      <c r="E20" s="154">
        <v>1.891938773929791E-2</v>
      </c>
      <c r="F20" s="507">
        <v>107.58124703959587</v>
      </c>
      <c r="G20" s="154">
        <v>7.581247039595862E-2</v>
      </c>
      <c r="H20" s="507">
        <v>107.87563427167836</v>
      </c>
      <c r="I20" s="154">
        <v>7.8756342716783667E-2</v>
      </c>
      <c r="J20" s="507">
        <v>105.62910609008631</v>
      </c>
      <c r="K20" s="154">
        <v>5.629106090086311E-2</v>
      </c>
      <c r="L20" s="507">
        <v>100.47120418848168</v>
      </c>
      <c r="M20" s="154">
        <v>4.7120418848167755E-3</v>
      </c>
      <c r="N20" s="370"/>
    </row>
    <row r="21" spans="1:14" ht="18" customHeight="1" thickBot="1">
      <c r="A21" s="625">
        <v>1998</v>
      </c>
      <c r="B21" s="507">
        <v>111.72560750254088</v>
      </c>
      <c r="C21" s="154">
        <v>6.2431357905372797E-2</v>
      </c>
      <c r="D21" s="507">
        <v>105.89506308395747</v>
      </c>
      <c r="E21" s="154">
        <v>3.9287939342380174E-2</v>
      </c>
      <c r="F21" s="507">
        <v>114.72634184026704</v>
      </c>
      <c r="G21" s="154">
        <v>6.6415801984907041E-2</v>
      </c>
      <c r="H21" s="507">
        <v>113.32536117126143</v>
      </c>
      <c r="I21" s="154">
        <v>5.0518608176692181E-2</v>
      </c>
      <c r="J21" s="507">
        <v>124.01652645218175</v>
      </c>
      <c r="K21" s="154">
        <v>0.1740753192251161</v>
      </c>
      <c r="L21" s="507">
        <v>101.15183246073298</v>
      </c>
      <c r="M21" s="154">
        <v>6.774361646690874E-3</v>
      </c>
    </row>
    <row r="22" spans="1:14" ht="18" customHeight="1" thickBot="1">
      <c r="A22" s="625">
        <v>1999</v>
      </c>
      <c r="B22" s="507">
        <v>116.18948073547075</v>
      </c>
      <c r="C22" s="154">
        <v>3.9953895375582027E-2</v>
      </c>
      <c r="D22" s="507">
        <v>108.76224732072774</v>
      </c>
      <c r="E22" s="154">
        <v>2.7075712061260804E-2</v>
      </c>
      <c r="F22" s="507">
        <v>117.67608020112029</v>
      </c>
      <c r="G22" s="154">
        <v>2.5711081810314784E-2</v>
      </c>
      <c r="H22" s="507">
        <v>115.94195404156298</v>
      </c>
      <c r="I22" s="154">
        <v>2.308920830481398E-2</v>
      </c>
      <c r="J22" s="507">
        <v>129.1754195703584</v>
      </c>
      <c r="K22" s="154">
        <v>4.1598432610236102E-2</v>
      </c>
      <c r="L22" s="507">
        <v>101.46596858638743</v>
      </c>
      <c r="M22" s="154">
        <v>3.1055900621119736E-3</v>
      </c>
    </row>
    <row r="23" spans="1:14" ht="18" customHeight="1" thickBot="1">
      <c r="A23" s="625">
        <v>2000</v>
      </c>
      <c r="B23" s="507">
        <v>122.97999630416705</v>
      </c>
      <c r="C23" s="154">
        <v>5.844346257262556E-2</v>
      </c>
      <c r="D23" s="507">
        <v>112.75145195600452</v>
      </c>
      <c r="E23" s="154">
        <v>3.6678210808876122E-2</v>
      </c>
      <c r="F23" s="507">
        <v>121.56048791037489</v>
      </c>
      <c r="G23" s="154">
        <v>3.3009322732502344E-2</v>
      </c>
      <c r="H23" s="507">
        <v>119.54364758734366</v>
      </c>
      <c r="I23" s="154">
        <v>3.1064626912269633E-2</v>
      </c>
      <c r="J23" s="507">
        <v>134.93456176323738</v>
      </c>
      <c r="K23" s="154">
        <v>4.4583886098718217E-2</v>
      </c>
      <c r="L23" s="507">
        <v>102.77486910994764</v>
      </c>
      <c r="M23" s="154">
        <v>1.2899896800825594E-2</v>
      </c>
    </row>
    <row r="24" spans="1:14" ht="18" customHeight="1" thickBot="1">
      <c r="A24" s="625">
        <v>2001</v>
      </c>
      <c r="B24" s="507">
        <v>129.24986283646001</v>
      </c>
      <c r="C24" s="154">
        <v>5.0982816073483095E-2</v>
      </c>
      <c r="D24" s="507">
        <v>119.09099488489565</v>
      </c>
      <c r="E24" s="154">
        <v>5.6225820766945045E-2</v>
      </c>
      <c r="F24" s="507">
        <v>125.8016038708373</v>
      </c>
      <c r="G24" s="154">
        <v>3.4888934993328791E-2</v>
      </c>
      <c r="H24" s="507">
        <v>123.58165540868103</v>
      </c>
      <c r="I24" s="154">
        <v>3.3778522764139618E-2</v>
      </c>
      <c r="J24" s="507">
        <v>140.52252864776963</v>
      </c>
      <c r="K24" s="154">
        <v>4.1412421039593639E-2</v>
      </c>
      <c r="L24" s="507">
        <v>105.28795811518326</v>
      </c>
      <c r="M24" s="154">
        <v>2.4452368823229875E-2</v>
      </c>
    </row>
    <row r="25" spans="1:14" ht="18" customHeight="1" thickBot="1">
      <c r="A25" s="625">
        <v>2002</v>
      </c>
      <c r="B25" s="507">
        <v>134.14545412547352</v>
      </c>
      <c r="C25" s="154">
        <v>3.7876955391495493E-2</v>
      </c>
      <c r="D25" s="507">
        <v>122.39822840034257</v>
      </c>
      <c r="E25" s="154">
        <v>2.7770643100626158E-2</v>
      </c>
      <c r="F25" s="507">
        <v>136.29621770363448</v>
      </c>
      <c r="G25" s="154">
        <v>8.3421939863121297E-2</v>
      </c>
      <c r="H25" s="507">
        <v>134.86700494489511</v>
      </c>
      <c r="I25" s="154">
        <v>9.131897043209003E-2</v>
      </c>
      <c r="J25" s="507">
        <v>145.77361498122642</v>
      </c>
      <c r="K25" s="154">
        <v>3.7368288088659662E-2</v>
      </c>
      <c r="L25" s="507">
        <v>107.17277486910994</v>
      </c>
      <c r="M25" s="154">
        <v>1.7901541521630815E-2</v>
      </c>
    </row>
    <row r="26" spans="1:14" ht="18" customHeight="1" thickBot="1">
      <c r="A26" s="625">
        <v>2003</v>
      </c>
      <c r="B26" s="507">
        <v>140.00334934860942</v>
      </c>
      <c r="C26" s="154">
        <v>4.366823506115014E-2</v>
      </c>
      <c r="D26" s="507">
        <v>126.25842492216353</v>
      </c>
      <c r="E26" s="154">
        <v>3.1538009759380925E-2</v>
      </c>
      <c r="F26" s="507">
        <v>147.454242203776</v>
      </c>
      <c r="G26" s="154">
        <v>8.1865987832500098E-2</v>
      </c>
      <c r="H26" s="507">
        <v>147.05924178274782</v>
      </c>
      <c r="I26" s="154">
        <v>9.0401924791273292E-2</v>
      </c>
      <c r="J26" s="507">
        <v>150.07356944669982</v>
      </c>
      <c r="K26" s="154">
        <v>2.9497481187025443E-2</v>
      </c>
      <c r="L26" s="507">
        <v>108.6910994764398</v>
      </c>
      <c r="M26" s="154">
        <v>1.4167073766487626E-2</v>
      </c>
    </row>
    <row r="27" spans="1:14" s="219" customFormat="1" ht="30" customHeight="1" thickBot="1">
      <c r="A27" s="627">
        <v>2004</v>
      </c>
      <c r="B27" s="514">
        <v>148.95939203547999</v>
      </c>
      <c r="C27" s="635">
        <v>6.3970203059713571E-2</v>
      </c>
      <c r="D27" s="907">
        <v>130.77009732130972</v>
      </c>
      <c r="E27" s="908">
        <v>3.5733634424218286E-2</v>
      </c>
      <c r="F27" s="514">
        <v>157.924385414239</v>
      </c>
      <c r="G27" s="635">
        <v>7.1006049429175988E-2</v>
      </c>
      <c r="H27" s="514">
        <v>157.06602889370092</v>
      </c>
      <c r="I27" s="635">
        <v>6.8045958823425901E-2</v>
      </c>
      <c r="J27" s="514">
        <v>163.61632015328101</v>
      </c>
      <c r="K27" s="635">
        <v>9.0240744966028297E-2</v>
      </c>
      <c r="L27" s="1024">
        <v>109.68586387434556</v>
      </c>
      <c r="M27" s="659">
        <v>9.1522157996146714E-3</v>
      </c>
    </row>
    <row r="28" spans="1:14" ht="20" customHeight="1">
      <c r="A28" s="718" t="s">
        <v>830</v>
      </c>
      <c r="B28" s="719"/>
      <c r="C28" s="719"/>
      <c r="D28" s="719"/>
      <c r="E28" s="719"/>
      <c r="F28" s="719"/>
      <c r="G28" s="719"/>
      <c r="H28" s="719"/>
      <c r="I28" s="719"/>
      <c r="J28" s="719"/>
      <c r="K28" s="719"/>
    </row>
    <row r="29" spans="1:14" ht="12.75" customHeight="1">
      <c r="A29" s="722"/>
      <c r="B29" s="723"/>
      <c r="C29" s="723"/>
      <c r="D29" s="723"/>
      <c r="E29" s="723"/>
      <c r="F29" s="723"/>
      <c r="G29" s="723"/>
      <c r="H29" s="723"/>
      <c r="I29" s="723"/>
      <c r="J29" s="723"/>
      <c r="K29" s="723"/>
    </row>
    <row r="30" spans="1:14" ht="12" customHeight="1">
      <c r="A30" s="722" t="s">
        <v>1713</v>
      </c>
      <c r="B30" s="723"/>
      <c r="C30" s="723"/>
      <c r="D30" s="723"/>
      <c r="E30" s="723"/>
      <c r="F30" s="723"/>
      <c r="G30" s="723"/>
      <c r="H30" s="723"/>
      <c r="I30" s="723"/>
      <c r="J30" s="723"/>
      <c r="K30" s="723"/>
    </row>
    <row r="31" spans="1:14" ht="12" customHeight="1">
      <c r="A31" s="722" t="s">
        <v>1305</v>
      </c>
      <c r="B31" s="723"/>
      <c r="C31" s="723"/>
      <c r="D31" s="723"/>
      <c r="E31" s="723"/>
      <c r="F31" s="723"/>
      <c r="G31" s="723"/>
      <c r="H31" s="723"/>
      <c r="I31" s="723"/>
      <c r="J31" s="723"/>
      <c r="K31" s="723"/>
    </row>
    <row r="32" spans="1:14" ht="12" customHeight="1">
      <c r="A32" s="722" t="s">
        <v>1714</v>
      </c>
      <c r="B32" s="723"/>
      <c r="C32" s="723"/>
      <c r="D32" s="723"/>
      <c r="E32" s="723"/>
      <c r="F32" s="723"/>
      <c r="G32" s="723"/>
      <c r="H32" s="723"/>
      <c r="I32" s="723"/>
      <c r="J32" s="723"/>
      <c r="K32" s="723"/>
    </row>
    <row r="33" spans="1:13" ht="12" customHeight="1">
      <c r="A33" s="722" t="s">
        <v>1715</v>
      </c>
      <c r="B33" s="723"/>
      <c r="C33" s="723"/>
      <c r="D33" s="723"/>
      <c r="E33" s="723"/>
      <c r="F33" s="723"/>
      <c r="G33" s="723"/>
      <c r="H33" s="723"/>
      <c r="I33" s="723"/>
      <c r="J33" s="723"/>
      <c r="K33" s="723"/>
    </row>
    <row r="34" spans="1:13" ht="12" customHeight="1">
      <c r="A34" s="722" t="s">
        <v>1716</v>
      </c>
      <c r="B34" s="723"/>
      <c r="C34" s="723"/>
      <c r="D34" s="723"/>
      <c r="E34" s="723"/>
      <c r="F34" s="723"/>
      <c r="G34" s="723"/>
      <c r="H34" s="723"/>
      <c r="I34" s="723"/>
      <c r="J34" s="723"/>
      <c r="K34" s="723"/>
    </row>
    <row r="35" spans="1:13" ht="12" customHeight="1">
      <c r="A35" s="722" t="s">
        <v>1306</v>
      </c>
      <c r="B35" s="717"/>
      <c r="C35" s="717"/>
      <c r="D35" s="717"/>
      <c r="E35" s="717"/>
      <c r="F35" s="717"/>
      <c r="G35" s="717"/>
      <c r="H35" s="717"/>
      <c r="I35" s="717"/>
      <c r="J35" s="717"/>
      <c r="K35" s="717"/>
    </row>
    <row r="36" spans="1:13" ht="15.75" customHeight="1">
      <c r="A36" s="722"/>
      <c r="B36" s="717"/>
      <c r="C36" s="717"/>
      <c r="D36" s="717"/>
      <c r="E36" s="717"/>
      <c r="F36" s="717"/>
      <c r="G36" s="717"/>
      <c r="H36" s="717"/>
      <c r="I36" s="717"/>
      <c r="J36" s="717"/>
      <c r="K36" s="717"/>
    </row>
    <row r="37" spans="1:13" ht="15.75" customHeight="1">
      <c r="A37" s="394"/>
      <c r="B37" s="717"/>
      <c r="C37" s="717"/>
      <c r="D37" s="717"/>
      <c r="E37" s="717"/>
      <c r="F37" s="717"/>
      <c r="G37" s="717"/>
      <c r="H37" s="717"/>
      <c r="I37" s="717"/>
      <c r="J37" s="717"/>
      <c r="K37" s="717"/>
      <c r="M37" s="221"/>
    </row>
    <row r="38" spans="1:13" ht="15.75" customHeight="1">
      <c r="A38" s="231" t="s">
        <v>104</v>
      </c>
      <c r="B38" s="717"/>
      <c r="C38" s="717"/>
      <c r="D38" s="717"/>
      <c r="E38" s="717"/>
      <c r="F38" s="717"/>
      <c r="G38" s="717"/>
      <c r="H38" s="717"/>
      <c r="I38" s="717"/>
      <c r="J38" s="717"/>
      <c r="K38" s="717"/>
    </row>
    <row r="39" spans="1:13" ht="31" customHeight="1">
      <c r="A39" s="394"/>
      <c r="B39" s="717"/>
      <c r="C39" s="717"/>
      <c r="D39" s="717"/>
      <c r="E39" s="717"/>
      <c r="F39" s="717"/>
      <c r="G39" s="717"/>
      <c r="H39" s="717"/>
      <c r="I39" s="717"/>
      <c r="J39" s="717"/>
      <c r="K39" s="717"/>
    </row>
    <row r="40" spans="1:13" ht="31" customHeight="1">
      <c r="A40" s="394"/>
      <c r="B40" s="717"/>
      <c r="C40" s="717"/>
      <c r="D40" s="717"/>
      <c r="E40" s="717"/>
      <c r="F40" s="717"/>
      <c r="G40" s="717"/>
      <c r="H40" s="717"/>
      <c r="I40" s="717"/>
      <c r="J40" s="717"/>
      <c r="K40" s="717"/>
    </row>
    <row r="41" spans="1:13" ht="31" customHeight="1">
      <c r="A41" s="394"/>
      <c r="B41" s="717"/>
      <c r="C41" s="717"/>
      <c r="D41" s="717"/>
      <c r="E41" s="717"/>
      <c r="F41" s="717"/>
      <c r="G41" s="717"/>
      <c r="H41" s="717"/>
      <c r="I41" s="717"/>
      <c r="J41" s="717"/>
      <c r="K41" s="717"/>
    </row>
    <row r="42" spans="1:13" ht="31" customHeight="1">
      <c r="A42" s="394"/>
      <c r="B42" s="717"/>
      <c r="C42" s="717"/>
      <c r="D42" s="717"/>
      <c r="E42" s="717"/>
      <c r="F42" s="717"/>
      <c r="G42" s="717"/>
      <c r="H42" s="717"/>
      <c r="I42" s="717"/>
      <c r="J42" s="717"/>
      <c r="K42" s="717"/>
    </row>
    <row r="43" spans="1:13" ht="31" customHeight="1">
      <c r="A43" s="394"/>
      <c r="B43" s="717"/>
      <c r="C43" s="717"/>
      <c r="D43" s="717"/>
      <c r="E43" s="717"/>
      <c r="F43" s="717"/>
      <c r="G43" s="717"/>
      <c r="H43" s="717"/>
      <c r="I43" s="717"/>
      <c r="J43" s="717"/>
      <c r="K43" s="717"/>
    </row>
  </sheetData>
  <phoneticPr fontId="0" type="noConversion"/>
  <pageMargins left="0.56000000000000005" right="0.6" top="0.9" bottom="0.49" header="0.47" footer="0.4921259845"/>
  <pageSetup paperSize="9" scale="76" orientation="landscape"/>
  <headerFooter alignWithMargins="0">
    <oddHeader>&amp;L&amp;"Arial,Bold"Zusatzinformationen zum Gesundheitswesen</oddHeader>
  </headerFooter>
  <rowBreaks count="1" manualBreakCount="1">
    <brk id="34" max="16383" man="1"/>
  </rowBreaks>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03C70-9645-5F48-A5D6-2A483E4AB660}">
  <sheetPr>
    <pageSetUpPr fitToPage="1"/>
  </sheetPr>
  <dimension ref="A1:F58"/>
  <sheetViews>
    <sheetView topLeftCell="A19" zoomScale="75" workbookViewId="0">
      <selection activeCell="C27" sqref="C27"/>
    </sheetView>
  </sheetViews>
  <sheetFormatPr baseColWidth="10" defaultColWidth="11.3984375" defaultRowHeight="13"/>
  <cols>
    <col min="1" max="1" width="15.796875" style="2" customWidth="1"/>
    <col min="2" max="5" width="15.796875" style="162" customWidth="1"/>
    <col min="6" max="6" width="36.796875" style="2" customWidth="1"/>
    <col min="7" max="7" width="5.796875" style="2" customWidth="1"/>
    <col min="8" max="16384" width="11.3984375" style="2"/>
  </cols>
  <sheetData>
    <row r="1" spans="1:6" s="1" customFormat="1" ht="14" customHeight="1">
      <c r="A1" s="591"/>
      <c r="B1" s="705"/>
      <c r="C1" s="705"/>
      <c r="D1" s="705"/>
      <c r="E1" s="705"/>
    </row>
    <row r="2" spans="1:6" s="1" customFormat="1" ht="72" customHeight="1">
      <c r="A2" s="1743" t="s">
        <v>899</v>
      </c>
      <c r="B2" s="1716"/>
      <c r="C2" s="1716"/>
      <c r="D2" s="1716"/>
      <c r="E2" s="370">
        <v>2004</v>
      </c>
      <c r="F2" s="770"/>
    </row>
    <row r="3" spans="1:6" ht="27" customHeight="1">
      <c r="A3" s="139" t="s">
        <v>1250</v>
      </c>
      <c r="B3" s="984" t="s">
        <v>892</v>
      </c>
      <c r="C3" s="141"/>
      <c r="D3" s="164"/>
      <c r="E3" s="985"/>
      <c r="F3" s="230"/>
    </row>
    <row r="4" spans="1:6" ht="20.25" customHeight="1">
      <c r="A4" s="165"/>
      <c r="B4" s="363" t="s">
        <v>1247</v>
      </c>
      <c r="C4" s="144" t="s">
        <v>506</v>
      </c>
      <c r="D4" s="166" t="s">
        <v>505</v>
      </c>
      <c r="E4" s="144" t="s">
        <v>685</v>
      </c>
      <c r="F4" s="230"/>
    </row>
    <row r="5" spans="1:6" ht="15" customHeight="1">
      <c r="A5" s="165"/>
      <c r="B5" s="363"/>
      <c r="C5" s="144"/>
      <c r="D5" s="166" t="s">
        <v>1592</v>
      </c>
      <c r="E5" s="144"/>
      <c r="F5" s="230"/>
    </row>
    <row r="6" spans="1:6" s="620" customFormat="1" ht="26.25" customHeight="1">
      <c r="A6" s="782"/>
      <c r="B6" s="363"/>
      <c r="C6" s="706"/>
      <c r="D6" s="363" t="s">
        <v>508</v>
      </c>
      <c r="E6" s="706"/>
      <c r="F6" s="230"/>
    </row>
    <row r="7" spans="1:6" ht="30" customHeight="1" thickBot="1">
      <c r="A7" s="777">
        <v>1996</v>
      </c>
      <c r="B7" s="758">
        <v>84.979037225823575</v>
      </c>
      <c r="C7" s="757" t="s">
        <v>1300</v>
      </c>
      <c r="D7" s="758" t="s">
        <v>1300</v>
      </c>
      <c r="E7" s="757" t="s">
        <v>1300</v>
      </c>
      <c r="F7" s="230"/>
    </row>
    <row r="8" spans="1:6" ht="18" customHeight="1" thickBot="1">
      <c r="A8" s="625">
        <v>1997</v>
      </c>
      <c r="B8" s="758">
        <v>91.421507969783377</v>
      </c>
      <c r="C8" s="508">
        <v>90.869058713886304</v>
      </c>
      <c r="D8" s="507">
        <v>90.358923504944499</v>
      </c>
      <c r="E8" s="508">
        <v>94.534843905852227</v>
      </c>
      <c r="F8" s="230"/>
    </row>
    <row r="9" spans="1:6" ht="18" customHeight="1" thickBot="1">
      <c r="A9" s="996">
        <v>1998</v>
      </c>
      <c r="B9" s="758">
        <v>97.493340740266135</v>
      </c>
      <c r="C9" s="997">
        <v>97.546598322460397</v>
      </c>
      <c r="D9" s="998">
        <v>98.308679723438843</v>
      </c>
      <c r="E9" s="997">
        <v>97.738607434756062</v>
      </c>
      <c r="F9" s="230"/>
    </row>
    <row r="10" spans="1:6" ht="18" customHeight="1" thickBot="1">
      <c r="A10" s="625">
        <v>1999</v>
      </c>
      <c r="B10" s="758">
        <v>100</v>
      </c>
      <c r="C10" s="508">
        <v>100</v>
      </c>
      <c r="D10" s="507">
        <v>100</v>
      </c>
      <c r="E10" s="508">
        <v>100</v>
      </c>
      <c r="F10" s="230"/>
    </row>
    <row r="11" spans="1:6" ht="18" customHeight="1" thickBot="1">
      <c r="A11" s="624">
        <v>2000</v>
      </c>
      <c r="B11" s="708">
        <v>103.30093227325024</v>
      </c>
      <c r="C11" s="170">
        <v>103.38303821062442</v>
      </c>
      <c r="D11" s="708">
        <v>99.621518882736964</v>
      </c>
      <c r="E11" s="170">
        <v>103.27075672537256</v>
      </c>
      <c r="F11" s="230"/>
    </row>
    <row r="12" spans="1:6" ht="18" customHeight="1" thickBot="1">
      <c r="A12" s="625">
        <v>2001</v>
      </c>
      <c r="B12" s="507">
        <v>106.90499178408193</v>
      </c>
      <c r="C12" s="508">
        <v>107.76794035414726</v>
      </c>
      <c r="D12" s="507">
        <v>100.98118612786824</v>
      </c>
      <c r="E12" s="508">
        <v>108.35330723079899</v>
      </c>
      <c r="F12" s="230"/>
    </row>
    <row r="13" spans="1:6" ht="18" customHeight="1" thickBot="1">
      <c r="A13" s="996">
        <v>2002</v>
      </c>
      <c r="B13" s="998">
        <v>115.82321357976109</v>
      </c>
      <c r="C13" s="997">
        <v>116.05079217148185</v>
      </c>
      <c r="D13" s="998">
        <v>112.46067818086661</v>
      </c>
      <c r="E13" s="997">
        <v>117.23362760715187</v>
      </c>
      <c r="F13" s="230"/>
    </row>
    <row r="14" spans="1:6" ht="18" customHeight="1" thickBot="1">
      <c r="A14" s="996">
        <v>2003</v>
      </c>
      <c r="B14" s="998">
        <v>125.30519537340288</v>
      </c>
      <c r="C14" s="997">
        <v>124.75846536191366</v>
      </c>
      <c r="D14" s="998">
        <v>126.39671652480513</v>
      </c>
      <c r="E14" s="997">
        <v>126.92382129192656</v>
      </c>
      <c r="F14" s="230"/>
    </row>
    <row r="15" spans="1:6" ht="18" customHeight="1" thickBot="1">
      <c r="A15" s="1003">
        <v>2004</v>
      </c>
      <c r="B15" s="1004">
        <v>134.20262226981922</v>
      </c>
      <c r="C15" s="1005">
        <v>133.21761416589004</v>
      </c>
      <c r="D15" s="1004">
        <v>138.79293722281903</v>
      </c>
      <c r="E15" s="1005">
        <v>132.89663694153728</v>
      </c>
      <c r="F15" s="230"/>
    </row>
    <row r="16" spans="1:6" ht="3" customHeight="1" thickBot="1">
      <c r="A16" s="1007" t="s">
        <v>895</v>
      </c>
      <c r="B16" s="1008">
        <v>140.17013018424848</v>
      </c>
      <c r="C16" s="1009" t="s">
        <v>1300</v>
      </c>
      <c r="D16" s="1010" t="s">
        <v>1300</v>
      </c>
      <c r="E16" s="1009" t="s">
        <v>1300</v>
      </c>
      <c r="F16" s="230"/>
    </row>
    <row r="17" spans="1:6" ht="18" customHeight="1">
      <c r="A17" s="767"/>
      <c r="B17" s="714"/>
      <c r="C17" s="1012"/>
      <c r="D17" s="714"/>
      <c r="E17" s="1012"/>
      <c r="F17" s="230"/>
    </row>
    <row r="18" spans="1:6" ht="18" customHeight="1">
      <c r="A18" s="767"/>
      <c r="B18" s="714"/>
      <c r="C18" s="1012"/>
      <c r="D18" s="714"/>
      <c r="E18" s="1012"/>
      <c r="F18" s="230"/>
    </row>
    <row r="19" spans="1:6" ht="18" customHeight="1">
      <c r="A19" s="1013" t="s">
        <v>692</v>
      </c>
      <c r="B19" s="714"/>
      <c r="C19" s="1012"/>
      <c r="D19" s="714"/>
      <c r="E19" s="1012"/>
      <c r="F19" s="230"/>
    </row>
    <row r="20" spans="1:6" ht="6.75" customHeight="1">
      <c r="A20" s="1014"/>
      <c r="B20" s="1015"/>
      <c r="C20" s="1016"/>
      <c r="D20" s="1015"/>
      <c r="E20" s="1016"/>
      <c r="F20" s="230"/>
    </row>
    <row r="21" spans="1:6" ht="27" customHeight="1">
      <c r="A21" s="139" t="s">
        <v>1250</v>
      </c>
      <c r="B21" s="984" t="s">
        <v>892</v>
      </c>
      <c r="C21" s="141"/>
      <c r="D21" s="164"/>
      <c r="E21" s="985"/>
      <c r="F21" s="230"/>
    </row>
    <row r="22" spans="1:6" ht="20.25" customHeight="1">
      <c r="A22" s="165"/>
      <c r="B22" s="363" t="s">
        <v>1247</v>
      </c>
      <c r="C22" s="144" t="s">
        <v>506</v>
      </c>
      <c r="D22" s="166" t="s">
        <v>505</v>
      </c>
      <c r="E22" s="144" t="s">
        <v>685</v>
      </c>
      <c r="F22" s="230"/>
    </row>
    <row r="23" spans="1:6" ht="15" customHeight="1">
      <c r="A23" s="165"/>
      <c r="B23" s="363"/>
      <c r="C23" s="144"/>
      <c r="D23" s="166" t="s">
        <v>1592</v>
      </c>
      <c r="E23" s="144"/>
      <c r="F23" s="230"/>
    </row>
    <row r="24" spans="1:6" s="620" customFormat="1" ht="26.25" customHeight="1">
      <c r="A24" s="167"/>
      <c r="B24" s="168"/>
      <c r="C24" s="147"/>
      <c r="D24" s="168" t="s">
        <v>508</v>
      </c>
      <c r="E24" s="147"/>
      <c r="F24" s="230"/>
    </row>
    <row r="25" spans="1:6" ht="23.25" customHeight="1" thickBot="1">
      <c r="A25" s="624">
        <v>1997</v>
      </c>
      <c r="B25" s="633">
        <v>7.5812470395958398E-2</v>
      </c>
      <c r="C25" s="150" t="s">
        <v>1300</v>
      </c>
      <c r="D25" s="633" t="s">
        <v>1300</v>
      </c>
      <c r="E25" s="150" t="s">
        <v>1300</v>
      </c>
      <c r="F25" s="230"/>
    </row>
    <row r="26" spans="1:6" ht="18" customHeight="1" thickBot="1">
      <c r="A26" s="625">
        <v>1998</v>
      </c>
      <c r="B26" s="633">
        <v>6.6415801984907263E-2</v>
      </c>
      <c r="C26" s="1678">
        <v>7.3485295248839844E-2</v>
      </c>
      <c r="D26" s="1679">
        <v>8.7979757948968063E-2</v>
      </c>
      <c r="E26" s="1678">
        <v>3.388976377952746E-2</v>
      </c>
      <c r="F26" s="230"/>
    </row>
    <row r="27" spans="1:6" ht="18" customHeight="1" thickBot="1">
      <c r="A27" s="624">
        <v>1999</v>
      </c>
      <c r="B27" s="633">
        <v>2.5711081810314562E-2</v>
      </c>
      <c r="C27" s="154">
        <v>2.5151073637948773E-2</v>
      </c>
      <c r="D27" s="544">
        <v>1.7204180559836191E-2</v>
      </c>
      <c r="E27" s="154">
        <v>2.3137147383171852E-2</v>
      </c>
      <c r="F27" s="230"/>
    </row>
    <row r="28" spans="1:6" ht="18" customHeight="1" thickBot="1">
      <c r="A28" s="625">
        <v>2000</v>
      </c>
      <c r="B28" s="633">
        <v>3.3009322732502344E-2</v>
      </c>
      <c r="C28" s="154">
        <v>3.3830382106244228E-2</v>
      </c>
      <c r="D28" s="544">
        <v>-3.784811172630409E-3</v>
      </c>
      <c r="E28" s="154">
        <v>3.2707567253725589E-2</v>
      </c>
      <c r="F28" s="230"/>
    </row>
    <row r="29" spans="1:6" ht="18" customHeight="1" thickBot="1">
      <c r="A29" s="624">
        <v>2001</v>
      </c>
      <c r="B29" s="633">
        <v>3.4888934993328791E-2</v>
      </c>
      <c r="C29" s="154">
        <v>4.2414135040115486E-2</v>
      </c>
      <c r="D29" s="544">
        <v>1.3648328798637532E-2</v>
      </c>
      <c r="E29" s="154">
        <v>4.9215776727020932E-2</v>
      </c>
      <c r="F29" s="230"/>
    </row>
    <row r="30" spans="1:6" ht="18" customHeight="1" thickBot="1">
      <c r="A30" s="625">
        <v>2002</v>
      </c>
      <c r="B30" s="633">
        <v>8.3421939863121297E-2</v>
      </c>
      <c r="C30" s="154">
        <v>7.6858217667661322E-2</v>
      </c>
      <c r="D30" s="544">
        <v>0.11367951291899425</v>
      </c>
      <c r="E30" s="154">
        <v>8.1957077299332104E-2</v>
      </c>
      <c r="F30" s="230"/>
    </row>
    <row r="31" spans="1:6" ht="18" customHeight="1" thickBot="1">
      <c r="A31" s="625">
        <v>2003</v>
      </c>
      <c r="B31" s="633">
        <v>8.1865987832500098E-2</v>
      </c>
      <c r="C31" s="154">
        <v>7.5033293849170457E-2</v>
      </c>
      <c r="D31" s="544">
        <v>0.12391920953496016</v>
      </c>
      <c r="E31" s="154">
        <v>8.2657117096524457E-2</v>
      </c>
      <c r="F31" s="230"/>
    </row>
    <row r="32" spans="1:6" ht="18" customHeight="1" thickBot="1">
      <c r="A32" s="1003">
        <v>2004</v>
      </c>
      <c r="B32" s="667">
        <v>7.1006049429175544E-2</v>
      </c>
      <c r="C32" s="1673">
        <v>6.7804206948499202E-2</v>
      </c>
      <c r="D32" s="1674">
        <v>9.8073913934157986E-2</v>
      </c>
      <c r="E32" s="1673">
        <v>4.7058271558600318E-2</v>
      </c>
      <c r="F32" s="230"/>
    </row>
    <row r="33" spans="1:6" ht="3" customHeight="1" thickBot="1">
      <c r="A33" s="1007" t="s">
        <v>895</v>
      </c>
      <c r="B33" s="544">
        <v>4.4466403215515315E-2</v>
      </c>
      <c r="C33" s="154" t="s">
        <v>1300</v>
      </c>
      <c r="D33" s="544" t="s">
        <v>1300</v>
      </c>
      <c r="E33" s="154" t="s">
        <v>1300</v>
      </c>
      <c r="F33" s="230"/>
    </row>
    <row r="34" spans="1:6" ht="17.25" customHeight="1">
      <c r="A34" s="711" t="s">
        <v>830</v>
      </c>
      <c r="B34" s="712"/>
      <c r="C34" s="712"/>
      <c r="D34" s="712"/>
      <c r="E34" s="712"/>
    </row>
    <row r="35" spans="1:6" ht="12" customHeight="1">
      <c r="A35" s="713"/>
      <c r="B35" s="714"/>
      <c r="C35" s="714"/>
      <c r="D35" s="714"/>
      <c r="E35" s="714"/>
    </row>
    <row r="36" spans="1:6" ht="14.25" customHeight="1">
      <c r="A36" s="713" t="s">
        <v>897</v>
      </c>
      <c r="B36" s="714"/>
      <c r="C36" s="714"/>
      <c r="D36" s="714"/>
      <c r="E36" s="714"/>
    </row>
    <row r="37" spans="1:6" ht="15" customHeight="1">
      <c r="A37" s="1022" t="s">
        <v>898</v>
      </c>
      <c r="B37"/>
      <c r="C37"/>
      <c r="D37"/>
      <c r="E37"/>
    </row>
    <row r="38" spans="1:6" ht="15.75" customHeight="1">
      <c r="A38" s="5" t="s">
        <v>900</v>
      </c>
      <c r="B38" s="715"/>
      <c r="C38" s="715"/>
      <c r="D38" s="715"/>
      <c r="E38" s="715"/>
    </row>
    <row r="39" spans="1:6" ht="15.75" customHeight="1">
      <c r="A39" s="5" t="s">
        <v>901</v>
      </c>
      <c r="B39" s="715"/>
      <c r="C39" s="715"/>
      <c r="D39" s="715"/>
      <c r="E39" s="715"/>
    </row>
    <row r="40" spans="1:6" ht="15.75" customHeight="1">
      <c r="A40" s="5" t="s">
        <v>902</v>
      </c>
      <c r="B40" s="715"/>
      <c r="C40" s="715"/>
      <c r="D40" s="715"/>
      <c r="E40" s="715"/>
    </row>
    <row r="41" spans="1:6" ht="15.75" customHeight="1">
      <c r="A41" s="5"/>
      <c r="B41" s="715"/>
      <c r="C41" s="715"/>
      <c r="D41" s="715"/>
      <c r="E41" s="715"/>
    </row>
    <row r="42" spans="1:6" ht="15" customHeight="1">
      <c r="A42" s="713"/>
      <c r="B42" s="715"/>
      <c r="C42" s="715"/>
      <c r="D42" s="715"/>
      <c r="E42" s="715"/>
    </row>
    <row r="43" spans="1:6" ht="16.5" customHeight="1">
      <c r="A43" s="5" t="s">
        <v>104</v>
      </c>
      <c r="B43" s="715"/>
      <c r="C43" s="715"/>
      <c r="D43" s="715"/>
      <c r="E43" s="715"/>
    </row>
    <row r="44" spans="1:6" ht="31" customHeight="1">
      <c r="A44" s="5"/>
      <c r="B44" s="715"/>
      <c r="C44" s="715"/>
      <c r="D44" s="715"/>
      <c r="E44" s="715"/>
    </row>
    <row r="45" spans="1:6" ht="31" customHeight="1">
      <c r="A45" s="5"/>
      <c r="B45" s="715"/>
      <c r="C45" s="715"/>
      <c r="D45" s="715"/>
      <c r="E45" s="715"/>
    </row>
    <row r="46" spans="1:6">
      <c r="A46" s="5"/>
      <c r="B46" s="715"/>
      <c r="C46" s="715"/>
      <c r="D46" s="715"/>
      <c r="E46" s="715"/>
    </row>
    <row r="47" spans="1:6">
      <c r="A47" s="5"/>
      <c r="B47" s="715"/>
      <c r="C47" s="715"/>
      <c r="D47" s="715"/>
      <c r="E47" s="715"/>
    </row>
    <row r="48" spans="1:6">
      <c r="A48" s="5"/>
      <c r="B48" s="715"/>
      <c r="C48" s="715"/>
      <c r="D48" s="715"/>
      <c r="E48" s="715"/>
    </row>
    <row r="49" spans="1:5">
      <c r="A49" s="5"/>
      <c r="B49" s="715"/>
      <c r="C49" s="715"/>
      <c r="D49" s="715"/>
      <c r="E49" s="715"/>
    </row>
    <row r="50" spans="1:5">
      <c r="A50" s="5"/>
      <c r="B50" s="715"/>
      <c r="C50" s="715"/>
      <c r="D50" s="715"/>
      <c r="E50" s="715"/>
    </row>
    <row r="51" spans="1:5">
      <c r="A51" s="5"/>
      <c r="B51" s="715"/>
      <c r="C51" s="715"/>
      <c r="D51" s="715"/>
      <c r="E51" s="715"/>
    </row>
    <row r="52" spans="1:5">
      <c r="A52" s="5"/>
      <c r="B52" s="715"/>
      <c r="C52" s="715"/>
      <c r="D52" s="715"/>
      <c r="E52" s="715"/>
    </row>
    <row r="53" spans="1:5">
      <c r="A53" s="5"/>
      <c r="B53" s="715"/>
      <c r="C53" s="715"/>
      <c r="D53" s="715"/>
      <c r="E53" s="715"/>
    </row>
    <row r="54" spans="1:5">
      <c r="A54" s="5"/>
      <c r="B54" s="715"/>
      <c r="C54" s="715"/>
      <c r="D54" s="715"/>
      <c r="E54" s="715"/>
    </row>
    <row r="55" spans="1:5">
      <c r="A55" s="5"/>
      <c r="B55" s="715"/>
      <c r="C55" s="715"/>
      <c r="D55" s="715"/>
      <c r="E55" s="715"/>
    </row>
    <row r="56" spans="1:5">
      <c r="A56" s="5"/>
      <c r="B56" s="715"/>
      <c r="C56" s="715"/>
      <c r="D56" s="715"/>
      <c r="E56" s="715"/>
    </row>
    <row r="57" spans="1:5">
      <c r="A57" s="5"/>
      <c r="B57" s="715"/>
      <c r="C57" s="715"/>
      <c r="D57" s="715"/>
      <c r="E57" s="715"/>
    </row>
    <row r="58" spans="1:5">
      <c r="A58" s="5"/>
      <c r="B58" s="715"/>
      <c r="C58" s="715"/>
      <c r="D58" s="715"/>
      <c r="E58" s="715"/>
    </row>
  </sheetData>
  <mergeCells count="1">
    <mergeCell ref="A2:D2"/>
  </mergeCells>
  <phoneticPr fontId="0" type="noConversion"/>
  <pageMargins left="0.46" right="0.44" top="0.82" bottom="0.68" header="0.41" footer="0.33"/>
  <pageSetup paperSize="9" scale="82" orientation="portrait" horizontalDpi="4294967292" verticalDpi="4294967292"/>
  <headerFooter alignWithMargins="0">
    <oddHeader>&amp;L&amp;"Arial,Bold"Zusatzinformationen zum Gesundheitswesen</oddHeader>
  </headerFooter>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BA07E-9C62-F74F-902B-042F5054F953}">
  <sheetPr>
    <pageSetUpPr fitToPage="1"/>
  </sheetPr>
  <dimension ref="A1:I39"/>
  <sheetViews>
    <sheetView zoomScale="75" workbookViewId="0">
      <selection activeCell="A30" sqref="A30"/>
    </sheetView>
  </sheetViews>
  <sheetFormatPr baseColWidth="10" defaultColWidth="11.3984375" defaultRowHeight="13"/>
  <cols>
    <col min="1" max="1" width="14.19921875" style="2" customWidth="1"/>
    <col min="2" max="2" width="12.3984375" style="162" customWidth="1"/>
    <col min="3" max="3" width="13" style="162" customWidth="1"/>
    <col min="4" max="4" width="11.796875" style="162" customWidth="1"/>
    <col min="5" max="5" width="13.19921875" style="162" customWidth="1"/>
    <col min="6" max="6" width="13" style="162" customWidth="1"/>
    <col min="7" max="7" width="12.796875" style="162" customWidth="1"/>
    <col min="8" max="8" width="12.3984375" style="162" customWidth="1"/>
    <col min="9" max="9" width="14.19921875" style="162" customWidth="1"/>
    <col min="10" max="10" width="8.3984375" style="2" customWidth="1"/>
    <col min="11" max="16384" width="11.3984375" style="2"/>
  </cols>
  <sheetData>
    <row r="1" spans="1:9" s="1" customFormat="1" ht="14" customHeight="1">
      <c r="A1" s="591"/>
      <c r="B1" s="705"/>
      <c r="C1" s="705"/>
      <c r="D1" s="705"/>
      <c r="E1" s="705"/>
      <c r="F1" s="705"/>
      <c r="G1" s="705"/>
      <c r="H1" s="705"/>
      <c r="I1" s="705"/>
    </row>
    <row r="2" spans="1:9" s="1" customFormat="1" ht="33.75" customHeight="1">
      <c r="A2" s="1717" t="s">
        <v>67</v>
      </c>
      <c r="B2" s="1716"/>
      <c r="C2" s="1716"/>
      <c r="D2" s="1716"/>
      <c r="E2" s="1716"/>
      <c r="F2" s="1716"/>
      <c r="G2" s="1716"/>
      <c r="H2" s="1716"/>
      <c r="I2" s="370">
        <v>2004</v>
      </c>
    </row>
    <row r="3" spans="1:9" ht="20" customHeight="1">
      <c r="A3" s="139" t="s">
        <v>1250</v>
      </c>
      <c r="B3" s="321" t="s">
        <v>75</v>
      </c>
      <c r="C3" s="141"/>
      <c r="D3" s="164"/>
      <c r="E3" s="141"/>
      <c r="F3" s="986" t="s">
        <v>76</v>
      </c>
      <c r="G3" s="141"/>
      <c r="H3" s="164"/>
      <c r="I3" s="141"/>
    </row>
    <row r="4" spans="1:9" ht="20" customHeight="1">
      <c r="A4" s="165"/>
      <c r="B4" s="1034" t="s">
        <v>77</v>
      </c>
      <c r="C4" s="447"/>
      <c r="D4" s="446"/>
      <c r="E4" s="144" t="s">
        <v>652</v>
      </c>
      <c r="F4" s="1026" t="s">
        <v>78</v>
      </c>
      <c r="G4" s="447"/>
      <c r="H4" s="446"/>
      <c r="I4" s="144" t="s">
        <v>652</v>
      </c>
    </row>
    <row r="5" spans="1:9" ht="15" customHeight="1">
      <c r="A5" s="165"/>
      <c r="B5" s="166" t="s">
        <v>1278</v>
      </c>
      <c r="C5" s="144" t="s">
        <v>1279</v>
      </c>
      <c r="D5" s="166" t="s">
        <v>652</v>
      </c>
      <c r="E5" s="144" t="s">
        <v>68</v>
      </c>
      <c r="F5" s="992" t="s">
        <v>1278</v>
      </c>
      <c r="G5" s="144" t="s">
        <v>1279</v>
      </c>
      <c r="H5" s="166" t="s">
        <v>652</v>
      </c>
      <c r="I5" s="144" t="s">
        <v>68</v>
      </c>
    </row>
    <row r="6" spans="1:9" ht="15" customHeight="1">
      <c r="A6" s="165"/>
      <c r="B6" s="363" t="s">
        <v>69</v>
      </c>
      <c r="C6" s="706" t="s">
        <v>69</v>
      </c>
      <c r="D6" s="166"/>
      <c r="E6" s="144" t="s">
        <v>539</v>
      </c>
      <c r="F6" s="992" t="s">
        <v>69</v>
      </c>
      <c r="G6" s="144" t="s">
        <v>69</v>
      </c>
      <c r="H6" s="166"/>
      <c r="I6" s="144" t="s">
        <v>539</v>
      </c>
    </row>
    <row r="7" spans="1:9" ht="15" customHeight="1">
      <c r="A7" s="165"/>
      <c r="B7" s="363" t="s">
        <v>911</v>
      </c>
      <c r="C7" s="706" t="s">
        <v>911</v>
      </c>
      <c r="D7" s="166"/>
      <c r="E7" s="144" t="s">
        <v>542</v>
      </c>
      <c r="F7" s="992" t="s">
        <v>911</v>
      </c>
      <c r="G7" s="144" t="s">
        <v>911</v>
      </c>
      <c r="H7" s="166"/>
      <c r="I7" s="144" t="s">
        <v>542</v>
      </c>
    </row>
    <row r="8" spans="1:9" ht="20" customHeight="1">
      <c r="A8" s="306"/>
      <c r="B8" s="168"/>
      <c r="C8" s="147"/>
      <c r="D8" s="168"/>
      <c r="E8" s="147"/>
      <c r="F8" s="1017"/>
      <c r="G8" s="147"/>
      <c r="H8" s="168"/>
      <c r="I8" s="147"/>
    </row>
    <row r="9" spans="1:9" ht="1.5" customHeight="1" thickBot="1">
      <c r="A9" s="777">
        <v>1985</v>
      </c>
      <c r="B9" s="758" t="s">
        <v>1300</v>
      </c>
      <c r="C9" s="757" t="s">
        <v>1300</v>
      </c>
      <c r="D9" s="758" t="s">
        <v>1300</v>
      </c>
      <c r="E9" s="757">
        <v>948.43799999999999</v>
      </c>
      <c r="F9" s="995" t="s">
        <v>1300</v>
      </c>
      <c r="G9" s="757" t="s">
        <v>1300</v>
      </c>
      <c r="H9" s="758" t="s">
        <v>1300</v>
      </c>
      <c r="I9" s="757">
        <v>631.95600000000002</v>
      </c>
    </row>
    <row r="10" spans="1:9" ht="20" hidden="1" customHeight="1" thickBot="1">
      <c r="A10" s="625">
        <v>1986</v>
      </c>
      <c r="B10" s="507" t="s">
        <v>1300</v>
      </c>
      <c r="C10" s="508" t="s">
        <v>1300</v>
      </c>
      <c r="D10" s="507" t="s">
        <v>1300</v>
      </c>
      <c r="E10" s="508">
        <v>1033.73</v>
      </c>
      <c r="F10" s="999" t="s">
        <v>1300</v>
      </c>
      <c r="G10" s="508" t="s">
        <v>1300</v>
      </c>
      <c r="H10" s="507" t="s">
        <v>1300</v>
      </c>
      <c r="I10" s="508">
        <v>701.48400000000004</v>
      </c>
    </row>
    <row r="11" spans="1:9" ht="20" hidden="1" customHeight="1" thickBot="1">
      <c r="A11" s="625">
        <v>1987</v>
      </c>
      <c r="B11" s="507" t="s">
        <v>1300</v>
      </c>
      <c r="C11" s="508" t="s">
        <v>1300</v>
      </c>
      <c r="D11" s="507" t="s">
        <v>1300</v>
      </c>
      <c r="E11" s="508">
        <v>1100.9369999999999</v>
      </c>
      <c r="F11" s="999" t="s">
        <v>1300</v>
      </c>
      <c r="G11" s="508" t="s">
        <v>1300</v>
      </c>
      <c r="H11" s="507" t="s">
        <v>1300</v>
      </c>
      <c r="I11" s="508">
        <v>778.54499999999996</v>
      </c>
    </row>
    <row r="12" spans="1:9" ht="20" hidden="1" customHeight="1" thickBot="1">
      <c r="A12" s="625">
        <v>1988</v>
      </c>
      <c r="B12" s="507" t="s">
        <v>1300</v>
      </c>
      <c r="C12" s="508" t="s">
        <v>1300</v>
      </c>
      <c r="D12" s="507" t="s">
        <v>1300</v>
      </c>
      <c r="E12" s="508">
        <v>1177.078</v>
      </c>
      <c r="F12" s="999" t="s">
        <v>1300</v>
      </c>
      <c r="G12" s="508" t="s">
        <v>1300</v>
      </c>
      <c r="H12" s="507" t="s">
        <v>1300</v>
      </c>
      <c r="I12" s="508">
        <v>873.36699999999996</v>
      </c>
    </row>
    <row r="13" spans="1:9" ht="20" hidden="1" customHeight="1" thickBot="1">
      <c r="A13" s="625">
        <v>1989</v>
      </c>
      <c r="B13" s="507" t="s">
        <v>1300</v>
      </c>
      <c r="C13" s="508" t="s">
        <v>1300</v>
      </c>
      <c r="D13" s="507" t="s">
        <v>1300</v>
      </c>
      <c r="E13" s="508">
        <v>1287.019</v>
      </c>
      <c r="F13" s="999" t="s">
        <v>1300</v>
      </c>
      <c r="G13" s="508" t="s">
        <v>1300</v>
      </c>
      <c r="H13" s="507" t="s">
        <v>1300</v>
      </c>
      <c r="I13" s="508">
        <v>948.92100000000005</v>
      </c>
    </row>
    <row r="14" spans="1:9" ht="20" hidden="1" customHeight="1" thickBot="1">
      <c r="A14" s="625">
        <v>1990</v>
      </c>
      <c r="B14" s="507" t="s">
        <v>1300</v>
      </c>
      <c r="C14" s="508" t="s">
        <v>1300</v>
      </c>
      <c r="D14" s="507" t="s">
        <v>1300</v>
      </c>
      <c r="E14" s="508">
        <v>1420.8050000000001</v>
      </c>
      <c r="F14" s="999" t="s">
        <v>1300</v>
      </c>
      <c r="G14" s="508" t="s">
        <v>1300</v>
      </c>
      <c r="H14" s="507" t="s">
        <v>1300</v>
      </c>
      <c r="I14" s="508">
        <v>1086.6199999999999</v>
      </c>
    </row>
    <row r="15" spans="1:9" ht="20" hidden="1" customHeight="1" thickBot="1">
      <c r="A15" s="625">
        <v>1991</v>
      </c>
      <c r="B15" s="507" t="s">
        <v>1300</v>
      </c>
      <c r="C15" s="508" t="s">
        <v>1300</v>
      </c>
      <c r="D15" s="507">
        <v>763.6</v>
      </c>
      <c r="E15" s="508">
        <v>1543.597</v>
      </c>
      <c r="F15" s="999" t="s">
        <v>1300</v>
      </c>
      <c r="G15" s="508" t="s">
        <v>1300</v>
      </c>
      <c r="H15" s="507">
        <v>608.6</v>
      </c>
      <c r="I15" s="508">
        <v>1257.979</v>
      </c>
    </row>
    <row r="16" spans="1:9" ht="19.5" hidden="1" customHeight="1" thickBot="1">
      <c r="A16" s="625">
        <v>1992</v>
      </c>
      <c r="B16" s="507" t="s">
        <v>1300</v>
      </c>
      <c r="C16" s="508" t="s">
        <v>1300</v>
      </c>
      <c r="D16" s="1053">
        <v>751.1</v>
      </c>
      <c r="E16" s="508">
        <v>1648.1410000000001</v>
      </c>
      <c r="F16" s="999" t="s">
        <v>1300</v>
      </c>
      <c r="G16" s="508" t="s">
        <v>1300</v>
      </c>
      <c r="H16" s="1053">
        <v>631.1</v>
      </c>
      <c r="I16" s="508">
        <v>1414.9949999999999</v>
      </c>
    </row>
    <row r="17" spans="1:9" ht="19.5" hidden="1" customHeight="1" thickBot="1">
      <c r="A17" s="625">
        <v>1993</v>
      </c>
      <c r="B17" s="507" t="s">
        <v>1300</v>
      </c>
      <c r="C17" s="508" t="s">
        <v>1300</v>
      </c>
      <c r="D17" s="1053">
        <v>734.9</v>
      </c>
      <c r="E17" s="508">
        <v>1667.729</v>
      </c>
      <c r="F17" s="999" t="s">
        <v>1300</v>
      </c>
      <c r="G17" s="508" t="s">
        <v>1300</v>
      </c>
      <c r="H17" s="1053">
        <v>626</v>
      </c>
      <c r="I17" s="508">
        <v>1459.6659999999999</v>
      </c>
    </row>
    <row r="18" spans="1:9" ht="19.5" hidden="1" customHeight="1" thickBot="1">
      <c r="A18" s="625">
        <v>1994</v>
      </c>
      <c r="B18" s="507" t="s">
        <v>1300</v>
      </c>
      <c r="C18" s="508" t="s">
        <v>1300</v>
      </c>
      <c r="D18" s="1053">
        <v>690</v>
      </c>
      <c r="E18" s="508">
        <v>1621.08</v>
      </c>
      <c r="F18" s="999" t="s">
        <v>1300</v>
      </c>
      <c r="G18" s="508" t="s">
        <v>1300</v>
      </c>
      <c r="H18" s="1053">
        <v>613.1</v>
      </c>
      <c r="I18" s="508">
        <v>1489.1569999999999</v>
      </c>
    </row>
    <row r="19" spans="1:9" ht="19.5" hidden="1" customHeight="1" thickBot="1">
      <c r="A19" s="625">
        <v>1995</v>
      </c>
      <c r="B19" s="507" t="s">
        <v>1300</v>
      </c>
      <c r="C19" s="508" t="s">
        <v>1300</v>
      </c>
      <c r="D19" s="1053">
        <v>651.4</v>
      </c>
      <c r="E19" s="508">
        <v>1586.424</v>
      </c>
      <c r="F19" s="999" t="s">
        <v>1300</v>
      </c>
      <c r="G19" s="508" t="s">
        <v>1300</v>
      </c>
      <c r="H19" s="1053">
        <v>587.29999999999995</v>
      </c>
      <c r="I19" s="508">
        <v>1488.664</v>
      </c>
    </row>
    <row r="20" spans="1:9" ht="20" customHeight="1" thickBot="1">
      <c r="A20" s="625">
        <v>1996</v>
      </c>
      <c r="B20" s="507" t="s">
        <v>1300</v>
      </c>
      <c r="C20" s="508" t="s">
        <v>1300</v>
      </c>
      <c r="D20" s="1053">
        <v>640.4</v>
      </c>
      <c r="E20" s="508">
        <v>1618.7</v>
      </c>
      <c r="F20" s="999" t="s">
        <v>1300</v>
      </c>
      <c r="G20" s="508" t="s">
        <v>1300</v>
      </c>
      <c r="H20" s="1053">
        <v>512.70000000000005</v>
      </c>
      <c r="I20" s="508">
        <v>1358.8</v>
      </c>
    </row>
    <row r="21" spans="1:9" ht="20" customHeight="1" thickBot="1">
      <c r="A21" s="625">
        <v>1997</v>
      </c>
      <c r="B21" s="507">
        <v>513.53</v>
      </c>
      <c r="C21" s="508">
        <v>88.28</v>
      </c>
      <c r="D21" s="507">
        <v>601.80999999999995</v>
      </c>
      <c r="E21" s="508">
        <v>1921.75</v>
      </c>
      <c r="F21" s="999">
        <v>395.33</v>
      </c>
      <c r="G21" s="508">
        <v>80.59</v>
      </c>
      <c r="H21" s="507">
        <v>475.92</v>
      </c>
      <c r="I21" s="508">
        <v>1558.71</v>
      </c>
    </row>
    <row r="22" spans="1:9" ht="20" customHeight="1" thickBot="1">
      <c r="A22" s="625">
        <v>1998</v>
      </c>
      <c r="B22" s="507">
        <v>544.61</v>
      </c>
      <c r="C22" s="508">
        <v>93.2</v>
      </c>
      <c r="D22" s="507">
        <v>637.80999999999995</v>
      </c>
      <c r="E22" s="508">
        <v>2066.17</v>
      </c>
      <c r="F22" s="999">
        <v>381.42</v>
      </c>
      <c r="G22" s="508">
        <v>78.63</v>
      </c>
      <c r="H22" s="507">
        <v>460.05</v>
      </c>
      <c r="I22" s="508">
        <v>1597.15</v>
      </c>
    </row>
    <row r="23" spans="1:9" ht="20" customHeight="1" thickBot="1">
      <c r="A23" s="625">
        <v>1999</v>
      </c>
      <c r="B23" s="507">
        <v>841.09</v>
      </c>
      <c r="C23" s="508">
        <v>257.10000000000002</v>
      </c>
      <c r="D23" s="507">
        <v>1098.19</v>
      </c>
      <c r="E23" s="508">
        <v>2435.96</v>
      </c>
      <c r="F23" s="999">
        <v>558.61</v>
      </c>
      <c r="G23" s="508">
        <v>205.28</v>
      </c>
      <c r="H23" s="507">
        <v>763.89</v>
      </c>
      <c r="I23" s="508">
        <v>1841.41</v>
      </c>
    </row>
    <row r="24" spans="1:9" ht="20" customHeight="1" thickBot="1">
      <c r="A24" s="625">
        <v>2000</v>
      </c>
      <c r="B24" s="507">
        <v>1843.16</v>
      </c>
      <c r="C24" s="508">
        <v>399.77</v>
      </c>
      <c r="D24" s="507">
        <v>2242.9299999999998</v>
      </c>
      <c r="E24" s="508">
        <v>3879.09</v>
      </c>
      <c r="F24" s="999">
        <v>1257.46</v>
      </c>
      <c r="G24" s="508">
        <v>326.3</v>
      </c>
      <c r="H24" s="507">
        <v>1583.76</v>
      </c>
      <c r="I24" s="508">
        <v>2917.88</v>
      </c>
    </row>
    <row r="25" spans="1:9" ht="20" customHeight="1" thickBot="1">
      <c r="A25" s="625">
        <v>2001</v>
      </c>
      <c r="B25" s="507">
        <v>2676.62</v>
      </c>
      <c r="C25" s="508">
        <v>513.83000000000004</v>
      </c>
      <c r="D25" s="507">
        <v>3190.45</v>
      </c>
      <c r="E25" s="508">
        <v>5041.2299999999996</v>
      </c>
      <c r="F25" s="999">
        <v>1941.54</v>
      </c>
      <c r="G25" s="508">
        <v>411.76</v>
      </c>
      <c r="H25" s="507">
        <v>2353.3000000000002</v>
      </c>
      <c r="I25" s="508">
        <v>3948.45</v>
      </c>
    </row>
    <row r="26" spans="1:9" ht="20" customHeight="1" thickBot="1">
      <c r="A26" s="625">
        <v>2002</v>
      </c>
      <c r="B26" s="507">
        <v>2798.3878989999998</v>
      </c>
      <c r="C26" s="508">
        <v>633.98667199999954</v>
      </c>
      <c r="D26" s="507">
        <v>3432.3745709999994</v>
      </c>
      <c r="E26" s="508">
        <v>5378.3268339999995</v>
      </c>
      <c r="F26" s="999">
        <v>1909.542256</v>
      </c>
      <c r="G26" s="508">
        <v>485.91948999999977</v>
      </c>
      <c r="H26" s="507">
        <v>2395.4617459999999</v>
      </c>
      <c r="I26" s="508">
        <v>4096.4477649999999</v>
      </c>
    </row>
    <row r="27" spans="1:9" ht="20" customHeight="1" thickBot="1">
      <c r="A27" s="625">
        <v>2003</v>
      </c>
      <c r="B27" s="507">
        <v>2790.9018799999994</v>
      </c>
      <c r="C27" s="508">
        <v>615.2966899999999</v>
      </c>
      <c r="D27" s="507">
        <v>3406.1985699999996</v>
      </c>
      <c r="E27" s="508">
        <v>5465.9839059999995</v>
      </c>
      <c r="F27" s="999">
        <v>1892.170619</v>
      </c>
      <c r="G27" s="508">
        <v>468.26997800000004</v>
      </c>
      <c r="H27" s="507">
        <v>2360.4405969999998</v>
      </c>
      <c r="I27" s="508">
        <v>4182.1949699999996</v>
      </c>
    </row>
    <row r="28" spans="1:9" ht="26.25" customHeight="1" thickBot="1">
      <c r="A28" s="627">
        <v>2004</v>
      </c>
      <c r="B28" s="514">
        <v>3283.3419159999994</v>
      </c>
      <c r="C28" s="710">
        <v>738.67842599999994</v>
      </c>
      <c r="D28" s="514">
        <v>4022.0203419999989</v>
      </c>
      <c r="E28" s="710">
        <v>6221.528084999999</v>
      </c>
      <c r="F28" s="1043">
        <v>2205.5112090000002</v>
      </c>
      <c r="G28" s="710">
        <v>549.46329500000024</v>
      </c>
      <c r="H28" s="514">
        <v>2754.9745040000003</v>
      </c>
      <c r="I28" s="710">
        <v>4484.0208080000002</v>
      </c>
    </row>
    <row r="29" spans="1:9" ht="20" customHeight="1">
      <c r="A29" s="718" t="s">
        <v>36</v>
      </c>
      <c r="B29" s="719"/>
      <c r="C29" s="719"/>
      <c r="D29" s="719"/>
      <c r="E29" s="719"/>
      <c r="F29" s="719"/>
      <c r="G29" s="719"/>
      <c r="H29" s="719"/>
      <c r="I29" s="719"/>
    </row>
    <row r="30" spans="1:9" ht="10.5" customHeight="1">
      <c r="A30" s="722"/>
      <c r="B30" s="723"/>
      <c r="C30" s="723"/>
      <c r="D30" s="723"/>
      <c r="E30" s="723"/>
      <c r="F30" s="723"/>
      <c r="G30" s="723"/>
      <c r="H30" s="723"/>
      <c r="I30" s="723"/>
    </row>
    <row r="31" spans="1:9" ht="14.25" customHeight="1">
      <c r="A31" s="394" t="s">
        <v>70</v>
      </c>
      <c r="B31" s="723"/>
      <c r="C31" s="723"/>
      <c r="D31" s="723"/>
      <c r="E31" s="723"/>
      <c r="F31" s="723"/>
      <c r="G31" s="723"/>
      <c r="H31" s="723"/>
      <c r="I31" s="723"/>
    </row>
    <row r="32" spans="1:9" ht="12" customHeight="1">
      <c r="A32" s="1062" t="s">
        <v>71</v>
      </c>
      <c r="B32" s="723"/>
      <c r="C32" s="723"/>
      <c r="D32" s="723"/>
      <c r="E32" s="723"/>
      <c r="F32" s="723"/>
      <c r="G32" s="723"/>
      <c r="H32" s="723"/>
      <c r="I32" s="723"/>
    </row>
    <row r="33" spans="1:9" ht="12" customHeight="1">
      <c r="A33" s="394" t="s">
        <v>72</v>
      </c>
      <c r="B33" s="723"/>
      <c r="C33" s="723"/>
      <c r="D33" s="723"/>
      <c r="E33" s="723"/>
      <c r="F33" s="723"/>
      <c r="G33" s="723"/>
      <c r="H33" s="723"/>
      <c r="I33" s="723"/>
    </row>
    <row r="34" spans="1:9" ht="12" customHeight="1">
      <c r="A34" s="394" t="s">
        <v>73</v>
      </c>
      <c r="B34" s="723"/>
      <c r="C34" s="723"/>
      <c r="D34" s="723"/>
      <c r="E34" s="723"/>
      <c r="F34" s="723"/>
      <c r="G34" s="723"/>
      <c r="H34" s="723"/>
      <c r="I34" s="723"/>
    </row>
    <row r="35" spans="1:9" ht="12" customHeight="1">
      <c r="A35" s="394"/>
      <c r="B35" s="723"/>
      <c r="C35" s="723"/>
      <c r="D35" s="723"/>
      <c r="E35" s="723"/>
      <c r="F35" s="723"/>
      <c r="G35" s="723"/>
      <c r="H35" s="723"/>
      <c r="I35" s="723"/>
    </row>
    <row r="36" spans="1:9">
      <c r="A36" s="722" t="s">
        <v>74</v>
      </c>
      <c r="B36" s="717"/>
      <c r="C36" s="717"/>
      <c r="D36" s="717"/>
      <c r="E36" s="717"/>
      <c r="F36" s="717"/>
      <c r="G36" s="717"/>
      <c r="H36" s="717"/>
      <c r="I36" s="717"/>
    </row>
    <row r="39" spans="1:9">
      <c r="A39" s="2" t="s">
        <v>104</v>
      </c>
    </row>
  </sheetData>
  <mergeCells count="1">
    <mergeCell ref="A2:H2"/>
  </mergeCells>
  <phoneticPr fontId="0" type="noConversion"/>
  <pageMargins left="0.48" right="0.54" top="0.93" bottom="0.49" header="0.5" footer="0.4921259845"/>
  <pageSetup paperSize="9" scale="75" orientation="portrait"/>
  <headerFooter alignWithMargins="0">
    <oddHeader>&amp;L&amp;"Arial,Bold"Zusatzinformationen zum Gesundheitswesen</oddHeader>
  </headerFooter>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39E06-3079-A14E-ACCF-9D5F6636629C}">
  <sheetPr>
    <pageSetUpPr fitToPage="1"/>
  </sheetPr>
  <dimension ref="A1:L34"/>
  <sheetViews>
    <sheetView zoomScale="75" workbookViewId="0">
      <selection activeCell="D36" sqref="D36"/>
    </sheetView>
  </sheetViews>
  <sheetFormatPr baseColWidth="10" defaultColWidth="11.3984375" defaultRowHeight="13"/>
  <cols>
    <col min="1" max="1" width="10" style="2" customWidth="1"/>
    <col min="2" max="2" width="13.796875" style="162" customWidth="1"/>
    <col min="3" max="3" width="13.3984375" style="162" customWidth="1"/>
    <col min="4" max="4" width="12.59765625" style="162" customWidth="1"/>
    <col min="5" max="5" width="13.19921875" style="162" customWidth="1"/>
    <col min="6" max="6" width="11.796875" style="162" customWidth="1"/>
    <col min="7" max="7" width="14.59765625" style="162" customWidth="1"/>
    <col min="8" max="8" width="13.3984375" style="162" customWidth="1"/>
    <col min="9" max="9" width="12.3984375" style="162" customWidth="1"/>
    <col min="10" max="10" width="13.796875" style="162" customWidth="1"/>
    <col min="11" max="11" width="12.19921875" style="162" customWidth="1"/>
    <col min="12" max="16384" width="11.3984375" style="2"/>
  </cols>
  <sheetData>
    <row r="1" spans="1:12" s="1" customFormat="1" ht="14" customHeight="1">
      <c r="A1" s="591"/>
      <c r="B1" s="705"/>
      <c r="C1" s="705"/>
      <c r="D1" s="705"/>
      <c r="E1" s="705"/>
      <c r="F1" s="705"/>
      <c r="G1" s="705"/>
      <c r="H1" s="705"/>
      <c r="I1" s="705"/>
      <c r="J1" s="705"/>
      <c r="K1" s="705"/>
    </row>
    <row r="2" spans="1:12" s="1" customFormat="1" ht="27" customHeight="1">
      <c r="A2" s="1023" t="s">
        <v>51</v>
      </c>
      <c r="B2" s="1031"/>
      <c r="C2" s="1031"/>
      <c r="D2" s="1031"/>
      <c r="E2" s="1031"/>
      <c r="F2" s="1031"/>
      <c r="G2" s="1031"/>
      <c r="H2" s="1031"/>
      <c r="I2" s="1031"/>
      <c r="J2" s="1031"/>
      <c r="K2" s="621">
        <v>2004</v>
      </c>
    </row>
    <row r="3" spans="1:12" ht="20" customHeight="1">
      <c r="A3" s="165" t="s">
        <v>1250</v>
      </c>
      <c r="B3" s="1032" t="s">
        <v>526</v>
      </c>
      <c r="C3" s="144"/>
      <c r="D3" s="166"/>
      <c r="E3" s="165"/>
      <c r="F3" s="1032" t="s">
        <v>61</v>
      </c>
      <c r="G3" s="1044" t="s">
        <v>527</v>
      </c>
      <c r="H3" s="390"/>
      <c r="I3" s="165"/>
      <c r="J3" s="179"/>
      <c r="K3" s="654" t="s">
        <v>62</v>
      </c>
    </row>
    <row r="4" spans="1:12" ht="32.25" customHeight="1">
      <c r="A4" s="165"/>
      <c r="B4" s="1034" t="s">
        <v>38</v>
      </c>
      <c r="C4" s="1035"/>
      <c r="D4" s="1045" t="s">
        <v>61</v>
      </c>
      <c r="E4" s="1025" t="s">
        <v>52</v>
      </c>
      <c r="F4" s="390"/>
      <c r="G4" s="1046" t="s">
        <v>38</v>
      </c>
      <c r="H4" s="1034"/>
      <c r="I4" s="1035" t="s">
        <v>62</v>
      </c>
      <c r="J4" s="1036" t="s">
        <v>52</v>
      </c>
      <c r="K4" s="142"/>
    </row>
    <row r="5" spans="1:12" ht="15" customHeight="1">
      <c r="A5" s="165"/>
      <c r="B5" s="166" t="s">
        <v>53</v>
      </c>
      <c r="C5" s="144" t="s">
        <v>40</v>
      </c>
      <c r="D5" s="166"/>
      <c r="E5" s="144" t="s">
        <v>40</v>
      </c>
      <c r="F5" s="166"/>
      <c r="G5" s="1047" t="s">
        <v>53</v>
      </c>
      <c r="H5" s="166" t="s">
        <v>40</v>
      </c>
      <c r="I5" s="144"/>
      <c r="J5" s="166" t="s">
        <v>40</v>
      </c>
      <c r="K5" s="144"/>
    </row>
    <row r="6" spans="1:12" ht="15" customHeight="1">
      <c r="A6" s="165"/>
      <c r="B6" s="363" t="s">
        <v>40</v>
      </c>
      <c r="C6" s="706" t="s">
        <v>63</v>
      </c>
      <c r="D6" s="363"/>
      <c r="E6" s="706" t="s">
        <v>64</v>
      </c>
      <c r="F6" s="166"/>
      <c r="G6" s="1048" t="s">
        <v>40</v>
      </c>
      <c r="H6" s="166" t="s">
        <v>63</v>
      </c>
      <c r="I6" s="144"/>
      <c r="J6" s="166" t="s">
        <v>64</v>
      </c>
      <c r="K6" s="144"/>
    </row>
    <row r="7" spans="1:12" ht="15" customHeight="1">
      <c r="A7" s="165"/>
      <c r="B7" s="363" t="s">
        <v>65</v>
      </c>
      <c r="C7" s="706"/>
      <c r="D7" s="363"/>
      <c r="E7" s="706"/>
      <c r="F7" s="363"/>
      <c r="G7" s="1048" t="s">
        <v>65</v>
      </c>
      <c r="H7" s="166"/>
      <c r="I7" s="144"/>
      <c r="J7" s="166"/>
      <c r="K7" s="144"/>
    </row>
    <row r="8" spans="1:12" ht="20" customHeight="1">
      <c r="A8" s="306"/>
      <c r="B8" s="168"/>
      <c r="C8" s="147"/>
      <c r="D8" s="168"/>
      <c r="E8" s="147"/>
      <c r="F8" s="168"/>
      <c r="G8" s="1049"/>
      <c r="H8" s="168"/>
      <c r="I8" s="147"/>
      <c r="J8" s="168"/>
      <c r="K8" s="147"/>
    </row>
    <row r="9" spans="1:12" ht="1.5" customHeight="1" thickBot="1">
      <c r="A9" s="624">
        <v>1991</v>
      </c>
      <c r="B9" s="1030">
        <v>996.2</v>
      </c>
      <c r="C9" s="1037" t="s">
        <v>1300</v>
      </c>
      <c r="D9" s="1030">
        <v>996.2</v>
      </c>
      <c r="E9" s="1037">
        <v>780</v>
      </c>
      <c r="F9" s="1030">
        <v>1776.2</v>
      </c>
      <c r="G9" s="1050">
        <v>885.4</v>
      </c>
      <c r="H9" s="1030" t="s">
        <v>1300</v>
      </c>
      <c r="I9" s="1037">
        <v>885.4</v>
      </c>
      <c r="J9" s="708">
        <v>649.4</v>
      </c>
      <c r="K9" s="170">
        <v>1534.8</v>
      </c>
    </row>
    <row r="10" spans="1:12" ht="20" hidden="1" customHeight="1" thickBot="1">
      <c r="A10" s="625">
        <v>1992</v>
      </c>
      <c r="B10" s="756">
        <v>1003.8</v>
      </c>
      <c r="C10" s="1037" t="s">
        <v>1300</v>
      </c>
      <c r="D10" s="1030">
        <v>1003.8</v>
      </c>
      <c r="E10" s="1039">
        <v>897</v>
      </c>
      <c r="F10" s="1051">
        <v>1900.8</v>
      </c>
      <c r="G10" s="1052">
        <v>923.2</v>
      </c>
      <c r="H10" s="1030" t="s">
        <v>1300</v>
      </c>
      <c r="I10" s="1037">
        <v>923.2</v>
      </c>
      <c r="J10" s="1053">
        <v>783.9</v>
      </c>
      <c r="K10" s="1041">
        <v>1707.1</v>
      </c>
    </row>
    <row r="11" spans="1:12" ht="20" hidden="1" customHeight="1" thickBot="1">
      <c r="A11" s="625">
        <v>1993</v>
      </c>
      <c r="B11" s="756">
        <v>1026.2</v>
      </c>
      <c r="C11" s="1037" t="s">
        <v>1300</v>
      </c>
      <c r="D11" s="1030">
        <v>1026.2</v>
      </c>
      <c r="E11" s="1039">
        <v>932.8</v>
      </c>
      <c r="F11" s="1051">
        <v>1959</v>
      </c>
      <c r="G11" s="1052">
        <v>928.41399999999999</v>
      </c>
      <c r="H11" s="1030" t="s">
        <v>1300</v>
      </c>
      <c r="I11" s="1037">
        <v>928.41399999999999</v>
      </c>
      <c r="J11" s="1053">
        <v>833.7</v>
      </c>
      <c r="K11" s="1041">
        <v>1762.114</v>
      </c>
    </row>
    <row r="12" spans="1:12" ht="20" hidden="1" customHeight="1" thickBot="1">
      <c r="A12" s="625">
        <v>1994</v>
      </c>
      <c r="B12" s="756">
        <v>1052.2</v>
      </c>
      <c r="C12" s="1037" t="s">
        <v>1300</v>
      </c>
      <c r="D12" s="1030">
        <v>1052.2</v>
      </c>
      <c r="E12" s="1039">
        <v>931.1</v>
      </c>
      <c r="F12" s="1051">
        <v>1983.3</v>
      </c>
      <c r="G12" s="1052">
        <v>983.23500000000001</v>
      </c>
      <c r="H12" s="1030" t="s">
        <v>1300</v>
      </c>
      <c r="I12" s="1037">
        <v>983.23500000000001</v>
      </c>
      <c r="J12" s="1053">
        <v>876.1</v>
      </c>
      <c r="K12" s="1041">
        <v>1859.335</v>
      </c>
    </row>
    <row r="13" spans="1:12" ht="19.5" hidden="1" customHeight="1" thickBot="1">
      <c r="A13" s="625">
        <v>1995</v>
      </c>
      <c r="B13" s="756">
        <v>1073.0999999999999</v>
      </c>
      <c r="C13" s="1037" t="s">
        <v>1300</v>
      </c>
      <c r="D13" s="1030">
        <v>1073.0999999999999</v>
      </c>
      <c r="E13" s="1039">
        <v>935</v>
      </c>
      <c r="F13" s="1051">
        <v>2008.1</v>
      </c>
      <c r="G13" s="1052">
        <v>1017.388</v>
      </c>
      <c r="H13" s="1030" t="s">
        <v>1300</v>
      </c>
      <c r="I13" s="1037">
        <v>1017.388</v>
      </c>
      <c r="J13" s="1053">
        <v>901.4</v>
      </c>
      <c r="K13" s="1041">
        <v>1918.788</v>
      </c>
    </row>
    <row r="14" spans="1:12" ht="20" customHeight="1" thickBot="1">
      <c r="A14" s="625">
        <v>1996</v>
      </c>
      <c r="B14" s="756">
        <v>832</v>
      </c>
      <c r="C14" s="1039">
        <v>180.9</v>
      </c>
      <c r="D14" s="1051">
        <v>1012.9</v>
      </c>
      <c r="E14" s="1039">
        <v>978.3</v>
      </c>
      <c r="F14" s="1051">
        <v>1991.2</v>
      </c>
      <c r="G14" s="1052">
        <v>872.50191104999999</v>
      </c>
      <c r="H14" s="1040">
        <v>116.7</v>
      </c>
      <c r="I14" s="1054">
        <v>989.20191105000004</v>
      </c>
      <c r="J14" s="1053">
        <v>846.1</v>
      </c>
      <c r="K14" s="1041">
        <v>1835.3019110499999</v>
      </c>
      <c r="L14"/>
    </row>
    <row r="15" spans="1:12" ht="20" customHeight="1" thickBot="1">
      <c r="A15" s="625">
        <v>1997</v>
      </c>
      <c r="B15" s="756">
        <v>558.9</v>
      </c>
      <c r="C15" s="508">
        <v>393.8</v>
      </c>
      <c r="D15" s="1030">
        <v>952.7</v>
      </c>
      <c r="E15" s="508">
        <v>1319.9</v>
      </c>
      <c r="F15" s="1030">
        <v>2272.6</v>
      </c>
      <c r="G15" s="1052">
        <v>621.52611999999999</v>
      </c>
      <c r="H15" s="507">
        <v>335.7</v>
      </c>
      <c r="I15" s="1037">
        <v>957.22612000000004</v>
      </c>
      <c r="J15" s="507">
        <v>1082.8</v>
      </c>
      <c r="K15" s="170">
        <v>2040.02612</v>
      </c>
      <c r="L15"/>
    </row>
    <row r="16" spans="1:12" ht="20" customHeight="1" thickBot="1">
      <c r="A16" s="625">
        <v>1998</v>
      </c>
      <c r="B16" s="756">
        <v>509.6</v>
      </c>
      <c r="C16" s="508">
        <v>508.1</v>
      </c>
      <c r="D16" s="1030">
        <v>1017.7</v>
      </c>
      <c r="E16" s="508">
        <v>1428.4</v>
      </c>
      <c r="F16" s="1030">
        <v>2446.1</v>
      </c>
      <c r="G16" s="1052">
        <v>456.36259100000001</v>
      </c>
      <c r="H16" s="507">
        <v>453.7</v>
      </c>
      <c r="I16" s="1037">
        <v>910.062591</v>
      </c>
      <c r="J16" s="507">
        <v>1137.0999999999999</v>
      </c>
      <c r="K16" s="170">
        <v>2047.1625909999998</v>
      </c>
      <c r="L16"/>
    </row>
    <row r="17" spans="1:12" ht="20" customHeight="1" thickBot="1">
      <c r="A17" s="625">
        <v>1999</v>
      </c>
      <c r="B17" s="756">
        <v>462.9</v>
      </c>
      <c r="C17" s="508">
        <v>442.7</v>
      </c>
      <c r="D17" s="1030">
        <v>905.6</v>
      </c>
      <c r="E17" s="508">
        <v>1337.8</v>
      </c>
      <c r="F17" s="1030">
        <v>2243.4</v>
      </c>
      <c r="G17" s="1052">
        <v>412.14915300000001</v>
      </c>
      <c r="H17" s="507">
        <v>385.2</v>
      </c>
      <c r="I17" s="1037">
        <v>797.349153</v>
      </c>
      <c r="J17" s="507">
        <v>1077.5</v>
      </c>
      <c r="K17" s="170">
        <v>1874.8491530000001</v>
      </c>
      <c r="L17"/>
    </row>
    <row r="18" spans="1:12" ht="20" customHeight="1" thickBot="1">
      <c r="A18" s="625">
        <v>2000</v>
      </c>
      <c r="B18" s="756">
        <v>438.9</v>
      </c>
      <c r="C18" s="508">
        <v>339.7</v>
      </c>
      <c r="D18" s="1030">
        <v>778.6</v>
      </c>
      <c r="E18" s="508">
        <v>1636.2</v>
      </c>
      <c r="F18" s="1030">
        <v>2414.8000000000002</v>
      </c>
      <c r="G18" s="1052">
        <v>381.63992000000002</v>
      </c>
      <c r="H18" s="507">
        <v>299.2</v>
      </c>
      <c r="I18" s="1037">
        <v>680.83992000000001</v>
      </c>
      <c r="J18" s="507">
        <v>1334.1</v>
      </c>
      <c r="K18" s="170">
        <v>2014.9399199999998</v>
      </c>
      <c r="L18"/>
    </row>
    <row r="19" spans="1:12" ht="20" customHeight="1" thickBot="1">
      <c r="A19" s="625">
        <v>2001</v>
      </c>
      <c r="B19" s="756">
        <v>398.65</v>
      </c>
      <c r="C19" s="508">
        <v>248.38</v>
      </c>
      <c r="D19" s="1030">
        <v>647.03</v>
      </c>
      <c r="E19" s="508">
        <v>1850.78</v>
      </c>
      <c r="F19" s="1030">
        <v>2497.81</v>
      </c>
      <c r="G19" s="1052">
        <v>351.97137099999998</v>
      </c>
      <c r="H19" s="507">
        <v>201.85</v>
      </c>
      <c r="I19" s="1037">
        <v>553.821371</v>
      </c>
      <c r="J19" s="507">
        <v>1595.15</v>
      </c>
      <c r="K19" s="170">
        <v>2148.9713710000001</v>
      </c>
      <c r="L19"/>
    </row>
    <row r="20" spans="1:12" ht="20" customHeight="1" thickBot="1">
      <c r="A20" s="625">
        <v>2002</v>
      </c>
      <c r="B20" s="756">
        <v>370.90300000000002</v>
      </c>
      <c r="C20" s="508">
        <v>248.779527</v>
      </c>
      <c r="D20" s="1030">
        <v>619.68252700000005</v>
      </c>
      <c r="E20" s="508">
        <v>1945.9522629999999</v>
      </c>
      <c r="F20" s="1030">
        <v>2565.6347900000001</v>
      </c>
      <c r="G20" s="1052">
        <v>329.149</v>
      </c>
      <c r="H20" s="507">
        <v>227.06825000000001</v>
      </c>
      <c r="I20" s="1037">
        <v>556.21725000000004</v>
      </c>
      <c r="J20" s="507">
        <v>1700.9860189999999</v>
      </c>
      <c r="K20" s="170">
        <v>2257.2032690000001</v>
      </c>
      <c r="L20"/>
    </row>
    <row r="21" spans="1:12" ht="20" customHeight="1" thickBot="1">
      <c r="A21" s="625">
        <v>2003</v>
      </c>
      <c r="B21" s="756">
        <v>354.08080662000003</v>
      </c>
      <c r="C21" s="508">
        <v>295.50233600000001</v>
      </c>
      <c r="D21" s="1030">
        <v>649.58314261999999</v>
      </c>
      <c r="E21" s="508">
        <v>2059.7853359999999</v>
      </c>
      <c r="F21" s="1030">
        <v>2709.3684786200001</v>
      </c>
      <c r="G21" s="1052">
        <v>309.91303072000005</v>
      </c>
      <c r="H21" s="507">
        <v>266.92607400000003</v>
      </c>
      <c r="I21" s="1037">
        <v>576.83910472000002</v>
      </c>
      <c r="J21" s="507">
        <v>1821.754373</v>
      </c>
      <c r="K21" s="170">
        <v>2398.59347772</v>
      </c>
      <c r="L21"/>
    </row>
    <row r="22" spans="1:12" s="205" customFormat="1" ht="27.75" customHeight="1" thickBot="1">
      <c r="A22" s="627">
        <v>2004</v>
      </c>
      <c r="B22" s="1055">
        <v>354.05374882999996</v>
      </c>
      <c r="C22" s="710">
        <v>465.97641131</v>
      </c>
      <c r="D22" s="1056">
        <v>820.03016013999991</v>
      </c>
      <c r="E22" s="710">
        <v>2199.5077430000001</v>
      </c>
      <c r="F22" s="1056">
        <v>3019.5379031399998</v>
      </c>
      <c r="G22" s="1057">
        <v>277.93515424999998</v>
      </c>
      <c r="H22" s="514">
        <v>341.37247587999997</v>
      </c>
      <c r="I22" s="1058">
        <v>619.30763013000001</v>
      </c>
      <c r="J22" s="514">
        <v>1729.046304</v>
      </c>
      <c r="K22" s="1059">
        <v>2348.3539341300002</v>
      </c>
      <c r="L22" s="1060"/>
    </row>
    <row r="23" spans="1:12" ht="20" customHeight="1">
      <c r="A23" s="718" t="s">
        <v>36</v>
      </c>
      <c r="B23" s="719"/>
      <c r="C23" s="719"/>
      <c r="D23" s="719"/>
      <c r="E23" s="719"/>
      <c r="F23" s="719"/>
      <c r="G23" s="719"/>
      <c r="H23" s="719"/>
      <c r="I23" s="719"/>
      <c r="J23" s="719"/>
      <c r="K23" s="719"/>
    </row>
    <row r="24" spans="1:12" ht="13.5" customHeight="1">
      <c r="A24" s="722"/>
      <c r="B24" s="723"/>
      <c r="C24" s="723"/>
      <c r="D24" s="723"/>
      <c r="E24" s="723"/>
      <c r="F24" s="723"/>
      <c r="G24" s="723"/>
      <c r="H24" s="723"/>
      <c r="I24" s="723"/>
      <c r="J24" s="723"/>
      <c r="K24" s="723"/>
    </row>
    <row r="25" spans="1:12">
      <c r="A25" s="394" t="s">
        <v>54</v>
      </c>
      <c r="B25" s="717"/>
      <c r="C25" s="717"/>
      <c r="D25" s="717"/>
      <c r="E25" s="717"/>
      <c r="F25" s="717"/>
      <c r="G25" s="717"/>
      <c r="H25" s="717"/>
      <c r="I25" s="717"/>
      <c r="J25" s="717"/>
      <c r="K25" s="717"/>
    </row>
    <row r="26" spans="1:12">
      <c r="A26" s="394" t="s">
        <v>55</v>
      </c>
      <c r="B26" s="717"/>
      <c r="C26" s="717"/>
      <c r="D26" s="717"/>
      <c r="E26" s="717"/>
      <c r="F26" s="717"/>
      <c r="G26" s="717"/>
      <c r="H26" s="717"/>
      <c r="I26" s="717"/>
      <c r="J26" s="717"/>
      <c r="K26" s="717"/>
    </row>
    <row r="27" spans="1:12">
      <c r="A27" s="394" t="s">
        <v>56</v>
      </c>
      <c r="B27" s="717"/>
      <c r="C27" s="717"/>
      <c r="D27" s="717"/>
      <c r="E27" s="717"/>
      <c r="F27" s="717"/>
      <c r="G27" s="717"/>
      <c r="H27" s="717"/>
      <c r="I27" s="717"/>
      <c r="J27" s="717"/>
      <c r="K27" s="717"/>
    </row>
    <row r="28" spans="1:12">
      <c r="A28" s="394" t="s">
        <v>66</v>
      </c>
      <c r="B28" s="717"/>
      <c r="C28" s="717"/>
      <c r="D28" s="717"/>
      <c r="E28" s="717"/>
      <c r="F28" s="717"/>
      <c r="G28" s="717"/>
      <c r="H28" s="717"/>
      <c r="I28" s="717"/>
      <c r="J28" s="717"/>
      <c r="K28" s="717"/>
    </row>
    <row r="29" spans="1:12">
      <c r="A29" s="2" t="s">
        <v>57</v>
      </c>
    </row>
    <row r="30" spans="1:12">
      <c r="A30" s="394" t="s">
        <v>58</v>
      </c>
      <c r="B30" s="717"/>
      <c r="C30" s="717"/>
      <c r="D30" s="717"/>
      <c r="E30" s="717"/>
      <c r="F30" s="717"/>
      <c r="G30" s="717"/>
      <c r="H30" s="717"/>
      <c r="I30" s="717"/>
      <c r="J30" s="717"/>
      <c r="K30" s="717"/>
    </row>
    <row r="31" spans="1:12">
      <c r="A31" s="722" t="s">
        <v>59</v>
      </c>
      <c r="B31" s="717"/>
      <c r="C31" s="717"/>
      <c r="D31" s="717"/>
      <c r="E31" s="717"/>
      <c r="F31" s="717"/>
      <c r="G31" s="717"/>
      <c r="H31" s="717"/>
      <c r="I31" s="717"/>
      <c r="J31" s="717"/>
      <c r="K31" s="717"/>
    </row>
    <row r="32" spans="1:12">
      <c r="A32" s="1061" t="s">
        <v>60</v>
      </c>
      <c r="B32" s="717"/>
      <c r="C32" s="717"/>
      <c r="D32" s="717"/>
      <c r="E32" s="717"/>
      <c r="F32" s="717"/>
      <c r="G32" s="717"/>
      <c r="H32" s="717"/>
      <c r="I32" s="717"/>
      <c r="J32" s="717"/>
      <c r="K32" s="717"/>
    </row>
    <row r="34" spans="1:1">
      <c r="A34" s="2" t="s">
        <v>104</v>
      </c>
    </row>
  </sheetData>
  <phoneticPr fontId="0" type="noConversion"/>
  <pageMargins left="0.48" right="0.44" top="0.72" bottom="0.49" header="0.45" footer="0.4921259845"/>
  <pageSetup paperSize="9" scale="67" orientation="portrait"/>
  <headerFooter alignWithMargins="0">
    <oddHeader>&amp;L&amp;"Arial,Bold"Zusatzinformationen zum Gesundheitswesen</oddHeader>
  </headerFooter>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65137-49BC-494B-9B45-B06A99404B54}">
  <sheetPr>
    <pageSetUpPr fitToPage="1"/>
  </sheetPr>
  <dimension ref="A1:L32"/>
  <sheetViews>
    <sheetView zoomScale="75" workbookViewId="0"/>
  </sheetViews>
  <sheetFormatPr baseColWidth="10" defaultColWidth="11.3984375" defaultRowHeight="13"/>
  <cols>
    <col min="1" max="1" width="10" style="2" customWidth="1"/>
    <col min="2" max="2" width="13.19921875" style="162" customWidth="1"/>
    <col min="3" max="3" width="13.3984375" style="162" customWidth="1"/>
    <col min="4" max="4" width="15" style="162" customWidth="1"/>
    <col min="5" max="5" width="13" style="162" customWidth="1"/>
    <col min="6" max="7" width="13.59765625" style="162" customWidth="1"/>
    <col min="8" max="8" width="14.796875" style="162" customWidth="1"/>
    <col min="9" max="9" width="13.59765625" style="162" customWidth="1"/>
    <col min="10" max="16384" width="11.3984375" style="2"/>
  </cols>
  <sheetData>
    <row r="1" spans="1:12" s="1" customFormat="1" ht="14" customHeight="1">
      <c r="A1" s="591"/>
      <c r="B1" s="705"/>
      <c r="C1" s="705"/>
      <c r="D1" s="705"/>
      <c r="E1" s="705"/>
      <c r="F1" s="705"/>
      <c r="G1" s="705"/>
      <c r="H1" s="705"/>
      <c r="I1" s="705"/>
    </row>
    <row r="2" spans="1:12" s="1" customFormat="1" ht="27" customHeight="1">
      <c r="A2" s="1023" t="s">
        <v>45</v>
      </c>
      <c r="B2" s="1031"/>
      <c r="C2" s="1031"/>
      <c r="D2" s="1031"/>
      <c r="E2" s="1031"/>
      <c r="F2" s="1031"/>
      <c r="G2" s="1031"/>
      <c r="H2" s="1031"/>
      <c r="I2" s="621">
        <v>2004</v>
      </c>
    </row>
    <row r="3" spans="1:12" ht="20" customHeight="1">
      <c r="A3" s="165" t="s">
        <v>1250</v>
      </c>
      <c r="B3" s="1032" t="s">
        <v>526</v>
      </c>
      <c r="C3" s="144"/>
      <c r="D3" s="166"/>
      <c r="E3" s="361" t="s">
        <v>652</v>
      </c>
      <c r="F3" s="1033" t="s">
        <v>527</v>
      </c>
      <c r="G3" s="165"/>
      <c r="H3" s="390"/>
      <c r="I3" s="361" t="s">
        <v>652</v>
      </c>
    </row>
    <row r="4" spans="1:12" ht="33" customHeight="1">
      <c r="A4" s="165"/>
      <c r="B4" s="1034" t="s">
        <v>38</v>
      </c>
      <c r="C4" s="1035"/>
      <c r="D4" s="1036" t="s">
        <v>46</v>
      </c>
      <c r="E4" s="1025"/>
      <c r="F4" s="1026" t="s">
        <v>38</v>
      </c>
      <c r="G4" s="1027"/>
      <c r="H4" s="1036" t="s">
        <v>46</v>
      </c>
      <c r="I4" s="1025"/>
    </row>
    <row r="5" spans="1:12" ht="15" customHeight="1">
      <c r="A5" s="165"/>
      <c r="B5" s="1028" t="s">
        <v>39</v>
      </c>
      <c r="C5" s="706" t="s">
        <v>874</v>
      </c>
      <c r="D5" s="363" t="s">
        <v>40</v>
      </c>
      <c r="E5" s="144"/>
      <c r="F5" s="1029" t="s">
        <v>39</v>
      </c>
      <c r="G5" s="706" t="s">
        <v>874</v>
      </c>
      <c r="H5" s="363" t="s">
        <v>40</v>
      </c>
      <c r="I5" s="144"/>
    </row>
    <row r="6" spans="1:12" ht="17.25" customHeight="1">
      <c r="A6" s="165"/>
      <c r="B6" s="1028" t="s">
        <v>47</v>
      </c>
      <c r="C6" s="706" t="s">
        <v>48</v>
      </c>
      <c r="D6" s="363" t="s">
        <v>910</v>
      </c>
      <c r="E6" s="144"/>
      <c r="F6" s="1029" t="s">
        <v>47</v>
      </c>
      <c r="G6" s="706" t="s">
        <v>48</v>
      </c>
      <c r="H6" s="363" t="s">
        <v>910</v>
      </c>
      <c r="I6" s="144"/>
    </row>
    <row r="7" spans="1:12" ht="16.5" customHeight="1">
      <c r="A7" s="306"/>
      <c r="B7" s="168"/>
      <c r="C7" s="147"/>
      <c r="D7" s="168"/>
      <c r="E7" s="147"/>
      <c r="F7" s="1017"/>
      <c r="G7" s="147"/>
      <c r="H7" s="168"/>
      <c r="I7" s="147"/>
    </row>
    <row r="8" spans="1:12" ht="1.5" customHeight="1" thickBot="1">
      <c r="A8" s="624">
        <v>1991</v>
      </c>
      <c r="B8" s="1030">
        <v>7381.6</v>
      </c>
      <c r="C8" s="1037">
        <v>2030</v>
      </c>
      <c r="D8" s="1030">
        <v>763.6</v>
      </c>
      <c r="E8" s="170">
        <v>10175.200000000001</v>
      </c>
      <c r="F8" s="1038">
        <v>8411.9</v>
      </c>
      <c r="G8" s="1037">
        <v>1717.6</v>
      </c>
      <c r="H8" s="1030">
        <v>608.6</v>
      </c>
      <c r="I8" s="170">
        <v>10738.1</v>
      </c>
    </row>
    <row r="9" spans="1:12" ht="20" hidden="1" customHeight="1" thickBot="1">
      <c r="A9" s="625">
        <v>1992</v>
      </c>
      <c r="B9" s="756">
        <v>8071.6</v>
      </c>
      <c r="C9" s="1039">
        <v>2234.5</v>
      </c>
      <c r="D9" s="1040">
        <v>751.05194456734102</v>
      </c>
      <c r="E9" s="1041">
        <v>11057.151944567342</v>
      </c>
      <c r="F9" s="1042">
        <v>9374.4</v>
      </c>
      <c r="G9" s="1039">
        <v>1832.3</v>
      </c>
      <c r="H9" s="1040">
        <v>631.14866850607859</v>
      </c>
      <c r="I9" s="1041">
        <v>11837.848668506078</v>
      </c>
    </row>
    <row r="10" spans="1:12" ht="20" hidden="1" customHeight="1" thickBot="1">
      <c r="A10" s="625">
        <v>1993</v>
      </c>
      <c r="B10" s="756">
        <v>8959</v>
      </c>
      <c r="C10" s="1039">
        <v>3326.3</v>
      </c>
      <c r="D10" s="1040">
        <v>734.92479192401356</v>
      </c>
      <c r="E10" s="1041">
        <v>13020.224791924013</v>
      </c>
      <c r="F10" s="1042">
        <v>9747.2000000000007</v>
      </c>
      <c r="G10" s="1039">
        <v>2431.9</v>
      </c>
      <c r="H10" s="1040">
        <v>626.00138979065252</v>
      </c>
      <c r="I10" s="1041">
        <v>12805.101389790652</v>
      </c>
    </row>
    <row r="11" spans="1:12" ht="20" hidden="1" customHeight="1" thickBot="1">
      <c r="A11" s="625">
        <v>1994</v>
      </c>
      <c r="B11" s="756">
        <v>8986.1</v>
      </c>
      <c r="C11" s="1039">
        <v>4076.6</v>
      </c>
      <c r="D11" s="1040">
        <v>690.03021854426788</v>
      </c>
      <c r="E11" s="1041">
        <v>13752.730218544268</v>
      </c>
      <c r="F11" s="1042">
        <v>9548.9</v>
      </c>
      <c r="G11" s="1039">
        <v>3331.5</v>
      </c>
      <c r="H11" s="1040">
        <v>613.0603501903413</v>
      </c>
      <c r="I11" s="1041">
        <v>13493.46035019034</v>
      </c>
    </row>
    <row r="12" spans="1:12" ht="19.5" hidden="1" customHeight="1" thickBot="1">
      <c r="A12" s="625">
        <v>1995</v>
      </c>
      <c r="B12" s="756">
        <v>9125.7999999999993</v>
      </c>
      <c r="C12" s="1039">
        <v>4249.7</v>
      </c>
      <c r="D12" s="1040">
        <v>651.42256806953048</v>
      </c>
      <c r="E12" s="1041">
        <v>14026.922568069531</v>
      </c>
      <c r="F12" s="1042">
        <v>10017.200000000001</v>
      </c>
      <c r="G12" s="1039">
        <v>3664.1</v>
      </c>
      <c r="H12" s="1040">
        <v>587.27080996548773</v>
      </c>
      <c r="I12" s="1041">
        <v>14268.570809965489</v>
      </c>
    </row>
    <row r="13" spans="1:12" ht="20" customHeight="1" thickBot="1">
      <c r="A13" s="625">
        <v>1996</v>
      </c>
      <c r="B13" s="756">
        <v>11035.2</v>
      </c>
      <c r="C13" s="1039">
        <v>4337.5</v>
      </c>
      <c r="D13" s="1040">
        <v>640.36315374410731</v>
      </c>
      <c r="E13" s="1041">
        <v>16013.063153744108</v>
      </c>
      <c r="F13" s="1042">
        <v>10780.5</v>
      </c>
      <c r="G13" s="1039">
        <v>3809.6285714248806</v>
      </c>
      <c r="H13" s="1040">
        <v>512.67578326995283</v>
      </c>
      <c r="I13" s="1041">
        <v>15102.804354694834</v>
      </c>
      <c r="K13"/>
      <c r="L13"/>
    </row>
    <row r="14" spans="1:12" ht="20" customHeight="1" thickBot="1">
      <c r="A14" s="625">
        <v>1997</v>
      </c>
      <c r="B14" s="507">
        <v>11924.8</v>
      </c>
      <c r="C14" s="508">
        <v>4410.6000000000004</v>
      </c>
      <c r="D14" s="507">
        <v>601.9</v>
      </c>
      <c r="E14" s="170">
        <v>16937.3</v>
      </c>
      <c r="F14" s="999">
        <v>11360.5</v>
      </c>
      <c r="G14" s="508">
        <v>3288.3</v>
      </c>
      <c r="H14" s="507">
        <v>475.9</v>
      </c>
      <c r="I14" s="170">
        <v>15124.7</v>
      </c>
      <c r="K14"/>
      <c r="L14"/>
    </row>
    <row r="15" spans="1:12" ht="20" customHeight="1" thickBot="1">
      <c r="A15" s="625">
        <v>1998</v>
      </c>
      <c r="B15" s="507">
        <v>12604.2</v>
      </c>
      <c r="C15" s="508">
        <v>4453.3</v>
      </c>
      <c r="D15" s="507">
        <v>637.79999999999995</v>
      </c>
      <c r="E15" s="170">
        <v>17695.3</v>
      </c>
      <c r="F15" s="999">
        <v>11926.9</v>
      </c>
      <c r="G15" s="508">
        <v>3299.5</v>
      </c>
      <c r="H15" s="507">
        <v>460.1</v>
      </c>
      <c r="I15" s="170">
        <v>15686.5</v>
      </c>
      <c r="K15"/>
      <c r="L15"/>
    </row>
    <row r="16" spans="1:12" ht="20" customHeight="1" thickBot="1">
      <c r="A16" s="625">
        <v>1999</v>
      </c>
      <c r="B16" s="507">
        <v>12949.5</v>
      </c>
      <c r="C16" s="508">
        <v>3766.7</v>
      </c>
      <c r="D16" s="507">
        <v>1098.2</v>
      </c>
      <c r="E16" s="170">
        <v>17814.400000000001</v>
      </c>
      <c r="F16" s="999">
        <v>12430.6</v>
      </c>
      <c r="G16" s="508">
        <v>2787.1</v>
      </c>
      <c r="H16" s="507">
        <v>763.9</v>
      </c>
      <c r="I16" s="170">
        <v>15981.6</v>
      </c>
      <c r="K16"/>
      <c r="L16"/>
    </row>
    <row r="17" spans="1:12" ht="20" customHeight="1" thickBot="1">
      <c r="A17" s="625">
        <v>2000</v>
      </c>
      <c r="B17" s="507">
        <v>13346.7</v>
      </c>
      <c r="C17" s="508">
        <v>2917.4</v>
      </c>
      <c r="D17" s="507">
        <v>2242.9</v>
      </c>
      <c r="E17" s="170">
        <v>18507</v>
      </c>
      <c r="F17" s="999">
        <v>13190.3</v>
      </c>
      <c r="G17" s="508">
        <v>2199.1</v>
      </c>
      <c r="H17" s="507">
        <v>1583.8</v>
      </c>
      <c r="I17" s="170">
        <v>16973.2</v>
      </c>
      <c r="K17"/>
      <c r="L17"/>
    </row>
    <row r="18" spans="1:12" ht="20" customHeight="1" thickBot="1">
      <c r="A18" s="625">
        <v>2001</v>
      </c>
      <c r="B18" s="507">
        <v>13954.7</v>
      </c>
      <c r="C18" s="508">
        <v>1986.99</v>
      </c>
      <c r="D18" s="507">
        <v>3190.46</v>
      </c>
      <c r="E18" s="170">
        <v>19132.150000000001</v>
      </c>
      <c r="F18" s="999">
        <v>13986.27</v>
      </c>
      <c r="G18" s="508">
        <v>1576.7</v>
      </c>
      <c r="H18" s="507">
        <v>2353.3000000000002</v>
      </c>
      <c r="I18" s="170">
        <v>17916.27</v>
      </c>
      <c r="K18"/>
      <c r="L18"/>
    </row>
    <row r="19" spans="1:12" ht="20" customHeight="1" thickBot="1">
      <c r="A19" s="625">
        <v>2002</v>
      </c>
      <c r="B19" s="507">
        <v>15296.16</v>
      </c>
      <c r="C19" s="508">
        <v>1958.4404729999999</v>
      </c>
      <c r="D19" s="507">
        <v>3432.3745709999994</v>
      </c>
      <c r="E19" s="170">
        <v>20686.975043999999</v>
      </c>
      <c r="F19" s="999">
        <v>14592.75</v>
      </c>
      <c r="G19" s="508">
        <v>1422.34175</v>
      </c>
      <c r="H19" s="507">
        <v>2395.4617459999999</v>
      </c>
      <c r="I19" s="170">
        <v>18410.553496</v>
      </c>
      <c r="K19"/>
      <c r="L19"/>
    </row>
    <row r="20" spans="1:12" ht="20" customHeight="1" thickBot="1">
      <c r="A20" s="625">
        <v>2003</v>
      </c>
      <c r="B20" s="507">
        <v>16759.707467</v>
      </c>
      <c r="C20" s="508">
        <v>1882.6076640000001</v>
      </c>
      <c r="D20" s="507">
        <v>3406.1985699999996</v>
      </c>
      <c r="E20" s="170">
        <v>22048.513701</v>
      </c>
      <c r="F20" s="999">
        <v>15335.619704000001</v>
      </c>
      <c r="G20" s="508">
        <v>1354.5729260000001</v>
      </c>
      <c r="H20" s="507">
        <v>2360.4405969999998</v>
      </c>
      <c r="I20" s="170">
        <v>19050.633227000002</v>
      </c>
      <c r="K20"/>
      <c r="L20"/>
    </row>
    <row r="21" spans="1:12" ht="24.75" customHeight="1" thickBot="1">
      <c r="A21" s="627">
        <v>2004</v>
      </c>
      <c r="B21" s="514">
        <v>17979.586842000001</v>
      </c>
      <c r="C21" s="710">
        <v>1358.7895999899999</v>
      </c>
      <c r="D21" s="514">
        <v>4022.0203419999989</v>
      </c>
      <c r="E21" s="710">
        <v>23360.39678399</v>
      </c>
      <c r="F21" s="1043">
        <v>16307.508545000001</v>
      </c>
      <c r="G21" s="710">
        <v>1040.45917962</v>
      </c>
      <c r="H21" s="514">
        <v>2754.9745040000003</v>
      </c>
      <c r="I21" s="710">
        <v>20102.942228620002</v>
      </c>
      <c r="K21"/>
      <c r="L21"/>
    </row>
    <row r="22" spans="1:12" ht="17.25" customHeight="1">
      <c r="A22" s="718" t="s">
        <v>36</v>
      </c>
      <c r="B22" s="719"/>
      <c r="C22" s="719"/>
      <c r="D22" s="719"/>
      <c r="E22" s="719"/>
      <c r="F22" s="719"/>
      <c r="G22" s="719"/>
      <c r="H22" s="719"/>
      <c r="I22" s="719"/>
    </row>
    <row r="23" spans="1:12" ht="13.5" customHeight="1">
      <c r="A23" s="722"/>
      <c r="B23" s="723"/>
      <c r="C23" s="723"/>
      <c r="D23" s="723"/>
      <c r="E23" s="723"/>
      <c r="F23" s="723"/>
      <c r="G23" s="723"/>
      <c r="H23" s="723"/>
      <c r="I23" s="723"/>
    </row>
    <row r="24" spans="1:12">
      <c r="A24" s="394" t="s">
        <v>49</v>
      </c>
      <c r="B24" s="717"/>
      <c r="C24" s="717"/>
      <c r="D24" s="717"/>
      <c r="E24" s="717"/>
      <c r="F24" s="717"/>
      <c r="G24" s="717"/>
      <c r="H24" s="717"/>
      <c r="I24" s="717"/>
    </row>
    <row r="25" spans="1:12">
      <c r="A25" s="394" t="s">
        <v>41</v>
      </c>
      <c r="B25" s="717"/>
      <c r="C25" s="717"/>
      <c r="D25" s="717"/>
      <c r="E25" s="717"/>
      <c r="F25" s="717"/>
      <c r="G25" s="717"/>
      <c r="H25" s="717"/>
      <c r="I25" s="717"/>
    </row>
    <row r="26" spans="1:12">
      <c r="A26" s="394" t="s">
        <v>50</v>
      </c>
      <c r="B26" s="717"/>
      <c r="C26" s="717"/>
      <c r="D26" s="717"/>
      <c r="E26" s="717"/>
      <c r="F26" s="717"/>
      <c r="G26" s="717"/>
      <c r="H26" s="717"/>
      <c r="I26" s="717"/>
    </row>
    <row r="27" spans="1:12">
      <c r="A27" s="394" t="s">
        <v>42</v>
      </c>
    </row>
    <row r="28" spans="1:12">
      <c r="A28" s="394" t="s">
        <v>43</v>
      </c>
    </row>
    <row r="29" spans="1:12">
      <c r="A29" s="394" t="s">
        <v>44</v>
      </c>
    </row>
    <row r="32" spans="1:12">
      <c r="A32" s="2" t="s">
        <v>104</v>
      </c>
    </row>
  </sheetData>
  <phoneticPr fontId="0" type="noConversion"/>
  <pageMargins left="0.6" right="0.55000000000000004" top="0.95" bottom="0.49" header="0.45" footer="0.4921259845"/>
  <pageSetup paperSize="9" scale="77" orientation="portrait" horizontalDpi="1200" verticalDpi="1200"/>
  <headerFooter alignWithMargins="0">
    <oddHeader>&amp;L&amp;"Arial,Bold"Zusatzinformationen zum Gesundheitswesen</oddHeader>
  </headerFooter>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DB628-5C96-A64A-AE59-E7E0AB9FEA60}">
  <sheetPr>
    <pageSetUpPr fitToPage="1"/>
  </sheetPr>
  <dimension ref="A1:O89"/>
  <sheetViews>
    <sheetView topLeftCell="H1" zoomScale="75" workbookViewId="0">
      <selection activeCell="O2" sqref="O2"/>
    </sheetView>
  </sheetViews>
  <sheetFormatPr baseColWidth="10" defaultColWidth="11.3984375" defaultRowHeight="13"/>
  <cols>
    <col min="1" max="1" width="21" style="2" customWidth="1"/>
    <col min="2" max="3" width="9.59765625" style="162" customWidth="1"/>
    <col min="4" max="4" width="9" style="2" customWidth="1"/>
    <col min="5" max="15" width="9.59765625" style="2" customWidth="1"/>
    <col min="16" max="16384" width="11.3984375" style="2"/>
  </cols>
  <sheetData>
    <row r="1" spans="1:15" s="1" customFormat="1" ht="13.5" customHeight="1">
      <c r="A1" s="591"/>
      <c r="B1" s="705"/>
      <c r="C1" s="705"/>
      <c r="D1" s="591"/>
      <c r="E1" s="591"/>
      <c r="F1" s="591"/>
      <c r="G1" s="591"/>
      <c r="H1" s="591"/>
      <c r="I1" s="591"/>
      <c r="J1" s="591"/>
    </row>
    <row r="2" spans="1:15" s="1" customFormat="1" ht="27" customHeight="1">
      <c r="A2" s="592" t="s">
        <v>1816</v>
      </c>
      <c r="B2" s="705"/>
      <c r="C2" s="705"/>
      <c r="D2" s="591"/>
      <c r="E2" s="591"/>
      <c r="F2" s="591"/>
      <c r="G2" s="591"/>
      <c r="H2" s="591"/>
      <c r="I2" s="591"/>
      <c r="J2" s="591"/>
      <c r="M2" s="370">
        <v>2004</v>
      </c>
      <c r="N2" s="370"/>
      <c r="O2" s="370"/>
    </row>
    <row r="3" spans="1:15" ht="78" customHeight="1">
      <c r="A3" s="773" t="s">
        <v>1817</v>
      </c>
      <c r="B3" s="774">
        <v>1960</v>
      </c>
      <c r="C3" s="775">
        <v>1970</v>
      </c>
      <c r="D3" s="776">
        <v>1980</v>
      </c>
      <c r="E3" s="775">
        <v>1990</v>
      </c>
      <c r="F3" s="776">
        <v>1996</v>
      </c>
      <c r="G3" s="775">
        <v>1997</v>
      </c>
      <c r="H3" s="776">
        <v>1998</v>
      </c>
      <c r="I3" s="775">
        <v>1999</v>
      </c>
      <c r="J3" s="776">
        <v>2000</v>
      </c>
      <c r="K3" s="775">
        <v>2001</v>
      </c>
      <c r="L3" s="776">
        <v>2002</v>
      </c>
      <c r="M3" s="775">
        <v>2003</v>
      </c>
    </row>
    <row r="4" spans="1:15" ht="30" customHeight="1" thickBot="1">
      <c r="A4" s="777" t="s">
        <v>1818</v>
      </c>
      <c r="B4" s="523">
        <v>4.0999999999999995E-2</v>
      </c>
      <c r="C4" s="626">
        <v>4.5999999999999999E-2</v>
      </c>
      <c r="D4" s="523">
        <v>7.0000000000000007E-2</v>
      </c>
      <c r="E4" s="626">
        <v>7.8E-2</v>
      </c>
      <c r="F4" s="523">
        <v>8.4000000000000005E-2</v>
      </c>
      <c r="G4" s="626">
        <v>8.5000000000000006E-2</v>
      </c>
      <c r="H4" s="523">
        <v>8.5999999999999993E-2</v>
      </c>
      <c r="I4" s="626">
        <v>8.8000000000000009E-2</v>
      </c>
      <c r="J4" s="523">
        <v>0.09</v>
      </c>
      <c r="K4" s="626">
        <v>9.0999999999999998E-2</v>
      </c>
      <c r="L4" s="523">
        <v>9.3000000000000013E-2</v>
      </c>
      <c r="M4" s="626">
        <v>9.3000000000000013E-2</v>
      </c>
    </row>
    <row r="5" spans="1:15" ht="18" customHeight="1" thickBot="1">
      <c r="A5" s="625" t="s">
        <v>1819</v>
      </c>
      <c r="B5" s="544">
        <v>3.4000000000000002E-2</v>
      </c>
      <c r="C5" s="154">
        <v>0.04</v>
      </c>
      <c r="D5" s="544">
        <v>6.4000000000000001E-2</v>
      </c>
      <c r="E5" s="154">
        <v>7.400000000000001E-2</v>
      </c>
      <c r="F5" s="544">
        <v>8.900000000000001E-2</v>
      </c>
      <c r="G5" s="154">
        <v>8.5999999999999993E-2</v>
      </c>
      <c r="H5" s="544">
        <v>8.5999999999999993E-2</v>
      </c>
      <c r="I5" s="154">
        <v>8.6999999999999994E-2</v>
      </c>
      <c r="J5" s="544">
        <v>8.8000000000000009E-2</v>
      </c>
      <c r="K5" s="154">
        <v>0.09</v>
      </c>
      <c r="L5" s="544">
        <v>9.0999999999999998E-2</v>
      </c>
      <c r="M5" s="154">
        <v>9.6000000000000002E-2</v>
      </c>
    </row>
    <row r="6" spans="1:15" ht="18" customHeight="1" thickBot="1">
      <c r="A6" s="625" t="s">
        <v>1820</v>
      </c>
      <c r="B6" s="544" t="s">
        <v>1300</v>
      </c>
      <c r="C6" s="154">
        <v>0.08</v>
      </c>
      <c r="D6" s="544">
        <v>9.0999999999999998E-2</v>
      </c>
      <c r="E6" s="154">
        <v>8.5000000000000006E-2</v>
      </c>
      <c r="F6" s="544">
        <v>8.3000000000000004E-2</v>
      </c>
      <c r="G6" s="154">
        <v>8.199999999999999E-2</v>
      </c>
      <c r="H6" s="544">
        <v>8.4000000000000005E-2</v>
      </c>
      <c r="I6" s="154">
        <v>8.5000000000000006E-2</v>
      </c>
      <c r="J6" s="544">
        <v>8.4000000000000005E-2</v>
      </c>
      <c r="K6" s="154">
        <v>8.5999999999999993E-2</v>
      </c>
      <c r="L6" s="544">
        <v>8.8000000000000009E-2</v>
      </c>
      <c r="M6" s="154">
        <v>0.09</v>
      </c>
    </row>
    <row r="7" spans="1:15" ht="18" customHeight="1" thickBot="1">
      <c r="A7" s="625" t="s">
        <v>1821</v>
      </c>
      <c r="B7" s="544">
        <v>4.8000000000000001E-2</v>
      </c>
      <c r="C7" s="154">
        <v>6.2E-2</v>
      </c>
      <c r="D7" s="544">
        <v>8.6999999999999994E-2</v>
      </c>
      <c r="E7" s="154">
        <v>8.5000000000000006E-2</v>
      </c>
      <c r="F7" s="544">
        <v>0.109</v>
      </c>
      <c r="G7" s="154">
        <v>0.107</v>
      </c>
      <c r="H7" s="544">
        <v>0.106</v>
      </c>
      <c r="I7" s="154">
        <v>0.106</v>
      </c>
      <c r="J7" s="544">
        <v>0.106</v>
      </c>
      <c r="K7" s="154">
        <v>0.10800000000000001</v>
      </c>
      <c r="L7" s="544">
        <v>0.109</v>
      </c>
      <c r="M7" s="154">
        <v>0.111</v>
      </c>
    </row>
    <row r="8" spans="1:15" ht="18" customHeight="1" thickBot="1">
      <c r="A8" s="625" t="s">
        <v>1822</v>
      </c>
      <c r="B8" s="544">
        <v>3.7999999999999999E-2</v>
      </c>
      <c r="C8" s="154">
        <v>5.5999999999999994E-2</v>
      </c>
      <c r="D8" s="544">
        <v>6.4000000000000001E-2</v>
      </c>
      <c r="E8" s="154">
        <v>7.8E-2</v>
      </c>
      <c r="F8" s="544">
        <v>7.5999999999999998E-2</v>
      </c>
      <c r="G8" s="154">
        <v>7.2999999999999995E-2</v>
      </c>
      <c r="H8" s="544">
        <v>6.9000000000000006E-2</v>
      </c>
      <c r="I8" s="154">
        <v>6.9000000000000006E-2</v>
      </c>
      <c r="J8" s="544">
        <v>6.7000000000000004E-2</v>
      </c>
      <c r="K8" s="154">
        <v>7.0000000000000007E-2</v>
      </c>
      <c r="L8" s="544">
        <v>7.2000000000000008E-2</v>
      </c>
      <c r="M8" s="154">
        <v>7.400000000000001E-2</v>
      </c>
    </row>
    <row r="9" spans="1:15" ht="18" customHeight="1" thickBot="1">
      <c r="A9" s="625" t="s">
        <v>1823</v>
      </c>
      <c r="B9" s="544">
        <v>3.7999999999999999E-2</v>
      </c>
      <c r="C9" s="154">
        <v>5.4000000000000006E-2</v>
      </c>
      <c r="D9" s="544">
        <v>7.0999999999999994E-2</v>
      </c>
      <c r="E9" s="154">
        <v>8.5999999999999993E-2</v>
      </c>
      <c r="F9" s="544">
        <v>9.5000000000000001E-2</v>
      </c>
      <c r="G9" s="154">
        <v>9.4E-2</v>
      </c>
      <c r="H9" s="544">
        <v>9.3000000000000013E-2</v>
      </c>
      <c r="I9" s="154">
        <v>9.3000000000000013E-2</v>
      </c>
      <c r="J9" s="544">
        <v>9.3000000000000013E-2</v>
      </c>
      <c r="K9" s="154">
        <v>9.4E-2</v>
      </c>
      <c r="L9" s="544">
        <v>9.6999999999999989E-2</v>
      </c>
      <c r="M9" s="154">
        <v>0.10099999999999999</v>
      </c>
    </row>
    <row r="10" spans="1:15" ht="18" customHeight="1" thickBot="1">
      <c r="A10" s="625" t="s">
        <v>1824</v>
      </c>
      <c r="B10" s="544">
        <v>3.9E-2</v>
      </c>
      <c r="C10" s="154">
        <v>4.4999999999999998E-2</v>
      </c>
      <c r="D10" s="544">
        <v>5.5999999999999994E-2</v>
      </c>
      <c r="E10" s="154">
        <v>0.06</v>
      </c>
      <c r="F10" s="544">
        <v>7.0000000000000007E-2</v>
      </c>
      <c r="G10" s="154">
        <v>6.8000000000000005E-2</v>
      </c>
      <c r="H10" s="544">
        <v>6.9000000000000006E-2</v>
      </c>
      <c r="I10" s="154">
        <v>7.2000000000000008E-2</v>
      </c>
      <c r="J10" s="544">
        <v>7.2999999999999995E-2</v>
      </c>
      <c r="K10" s="154">
        <v>7.4999999999999997E-2</v>
      </c>
      <c r="L10" s="544">
        <v>7.6999999999999999E-2</v>
      </c>
      <c r="M10" s="154">
        <v>7.6999999999999999E-2</v>
      </c>
    </row>
    <row r="11" spans="1:15" ht="18" customHeight="1" thickBot="1">
      <c r="A11" s="625" t="s">
        <v>1825</v>
      </c>
      <c r="B11" s="544">
        <v>3.6000000000000004E-2</v>
      </c>
      <c r="C11" s="154">
        <v>5.0999999999999997E-2</v>
      </c>
      <c r="D11" s="544">
        <v>7.0000000000000007E-2</v>
      </c>
      <c r="E11" s="154">
        <v>0.08</v>
      </c>
      <c r="F11" s="544">
        <v>7.4999999999999997E-2</v>
      </c>
      <c r="G11" s="154">
        <v>7.6999999999999999E-2</v>
      </c>
      <c r="H11" s="544">
        <v>7.6999999999999999E-2</v>
      </c>
      <c r="I11" s="154">
        <v>7.8E-2</v>
      </c>
      <c r="J11" s="544">
        <v>8.1000000000000003E-2</v>
      </c>
      <c r="K11" s="154">
        <v>8.3000000000000004E-2</v>
      </c>
      <c r="L11" s="544">
        <v>8.4000000000000005E-2</v>
      </c>
      <c r="M11" s="154">
        <v>8.4000000000000005E-2</v>
      </c>
    </row>
    <row r="12" spans="1:15" ht="18" customHeight="1" thickBot="1">
      <c r="A12" s="625" t="s">
        <v>1826</v>
      </c>
      <c r="B12" s="544">
        <v>0.03</v>
      </c>
      <c r="C12" s="154">
        <v>4.4999999999999998E-2</v>
      </c>
      <c r="D12" s="544">
        <v>6.5000000000000002E-2</v>
      </c>
      <c r="E12" s="154">
        <v>5.9000000000000004E-2</v>
      </c>
      <c r="F12" s="544">
        <v>7.0000000000000007E-2</v>
      </c>
      <c r="G12" s="154">
        <v>6.9000000000000006E-2</v>
      </c>
      <c r="H12" s="544">
        <v>7.2000000000000008E-2</v>
      </c>
      <c r="I12" s="154">
        <v>7.400000000000001E-2</v>
      </c>
      <c r="J12" s="544">
        <v>7.5999999999999998E-2</v>
      </c>
      <c r="K12" s="154">
        <v>7.8E-2</v>
      </c>
      <c r="L12" s="544">
        <v>7.9000000000000001E-2</v>
      </c>
      <c r="M12" s="154">
        <v>7.9000000000000001E-2</v>
      </c>
    </row>
    <row r="13" spans="1:15" ht="18" customHeight="1" thickBot="1">
      <c r="A13" s="625" t="s">
        <v>1827</v>
      </c>
      <c r="B13" s="544" t="s">
        <v>1300</v>
      </c>
      <c r="C13" s="154">
        <v>6.9000000000000006E-2</v>
      </c>
      <c r="D13" s="544">
        <v>7.4999999999999997E-2</v>
      </c>
      <c r="E13" s="154">
        <v>0.08</v>
      </c>
      <c r="F13" s="544">
        <v>8.3000000000000004E-2</v>
      </c>
      <c r="G13" s="154">
        <v>8.199999999999999E-2</v>
      </c>
      <c r="H13" s="544">
        <v>8.1000000000000003E-2</v>
      </c>
      <c r="I13" s="154">
        <v>8.199999999999999E-2</v>
      </c>
      <c r="J13" s="544">
        <v>8.199999999999999E-2</v>
      </c>
      <c r="K13" s="154">
        <v>8.5000000000000006E-2</v>
      </c>
      <c r="L13" s="544">
        <v>9.3000000000000013E-2</v>
      </c>
      <c r="M13" s="154">
        <v>9.8000000000000004E-2</v>
      </c>
    </row>
    <row r="14" spans="1:15" ht="18" customHeight="1" thickBot="1">
      <c r="A14" s="625" t="s">
        <v>1828</v>
      </c>
      <c r="B14" s="544">
        <v>2.8999999999999998E-2</v>
      </c>
      <c r="C14" s="154">
        <v>4.4000000000000004E-2</v>
      </c>
      <c r="D14" s="544">
        <v>7.0000000000000007E-2</v>
      </c>
      <c r="E14" s="154">
        <v>7.6999999999999999E-2</v>
      </c>
      <c r="F14" s="544">
        <v>7.9000000000000001E-2</v>
      </c>
      <c r="G14" s="154">
        <v>7.8E-2</v>
      </c>
      <c r="H14" s="544">
        <v>8.5000000000000006E-2</v>
      </c>
      <c r="I14" s="154">
        <v>8.5000000000000006E-2</v>
      </c>
      <c r="J14" s="544">
        <v>7.6999999999999999E-2</v>
      </c>
      <c r="K14" s="154">
        <v>8.1000000000000003E-2</v>
      </c>
      <c r="L14" s="544">
        <v>9.9000000000000005E-2</v>
      </c>
      <c r="M14" s="154">
        <v>0.10300000000000001</v>
      </c>
    </row>
    <row r="15" spans="1:15" ht="18" customHeight="1" thickBot="1">
      <c r="A15" s="625" t="s">
        <v>1829</v>
      </c>
      <c r="B15" s="544">
        <v>4.2999999999999997E-2</v>
      </c>
      <c r="C15" s="154">
        <v>5.2999999999999999E-2</v>
      </c>
      <c r="D15" s="544">
        <v>7.5999999999999998E-2</v>
      </c>
      <c r="E15" s="154">
        <v>7.0999999999999994E-2</v>
      </c>
      <c r="F15" s="544">
        <v>8.3000000000000004E-2</v>
      </c>
      <c r="G15" s="154">
        <v>7.5999999999999998E-2</v>
      </c>
      <c r="H15" s="544">
        <v>7.6999999999999999E-2</v>
      </c>
      <c r="I15" s="154">
        <v>7.8E-2</v>
      </c>
      <c r="J15" s="544">
        <v>7.6999999999999999E-2</v>
      </c>
      <c r="K15" s="154">
        <v>7.5999999999999998E-2</v>
      </c>
      <c r="L15" s="544">
        <v>7.5999999999999998E-2</v>
      </c>
      <c r="M15" s="154">
        <v>7.5999999999999998E-2</v>
      </c>
    </row>
    <row r="16" spans="1:15" ht="18" customHeight="1" thickBot="1">
      <c r="A16" s="625" t="s">
        <v>1830</v>
      </c>
      <c r="B16" s="544">
        <v>4.4999999999999998E-2</v>
      </c>
      <c r="C16" s="154">
        <v>6.9000000000000006E-2</v>
      </c>
      <c r="D16" s="544">
        <v>9.0999999999999998E-2</v>
      </c>
      <c r="E16" s="154">
        <v>8.4000000000000005E-2</v>
      </c>
      <c r="F16" s="544">
        <v>8.4000000000000005E-2</v>
      </c>
      <c r="G16" s="154">
        <v>8.199999999999999E-2</v>
      </c>
      <c r="H16" s="544">
        <v>8.3000000000000004E-2</v>
      </c>
      <c r="I16" s="154">
        <v>8.4000000000000005E-2</v>
      </c>
      <c r="J16" s="544">
        <v>8.4000000000000005E-2</v>
      </c>
      <c r="K16" s="154">
        <v>8.8000000000000009E-2</v>
      </c>
      <c r="L16" s="544">
        <v>9.1999999999999998E-2</v>
      </c>
      <c r="M16" s="154">
        <v>9.1999999999999998E-2</v>
      </c>
    </row>
    <row r="17" spans="1:15" ht="18" customHeight="1" thickBot="1">
      <c r="A17" s="625" t="s">
        <v>1831</v>
      </c>
      <c r="B17" s="544">
        <v>1.4999999999999999E-2</v>
      </c>
      <c r="C17" s="154">
        <v>3.6000000000000004E-2</v>
      </c>
      <c r="D17" s="544">
        <v>5.4000000000000006E-2</v>
      </c>
      <c r="E17" s="154">
        <v>6.7000000000000004E-2</v>
      </c>
      <c r="F17" s="544">
        <v>7.5999999999999998E-2</v>
      </c>
      <c r="G17" s="154">
        <v>7.4999999999999997E-2</v>
      </c>
      <c r="H17" s="544">
        <v>7.4999999999999997E-2</v>
      </c>
      <c r="I17" s="154">
        <v>7.4999999999999997E-2</v>
      </c>
      <c r="J17" s="544">
        <v>7.4999999999999997E-2</v>
      </c>
      <c r="K17" s="154">
        <v>7.4999999999999997E-2</v>
      </c>
      <c r="L17" s="544">
        <v>7.5999999999999998E-2</v>
      </c>
      <c r="M17" s="154">
        <v>7.6999999999999999E-2</v>
      </c>
    </row>
    <row r="18" spans="1:15" ht="18" customHeight="1" thickBot="1">
      <c r="A18" s="625" t="s">
        <v>1832</v>
      </c>
      <c r="B18" s="544">
        <v>0.05</v>
      </c>
      <c r="C18" s="154">
        <v>6.9000000000000006E-2</v>
      </c>
      <c r="D18" s="544">
        <v>8.6999999999999994E-2</v>
      </c>
      <c r="E18" s="154">
        <v>0.11900000000000001</v>
      </c>
      <c r="F18" s="544">
        <v>0.13200000000000001</v>
      </c>
      <c r="G18" s="154">
        <v>0.13</v>
      </c>
      <c r="H18" s="544">
        <v>0.13</v>
      </c>
      <c r="I18" s="154">
        <v>0.13</v>
      </c>
      <c r="J18" s="544">
        <v>0.13100000000000001</v>
      </c>
      <c r="K18" s="154">
        <v>0.13900000000000001</v>
      </c>
      <c r="L18" s="544">
        <v>0.14599999999999999</v>
      </c>
      <c r="M18" s="154">
        <v>0.15</v>
      </c>
    </row>
    <row r="19" spans="1:15" s="205" customFormat="1" ht="30" customHeight="1" thickBot="1">
      <c r="A19" s="766" t="s">
        <v>1539</v>
      </c>
      <c r="B19" s="486">
        <v>4.9000000000000002E-2</v>
      </c>
      <c r="C19" s="659">
        <v>5.4000000000000006E-2</v>
      </c>
      <c r="D19" s="486">
        <v>7.2999999999999995E-2</v>
      </c>
      <c r="E19" s="659">
        <v>8.3000000000000004E-2</v>
      </c>
      <c r="F19" s="486">
        <v>0.10099999999999999</v>
      </c>
      <c r="G19" s="659">
        <v>0.10199999999999999</v>
      </c>
      <c r="H19" s="486">
        <v>0.10300000000000001</v>
      </c>
      <c r="I19" s="659">
        <v>0.105</v>
      </c>
      <c r="J19" s="486">
        <v>0.10400000000000001</v>
      </c>
      <c r="K19" s="659">
        <v>0.109</v>
      </c>
      <c r="L19" s="486">
        <v>0.111</v>
      </c>
      <c r="M19" s="659">
        <v>0.115</v>
      </c>
    </row>
    <row r="20" spans="1:15" ht="20" customHeight="1">
      <c r="A20" s="767" t="s">
        <v>1833</v>
      </c>
      <c r="B20" s="714"/>
      <c r="C20" s="714"/>
      <c r="D20" s="231"/>
      <c r="E20" s="231"/>
      <c r="F20" s="231"/>
      <c r="G20" s="231"/>
      <c r="H20" s="231"/>
      <c r="I20" s="231"/>
      <c r="J20" s="231"/>
      <c r="K20" s="231"/>
    </row>
    <row r="21" spans="1:15" ht="11.25" customHeight="1">
      <c r="A21" s="767"/>
      <c r="B21" s="714"/>
      <c r="C21" s="714"/>
      <c r="D21" s="231"/>
      <c r="E21" s="231"/>
      <c r="F21" s="231"/>
      <c r="G21" s="231"/>
      <c r="H21" s="231"/>
      <c r="I21" s="231"/>
      <c r="J21" s="231"/>
      <c r="K21" s="231"/>
    </row>
    <row r="22" spans="1:15" ht="15.75" customHeight="1">
      <c r="A22" s="767" t="s">
        <v>1834</v>
      </c>
      <c r="B22" s="714"/>
      <c r="C22" s="714"/>
      <c r="D22" s="231"/>
      <c r="E22" s="231"/>
      <c r="F22" s="231"/>
      <c r="G22" s="231"/>
      <c r="H22" s="231"/>
      <c r="I22" s="231"/>
      <c r="J22" s="231"/>
      <c r="K22" s="231"/>
    </row>
    <row r="23" spans="1:15" ht="18.75" customHeight="1">
      <c r="A23" s="768" t="s">
        <v>1835</v>
      </c>
      <c r="B23" s="769"/>
      <c r="C23" s="769"/>
      <c r="D23" s="231"/>
      <c r="E23" s="231"/>
      <c r="F23" s="231"/>
      <c r="G23" s="231"/>
      <c r="H23" s="231"/>
      <c r="I23" s="231"/>
      <c r="J23" s="231"/>
      <c r="K23" s="231"/>
    </row>
    <row r="24" spans="1:15" ht="14.25" customHeight="1">
      <c r="A24" s="770"/>
      <c r="B24" s="769"/>
      <c r="C24" s="769"/>
      <c r="D24" s="231"/>
      <c r="E24" s="231"/>
      <c r="F24" s="231"/>
      <c r="G24" s="231"/>
      <c r="H24" s="231"/>
      <c r="I24" s="231"/>
      <c r="J24" s="231"/>
      <c r="K24" s="231"/>
    </row>
    <row r="25" spans="1:15" ht="14.25" customHeight="1">
      <c r="A25" s="515"/>
      <c r="B25" s="769"/>
      <c r="C25" s="769"/>
      <c r="D25" s="231"/>
      <c r="E25" s="231"/>
      <c r="F25" s="231"/>
      <c r="G25" s="231"/>
      <c r="H25" s="231"/>
      <c r="I25" s="231"/>
      <c r="J25" s="231"/>
      <c r="K25" s="231"/>
    </row>
    <row r="26" spans="1:15" ht="18.75" customHeight="1">
      <c r="A26" s="231" t="s">
        <v>104</v>
      </c>
      <c r="B26" s="769"/>
      <c r="C26" s="769"/>
      <c r="D26" s="231"/>
      <c r="E26" s="231"/>
      <c r="F26" s="231"/>
      <c r="G26" s="231"/>
      <c r="H26" s="231"/>
      <c r="I26" s="231"/>
      <c r="J26" s="231"/>
      <c r="K26" s="231"/>
    </row>
    <row r="27" spans="1:15" ht="31" customHeight="1">
      <c r="A27" s="231"/>
      <c r="B27" s="769"/>
      <c r="C27" s="769"/>
      <c r="D27" s="231"/>
      <c r="E27" s="231"/>
      <c r="F27" s="231"/>
      <c r="G27" s="231"/>
      <c r="H27" s="231"/>
      <c r="I27" s="231"/>
      <c r="J27" s="231"/>
      <c r="K27" s="231"/>
      <c r="O27" s="1"/>
    </row>
    <row r="28" spans="1:15" ht="31" customHeight="1">
      <c r="A28" s="231"/>
      <c r="B28" s="769"/>
      <c r="C28" s="769"/>
      <c r="D28" s="231"/>
      <c r="E28" s="231"/>
      <c r="F28" s="231"/>
      <c r="G28" s="231"/>
      <c r="H28" s="231"/>
      <c r="I28" s="231"/>
      <c r="J28" s="231"/>
      <c r="K28" s="231"/>
    </row>
    <row r="29" spans="1:15" ht="31" customHeight="1">
      <c r="A29" s="231"/>
      <c r="B29" s="769"/>
      <c r="C29" s="769"/>
      <c r="D29" s="231"/>
      <c r="E29" s="231"/>
      <c r="F29" s="231"/>
      <c r="G29" s="231"/>
      <c r="H29" s="231"/>
      <c r="I29" s="231"/>
      <c r="J29" s="231"/>
      <c r="K29" s="231"/>
    </row>
    <row r="30" spans="1:15" ht="31" customHeight="1">
      <c r="A30" s="231"/>
      <c r="B30" s="769"/>
      <c r="C30" s="769"/>
      <c r="D30" s="231"/>
      <c r="E30" s="231"/>
      <c r="F30" s="231"/>
      <c r="G30" s="231"/>
      <c r="H30" s="231"/>
      <c r="I30" s="231"/>
      <c r="J30" s="231"/>
      <c r="K30" s="231"/>
    </row>
    <row r="31" spans="1:15" ht="31" customHeight="1">
      <c r="A31" s="231"/>
      <c r="B31" s="769"/>
      <c r="C31" s="769"/>
      <c r="D31" s="231"/>
      <c r="E31" s="231"/>
      <c r="F31" s="231"/>
      <c r="G31" s="231"/>
      <c r="H31" s="231"/>
      <c r="I31" s="231"/>
      <c r="J31" s="231"/>
      <c r="K31" s="231"/>
    </row>
    <row r="32" spans="1:15" ht="31" customHeight="1">
      <c r="A32" s="231"/>
      <c r="B32" s="769"/>
      <c r="C32" s="769"/>
      <c r="D32" s="231"/>
      <c r="E32" s="231"/>
      <c r="F32" s="231"/>
      <c r="G32" s="231"/>
      <c r="H32" s="231"/>
      <c r="I32" s="231"/>
      <c r="J32" s="231"/>
      <c r="K32" s="231"/>
    </row>
    <row r="33" spans="1:11" ht="31" customHeight="1">
      <c r="A33" s="231"/>
      <c r="B33" s="769"/>
      <c r="C33" s="769"/>
      <c r="D33" s="231"/>
      <c r="E33" s="231"/>
      <c r="F33" s="231"/>
      <c r="G33" s="231"/>
      <c r="H33" s="231"/>
      <c r="I33" s="231"/>
      <c r="J33" s="231"/>
      <c r="K33" s="231"/>
    </row>
    <row r="34" spans="1:11">
      <c r="A34" s="231"/>
      <c r="B34" s="769"/>
      <c r="C34" s="769"/>
      <c r="D34" s="231"/>
      <c r="E34" s="231"/>
      <c r="F34" s="231"/>
      <c r="G34" s="231"/>
      <c r="H34" s="231"/>
      <c r="I34" s="231"/>
      <c r="J34" s="231"/>
      <c r="K34" s="231"/>
    </row>
    <row r="35" spans="1:11">
      <c r="A35" s="231"/>
      <c r="B35" s="769"/>
      <c r="C35" s="769"/>
      <c r="D35" s="231"/>
      <c r="E35" s="231"/>
      <c r="F35" s="231"/>
      <c r="G35" s="231"/>
      <c r="H35" s="231"/>
      <c r="I35" s="231"/>
      <c r="J35" s="231"/>
      <c r="K35" s="231"/>
    </row>
    <row r="36" spans="1:11">
      <c r="A36" s="231"/>
      <c r="B36" s="769"/>
      <c r="C36" s="769"/>
      <c r="D36" s="231"/>
      <c r="E36" s="231"/>
      <c r="F36" s="231"/>
      <c r="G36" s="231"/>
      <c r="H36" s="231"/>
      <c r="I36" s="231"/>
      <c r="J36" s="231"/>
      <c r="K36" s="231"/>
    </row>
    <row r="37" spans="1:11">
      <c r="A37" s="231"/>
      <c r="B37" s="769"/>
      <c r="C37" s="769"/>
      <c r="D37" s="231"/>
      <c r="E37" s="231"/>
      <c r="F37" s="231"/>
      <c r="G37" s="231"/>
      <c r="H37" s="231"/>
      <c r="I37" s="231"/>
      <c r="J37" s="231"/>
      <c r="K37" s="231"/>
    </row>
    <row r="38" spans="1:11">
      <c r="A38" s="231"/>
      <c r="B38" s="769"/>
      <c r="C38" s="769"/>
      <c r="D38" s="231"/>
      <c r="E38" s="231"/>
      <c r="F38" s="231"/>
      <c r="G38" s="231"/>
      <c r="H38" s="231"/>
      <c r="I38" s="231"/>
      <c r="J38" s="231"/>
      <c r="K38" s="231"/>
    </row>
    <row r="39" spans="1:11">
      <c r="A39" s="231"/>
      <c r="B39" s="769"/>
      <c r="C39" s="769"/>
      <c r="D39" s="231"/>
      <c r="E39" s="231"/>
      <c r="F39" s="231"/>
      <c r="G39" s="231"/>
      <c r="H39" s="231"/>
      <c r="I39" s="231"/>
      <c r="J39" s="231"/>
      <c r="K39" s="231"/>
    </row>
    <row r="40" spans="1:11">
      <c r="A40" s="231"/>
      <c r="B40" s="769"/>
      <c r="C40" s="769"/>
      <c r="D40" s="231"/>
      <c r="E40" s="231"/>
      <c r="F40" s="231"/>
      <c r="G40" s="231"/>
      <c r="H40" s="231"/>
      <c r="I40" s="231"/>
      <c r="J40" s="231"/>
      <c r="K40" s="231"/>
    </row>
    <row r="41" spans="1:11">
      <c r="A41" s="231"/>
      <c r="B41" s="769"/>
      <c r="C41" s="769"/>
      <c r="D41" s="231"/>
      <c r="E41" s="231"/>
      <c r="F41" s="231"/>
      <c r="G41" s="231"/>
      <c r="H41" s="231"/>
      <c r="I41" s="231"/>
      <c r="J41" s="231"/>
      <c r="K41" s="231"/>
    </row>
    <row r="42" spans="1:11">
      <c r="A42" s="231"/>
      <c r="B42" s="769"/>
      <c r="C42" s="769"/>
      <c r="D42" s="231"/>
      <c r="E42" s="231"/>
      <c r="F42" s="231"/>
      <c r="G42" s="231"/>
      <c r="H42" s="231"/>
      <c r="I42" s="231"/>
      <c r="J42" s="231"/>
      <c r="K42" s="231"/>
    </row>
    <row r="43" spans="1:11">
      <c r="A43" s="231"/>
      <c r="B43" s="769"/>
      <c r="C43" s="769"/>
      <c r="D43" s="231"/>
      <c r="E43" s="231"/>
      <c r="F43" s="231"/>
      <c r="G43" s="231"/>
      <c r="H43" s="231"/>
      <c r="I43" s="231"/>
      <c r="J43" s="231"/>
      <c r="K43" s="231"/>
    </row>
    <row r="44" spans="1:11">
      <c r="A44" s="231"/>
      <c r="B44" s="769"/>
      <c r="C44" s="769"/>
      <c r="D44" s="231"/>
      <c r="E44" s="231"/>
      <c r="F44" s="231"/>
      <c r="G44" s="231"/>
      <c r="H44" s="231"/>
      <c r="I44" s="231"/>
      <c r="J44" s="231"/>
      <c r="K44" s="231"/>
    </row>
    <row r="45" spans="1:11">
      <c r="A45" s="231"/>
      <c r="B45" s="769"/>
      <c r="C45" s="769"/>
      <c r="D45" s="231"/>
      <c r="E45" s="231"/>
      <c r="F45" s="231"/>
      <c r="G45" s="231"/>
      <c r="H45" s="231"/>
      <c r="I45" s="231"/>
      <c r="J45" s="231"/>
      <c r="K45" s="231"/>
    </row>
    <row r="46" spans="1:11">
      <c r="A46" s="231"/>
      <c r="B46" s="769"/>
      <c r="C46" s="769"/>
      <c r="D46" s="231"/>
      <c r="E46" s="231"/>
      <c r="F46" s="231"/>
      <c r="G46" s="231"/>
      <c r="H46" s="231"/>
      <c r="I46" s="231"/>
      <c r="J46" s="231"/>
      <c r="K46" s="231"/>
    </row>
    <row r="47" spans="1:11">
      <c r="A47" s="231"/>
      <c r="B47" s="769"/>
      <c r="C47" s="769"/>
      <c r="D47" s="231"/>
      <c r="E47" s="231"/>
      <c r="F47" s="231"/>
      <c r="G47" s="231"/>
      <c r="H47" s="231"/>
      <c r="I47" s="231"/>
      <c r="J47" s="231"/>
      <c r="K47" s="231"/>
    </row>
    <row r="48" spans="1:11">
      <c r="A48" s="231"/>
      <c r="B48" s="769"/>
      <c r="C48" s="769"/>
      <c r="D48" s="231"/>
      <c r="E48" s="231"/>
      <c r="F48" s="231"/>
      <c r="G48" s="231"/>
      <c r="H48" s="231"/>
      <c r="I48" s="231"/>
      <c r="J48" s="231"/>
      <c r="K48" s="231"/>
    </row>
    <row r="49" spans="1:11">
      <c r="A49" s="231"/>
      <c r="B49" s="769"/>
      <c r="C49" s="769"/>
      <c r="D49" s="231"/>
      <c r="E49" s="231"/>
      <c r="F49" s="231"/>
      <c r="G49" s="231"/>
      <c r="H49" s="231"/>
      <c r="I49" s="231"/>
      <c r="J49" s="231"/>
      <c r="K49" s="231"/>
    </row>
    <row r="50" spans="1:11">
      <c r="A50" s="231"/>
      <c r="B50" s="769"/>
      <c r="C50" s="769"/>
      <c r="D50" s="231"/>
      <c r="E50" s="231"/>
      <c r="F50" s="231"/>
      <c r="G50" s="231"/>
      <c r="H50" s="231"/>
      <c r="I50" s="231"/>
      <c r="J50" s="231"/>
      <c r="K50" s="231"/>
    </row>
    <row r="51" spans="1:11">
      <c r="A51" s="231"/>
      <c r="B51" s="769"/>
      <c r="C51" s="769"/>
      <c r="D51" s="231"/>
      <c r="E51" s="231"/>
      <c r="F51" s="231"/>
      <c r="G51" s="231"/>
      <c r="H51" s="231"/>
      <c r="I51" s="231"/>
      <c r="J51" s="231"/>
      <c r="K51" s="231"/>
    </row>
    <row r="52" spans="1:11">
      <c r="A52" s="231"/>
      <c r="B52" s="769"/>
      <c r="C52" s="769"/>
      <c r="D52" s="231"/>
      <c r="E52" s="231"/>
      <c r="F52" s="231"/>
      <c r="G52" s="231"/>
      <c r="H52" s="231"/>
      <c r="I52" s="231"/>
      <c r="J52" s="231"/>
      <c r="K52" s="231"/>
    </row>
    <row r="53" spans="1:11">
      <c r="A53" s="231"/>
      <c r="B53" s="769"/>
      <c r="C53" s="769"/>
      <c r="D53" s="231"/>
      <c r="E53" s="231"/>
      <c r="F53" s="231"/>
      <c r="G53" s="231"/>
      <c r="H53" s="231"/>
      <c r="I53" s="231"/>
      <c r="J53" s="231"/>
      <c r="K53" s="231"/>
    </row>
    <row r="54" spans="1:11">
      <c r="A54" s="231"/>
      <c r="B54" s="769"/>
      <c r="C54" s="769"/>
      <c r="D54" s="231"/>
      <c r="E54" s="231"/>
      <c r="F54" s="231"/>
      <c r="G54" s="231"/>
      <c r="H54" s="231"/>
      <c r="I54" s="231"/>
      <c r="J54" s="231"/>
      <c r="K54" s="231"/>
    </row>
    <row r="55" spans="1:11">
      <c r="A55" s="231"/>
      <c r="B55" s="769"/>
      <c r="C55" s="769"/>
      <c r="D55" s="231"/>
      <c r="E55" s="231"/>
      <c r="F55" s="231"/>
      <c r="G55" s="231"/>
      <c r="H55" s="231"/>
      <c r="I55" s="231"/>
      <c r="J55" s="231"/>
      <c r="K55" s="231"/>
    </row>
    <row r="56" spans="1:11">
      <c r="A56" s="231"/>
      <c r="B56" s="769"/>
      <c r="C56" s="769"/>
      <c r="D56" s="231"/>
      <c r="E56" s="231"/>
      <c r="F56" s="231"/>
      <c r="G56" s="231"/>
      <c r="H56" s="231"/>
      <c r="I56" s="231"/>
      <c r="J56" s="231"/>
      <c r="K56" s="231"/>
    </row>
    <row r="57" spans="1:11">
      <c r="A57" s="231"/>
      <c r="B57" s="769"/>
      <c r="C57" s="769"/>
      <c r="D57" s="231"/>
      <c r="E57" s="231"/>
      <c r="F57" s="231"/>
      <c r="G57" s="231"/>
      <c r="H57" s="231"/>
      <c r="I57" s="231"/>
      <c r="J57" s="231"/>
      <c r="K57" s="231"/>
    </row>
    <row r="58" spans="1:11">
      <c r="A58" s="231"/>
      <c r="B58" s="769"/>
      <c r="C58" s="769"/>
      <c r="D58" s="231"/>
      <c r="E58" s="231"/>
      <c r="F58" s="231"/>
      <c r="G58" s="231"/>
      <c r="H58" s="231"/>
      <c r="I58" s="231"/>
      <c r="J58" s="231"/>
      <c r="K58" s="231"/>
    </row>
    <row r="59" spans="1:11">
      <c r="A59" s="231"/>
      <c r="B59" s="769"/>
      <c r="C59" s="769"/>
      <c r="D59" s="231"/>
      <c r="E59" s="231"/>
      <c r="F59" s="231"/>
      <c r="G59" s="231"/>
      <c r="H59" s="231"/>
      <c r="I59" s="231"/>
      <c r="J59" s="231"/>
      <c r="K59" s="231"/>
    </row>
    <row r="60" spans="1:11">
      <c r="A60" s="231"/>
      <c r="B60" s="769"/>
      <c r="C60" s="769"/>
      <c r="D60" s="231"/>
      <c r="E60" s="231"/>
      <c r="F60" s="231"/>
      <c r="G60" s="231"/>
      <c r="H60" s="231"/>
      <c r="I60" s="231"/>
      <c r="J60" s="231"/>
      <c r="K60" s="231"/>
    </row>
    <row r="61" spans="1:11">
      <c r="A61" s="231"/>
      <c r="B61" s="769"/>
      <c r="C61" s="769"/>
      <c r="D61" s="231"/>
      <c r="E61" s="231"/>
      <c r="F61" s="231"/>
      <c r="G61" s="231"/>
      <c r="H61" s="231"/>
      <c r="I61" s="231"/>
      <c r="J61" s="231"/>
      <c r="K61" s="231"/>
    </row>
    <row r="62" spans="1:11">
      <c r="A62" s="231"/>
      <c r="B62" s="769"/>
      <c r="C62" s="769"/>
      <c r="D62" s="231"/>
      <c r="E62" s="231"/>
      <c r="F62" s="231"/>
      <c r="G62" s="231"/>
      <c r="H62" s="231"/>
      <c r="I62" s="231"/>
      <c r="J62" s="231"/>
      <c r="K62" s="231"/>
    </row>
    <row r="63" spans="1:11">
      <c r="A63" s="231"/>
      <c r="B63" s="769"/>
      <c r="C63" s="769"/>
      <c r="D63" s="231"/>
      <c r="E63" s="231"/>
      <c r="F63" s="231"/>
      <c r="G63" s="231"/>
      <c r="H63" s="231"/>
      <c r="I63" s="231"/>
      <c r="J63" s="231"/>
      <c r="K63" s="231"/>
    </row>
    <row r="64" spans="1:11">
      <c r="A64" s="231"/>
      <c r="B64" s="769"/>
      <c r="C64" s="769"/>
      <c r="D64" s="231"/>
      <c r="E64" s="231"/>
      <c r="F64" s="231"/>
      <c r="G64" s="231"/>
      <c r="H64" s="231"/>
      <c r="I64" s="231"/>
      <c r="J64" s="231"/>
      <c r="K64" s="231"/>
    </row>
    <row r="65" spans="1:11">
      <c r="A65" s="231"/>
      <c r="B65" s="769"/>
      <c r="C65" s="769"/>
      <c r="D65" s="231"/>
      <c r="E65" s="231"/>
      <c r="F65" s="231"/>
      <c r="G65" s="231"/>
      <c r="H65" s="231"/>
      <c r="I65" s="231"/>
      <c r="J65" s="231"/>
      <c r="K65" s="231"/>
    </row>
    <row r="66" spans="1:11">
      <c r="A66" s="231"/>
      <c r="B66" s="769"/>
      <c r="C66" s="769"/>
      <c r="D66" s="231"/>
      <c r="E66" s="231"/>
      <c r="F66" s="231"/>
      <c r="G66" s="231"/>
      <c r="H66" s="231"/>
      <c r="I66" s="231"/>
      <c r="J66" s="231"/>
      <c r="K66" s="231"/>
    </row>
    <row r="67" spans="1:11">
      <c r="A67" s="231"/>
      <c r="B67" s="769"/>
      <c r="C67" s="769"/>
      <c r="D67" s="231"/>
      <c r="E67" s="231"/>
      <c r="F67" s="231"/>
      <c r="G67" s="231"/>
      <c r="H67" s="231"/>
      <c r="I67" s="231"/>
      <c r="J67" s="231"/>
      <c r="K67" s="231"/>
    </row>
    <row r="68" spans="1:11">
      <c r="A68" s="231"/>
      <c r="B68" s="769"/>
      <c r="C68" s="769"/>
      <c r="D68" s="231"/>
      <c r="E68" s="231"/>
      <c r="F68" s="231"/>
      <c r="G68" s="231"/>
      <c r="H68" s="231"/>
      <c r="I68" s="231"/>
      <c r="J68" s="231"/>
      <c r="K68" s="231"/>
    </row>
    <row r="69" spans="1:11">
      <c r="A69" s="231"/>
      <c r="B69" s="769"/>
      <c r="C69" s="769"/>
      <c r="D69" s="231"/>
      <c r="E69" s="231"/>
      <c r="F69" s="231"/>
      <c r="G69" s="231"/>
      <c r="H69" s="231"/>
      <c r="I69" s="231"/>
      <c r="J69" s="231"/>
      <c r="K69" s="231"/>
    </row>
    <row r="70" spans="1:11">
      <c r="A70" s="231"/>
      <c r="B70" s="769"/>
      <c r="C70" s="769"/>
      <c r="D70" s="231"/>
      <c r="E70" s="231"/>
      <c r="F70" s="231"/>
      <c r="G70" s="231"/>
      <c r="H70" s="231"/>
      <c r="I70" s="231"/>
      <c r="J70" s="231"/>
      <c r="K70" s="231"/>
    </row>
    <row r="71" spans="1:11">
      <c r="A71" s="231"/>
      <c r="B71" s="769"/>
      <c r="C71" s="769"/>
      <c r="D71" s="231"/>
      <c r="E71" s="231"/>
      <c r="F71" s="231"/>
      <c r="G71" s="231"/>
      <c r="H71" s="231"/>
      <c r="I71" s="231"/>
      <c r="J71" s="231"/>
      <c r="K71" s="231"/>
    </row>
    <row r="72" spans="1:11">
      <c r="A72" s="231"/>
      <c r="B72" s="769"/>
      <c r="C72" s="769"/>
      <c r="D72" s="231"/>
      <c r="E72" s="231"/>
      <c r="F72" s="231"/>
      <c r="G72" s="231"/>
      <c r="H72" s="231"/>
      <c r="I72" s="231"/>
      <c r="J72" s="231"/>
      <c r="K72" s="231"/>
    </row>
    <row r="73" spans="1:11">
      <c r="A73" s="231"/>
      <c r="B73" s="769"/>
      <c r="C73" s="769"/>
      <c r="D73" s="231"/>
      <c r="E73" s="231"/>
      <c r="F73" s="231"/>
      <c r="G73" s="231"/>
      <c r="H73" s="231"/>
      <c r="I73" s="231"/>
      <c r="J73" s="231"/>
      <c r="K73" s="231"/>
    </row>
    <row r="74" spans="1:11">
      <c r="A74" s="231"/>
      <c r="B74" s="769"/>
      <c r="C74" s="769"/>
      <c r="D74" s="231"/>
      <c r="E74" s="231"/>
      <c r="F74" s="231"/>
      <c r="G74" s="231"/>
      <c r="H74" s="231"/>
      <c r="I74" s="231"/>
      <c r="J74" s="231"/>
      <c r="K74" s="231"/>
    </row>
    <row r="75" spans="1:11">
      <c r="A75" s="231"/>
      <c r="B75" s="769"/>
      <c r="C75" s="769"/>
      <c r="D75" s="231"/>
      <c r="E75" s="231"/>
      <c r="F75" s="231"/>
      <c r="G75" s="231"/>
      <c r="H75" s="231"/>
      <c r="I75" s="231"/>
      <c r="J75" s="231"/>
      <c r="K75" s="231"/>
    </row>
    <row r="76" spans="1:11">
      <c r="A76" s="231"/>
      <c r="B76" s="769"/>
      <c r="C76" s="769"/>
      <c r="D76" s="231"/>
      <c r="E76" s="231"/>
      <c r="F76" s="231"/>
      <c r="G76" s="231"/>
      <c r="H76" s="231"/>
      <c r="I76" s="231"/>
      <c r="J76" s="231"/>
      <c r="K76" s="231"/>
    </row>
    <row r="77" spans="1:11">
      <c r="A77" s="231"/>
      <c r="B77" s="769"/>
      <c r="C77" s="769"/>
      <c r="D77" s="231"/>
      <c r="E77" s="231"/>
      <c r="F77" s="231"/>
      <c r="G77" s="231"/>
      <c r="H77" s="231"/>
      <c r="I77" s="231"/>
      <c r="J77" s="231"/>
      <c r="K77" s="231"/>
    </row>
    <row r="78" spans="1:11">
      <c r="A78" s="231"/>
      <c r="B78" s="769"/>
      <c r="C78" s="769"/>
      <c r="D78" s="231"/>
      <c r="E78" s="231"/>
      <c r="F78" s="231"/>
      <c r="G78" s="231"/>
      <c r="H78" s="231"/>
      <c r="I78" s="231"/>
      <c r="J78" s="231"/>
      <c r="K78" s="231"/>
    </row>
    <row r="79" spans="1:11">
      <c r="A79" s="231"/>
      <c r="B79" s="769"/>
      <c r="C79" s="769"/>
      <c r="D79" s="231"/>
      <c r="E79" s="231"/>
      <c r="F79" s="231"/>
      <c r="G79" s="231"/>
      <c r="H79" s="231"/>
      <c r="I79" s="231"/>
      <c r="J79" s="231"/>
      <c r="K79" s="231"/>
    </row>
    <row r="80" spans="1:11">
      <c r="A80" s="231"/>
      <c r="B80" s="769"/>
      <c r="C80" s="769"/>
      <c r="D80" s="231"/>
      <c r="E80" s="231"/>
      <c r="F80" s="231"/>
      <c r="G80" s="231"/>
      <c r="H80" s="231"/>
      <c r="I80" s="231"/>
      <c r="J80" s="231"/>
      <c r="K80" s="231"/>
    </row>
    <row r="81" spans="1:11">
      <c r="A81" s="231"/>
      <c r="B81" s="769"/>
      <c r="C81" s="769"/>
      <c r="D81" s="231"/>
      <c r="E81" s="231"/>
      <c r="F81" s="231"/>
      <c r="G81" s="231"/>
      <c r="H81" s="231"/>
      <c r="I81" s="231"/>
      <c r="J81" s="231"/>
      <c r="K81" s="231"/>
    </row>
    <row r="82" spans="1:11">
      <c r="A82" s="231"/>
      <c r="B82" s="769"/>
      <c r="C82" s="769"/>
      <c r="D82" s="231"/>
      <c r="E82" s="231"/>
      <c r="F82" s="231"/>
      <c r="G82" s="231"/>
      <c r="H82" s="231"/>
      <c r="I82" s="231"/>
      <c r="J82" s="231"/>
      <c r="K82" s="231"/>
    </row>
    <row r="83" spans="1:11">
      <c r="A83" s="231"/>
      <c r="B83" s="769"/>
      <c r="C83" s="769"/>
      <c r="D83" s="231"/>
      <c r="E83" s="231"/>
      <c r="F83" s="231"/>
      <c r="G83" s="231"/>
      <c r="H83" s="231"/>
      <c r="I83" s="231"/>
      <c r="J83" s="231"/>
      <c r="K83" s="231"/>
    </row>
    <row r="84" spans="1:11">
      <c r="A84" s="231"/>
      <c r="B84" s="769"/>
      <c r="C84" s="769"/>
      <c r="D84" s="231"/>
      <c r="E84" s="231"/>
      <c r="F84" s="231"/>
      <c r="G84" s="231"/>
      <c r="H84" s="231"/>
      <c r="I84" s="231"/>
      <c r="J84" s="231"/>
      <c r="K84" s="231"/>
    </row>
    <row r="85" spans="1:11">
      <c r="A85" s="231"/>
      <c r="B85" s="769"/>
      <c r="C85" s="769"/>
      <c r="D85" s="231"/>
      <c r="E85" s="231"/>
      <c r="F85" s="231"/>
      <c r="G85" s="231"/>
      <c r="H85" s="231"/>
      <c r="I85" s="231"/>
      <c r="J85" s="231"/>
      <c r="K85" s="231"/>
    </row>
    <row r="86" spans="1:11">
      <c r="A86" s="231"/>
      <c r="B86" s="769"/>
      <c r="C86" s="769"/>
      <c r="D86" s="231"/>
      <c r="E86" s="231"/>
      <c r="F86" s="231"/>
      <c r="G86" s="231"/>
      <c r="H86" s="231"/>
      <c r="I86" s="231"/>
      <c r="J86" s="231"/>
      <c r="K86" s="231"/>
    </row>
    <row r="87" spans="1:11">
      <c r="A87" s="231"/>
      <c r="B87" s="769"/>
      <c r="C87" s="769"/>
      <c r="D87" s="231"/>
      <c r="E87" s="231"/>
      <c r="F87" s="231"/>
      <c r="G87" s="231"/>
      <c r="H87" s="231"/>
      <c r="I87" s="231"/>
      <c r="J87" s="231"/>
      <c r="K87" s="231"/>
    </row>
    <row r="88" spans="1:11">
      <c r="A88" s="231"/>
      <c r="B88" s="769"/>
      <c r="C88" s="769"/>
      <c r="D88" s="231"/>
      <c r="E88" s="231"/>
      <c r="F88" s="231"/>
      <c r="G88" s="231"/>
      <c r="H88" s="231"/>
      <c r="I88" s="231"/>
      <c r="J88" s="231"/>
      <c r="K88" s="231"/>
    </row>
    <row r="89" spans="1:11">
      <c r="A89" s="231"/>
      <c r="B89" s="769"/>
      <c r="C89" s="769"/>
      <c r="D89" s="231"/>
      <c r="E89" s="231"/>
      <c r="F89" s="231"/>
      <c r="G89" s="231"/>
      <c r="H89" s="231"/>
      <c r="I89" s="231"/>
      <c r="J89" s="231"/>
      <c r="K89" s="231"/>
    </row>
  </sheetData>
  <phoneticPr fontId="0" type="noConversion"/>
  <pageMargins left="0.49" right="0.51" top="0.9" bottom="0.49" header="0.47" footer="0.4921259845"/>
  <pageSetup paperSize="9" scale="90" orientation="landscape" horizontalDpi="1200" verticalDpi="1200"/>
  <headerFooter alignWithMargins="0">
    <oddHeader>&amp;L&amp;"Arial,Bold"Zusatzinformationen zum Gesundheitswesen</oddHeader>
  </headerFooter>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2DAF2-2ED9-CE4A-8E83-59EA364737FC}">
  <sheetPr>
    <pageSetUpPr fitToPage="1"/>
  </sheetPr>
  <dimension ref="A1:O102"/>
  <sheetViews>
    <sheetView topLeftCell="A17" zoomScale="75" workbookViewId="0">
      <selection activeCell="A33" sqref="A33"/>
    </sheetView>
  </sheetViews>
  <sheetFormatPr baseColWidth="10" defaultColWidth="11.3984375" defaultRowHeight="13"/>
  <cols>
    <col min="1" max="1" width="29.59765625" style="2" customWidth="1"/>
    <col min="2" max="3" width="9.59765625" style="162" hidden="1" customWidth="1"/>
    <col min="4" max="6" width="9.59765625" style="2" hidden="1" customWidth="1"/>
    <col min="7" max="15" width="9.59765625" style="2" customWidth="1"/>
    <col min="16" max="16384" width="11.3984375" style="2"/>
  </cols>
  <sheetData>
    <row r="1" spans="1:14" s="1" customFormat="1" ht="13.5" customHeight="1">
      <c r="A1" s="591"/>
      <c r="B1" s="705"/>
      <c r="C1" s="705"/>
      <c r="D1" s="591"/>
      <c r="E1" s="591"/>
      <c r="F1" s="591"/>
      <c r="G1" s="591"/>
      <c r="H1" s="591"/>
      <c r="I1" s="591"/>
      <c r="J1" s="591"/>
    </row>
    <row r="2" spans="1:14" s="1" customFormat="1" ht="36" customHeight="1">
      <c r="A2" s="1717" t="s">
        <v>1628</v>
      </c>
      <c r="B2" s="1716"/>
      <c r="C2" s="1716"/>
      <c r="D2" s="1716"/>
      <c r="E2" s="1716"/>
      <c r="F2" s="1716"/>
      <c r="G2" s="1716"/>
      <c r="H2" s="1716"/>
      <c r="I2" s="1716"/>
      <c r="J2" s="1716"/>
      <c r="K2" s="1716"/>
      <c r="L2" s="1716"/>
      <c r="M2" s="370">
        <v>2004</v>
      </c>
      <c r="N2" s="370"/>
    </row>
    <row r="3" spans="1:14" ht="78" customHeight="1">
      <c r="A3" s="887" t="s">
        <v>1817</v>
      </c>
      <c r="B3" s="774">
        <v>1991</v>
      </c>
      <c r="C3" s="775">
        <v>1992</v>
      </c>
      <c r="D3" s="776">
        <v>1993</v>
      </c>
      <c r="E3" s="775">
        <v>1994</v>
      </c>
      <c r="F3" s="776">
        <v>1995</v>
      </c>
      <c r="G3" s="775">
        <v>1996</v>
      </c>
      <c r="H3" s="776">
        <v>1997</v>
      </c>
      <c r="I3" s="775">
        <v>1998</v>
      </c>
      <c r="J3" s="776">
        <v>1999</v>
      </c>
      <c r="K3" s="775">
        <v>2000</v>
      </c>
      <c r="L3" s="776">
        <v>2001</v>
      </c>
      <c r="M3" s="775">
        <v>2002</v>
      </c>
    </row>
    <row r="4" spans="1:14" ht="30" customHeight="1" thickBot="1">
      <c r="A4" s="888" t="s">
        <v>1647</v>
      </c>
      <c r="B4" s="523">
        <v>7.0999999999999994E-2</v>
      </c>
      <c r="C4" s="626">
        <v>7.458999999999999E-2</v>
      </c>
      <c r="D4" s="523">
        <v>7.5229999999999991E-2</v>
      </c>
      <c r="E4" s="626">
        <v>7.4069999999999997E-2</v>
      </c>
      <c r="F4" s="523">
        <v>7.3840000000000003E-2</v>
      </c>
      <c r="G4" s="626">
        <v>7.2950000000000001E-2</v>
      </c>
      <c r="H4" s="523">
        <v>7.0449999999999999E-2</v>
      </c>
      <c r="I4" s="626">
        <v>7.0330000000000004E-2</v>
      </c>
      <c r="J4" s="523">
        <v>7.0660000000000001E-2</v>
      </c>
      <c r="K4" s="626">
        <v>7.1510000000000004E-2</v>
      </c>
      <c r="L4" s="523">
        <v>7.4299999999999991E-2</v>
      </c>
      <c r="M4" s="626">
        <v>7.4999999999999997E-2</v>
      </c>
    </row>
    <row r="5" spans="1:14" ht="18" customHeight="1" thickBot="1">
      <c r="A5" s="889" t="s">
        <v>1648</v>
      </c>
      <c r="B5" s="544">
        <v>7.2999999999999995E-2</v>
      </c>
      <c r="C5" s="154">
        <v>7.6159999999999992E-2</v>
      </c>
      <c r="D5" s="544">
        <v>7.6569999999999999E-2</v>
      </c>
      <c r="E5" s="154">
        <v>7.5679999999999997E-2</v>
      </c>
      <c r="F5" s="544">
        <v>7.5689999999999993E-2</v>
      </c>
      <c r="G5" s="154">
        <v>7.4819999999999998E-2</v>
      </c>
      <c r="H5" s="544">
        <v>7.2169999999999998E-2</v>
      </c>
      <c r="I5" s="154">
        <v>7.145E-2</v>
      </c>
      <c r="J5" s="544">
        <v>7.1900000000000006E-2</v>
      </c>
      <c r="K5" s="154">
        <v>7.2529999999999997E-2</v>
      </c>
      <c r="L5" s="544">
        <v>7.4299999999999991E-2</v>
      </c>
      <c r="M5" s="154">
        <v>7.5999999999999998E-2</v>
      </c>
    </row>
    <row r="6" spans="1:14" ht="18" customHeight="1" thickBot="1">
      <c r="A6" s="889" t="s">
        <v>1629</v>
      </c>
      <c r="B6" s="544">
        <v>6.8000000000000005E-2</v>
      </c>
      <c r="C6" s="154">
        <v>7.3539999999999994E-2</v>
      </c>
      <c r="D6" s="544">
        <v>6.8690000000000001E-2</v>
      </c>
      <c r="E6" s="154">
        <v>6.6650000000000001E-2</v>
      </c>
      <c r="F6" s="544">
        <v>6.2869999999999995E-2</v>
      </c>
      <c r="G6" s="154">
        <v>6.6659999999999997E-2</v>
      </c>
      <c r="H6" s="544">
        <v>6.2449999999999999E-2</v>
      </c>
      <c r="I6" s="154">
        <v>6.2640000000000001E-2</v>
      </c>
      <c r="J6" s="544">
        <v>6.3099999999999989E-2</v>
      </c>
      <c r="K6" s="154">
        <v>6.1089999999999998E-2</v>
      </c>
      <c r="L6" s="544">
        <v>6.472E-2</v>
      </c>
      <c r="M6" s="154">
        <v>6.3E-2</v>
      </c>
    </row>
    <row r="7" spans="1:14" ht="18" customHeight="1" thickBot="1">
      <c r="A7" s="889" t="s">
        <v>1820</v>
      </c>
      <c r="B7" s="544">
        <v>5.8000000000000003E-2</v>
      </c>
      <c r="C7" s="154">
        <v>5.781E-2</v>
      </c>
      <c r="D7" s="544">
        <v>5.9400000000000001E-2</v>
      </c>
      <c r="E7" s="154">
        <v>5.5970000000000006E-2</v>
      </c>
      <c r="F7" s="544">
        <v>5.5650000000000005E-2</v>
      </c>
      <c r="G7" s="154">
        <v>5.4299999999999994E-2</v>
      </c>
      <c r="H7" s="544">
        <v>5.3589999999999999E-2</v>
      </c>
      <c r="I7" s="154">
        <v>5.6749999999999995E-2</v>
      </c>
      <c r="J7" s="544">
        <v>5.7050000000000003E-2</v>
      </c>
      <c r="K7" s="154">
        <v>5.7210000000000004E-2</v>
      </c>
      <c r="L7" s="544">
        <v>5.7980000000000004E-2</v>
      </c>
      <c r="M7" s="154">
        <v>6.0999999999999999E-2</v>
      </c>
    </row>
    <row r="8" spans="1:14" ht="18" customHeight="1" thickBot="1">
      <c r="A8" s="889" t="s">
        <v>1821</v>
      </c>
      <c r="B8" s="544">
        <v>7.9000000000000001E-2</v>
      </c>
      <c r="C8" s="154">
        <v>8.4600000000000009E-2</v>
      </c>
      <c r="D8" s="544">
        <v>8.2750000000000004E-2</v>
      </c>
      <c r="E8" s="154">
        <v>8.3780000000000007E-2</v>
      </c>
      <c r="F8" s="544">
        <v>8.6129999999999998E-2</v>
      </c>
      <c r="G8" s="154">
        <v>8.5550000000000001E-2</v>
      </c>
      <c r="H8" s="544">
        <v>8.0909999999999996E-2</v>
      </c>
      <c r="I8" s="154">
        <v>7.9699999999999993E-2</v>
      </c>
      <c r="J8" s="544">
        <v>8.0700000000000008E-2</v>
      </c>
      <c r="K8" s="154">
        <v>8.0950000000000008E-2</v>
      </c>
      <c r="L8" s="544">
        <v>8.2629999999999995E-2</v>
      </c>
      <c r="M8" s="154">
        <v>8.3000000000000004E-2</v>
      </c>
    </row>
    <row r="9" spans="1:14" ht="18" customHeight="1" thickBot="1">
      <c r="A9" s="889" t="s">
        <v>1630</v>
      </c>
      <c r="B9" s="544">
        <v>0.05</v>
      </c>
      <c r="C9" s="154">
        <v>5.3109999999999997E-2</v>
      </c>
      <c r="D9" s="544">
        <v>5.5320000000000001E-2</v>
      </c>
      <c r="E9" s="154">
        <v>5.5940000000000004E-2</v>
      </c>
      <c r="F9" s="544">
        <v>5.6009999999999997E-2</v>
      </c>
      <c r="G9" s="154">
        <v>5.5359999999999993E-2</v>
      </c>
      <c r="H9" s="544">
        <v>5.6669999999999998E-2</v>
      </c>
      <c r="I9" s="154">
        <v>5.6730000000000003E-2</v>
      </c>
      <c r="J9" s="544">
        <v>6.0299999999999999E-2</v>
      </c>
      <c r="K9" s="154">
        <v>6.7500000000000004E-2</v>
      </c>
      <c r="L9" s="544">
        <v>6.8170000000000008E-2</v>
      </c>
      <c r="M9" s="154">
        <v>6.8000000000000005E-2</v>
      </c>
    </row>
    <row r="10" spans="1:14" ht="18" customHeight="1" thickBot="1">
      <c r="A10" s="889" t="s">
        <v>1831</v>
      </c>
      <c r="B10" s="544">
        <v>0.06</v>
      </c>
      <c r="C10" s="154">
        <v>6.4430000000000001E-2</v>
      </c>
      <c r="D10" s="544">
        <v>6.6070000000000004E-2</v>
      </c>
      <c r="E10" s="154">
        <v>6.3520000000000007E-2</v>
      </c>
      <c r="F10" s="544">
        <v>6.1189999999999994E-2</v>
      </c>
      <c r="G10" s="154">
        <v>6.1689999999999995E-2</v>
      </c>
      <c r="H10" s="544">
        <v>5.9400000000000001E-2</v>
      </c>
      <c r="I10" s="154">
        <v>5.7969999999999994E-2</v>
      </c>
      <c r="J10" s="544">
        <v>5.8400000000000001E-2</v>
      </c>
      <c r="K10" s="154">
        <v>5.8380000000000001E-2</v>
      </c>
      <c r="L10" s="544">
        <v>5.8659999999999997E-2</v>
      </c>
      <c r="M10" s="154">
        <v>8.5999999999999993E-2</v>
      </c>
    </row>
    <row r="11" spans="1:14" ht="18" customHeight="1" thickBot="1">
      <c r="A11" s="889" t="s">
        <v>1823</v>
      </c>
      <c r="B11" s="544">
        <v>7.5999999999999998E-2</v>
      </c>
      <c r="C11" s="154">
        <v>7.9039999999999999E-2</v>
      </c>
      <c r="D11" s="544">
        <v>8.208E-2</v>
      </c>
      <c r="E11" s="154">
        <v>8.1500000000000003E-2</v>
      </c>
      <c r="F11" s="544">
        <v>8.2089999999999996E-2</v>
      </c>
      <c r="G11" s="154">
        <v>8.2979999999999998E-2</v>
      </c>
      <c r="H11" s="544">
        <v>8.1759999999999999E-2</v>
      </c>
      <c r="I11" s="154">
        <v>8.163999999999999E-2</v>
      </c>
      <c r="J11" s="544">
        <v>8.0640000000000003E-2</v>
      </c>
      <c r="K11" s="154">
        <v>8.1729999999999997E-2</v>
      </c>
      <c r="L11" s="544">
        <v>8.3119999999999999E-2</v>
      </c>
      <c r="M11" s="154">
        <v>5.9000000000000004E-2</v>
      </c>
    </row>
    <row r="12" spans="1:14" ht="18" customHeight="1" thickBot="1">
      <c r="A12" s="889" t="s">
        <v>1631</v>
      </c>
      <c r="B12" s="544">
        <v>6.3E-2</v>
      </c>
      <c r="C12" s="154">
        <v>6.6199999999999995E-2</v>
      </c>
      <c r="D12" s="544">
        <v>6.7140000000000005E-2</v>
      </c>
      <c r="E12" s="154">
        <v>6.5790000000000001E-2</v>
      </c>
      <c r="F12" s="544">
        <v>6.5720000000000001E-2</v>
      </c>
      <c r="G12" s="154">
        <v>6.0060000000000002E-2</v>
      </c>
      <c r="H12" s="544">
        <v>5.824E-2</v>
      </c>
      <c r="I12" s="154">
        <v>5.5650000000000005E-2</v>
      </c>
      <c r="J12" s="544">
        <v>5.6270000000000001E-2</v>
      </c>
      <c r="K12" s="154">
        <v>5.5559999999999998E-2</v>
      </c>
      <c r="L12" s="544">
        <v>6.0609999999999997E-2</v>
      </c>
      <c r="M12" s="154">
        <v>6.4000000000000001E-2</v>
      </c>
    </row>
    <row r="13" spans="1:14" ht="18" customHeight="1" thickBot="1">
      <c r="A13" s="889" t="s">
        <v>1825</v>
      </c>
      <c r="B13" s="544">
        <v>6.7000000000000004E-2</v>
      </c>
      <c r="C13" s="154">
        <v>6.6040000000000001E-2</v>
      </c>
      <c r="D13" s="544">
        <v>6.3689999999999997E-2</v>
      </c>
      <c r="E13" s="154">
        <v>5.9960000000000006E-2</v>
      </c>
      <c r="F13" s="544">
        <v>5.5309999999999998E-2</v>
      </c>
      <c r="G13" s="154">
        <v>5.561E-2</v>
      </c>
      <c r="H13" s="544">
        <v>5.7180000000000002E-2</v>
      </c>
      <c r="I13" s="154">
        <v>5.6860000000000001E-2</v>
      </c>
      <c r="J13" s="544">
        <v>5.731E-2</v>
      </c>
      <c r="K13" s="154">
        <v>6.0979999999999999E-2</v>
      </c>
      <c r="L13" s="544">
        <v>6.4149999999999999E-2</v>
      </c>
      <c r="M13" s="154">
        <v>6.5000000000000002E-2</v>
      </c>
    </row>
    <row r="14" spans="1:14" ht="18" customHeight="1" thickBot="1">
      <c r="A14" s="889" t="s">
        <v>1632</v>
      </c>
      <c r="B14" s="544">
        <v>5.3999999999999999E-2</v>
      </c>
      <c r="C14" s="154">
        <v>5.6009999999999997E-2</v>
      </c>
      <c r="D14" s="544">
        <v>6.0570000000000006E-2</v>
      </c>
      <c r="E14" s="154">
        <v>5.4610000000000006E-2</v>
      </c>
      <c r="F14" s="544">
        <v>5.6950000000000001E-2</v>
      </c>
      <c r="G14" s="154">
        <v>6.0350000000000001E-2</v>
      </c>
      <c r="H14" s="544">
        <v>5.6009999999999997E-2</v>
      </c>
      <c r="I14" s="154">
        <v>5.2600000000000001E-2</v>
      </c>
      <c r="J14" s="544">
        <v>5.4269999999999999E-2</v>
      </c>
      <c r="K14" s="154">
        <v>4.9579999999999999E-2</v>
      </c>
      <c r="L14" s="544">
        <v>5.212E-2</v>
      </c>
      <c r="M14" s="154">
        <v>5.5E-2</v>
      </c>
    </row>
    <row r="15" spans="1:14" ht="18" customHeight="1" thickBot="1">
      <c r="A15" s="889" t="s">
        <v>1827</v>
      </c>
      <c r="B15" s="544">
        <v>8.7999999999999995E-2</v>
      </c>
      <c r="C15" s="154">
        <v>8.8889999999999997E-2</v>
      </c>
      <c r="D15" s="544">
        <v>9.0540000000000009E-2</v>
      </c>
      <c r="E15" s="154">
        <v>8.499000000000001E-2</v>
      </c>
      <c r="F15" s="544">
        <v>8.3140000000000006E-2</v>
      </c>
      <c r="G15" s="154">
        <v>7.8449999999999992E-2</v>
      </c>
      <c r="H15" s="544">
        <v>7.5600000000000001E-2</v>
      </c>
      <c r="I15" s="154">
        <v>7.5149999999999995E-2</v>
      </c>
      <c r="J15" s="544">
        <v>7.6619999999999994E-2</v>
      </c>
      <c r="K15" s="154">
        <v>7.535E-2</v>
      </c>
      <c r="L15" s="544">
        <v>7.843E-2</v>
      </c>
      <c r="M15" s="154">
        <v>8.3000000000000004E-2</v>
      </c>
    </row>
    <row r="16" spans="1:14" ht="18" customHeight="1" thickBot="1">
      <c r="A16" s="889" t="s">
        <v>1829</v>
      </c>
      <c r="B16" s="544">
        <v>6.8000000000000005E-2</v>
      </c>
      <c r="C16" s="154">
        <v>7.5429999999999997E-2</v>
      </c>
      <c r="D16" s="544">
        <v>7.7890000000000001E-2</v>
      </c>
      <c r="E16" s="154">
        <v>7.8730000000000008E-2</v>
      </c>
      <c r="F16" s="544">
        <v>7.8979999999999995E-2</v>
      </c>
      <c r="G16" s="154">
        <v>7.8030000000000002E-2</v>
      </c>
      <c r="H16" s="544">
        <v>7.0220000000000005E-2</v>
      </c>
      <c r="I16" s="154">
        <v>7.0529999999999995E-2</v>
      </c>
      <c r="J16" s="544">
        <v>7.2989999999999999E-2</v>
      </c>
      <c r="K16" s="154">
        <v>6.812E-2</v>
      </c>
      <c r="L16" s="544">
        <v>6.8129999999999996E-2</v>
      </c>
      <c r="M16" s="154">
        <v>7.0999999999999994E-2</v>
      </c>
    </row>
    <row r="17" spans="1:13" ht="18" customHeight="1" thickBot="1">
      <c r="A17" s="889" t="s">
        <v>1633</v>
      </c>
      <c r="B17" s="544">
        <v>5.0999999999999997E-2</v>
      </c>
      <c r="C17" s="154">
        <v>5.6390000000000003E-2</v>
      </c>
      <c r="D17" s="544">
        <v>6.3399999999999998E-2</v>
      </c>
      <c r="E17" s="154">
        <v>6.8460000000000007E-2</v>
      </c>
      <c r="F17" s="544">
        <v>7.2690000000000005E-2</v>
      </c>
      <c r="G17" s="154">
        <v>5.9960000000000006E-2</v>
      </c>
      <c r="H17" s="544">
        <v>6.0080000000000001E-2</v>
      </c>
      <c r="I17" s="154">
        <v>6.173E-2</v>
      </c>
      <c r="J17" s="544">
        <v>6.4059999999999992E-2</v>
      </c>
      <c r="K17" s="154">
        <v>6.5709999999999991E-2</v>
      </c>
      <c r="L17" s="544">
        <v>6.5750000000000003E-2</v>
      </c>
      <c r="M17" s="154">
        <v>7.0999999999999994E-2</v>
      </c>
    </row>
    <row r="18" spans="1:13" ht="18" customHeight="1" thickBot="1">
      <c r="A18" s="889" t="s">
        <v>1822</v>
      </c>
      <c r="B18" s="544">
        <v>7.6999999999999999E-2</v>
      </c>
      <c r="C18" s="154">
        <v>7.6299999999999993E-2</v>
      </c>
      <c r="D18" s="544">
        <v>7.1599999999999997E-2</v>
      </c>
      <c r="E18" s="154">
        <v>6.6720000000000002E-2</v>
      </c>
      <c r="F18" s="544">
        <v>6.4489999999999992E-2</v>
      </c>
      <c r="G18" s="154">
        <v>6.5519999999999995E-2</v>
      </c>
      <c r="H18" s="544">
        <v>6.2380000000000005E-2</v>
      </c>
      <c r="I18" s="154">
        <v>5.969E-2</v>
      </c>
      <c r="J18" s="544">
        <v>5.9980000000000006E-2</v>
      </c>
      <c r="K18" s="154">
        <v>5.8680000000000003E-2</v>
      </c>
      <c r="L18" s="544">
        <v>6.1109999999999998E-2</v>
      </c>
      <c r="M18" s="154">
        <v>6.4000000000000001E-2</v>
      </c>
    </row>
    <row r="19" spans="1:13" ht="18" customHeight="1" thickBot="1">
      <c r="A19" s="889" t="s">
        <v>1830</v>
      </c>
      <c r="B19" s="544" t="s">
        <v>1300</v>
      </c>
      <c r="C19" s="154" t="s">
        <v>1300</v>
      </c>
      <c r="D19" s="544">
        <v>8.6319999999999994E-2</v>
      </c>
      <c r="E19" s="154">
        <v>7.8479999999999994E-2</v>
      </c>
      <c r="F19" s="544">
        <v>7.5650000000000009E-2</v>
      </c>
      <c r="G19" s="154">
        <v>7.4480000000000005E-2</v>
      </c>
      <c r="H19" s="544">
        <v>7.51E-2</v>
      </c>
      <c r="I19" s="154">
        <v>7.8129999999999991E-2</v>
      </c>
      <c r="J19" s="544">
        <v>8.1270000000000009E-2</v>
      </c>
      <c r="K19" s="154">
        <v>8.410999999999999E-2</v>
      </c>
      <c r="L19" s="544">
        <v>8.9410000000000003E-2</v>
      </c>
      <c r="M19" s="154">
        <v>8.5999999999999993E-2</v>
      </c>
    </row>
    <row r="20" spans="1:13" ht="18" customHeight="1" thickBot="1">
      <c r="A20" s="889" t="s">
        <v>1634</v>
      </c>
      <c r="B20" s="544">
        <v>6.2E-2</v>
      </c>
      <c r="C20" s="154">
        <v>6.583E-2</v>
      </c>
      <c r="D20" s="544">
        <v>6.724999999999999E-2</v>
      </c>
      <c r="E20" s="154">
        <v>6.6349999999999992E-2</v>
      </c>
      <c r="F20" s="544">
        <v>6.4780000000000004E-2</v>
      </c>
      <c r="G20" s="154">
        <v>6.4240000000000005E-2</v>
      </c>
      <c r="H20" s="544">
        <v>6.3250000000000001E-2</v>
      </c>
      <c r="I20" s="154">
        <v>6.5329999999999999E-2</v>
      </c>
      <c r="J20" s="544">
        <v>6.4770000000000008E-2</v>
      </c>
      <c r="K20" s="154">
        <v>6.6720000000000002E-2</v>
      </c>
      <c r="L20" s="544">
        <v>7.3779999999999998E-2</v>
      </c>
      <c r="M20" s="154">
        <v>7.2999999999999995E-2</v>
      </c>
    </row>
    <row r="21" spans="1:13" ht="18" customHeight="1" thickBot="1">
      <c r="A21" s="889" t="s">
        <v>1635</v>
      </c>
      <c r="B21" s="544">
        <v>7.3999999999999996E-2</v>
      </c>
      <c r="C21" s="154">
        <v>7.22E-2</v>
      </c>
      <c r="D21" s="544">
        <v>7.1919999999999998E-2</v>
      </c>
      <c r="E21" s="154">
        <v>6.8849999999999995E-2</v>
      </c>
      <c r="F21" s="544">
        <v>7.0550000000000002E-2</v>
      </c>
      <c r="G21" s="154">
        <v>6.8970000000000004E-2</v>
      </c>
      <c r="H21" s="544">
        <v>6.9850000000000009E-2</v>
      </c>
      <c r="I21" s="154">
        <v>7.0499999999999993E-2</v>
      </c>
      <c r="J21" s="544">
        <v>7.6490000000000002E-2</v>
      </c>
      <c r="K21" s="154">
        <v>7.644999999999999E-2</v>
      </c>
      <c r="L21" s="544">
        <v>7.6179999999999998E-2</v>
      </c>
      <c r="M21" s="154">
        <v>8.199999999999999E-2</v>
      </c>
    </row>
    <row r="22" spans="1:13" ht="18" customHeight="1" thickBot="1">
      <c r="A22" s="889" t="s">
        <v>1828</v>
      </c>
      <c r="B22" s="544">
        <v>0.08</v>
      </c>
      <c r="C22" s="154">
        <v>7.9259999999999997E-2</v>
      </c>
      <c r="D22" s="544">
        <v>7.6369999999999993E-2</v>
      </c>
      <c r="E22" s="154">
        <v>7.3959999999999998E-2</v>
      </c>
      <c r="F22" s="544">
        <v>7.3779999999999998E-2</v>
      </c>
      <c r="G22" s="154">
        <v>7.6289999999999997E-2</v>
      </c>
      <c r="H22" s="544">
        <v>7.7850000000000003E-2</v>
      </c>
      <c r="I22" s="154">
        <v>8.6449999999999999E-2</v>
      </c>
      <c r="J22" s="544">
        <v>8.6899999999999991E-2</v>
      </c>
      <c r="K22" s="154">
        <v>8.2400000000000001E-2</v>
      </c>
      <c r="L22" s="544">
        <v>8.6549999999999988E-2</v>
      </c>
      <c r="M22" s="154">
        <v>8.8000000000000009E-2</v>
      </c>
    </row>
    <row r="23" spans="1:13" s="205" customFormat="1" ht="30" customHeight="1" thickBot="1">
      <c r="A23" s="890" t="s">
        <v>1649</v>
      </c>
      <c r="B23" s="486">
        <v>5.1999999999999998E-2</v>
      </c>
      <c r="C23" s="659">
        <v>5.4150000000000004E-2</v>
      </c>
      <c r="D23" s="486">
        <v>5.3689999999999995E-2</v>
      </c>
      <c r="E23" s="659">
        <v>5.484E-2</v>
      </c>
      <c r="F23" s="486">
        <v>5.5039999999999999E-2</v>
      </c>
      <c r="G23" s="659">
        <v>5.7709999999999997E-2</v>
      </c>
      <c r="H23" s="486">
        <v>5.9180000000000003E-2</v>
      </c>
      <c r="I23" s="659">
        <v>6.0579999999999995E-2</v>
      </c>
      <c r="J23" s="486">
        <v>6.1900000000000004E-2</v>
      </c>
      <c r="K23" s="659">
        <v>6.3939999999999997E-2</v>
      </c>
      <c r="L23" s="486">
        <v>6.4930000000000002E-2</v>
      </c>
      <c r="M23" s="659">
        <v>6.9000000000000006E-2</v>
      </c>
    </row>
    <row r="24" spans="1:13" ht="20" customHeight="1">
      <c r="A24" s="767" t="s">
        <v>1636</v>
      </c>
      <c r="B24" s="714"/>
      <c r="C24" s="714"/>
      <c r="D24" s="231"/>
      <c r="E24" s="231"/>
      <c r="F24" s="231"/>
      <c r="G24" s="231"/>
      <c r="H24" s="231"/>
      <c r="I24" s="231"/>
      <c r="J24" s="231"/>
      <c r="K24" s="231"/>
    </row>
    <row r="25" spans="1:13" ht="15" customHeight="1">
      <c r="A25" s="767"/>
      <c r="B25" s="714"/>
      <c r="C25" s="714"/>
      <c r="D25" s="231"/>
      <c r="E25" s="231"/>
      <c r="F25" s="231"/>
      <c r="G25" s="231"/>
      <c r="H25" s="231"/>
      <c r="I25" s="231"/>
      <c r="J25" s="231"/>
      <c r="K25" s="231"/>
    </row>
    <row r="26" spans="1:13" s="231" customFormat="1" ht="13.5" customHeight="1">
      <c r="A26" s="767" t="s">
        <v>1637</v>
      </c>
      <c r="B26" s="714"/>
      <c r="C26" s="714"/>
    </row>
    <row r="27" spans="1:13" s="231" customFormat="1" ht="13.5" customHeight="1">
      <c r="A27" s="767" t="s">
        <v>1638</v>
      </c>
      <c r="B27" s="714"/>
      <c r="C27" s="714"/>
    </row>
    <row r="28" spans="1:13" s="231" customFormat="1" ht="13.5" customHeight="1">
      <c r="A28" s="767" t="s">
        <v>1639</v>
      </c>
      <c r="B28" s="714"/>
      <c r="C28" s="714"/>
    </row>
    <row r="29" spans="1:13" ht="13.5" customHeight="1">
      <c r="A29" s="891" t="s">
        <v>1640</v>
      </c>
      <c r="B29" s="723"/>
      <c r="C29" s="723"/>
      <c r="D29" s="493"/>
      <c r="E29" s="493"/>
      <c r="F29" s="493"/>
      <c r="G29" s="493"/>
      <c r="H29" s="493"/>
      <c r="I29" s="493"/>
      <c r="J29" s="493"/>
    </row>
    <row r="30" spans="1:13" ht="13.5" customHeight="1">
      <c r="A30" s="891" t="s">
        <v>1641</v>
      </c>
      <c r="B30" s="723"/>
      <c r="C30" s="723"/>
      <c r="D30" s="493"/>
      <c r="E30" s="493"/>
      <c r="F30" s="493"/>
      <c r="G30" s="493"/>
      <c r="H30" s="493"/>
      <c r="I30" s="493"/>
      <c r="J30" s="493"/>
    </row>
    <row r="31" spans="1:13" ht="13.5" customHeight="1">
      <c r="A31" s="891" t="s">
        <v>1642</v>
      </c>
      <c r="B31" s="723"/>
      <c r="C31" s="723"/>
      <c r="D31" s="493"/>
      <c r="E31" s="493"/>
      <c r="F31" s="493"/>
      <c r="G31" s="493"/>
      <c r="H31" s="493"/>
      <c r="I31" s="493"/>
      <c r="J31" s="493"/>
    </row>
    <row r="32" spans="1:13" ht="13.5" customHeight="1">
      <c r="A32" s="891" t="s">
        <v>1643</v>
      </c>
      <c r="B32" s="723"/>
      <c r="C32" s="723"/>
      <c r="D32" s="493"/>
      <c r="E32" s="493"/>
      <c r="F32" s="493"/>
      <c r="G32" s="493"/>
      <c r="H32" s="493"/>
      <c r="I32" s="493"/>
      <c r="J32" s="493"/>
    </row>
    <row r="33" spans="1:15" ht="13.5" customHeight="1">
      <c r="A33" s="891" t="s">
        <v>1644</v>
      </c>
      <c r="B33" s="723"/>
      <c r="C33" s="723"/>
      <c r="D33" s="493"/>
      <c r="E33" s="493"/>
      <c r="F33" s="493"/>
      <c r="G33" s="493"/>
      <c r="H33" s="493"/>
      <c r="I33" s="493"/>
      <c r="J33" s="493"/>
    </row>
    <row r="34" spans="1:15" ht="13.5" customHeight="1">
      <c r="A34" s="891" t="s">
        <v>1645</v>
      </c>
      <c r="B34" s="723"/>
      <c r="C34" s="723"/>
      <c r="D34" s="493"/>
      <c r="E34" s="493"/>
      <c r="F34" s="493"/>
      <c r="G34" s="493"/>
      <c r="H34" s="493"/>
      <c r="I34" s="493"/>
      <c r="J34" s="493"/>
    </row>
    <row r="35" spans="1:15" ht="13.5" customHeight="1">
      <c r="A35" s="891"/>
      <c r="B35" s="723"/>
      <c r="C35" s="723"/>
      <c r="D35" s="493"/>
      <c r="E35" s="493"/>
      <c r="F35" s="493"/>
      <c r="G35" s="493"/>
      <c r="H35" s="493"/>
      <c r="I35" s="493"/>
      <c r="J35" s="493"/>
    </row>
    <row r="36" spans="1:15" ht="12.75" customHeight="1">
      <c r="A36" s="767" t="s">
        <v>1646</v>
      </c>
      <c r="B36" s="714"/>
      <c r="C36" s="714"/>
      <c r="D36" s="231"/>
      <c r="E36" s="231"/>
      <c r="F36" s="231"/>
      <c r="G36" s="231"/>
      <c r="H36" s="231"/>
      <c r="I36" s="231"/>
      <c r="J36" s="231"/>
      <c r="K36" s="231"/>
    </row>
    <row r="37" spans="1:15" ht="18.75" customHeight="1">
      <c r="A37" s="770"/>
      <c r="B37" s="769"/>
      <c r="C37" s="769"/>
      <c r="D37" s="231"/>
      <c r="E37" s="231"/>
      <c r="F37" s="231"/>
      <c r="G37" s="231"/>
      <c r="H37" s="231"/>
      <c r="I37" s="231"/>
      <c r="J37" s="231"/>
      <c r="K37" s="231"/>
    </row>
    <row r="38" spans="1:15" ht="18" customHeight="1">
      <c r="A38" s="515"/>
      <c r="B38" s="769"/>
      <c r="C38" s="769"/>
      <c r="D38" s="231"/>
      <c r="E38" s="231"/>
      <c r="F38" s="231"/>
      <c r="G38" s="231"/>
      <c r="H38" s="231"/>
      <c r="I38" s="231"/>
      <c r="J38" s="231"/>
      <c r="K38" s="231"/>
    </row>
    <row r="39" spans="1:15" ht="18.75" customHeight="1">
      <c r="A39" s="768" t="s">
        <v>104</v>
      </c>
      <c r="B39" s="769"/>
      <c r="C39" s="769"/>
      <c r="D39" s="231"/>
      <c r="E39" s="231"/>
      <c r="F39" s="231"/>
      <c r="G39" s="231"/>
      <c r="H39" s="231"/>
      <c r="I39" s="231"/>
      <c r="J39" s="231"/>
      <c r="K39" s="231"/>
    </row>
    <row r="40" spans="1:15" ht="31" customHeight="1">
      <c r="A40" s="231"/>
      <c r="B40" s="769"/>
      <c r="C40" s="769"/>
      <c r="D40" s="231"/>
      <c r="E40" s="231"/>
      <c r="F40" s="231"/>
      <c r="G40" s="231"/>
      <c r="H40" s="231"/>
      <c r="I40" s="231"/>
      <c r="J40" s="231"/>
      <c r="K40" s="231"/>
      <c r="O40" s="1"/>
    </row>
    <row r="41" spans="1:15" ht="31" customHeight="1">
      <c r="A41" s="231"/>
      <c r="B41" s="769"/>
      <c r="C41" s="769"/>
      <c r="D41" s="231"/>
      <c r="E41" s="231"/>
      <c r="F41" s="231"/>
      <c r="G41" s="231"/>
      <c r="H41" s="231"/>
      <c r="I41" s="231"/>
      <c r="J41" s="231"/>
      <c r="K41" s="231"/>
    </row>
    <row r="42" spans="1:15" ht="31" customHeight="1">
      <c r="A42" s="231"/>
      <c r="B42" s="769"/>
      <c r="C42" s="769"/>
      <c r="D42" s="231"/>
      <c r="E42" s="231"/>
      <c r="F42" s="231"/>
      <c r="G42" s="231"/>
      <c r="H42" s="231"/>
      <c r="I42" s="231"/>
      <c r="J42" s="231"/>
      <c r="K42" s="231"/>
    </row>
    <row r="43" spans="1:15" ht="31" customHeight="1">
      <c r="A43" s="231"/>
      <c r="B43" s="769"/>
      <c r="C43" s="769"/>
      <c r="D43" s="231"/>
      <c r="E43" s="231"/>
      <c r="F43" s="231"/>
      <c r="G43" s="231"/>
      <c r="H43" s="231"/>
      <c r="I43" s="231"/>
      <c r="J43" s="231"/>
      <c r="K43" s="231"/>
    </row>
    <row r="44" spans="1:15" ht="31" customHeight="1">
      <c r="A44" s="231"/>
      <c r="B44" s="769"/>
      <c r="C44" s="769"/>
      <c r="D44" s="231"/>
      <c r="E44" s="231"/>
      <c r="F44" s="231"/>
      <c r="G44" s="231"/>
      <c r="H44" s="231"/>
      <c r="I44" s="231"/>
      <c r="J44" s="231"/>
      <c r="K44" s="231"/>
    </row>
    <row r="45" spans="1:15" ht="31" customHeight="1">
      <c r="A45" s="231"/>
      <c r="B45" s="769"/>
      <c r="C45" s="769"/>
      <c r="D45" s="231"/>
      <c r="E45" s="231"/>
      <c r="F45" s="231"/>
      <c r="G45" s="231"/>
      <c r="H45" s="231"/>
      <c r="I45" s="231"/>
      <c r="J45" s="231"/>
      <c r="K45" s="231"/>
    </row>
    <row r="46" spans="1:15" ht="31" customHeight="1">
      <c r="A46" s="231"/>
      <c r="B46" s="769"/>
      <c r="C46" s="769"/>
      <c r="D46" s="231"/>
      <c r="E46" s="231"/>
      <c r="F46" s="231"/>
      <c r="G46" s="231"/>
      <c r="H46" s="231"/>
      <c r="I46" s="231"/>
      <c r="J46" s="231"/>
      <c r="K46" s="231"/>
    </row>
    <row r="47" spans="1:15">
      <c r="A47" s="231"/>
      <c r="B47" s="769"/>
      <c r="C47" s="769"/>
      <c r="D47" s="231"/>
      <c r="E47" s="231"/>
      <c r="F47" s="231"/>
      <c r="G47" s="231"/>
      <c r="H47" s="231"/>
      <c r="I47" s="231"/>
      <c r="J47" s="231"/>
      <c r="K47" s="231"/>
    </row>
    <row r="48" spans="1:15">
      <c r="A48" s="231"/>
      <c r="B48" s="769"/>
      <c r="C48" s="769"/>
      <c r="D48" s="231"/>
      <c r="E48" s="231"/>
      <c r="F48" s="231"/>
      <c r="G48" s="231"/>
      <c r="H48" s="231"/>
      <c r="I48" s="231"/>
      <c r="J48" s="231"/>
      <c r="K48" s="231"/>
    </row>
    <row r="49" spans="1:11">
      <c r="A49" s="231"/>
      <c r="B49" s="769"/>
      <c r="C49" s="769"/>
      <c r="D49" s="231"/>
      <c r="E49" s="231"/>
      <c r="F49" s="231"/>
      <c r="G49" s="231"/>
      <c r="H49" s="231"/>
      <c r="I49" s="231"/>
      <c r="J49" s="231"/>
      <c r="K49" s="231"/>
    </row>
    <row r="50" spans="1:11">
      <c r="A50" s="231"/>
      <c r="B50" s="769"/>
      <c r="C50" s="769"/>
      <c r="D50" s="231"/>
      <c r="E50" s="231"/>
      <c r="F50" s="231"/>
      <c r="G50" s="231"/>
      <c r="H50" s="231"/>
      <c r="I50" s="231"/>
      <c r="J50" s="231"/>
      <c r="K50" s="231"/>
    </row>
    <row r="51" spans="1:11">
      <c r="A51" s="231"/>
      <c r="B51" s="769"/>
      <c r="C51" s="769"/>
      <c r="D51" s="231"/>
      <c r="E51" s="231"/>
      <c r="F51" s="231"/>
      <c r="G51" s="231"/>
      <c r="H51" s="231"/>
      <c r="I51" s="231"/>
      <c r="J51" s="231"/>
      <c r="K51" s="231"/>
    </row>
    <row r="52" spans="1:11">
      <c r="A52" s="231"/>
      <c r="B52" s="769"/>
      <c r="C52" s="769"/>
      <c r="D52" s="231"/>
      <c r="E52" s="231"/>
      <c r="F52" s="231"/>
      <c r="G52" s="231"/>
      <c r="H52" s="231"/>
      <c r="I52" s="231"/>
      <c r="J52" s="231"/>
      <c r="K52" s="231"/>
    </row>
    <row r="53" spans="1:11">
      <c r="A53" s="231"/>
      <c r="B53" s="769"/>
      <c r="C53" s="769"/>
      <c r="D53" s="231"/>
      <c r="E53" s="231"/>
      <c r="F53" s="231"/>
      <c r="G53" s="231"/>
      <c r="H53" s="231"/>
      <c r="I53" s="231"/>
      <c r="J53" s="231"/>
      <c r="K53" s="231"/>
    </row>
    <row r="54" spans="1:11">
      <c r="A54" s="231"/>
      <c r="B54" s="769"/>
      <c r="C54" s="769"/>
      <c r="D54" s="231"/>
      <c r="E54" s="231"/>
      <c r="F54" s="231"/>
      <c r="G54" s="231"/>
      <c r="H54" s="231"/>
      <c r="I54" s="231"/>
      <c r="J54" s="231"/>
      <c r="K54" s="231"/>
    </row>
    <row r="55" spans="1:11">
      <c r="A55" s="231"/>
      <c r="B55" s="769"/>
      <c r="C55" s="769"/>
      <c r="D55" s="231"/>
      <c r="E55" s="231"/>
      <c r="F55" s="231"/>
      <c r="G55" s="231"/>
      <c r="H55" s="231"/>
      <c r="I55" s="231"/>
      <c r="J55" s="231"/>
      <c r="K55" s="231"/>
    </row>
    <row r="56" spans="1:11">
      <c r="A56" s="231"/>
      <c r="B56" s="769"/>
      <c r="C56" s="769"/>
      <c r="D56" s="231"/>
      <c r="E56" s="231"/>
      <c r="F56" s="231"/>
      <c r="G56" s="231"/>
      <c r="H56" s="231"/>
      <c r="I56" s="231"/>
      <c r="J56" s="231"/>
      <c r="K56" s="231"/>
    </row>
    <row r="57" spans="1:11">
      <c r="A57" s="231"/>
      <c r="B57" s="769"/>
      <c r="C57" s="769"/>
      <c r="D57" s="231"/>
      <c r="E57" s="231"/>
      <c r="F57" s="231"/>
      <c r="G57" s="231"/>
      <c r="H57" s="231"/>
      <c r="I57" s="231"/>
      <c r="J57" s="231"/>
      <c r="K57" s="231"/>
    </row>
    <row r="58" spans="1:11">
      <c r="A58" s="231"/>
      <c r="B58" s="769"/>
      <c r="C58" s="769"/>
      <c r="D58" s="231"/>
      <c r="E58" s="231"/>
      <c r="F58" s="231"/>
      <c r="G58" s="231"/>
      <c r="H58" s="231"/>
      <c r="I58" s="231"/>
      <c r="J58" s="231"/>
      <c r="K58" s="231"/>
    </row>
    <row r="59" spans="1:11">
      <c r="A59" s="231"/>
      <c r="B59" s="769"/>
      <c r="C59" s="769"/>
      <c r="D59" s="231"/>
      <c r="E59" s="231"/>
      <c r="F59" s="231"/>
      <c r="G59" s="231"/>
      <c r="H59" s="231"/>
      <c r="I59" s="231"/>
      <c r="J59" s="231"/>
      <c r="K59" s="231"/>
    </row>
    <row r="60" spans="1:11">
      <c r="A60" s="231"/>
      <c r="B60" s="769"/>
      <c r="C60" s="769"/>
      <c r="D60" s="231"/>
      <c r="E60" s="231"/>
      <c r="F60" s="231"/>
      <c r="G60" s="231"/>
      <c r="H60" s="231"/>
      <c r="I60" s="231"/>
      <c r="J60" s="231"/>
      <c r="K60" s="231"/>
    </row>
    <row r="61" spans="1:11">
      <c r="A61" s="231"/>
      <c r="B61" s="769"/>
      <c r="C61" s="769"/>
      <c r="D61" s="231"/>
      <c r="E61" s="231"/>
      <c r="F61" s="231"/>
      <c r="G61" s="231"/>
      <c r="H61" s="231"/>
      <c r="I61" s="231"/>
      <c r="J61" s="231"/>
      <c r="K61" s="231"/>
    </row>
    <row r="62" spans="1:11">
      <c r="A62" s="231"/>
      <c r="B62" s="769"/>
      <c r="C62" s="769"/>
      <c r="D62" s="231"/>
      <c r="E62" s="231"/>
      <c r="F62" s="231"/>
      <c r="G62" s="231"/>
      <c r="H62" s="231"/>
      <c r="I62" s="231"/>
      <c r="J62" s="231"/>
      <c r="K62" s="231"/>
    </row>
    <row r="63" spans="1:11">
      <c r="A63" s="231"/>
      <c r="B63" s="769"/>
      <c r="C63" s="769"/>
      <c r="D63" s="231"/>
      <c r="E63" s="231"/>
      <c r="F63" s="231"/>
      <c r="G63" s="231"/>
      <c r="H63" s="231"/>
      <c r="I63" s="231"/>
      <c r="J63" s="231"/>
      <c r="K63" s="231"/>
    </row>
    <row r="64" spans="1:11">
      <c r="A64" s="231"/>
      <c r="B64" s="769"/>
      <c r="C64" s="769"/>
      <c r="D64" s="231"/>
      <c r="E64" s="231"/>
      <c r="F64" s="231"/>
      <c r="G64" s="231"/>
      <c r="H64" s="231"/>
      <c r="I64" s="231"/>
      <c r="J64" s="231"/>
      <c r="K64" s="231"/>
    </row>
    <row r="65" spans="1:11">
      <c r="A65" s="231"/>
      <c r="B65" s="769"/>
      <c r="C65" s="769"/>
      <c r="D65" s="231"/>
      <c r="E65" s="231"/>
      <c r="F65" s="231"/>
      <c r="G65" s="231"/>
      <c r="H65" s="231"/>
      <c r="I65" s="231"/>
      <c r="J65" s="231"/>
      <c r="K65" s="231"/>
    </row>
    <row r="66" spans="1:11">
      <c r="A66" s="231"/>
      <c r="B66" s="769"/>
      <c r="C66" s="769"/>
      <c r="D66" s="231"/>
      <c r="E66" s="231"/>
      <c r="F66" s="231"/>
      <c r="G66" s="231"/>
      <c r="H66" s="231"/>
      <c r="I66" s="231"/>
      <c r="J66" s="231"/>
      <c r="K66" s="231"/>
    </row>
    <row r="67" spans="1:11">
      <c r="A67" s="231"/>
      <c r="B67" s="769"/>
      <c r="C67" s="769"/>
      <c r="D67" s="231"/>
      <c r="E67" s="231"/>
      <c r="F67" s="231"/>
      <c r="G67" s="231"/>
      <c r="H67" s="231"/>
      <c r="I67" s="231"/>
      <c r="J67" s="231"/>
      <c r="K67" s="231"/>
    </row>
    <row r="68" spans="1:11">
      <c r="A68" s="231"/>
      <c r="B68" s="769"/>
      <c r="C68" s="769"/>
      <c r="D68" s="231"/>
      <c r="E68" s="231"/>
      <c r="F68" s="231"/>
      <c r="G68" s="231"/>
      <c r="H68" s="231"/>
      <c r="I68" s="231"/>
      <c r="J68" s="231"/>
      <c r="K68" s="231"/>
    </row>
    <row r="69" spans="1:11">
      <c r="A69" s="231"/>
      <c r="B69" s="769"/>
      <c r="C69" s="769"/>
      <c r="D69" s="231"/>
      <c r="E69" s="231"/>
      <c r="F69" s="231"/>
      <c r="G69" s="231"/>
      <c r="H69" s="231"/>
      <c r="I69" s="231"/>
      <c r="J69" s="231"/>
      <c r="K69" s="231"/>
    </row>
    <row r="70" spans="1:11">
      <c r="A70" s="231"/>
      <c r="B70" s="769"/>
      <c r="C70" s="769"/>
      <c r="D70" s="231"/>
      <c r="E70" s="231"/>
      <c r="F70" s="231"/>
      <c r="G70" s="231"/>
      <c r="H70" s="231"/>
      <c r="I70" s="231"/>
      <c r="J70" s="231"/>
      <c r="K70" s="231"/>
    </row>
    <row r="71" spans="1:11">
      <c r="A71" s="231"/>
      <c r="B71" s="769"/>
      <c r="C71" s="769"/>
      <c r="D71" s="231"/>
      <c r="E71" s="231"/>
      <c r="F71" s="231"/>
      <c r="G71" s="231"/>
      <c r="H71" s="231"/>
      <c r="I71" s="231"/>
      <c r="J71" s="231"/>
      <c r="K71" s="231"/>
    </row>
    <row r="72" spans="1:11">
      <c r="A72" s="231"/>
      <c r="B72" s="769"/>
      <c r="C72" s="769"/>
      <c r="D72" s="231"/>
      <c r="E72" s="231"/>
      <c r="F72" s="231"/>
      <c r="G72" s="231"/>
      <c r="H72" s="231"/>
      <c r="I72" s="231"/>
      <c r="J72" s="231"/>
      <c r="K72" s="231"/>
    </row>
    <row r="73" spans="1:11">
      <c r="A73" s="231"/>
      <c r="B73" s="769"/>
      <c r="C73" s="769"/>
      <c r="D73" s="231"/>
      <c r="E73" s="231"/>
      <c r="F73" s="231"/>
      <c r="G73" s="231"/>
      <c r="H73" s="231"/>
      <c r="I73" s="231"/>
      <c r="J73" s="231"/>
      <c r="K73" s="231"/>
    </row>
    <row r="74" spans="1:11">
      <c r="A74" s="231"/>
      <c r="B74" s="769"/>
      <c r="C74" s="769"/>
      <c r="D74" s="231"/>
      <c r="E74" s="231"/>
      <c r="F74" s="231"/>
      <c r="G74" s="231"/>
      <c r="H74" s="231"/>
      <c r="I74" s="231"/>
      <c r="J74" s="231"/>
      <c r="K74" s="231"/>
    </row>
    <row r="75" spans="1:11">
      <c r="A75" s="231"/>
      <c r="B75" s="769"/>
      <c r="C75" s="769"/>
      <c r="D75" s="231"/>
      <c r="E75" s="231"/>
      <c r="F75" s="231"/>
      <c r="G75" s="231"/>
      <c r="H75" s="231"/>
      <c r="I75" s="231"/>
      <c r="J75" s="231"/>
      <c r="K75" s="231"/>
    </row>
    <row r="76" spans="1:11">
      <c r="A76" s="231"/>
      <c r="B76" s="769"/>
      <c r="C76" s="769"/>
      <c r="D76" s="231"/>
      <c r="E76" s="231"/>
      <c r="F76" s="231"/>
      <c r="G76" s="231"/>
      <c r="H76" s="231"/>
      <c r="I76" s="231"/>
      <c r="J76" s="231"/>
      <c r="K76" s="231"/>
    </row>
    <row r="77" spans="1:11">
      <c r="A77" s="231"/>
      <c r="B77" s="769"/>
      <c r="C77" s="769"/>
      <c r="D77" s="231"/>
      <c r="E77" s="231"/>
      <c r="F77" s="231"/>
      <c r="G77" s="231"/>
      <c r="H77" s="231"/>
      <c r="I77" s="231"/>
      <c r="J77" s="231"/>
      <c r="K77" s="231"/>
    </row>
    <row r="78" spans="1:11">
      <c r="A78" s="231"/>
      <c r="B78" s="769"/>
      <c r="C78" s="769"/>
      <c r="D78" s="231"/>
      <c r="E78" s="231"/>
      <c r="F78" s="231"/>
      <c r="G78" s="231"/>
      <c r="H78" s="231"/>
      <c r="I78" s="231"/>
      <c r="J78" s="231"/>
      <c r="K78" s="231"/>
    </row>
    <row r="79" spans="1:11">
      <c r="A79" s="231"/>
      <c r="B79" s="769"/>
      <c r="C79" s="769"/>
      <c r="D79" s="231"/>
      <c r="E79" s="231"/>
      <c r="F79" s="231"/>
      <c r="G79" s="231"/>
      <c r="H79" s="231"/>
      <c r="I79" s="231"/>
      <c r="J79" s="231"/>
      <c r="K79" s="231"/>
    </row>
    <row r="80" spans="1:11">
      <c r="A80" s="231"/>
      <c r="B80" s="769"/>
      <c r="C80" s="769"/>
      <c r="D80" s="231"/>
      <c r="E80" s="231"/>
      <c r="F80" s="231"/>
      <c r="G80" s="231"/>
      <c r="H80" s="231"/>
      <c r="I80" s="231"/>
      <c r="J80" s="231"/>
      <c r="K80" s="231"/>
    </row>
    <row r="81" spans="1:11">
      <c r="A81" s="231"/>
      <c r="B81" s="769"/>
      <c r="C81" s="769"/>
      <c r="D81" s="231"/>
      <c r="E81" s="231"/>
      <c r="F81" s="231"/>
      <c r="G81" s="231"/>
      <c r="H81" s="231"/>
      <c r="I81" s="231"/>
      <c r="J81" s="231"/>
      <c r="K81" s="231"/>
    </row>
    <row r="82" spans="1:11">
      <c r="A82" s="231"/>
      <c r="B82" s="769"/>
      <c r="C82" s="769"/>
      <c r="D82" s="231"/>
      <c r="E82" s="231"/>
      <c r="F82" s="231"/>
      <c r="G82" s="231"/>
      <c r="H82" s="231"/>
      <c r="I82" s="231"/>
      <c r="J82" s="231"/>
      <c r="K82" s="231"/>
    </row>
    <row r="83" spans="1:11">
      <c r="A83" s="231"/>
      <c r="B83" s="769"/>
      <c r="C83" s="769"/>
      <c r="D83" s="231"/>
      <c r="E83" s="231"/>
      <c r="F83" s="231"/>
      <c r="G83" s="231"/>
      <c r="H83" s="231"/>
      <c r="I83" s="231"/>
      <c r="J83" s="231"/>
      <c r="K83" s="231"/>
    </row>
    <row r="84" spans="1:11">
      <c r="A84" s="231"/>
      <c r="B84" s="769"/>
      <c r="C84" s="769"/>
      <c r="D84" s="231"/>
      <c r="E84" s="231"/>
      <c r="F84" s="231"/>
      <c r="G84" s="231"/>
      <c r="H84" s="231"/>
      <c r="I84" s="231"/>
      <c r="J84" s="231"/>
      <c r="K84" s="231"/>
    </row>
    <row r="85" spans="1:11">
      <c r="A85" s="231"/>
      <c r="B85" s="769"/>
      <c r="C85" s="769"/>
      <c r="D85" s="231"/>
      <c r="E85" s="231"/>
      <c r="F85" s="231"/>
      <c r="G85" s="231"/>
      <c r="H85" s="231"/>
      <c r="I85" s="231"/>
      <c r="J85" s="231"/>
      <c r="K85" s="231"/>
    </row>
    <row r="86" spans="1:11">
      <c r="A86" s="231"/>
      <c r="B86" s="769"/>
      <c r="C86" s="769"/>
      <c r="D86" s="231"/>
      <c r="E86" s="231"/>
      <c r="F86" s="231"/>
      <c r="G86" s="231"/>
      <c r="H86" s="231"/>
      <c r="I86" s="231"/>
      <c r="J86" s="231"/>
      <c r="K86" s="231"/>
    </row>
    <row r="87" spans="1:11">
      <c r="A87" s="231"/>
      <c r="B87" s="769"/>
      <c r="C87" s="769"/>
      <c r="D87" s="231"/>
      <c r="E87" s="231"/>
      <c r="F87" s="231"/>
      <c r="G87" s="231"/>
      <c r="H87" s="231"/>
      <c r="I87" s="231"/>
      <c r="J87" s="231"/>
      <c r="K87" s="231"/>
    </row>
    <row r="88" spans="1:11">
      <c r="A88" s="231"/>
      <c r="B88" s="769"/>
      <c r="C88" s="769"/>
      <c r="D88" s="231"/>
      <c r="E88" s="231"/>
      <c r="F88" s="231"/>
      <c r="G88" s="231"/>
      <c r="H88" s="231"/>
      <c r="I88" s="231"/>
      <c r="J88" s="231"/>
      <c r="K88" s="231"/>
    </row>
    <row r="89" spans="1:11">
      <c r="A89" s="231"/>
      <c r="B89" s="769"/>
      <c r="C89" s="769"/>
      <c r="D89" s="231"/>
      <c r="E89" s="231"/>
      <c r="F89" s="231"/>
      <c r="G89" s="231"/>
      <c r="H89" s="231"/>
      <c r="I89" s="231"/>
      <c r="J89" s="231"/>
      <c r="K89" s="231"/>
    </row>
    <row r="90" spans="1:11">
      <c r="A90" s="231"/>
      <c r="B90" s="769"/>
      <c r="C90" s="769"/>
      <c r="D90" s="231"/>
      <c r="E90" s="231"/>
      <c r="F90" s="231"/>
      <c r="G90" s="231"/>
      <c r="H90" s="231"/>
      <c r="I90" s="231"/>
      <c r="J90" s="231"/>
      <c r="K90" s="231"/>
    </row>
    <row r="91" spans="1:11">
      <c r="A91" s="231"/>
      <c r="B91" s="769"/>
      <c r="C91" s="769"/>
      <c r="D91" s="231"/>
      <c r="E91" s="231"/>
      <c r="F91" s="231"/>
      <c r="G91" s="231"/>
      <c r="H91" s="231"/>
      <c r="I91" s="231"/>
      <c r="J91" s="231"/>
      <c r="K91" s="231"/>
    </row>
    <row r="92" spans="1:11">
      <c r="A92" s="231"/>
      <c r="B92" s="769"/>
      <c r="C92" s="769"/>
      <c r="D92" s="231"/>
      <c r="E92" s="231"/>
      <c r="F92" s="231"/>
      <c r="G92" s="231"/>
      <c r="H92" s="231"/>
      <c r="I92" s="231"/>
      <c r="J92" s="231"/>
      <c r="K92" s="231"/>
    </row>
    <row r="93" spans="1:11">
      <c r="A93" s="231"/>
      <c r="B93" s="769"/>
      <c r="C93" s="769"/>
      <c r="D93" s="231"/>
      <c r="E93" s="231"/>
      <c r="F93" s="231"/>
      <c r="G93" s="231"/>
      <c r="H93" s="231"/>
      <c r="I93" s="231"/>
      <c r="J93" s="231"/>
      <c r="K93" s="231"/>
    </row>
    <row r="94" spans="1:11">
      <c r="A94" s="231"/>
      <c r="B94" s="769"/>
      <c r="C94" s="769"/>
      <c r="D94" s="231"/>
      <c r="E94" s="231"/>
      <c r="F94" s="231"/>
      <c r="G94" s="231"/>
      <c r="H94" s="231"/>
      <c r="I94" s="231"/>
      <c r="J94" s="231"/>
      <c r="K94" s="231"/>
    </row>
    <row r="95" spans="1:11">
      <c r="A95" s="231"/>
      <c r="B95" s="769"/>
      <c r="C95" s="769"/>
      <c r="D95" s="231"/>
      <c r="E95" s="231"/>
      <c r="F95" s="231"/>
      <c r="G95" s="231"/>
      <c r="H95" s="231"/>
      <c r="I95" s="231"/>
      <c r="J95" s="231"/>
      <c r="K95" s="231"/>
    </row>
    <row r="96" spans="1:11">
      <c r="A96" s="231"/>
      <c r="B96" s="769"/>
      <c r="C96" s="769"/>
      <c r="D96" s="231"/>
      <c r="E96" s="231"/>
      <c r="F96" s="231"/>
      <c r="G96" s="231"/>
      <c r="H96" s="231"/>
      <c r="I96" s="231"/>
      <c r="J96" s="231"/>
      <c r="K96" s="231"/>
    </row>
    <row r="97" spans="1:11">
      <c r="A97" s="231"/>
      <c r="B97" s="769"/>
      <c r="C97" s="769"/>
      <c r="D97" s="231"/>
      <c r="E97" s="231"/>
      <c r="F97" s="231"/>
      <c r="G97" s="231"/>
      <c r="H97" s="231"/>
      <c r="I97" s="231"/>
      <c r="J97" s="231"/>
      <c r="K97" s="231"/>
    </row>
    <row r="98" spans="1:11">
      <c r="A98" s="231"/>
      <c r="B98" s="769"/>
      <c r="C98" s="769"/>
      <c r="D98" s="231"/>
      <c r="E98" s="231"/>
      <c r="F98" s="231"/>
      <c r="G98" s="231"/>
      <c r="H98" s="231"/>
      <c r="I98" s="231"/>
      <c r="J98" s="231"/>
      <c r="K98" s="231"/>
    </row>
    <row r="99" spans="1:11">
      <c r="A99" s="231"/>
      <c r="B99" s="769"/>
      <c r="C99" s="769"/>
      <c r="D99" s="231"/>
      <c r="E99" s="231"/>
      <c r="F99" s="231"/>
      <c r="G99" s="231"/>
      <c r="H99" s="231"/>
      <c r="I99" s="231"/>
      <c r="J99" s="231"/>
      <c r="K99" s="231"/>
    </row>
    <row r="100" spans="1:11">
      <c r="A100" s="231"/>
      <c r="B100" s="769"/>
      <c r="C100" s="769"/>
      <c r="D100" s="231"/>
      <c r="E100" s="231"/>
      <c r="F100" s="231"/>
      <c r="G100" s="231"/>
      <c r="H100" s="231"/>
      <c r="I100" s="231"/>
      <c r="J100" s="231"/>
      <c r="K100" s="231"/>
    </row>
    <row r="101" spans="1:11">
      <c r="A101" s="231"/>
      <c r="B101" s="769"/>
      <c r="C101" s="769"/>
      <c r="D101" s="231"/>
      <c r="E101" s="231"/>
      <c r="F101" s="231"/>
      <c r="G101" s="231"/>
      <c r="H101" s="231"/>
      <c r="I101" s="231"/>
      <c r="J101" s="231"/>
      <c r="K101" s="231"/>
    </row>
    <row r="102" spans="1:11">
      <c r="A102" s="231"/>
      <c r="B102" s="769"/>
      <c r="C102" s="769"/>
      <c r="D102" s="231"/>
      <c r="E102" s="231"/>
      <c r="F102" s="231"/>
      <c r="G102" s="231"/>
      <c r="H102" s="231"/>
      <c r="I102" s="231"/>
      <c r="J102" s="231"/>
      <c r="K102" s="231"/>
    </row>
  </sheetData>
  <mergeCells count="1">
    <mergeCell ref="A2:L2"/>
  </mergeCells>
  <phoneticPr fontId="0" type="noConversion"/>
  <pageMargins left="0.49" right="0.51" top="0.77" bottom="0.49" header="0.47" footer="0.4921259845"/>
  <pageSetup paperSize="9" scale="81" orientation="portrait" horizontalDpi="1200" verticalDpi="1200"/>
  <headerFooter alignWithMargins="0">
    <oddHeader>&amp;L&amp;"Arial,Bold"Zusatzinformationen zum Gesundheitswesen</oddHeader>
  </headerFooter>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B46B6-0DC9-DA4B-94EA-685B475BB0CF}">
  <dimension ref="A1:AH94"/>
  <sheetViews>
    <sheetView topLeftCell="D1" workbookViewId="0">
      <selection activeCell="M1" sqref="M1:M65536"/>
    </sheetView>
  </sheetViews>
  <sheetFormatPr baseColWidth="10" defaultColWidth="10.19921875" defaultRowHeight="13"/>
  <cols>
    <col min="1" max="1" width="3.796875" style="1225" customWidth="1"/>
    <col min="2" max="2" width="45" style="1225" customWidth="1"/>
    <col min="3" max="10" width="9.796875" style="1225" customWidth="1"/>
    <col min="11" max="11" width="3.19921875" style="1225" customWidth="1"/>
    <col min="12" max="12" width="10.3984375" style="1225" bestFit="1" customWidth="1"/>
    <col min="13" max="13" width="11" style="1225" customWidth="1"/>
    <col min="14" max="14" width="3.19921875" style="1225" customWidth="1"/>
    <col min="15" max="17" width="11" style="1225" customWidth="1"/>
    <col min="18" max="16384" width="10.19921875" style="1225"/>
  </cols>
  <sheetData>
    <row r="1" spans="1:34" ht="16">
      <c r="A1" s="1222" t="s">
        <v>1907</v>
      </c>
      <c r="B1" s="1223"/>
      <c r="C1" s="1223"/>
      <c r="D1" s="1223"/>
      <c r="E1" s="1223"/>
      <c r="F1" s="1223"/>
      <c r="G1" s="1223"/>
      <c r="H1" s="1223"/>
      <c r="I1" s="1223"/>
      <c r="J1" s="1223"/>
      <c r="K1" s="1223"/>
      <c r="L1" s="1223"/>
      <c r="M1" s="1223"/>
      <c r="N1" s="1223"/>
      <c r="O1" s="1223"/>
      <c r="P1" s="1223"/>
      <c r="Q1" s="1224"/>
      <c r="V1" s="1226"/>
      <c r="AB1" s="1226"/>
    </row>
    <row r="2" spans="1:34" ht="14" thickBot="1">
      <c r="A2" s="1227"/>
      <c r="B2" s="1227"/>
      <c r="C2" s="1227"/>
      <c r="D2" s="1227"/>
      <c r="E2" s="1227"/>
      <c r="F2" s="1227"/>
      <c r="G2" s="1227"/>
      <c r="H2" s="1227"/>
      <c r="I2" s="1227"/>
      <c r="J2" s="1227"/>
      <c r="K2" s="1227"/>
      <c r="L2" s="1227"/>
      <c r="M2" s="1227"/>
      <c r="N2" s="1227"/>
      <c r="O2" s="1227"/>
      <c r="P2" s="1227"/>
      <c r="Q2" s="1228"/>
    </row>
    <row r="3" spans="1:34" s="1237" customFormat="1" ht="10.5" customHeight="1">
      <c r="A3" s="1229"/>
      <c r="B3" s="1229"/>
      <c r="C3" s="1230"/>
      <c r="D3" s="1229"/>
      <c r="E3" s="1230"/>
      <c r="F3" s="1229"/>
      <c r="G3" s="1230"/>
      <c r="H3" s="1229"/>
      <c r="I3" s="1230"/>
      <c r="J3" s="1229"/>
      <c r="K3" s="1231"/>
      <c r="L3" s="1232"/>
      <c r="M3" s="1233"/>
      <c r="N3" s="1234"/>
      <c r="O3" s="1230"/>
      <c r="P3" s="1229"/>
      <c r="Q3" s="1230"/>
      <c r="R3" s="1225"/>
      <c r="S3" s="1235"/>
      <c r="T3" s="1235"/>
      <c r="U3" s="1235"/>
      <c r="V3" s="1235"/>
      <c r="W3" s="1236"/>
      <c r="X3" s="1236"/>
      <c r="Y3" s="1236"/>
      <c r="Z3" s="1236"/>
      <c r="AC3" s="1238"/>
      <c r="AD3" s="1238"/>
      <c r="AE3" s="1238"/>
      <c r="AF3" s="1238"/>
    </row>
    <row r="4" spans="1:34" ht="13.5" customHeight="1">
      <c r="A4" s="1239" t="s">
        <v>1854</v>
      </c>
      <c r="B4" s="1240"/>
      <c r="C4" s="1241">
        <v>1996</v>
      </c>
      <c r="D4" s="1242">
        <v>1997</v>
      </c>
      <c r="E4" s="1241">
        <v>1998</v>
      </c>
      <c r="F4" s="1242">
        <v>1999</v>
      </c>
      <c r="G4" s="1241">
        <v>2000</v>
      </c>
      <c r="H4" s="1242">
        <v>2001</v>
      </c>
      <c r="I4" s="1241">
        <v>2002</v>
      </c>
      <c r="J4" s="1242">
        <v>2003</v>
      </c>
      <c r="K4" s="1243"/>
      <c r="L4" s="1232" t="s">
        <v>451</v>
      </c>
      <c r="M4" s="1233" t="s">
        <v>1855</v>
      </c>
      <c r="N4" s="1234"/>
      <c r="O4" s="1244" t="s">
        <v>1856</v>
      </c>
      <c r="P4" s="1245" t="s">
        <v>1856</v>
      </c>
      <c r="Q4" s="1244" t="s">
        <v>1856</v>
      </c>
      <c r="S4" s="1235"/>
      <c r="T4" s="1235"/>
      <c r="U4" s="1235"/>
      <c r="V4" s="1235"/>
      <c r="W4" s="1246"/>
      <c r="X4" s="1246"/>
      <c r="Y4" s="1246"/>
      <c r="Z4" s="1246"/>
      <c r="AC4" s="1238"/>
      <c r="AD4" s="1238"/>
      <c r="AE4" s="1238"/>
      <c r="AF4" s="1238"/>
    </row>
    <row r="5" spans="1:34" ht="12" customHeight="1">
      <c r="A5" s="1239" t="s">
        <v>1857</v>
      </c>
      <c r="B5" s="1247"/>
      <c r="C5" s="1248"/>
      <c r="D5" s="1249"/>
      <c r="E5" s="1248"/>
      <c r="F5" s="1249"/>
      <c r="G5" s="1248"/>
      <c r="H5" s="1249"/>
      <c r="I5" s="1248"/>
      <c r="J5" s="1249"/>
      <c r="K5" s="1250"/>
      <c r="L5" s="1232" t="s">
        <v>1929</v>
      </c>
      <c r="M5" s="1233" t="s">
        <v>1858</v>
      </c>
      <c r="N5" s="1234"/>
      <c r="O5" s="1244">
        <v>2004</v>
      </c>
      <c r="P5" s="1245">
        <v>2005</v>
      </c>
      <c r="Q5" s="1244">
        <v>2006</v>
      </c>
      <c r="S5" s="1235"/>
      <c r="T5" s="1235"/>
      <c r="U5" s="1235"/>
      <c r="V5" s="1235"/>
      <c r="W5" s="1246"/>
      <c r="X5" s="1246"/>
      <c r="Y5" s="1246"/>
      <c r="Z5" s="1246"/>
      <c r="AC5" s="1238"/>
      <c r="AD5" s="1238"/>
      <c r="AE5" s="1238"/>
      <c r="AF5" s="1238"/>
    </row>
    <row r="6" spans="1:34" ht="14.25" customHeight="1">
      <c r="A6" s="1251"/>
      <c r="B6" s="1251"/>
      <c r="C6" s="1252"/>
      <c r="D6" s="1253"/>
      <c r="E6" s="1252"/>
      <c r="F6" s="1253"/>
      <c r="G6" s="1252"/>
      <c r="H6" s="1253"/>
      <c r="I6" s="1252"/>
      <c r="J6" s="1253"/>
      <c r="K6" s="1254"/>
      <c r="L6" s="1255"/>
      <c r="M6" s="1256" t="s">
        <v>393</v>
      </c>
      <c r="N6" s="1257"/>
      <c r="O6" s="1252"/>
      <c r="P6" s="1253"/>
      <c r="Q6" s="1252"/>
      <c r="S6" s="1235"/>
      <c r="T6" s="1235"/>
      <c r="U6" s="1235"/>
      <c r="V6" s="1235"/>
      <c r="W6" s="1258"/>
      <c r="X6" s="1258"/>
      <c r="Y6" s="1258"/>
      <c r="Z6" s="1258"/>
      <c r="AC6" s="1258"/>
      <c r="AD6" s="1258"/>
      <c r="AE6" s="1258"/>
      <c r="AF6" s="1258"/>
    </row>
    <row r="7" spans="1:34">
      <c r="A7" s="1259"/>
      <c r="B7" s="1260"/>
      <c r="C7" s="1261"/>
      <c r="D7" s="1260"/>
      <c r="E7" s="1261"/>
      <c r="F7" s="1260"/>
      <c r="G7" s="1261"/>
      <c r="H7" s="1260"/>
      <c r="I7" s="1261"/>
      <c r="J7" s="1260"/>
      <c r="K7" s="1262"/>
      <c r="L7" s="1261"/>
      <c r="M7" s="1263" t="s">
        <v>1930</v>
      </c>
      <c r="N7" s="1264"/>
      <c r="O7" s="1261"/>
      <c r="P7" s="1260"/>
      <c r="Q7" s="1261"/>
      <c r="S7" s="1235"/>
      <c r="T7" s="1235"/>
      <c r="U7" s="1235"/>
      <c r="V7" s="1235"/>
      <c r="W7" s="1246"/>
      <c r="X7" s="1246"/>
      <c r="Y7" s="1246"/>
      <c r="Z7" s="1246"/>
      <c r="AC7" s="1238"/>
      <c r="AD7" s="1238"/>
      <c r="AE7" s="1238"/>
      <c r="AF7" s="1238"/>
    </row>
    <row r="8" spans="1:34" ht="18" customHeight="1" thickBot="1">
      <c r="A8" s="1265" t="s">
        <v>1888</v>
      </c>
      <c r="B8" s="1266"/>
      <c r="C8" s="1267">
        <v>6108.1158740877472</v>
      </c>
      <c r="D8" s="1268">
        <v>6057.9558227212619</v>
      </c>
      <c r="E8" s="1267">
        <v>6131.7435544855471</v>
      </c>
      <c r="F8" s="1268">
        <v>6416.6639279999999</v>
      </c>
      <c r="G8" s="1267">
        <v>6599.5077579999997</v>
      </c>
      <c r="H8" s="1268">
        <v>7802.4641389999997</v>
      </c>
      <c r="I8" s="1267">
        <v>8596.9416789999996</v>
      </c>
      <c r="J8" s="1268">
        <v>8949.1301402555946</v>
      </c>
      <c r="K8" s="1269"/>
      <c r="L8" s="1270">
        <v>4.0966715188483382E-2</v>
      </c>
      <c r="M8" s="1271">
        <v>5.6078551443834668E-2</v>
      </c>
      <c r="N8" s="1272"/>
      <c r="O8" s="1273">
        <v>9503.2477220915553</v>
      </c>
      <c r="P8" s="1274">
        <v>10022.664973475492</v>
      </c>
      <c r="Q8" s="1273">
        <v>10567.256295488869</v>
      </c>
      <c r="S8" s="1235"/>
      <c r="T8" s="1235"/>
      <c r="U8" s="1235"/>
      <c r="V8" s="1235"/>
      <c r="AC8" s="1238"/>
      <c r="AD8" s="1238"/>
      <c r="AE8" s="1238"/>
      <c r="AF8" s="1238"/>
    </row>
    <row r="9" spans="1:34" s="1285" customFormat="1" ht="14" thickBot="1">
      <c r="A9" s="1275"/>
      <c r="B9" s="1276"/>
      <c r="C9" s="1277"/>
      <c r="D9" s="1278"/>
      <c r="E9" s="1277"/>
      <c r="F9" s="1278"/>
      <c r="G9" s="1277"/>
      <c r="H9" s="1278"/>
      <c r="I9" s="1277"/>
      <c r="J9" s="1278"/>
      <c r="K9" s="1279"/>
      <c r="L9" s="1280"/>
      <c r="M9" s="1281"/>
      <c r="N9" s="1282"/>
      <c r="O9" s="1283"/>
      <c r="P9" s="1284"/>
      <c r="Q9" s="1283"/>
    </row>
    <row r="10" spans="1:34" s="1285" customFormat="1" ht="16.5" customHeight="1" thickBot="1">
      <c r="A10" s="1286" t="s">
        <v>1889</v>
      </c>
      <c r="B10" s="1275"/>
      <c r="C10" s="1287">
        <v>2881.6</v>
      </c>
      <c r="D10" s="1288">
        <v>3011.4</v>
      </c>
      <c r="E10" s="1287">
        <v>3176.3677925723964</v>
      </c>
      <c r="F10" s="1288">
        <v>3314.4716839527723</v>
      </c>
      <c r="G10" s="1287">
        <v>3458.985264289614</v>
      </c>
      <c r="H10" s="1288">
        <v>3661.4400591827007</v>
      </c>
      <c r="I10" s="1287">
        <v>3701.6993999861515</v>
      </c>
      <c r="J10" s="1288">
        <v>3921.4728291844517</v>
      </c>
      <c r="K10" s="1289"/>
      <c r="L10" s="1290">
        <v>5.9370955188614793E-2</v>
      </c>
      <c r="M10" s="1291">
        <v>4.5000509304817804E-2</v>
      </c>
      <c r="N10" s="1292"/>
      <c r="O10" s="1293">
        <v>4097.9411037227565</v>
      </c>
      <c r="P10" s="1294">
        <v>4282.3505404914276</v>
      </c>
      <c r="Q10" s="1293">
        <v>4475.0584958353038</v>
      </c>
    </row>
    <row r="11" spans="1:34" ht="14" thickBot="1">
      <c r="A11" s="1275"/>
      <c r="B11" s="1295"/>
      <c r="C11" s="1277"/>
      <c r="D11" s="1278"/>
      <c r="E11" s="1277"/>
      <c r="F11" s="1278"/>
      <c r="G11" s="1277"/>
      <c r="H11" s="1278"/>
      <c r="I11" s="1277"/>
      <c r="J11" s="1278"/>
      <c r="K11" s="1279"/>
      <c r="L11" s="1280"/>
      <c r="M11" s="1281"/>
      <c r="N11" s="1282"/>
      <c r="O11" s="1283"/>
      <c r="P11" s="1284"/>
      <c r="Q11" s="1283"/>
    </row>
    <row r="12" spans="1:34" s="1285" customFormat="1" ht="14" thickBot="1">
      <c r="A12" s="1286" t="s">
        <v>1865</v>
      </c>
      <c r="B12" s="1275"/>
      <c r="C12" s="1287">
        <v>944.7</v>
      </c>
      <c r="D12" s="1288">
        <v>937.8</v>
      </c>
      <c r="E12" s="1287">
        <v>1007</v>
      </c>
      <c r="F12" s="1288">
        <v>1143.9000000000001</v>
      </c>
      <c r="G12" s="1287">
        <v>1192.9000000000001</v>
      </c>
      <c r="H12" s="1288">
        <v>1166</v>
      </c>
      <c r="I12" s="1287">
        <v>1214.2</v>
      </c>
      <c r="J12" s="1288">
        <v>1307.4000000000001</v>
      </c>
      <c r="K12" s="1289"/>
      <c r="L12" s="1290">
        <v>7.6758359413605648E-2</v>
      </c>
      <c r="M12" s="1291">
        <v>4.7512522893128351E-2</v>
      </c>
      <c r="N12" s="1292"/>
      <c r="O12" s="1293">
        <v>1339.8055307799211</v>
      </c>
      <c r="P12" s="1294">
        <v>1373.3298486057317</v>
      </c>
      <c r="Q12" s="1293">
        <v>1408.011623935638</v>
      </c>
    </row>
    <row r="13" spans="1:34" s="1285" customFormat="1" ht="15.75" customHeight="1" thickBot="1">
      <c r="A13" s="1296" t="s">
        <v>1915</v>
      </c>
      <c r="B13" s="1275"/>
      <c r="C13" s="1297">
        <v>293</v>
      </c>
      <c r="D13" s="1298">
        <v>237.5</v>
      </c>
      <c r="E13" s="1297">
        <v>264.39999999999998</v>
      </c>
      <c r="F13" s="1298">
        <v>277.10000000000002</v>
      </c>
      <c r="G13" s="1297">
        <v>317</v>
      </c>
      <c r="H13" s="1298">
        <v>315</v>
      </c>
      <c r="I13" s="1297">
        <v>343.8</v>
      </c>
      <c r="J13" s="1298">
        <v>375.1</v>
      </c>
      <c r="K13" s="1299"/>
      <c r="L13" s="1300">
        <v>9.104130308318803E-2</v>
      </c>
      <c r="M13" s="1301">
        <v>3.5918609296335058E-2</v>
      </c>
      <c r="N13" s="1302"/>
      <c r="O13" s="1303">
        <v>388.57307034705531</v>
      </c>
      <c r="P13" s="1304">
        <v>402.53007464392851</v>
      </c>
      <c r="Q13" s="1303">
        <v>416.98839512508835</v>
      </c>
      <c r="R13" s="1305"/>
      <c r="S13" s="1305"/>
      <c r="T13" s="1305"/>
      <c r="U13" s="1305"/>
      <c r="V13" s="1305"/>
      <c r="W13" s="1305"/>
      <c r="X13" s="1305"/>
      <c r="Y13" s="1305"/>
      <c r="Z13" s="1305"/>
      <c r="AA13" s="1305"/>
      <c r="AB13" s="1305"/>
      <c r="AC13" s="1305"/>
      <c r="AD13" s="1305"/>
      <c r="AE13" s="1305"/>
      <c r="AF13" s="1305"/>
      <c r="AG13" s="1305"/>
      <c r="AH13" s="1305"/>
    </row>
    <row r="14" spans="1:34" ht="15" customHeight="1" thickBot="1">
      <c r="A14" s="1296" t="s">
        <v>1916</v>
      </c>
      <c r="B14" s="1275"/>
      <c r="C14" s="1297">
        <v>203.5</v>
      </c>
      <c r="D14" s="1298">
        <v>228.6</v>
      </c>
      <c r="E14" s="1297">
        <v>266.2</v>
      </c>
      <c r="F14" s="1298">
        <v>375.1</v>
      </c>
      <c r="G14" s="1297">
        <v>378.5</v>
      </c>
      <c r="H14" s="1298">
        <v>314.89999999999998</v>
      </c>
      <c r="I14" s="1297">
        <v>319.7</v>
      </c>
      <c r="J14" s="1298">
        <v>367.7</v>
      </c>
      <c r="K14" s="1299"/>
      <c r="L14" s="1300">
        <v>0.15014075695964957</v>
      </c>
      <c r="M14" s="1301">
        <v>8.8188604730347508E-2</v>
      </c>
      <c r="N14" s="1302"/>
      <c r="O14" s="1303">
        <v>367.7</v>
      </c>
      <c r="P14" s="1304">
        <v>367.7</v>
      </c>
      <c r="Q14" s="1303">
        <v>367.7</v>
      </c>
      <c r="R14" s="1305"/>
      <c r="S14" s="1305"/>
      <c r="T14" s="1305"/>
      <c r="U14" s="1305"/>
      <c r="V14" s="1305"/>
      <c r="W14" s="1305"/>
      <c r="X14" s="1305"/>
      <c r="Y14" s="1305"/>
      <c r="Z14" s="1305"/>
      <c r="AA14" s="1305"/>
      <c r="AB14" s="1305"/>
      <c r="AC14" s="1305"/>
      <c r="AD14" s="1305"/>
      <c r="AE14" s="1305"/>
      <c r="AF14" s="1305"/>
      <c r="AG14" s="1305"/>
      <c r="AH14" s="1305"/>
    </row>
    <row r="15" spans="1:34" ht="15" customHeight="1" thickBot="1">
      <c r="A15" s="1296" t="s">
        <v>1917</v>
      </c>
      <c r="B15" s="1275"/>
      <c r="C15" s="1297">
        <v>448.2</v>
      </c>
      <c r="D15" s="1298">
        <v>471.7</v>
      </c>
      <c r="E15" s="1297">
        <v>476.4</v>
      </c>
      <c r="F15" s="1298">
        <v>491.7</v>
      </c>
      <c r="G15" s="1297">
        <v>497.4</v>
      </c>
      <c r="H15" s="1298">
        <v>536.1</v>
      </c>
      <c r="I15" s="1297">
        <v>550.70000000000005</v>
      </c>
      <c r="J15" s="1298">
        <v>564.6</v>
      </c>
      <c r="K15" s="1299"/>
      <c r="L15" s="1300">
        <v>2.5240602869075701E-2</v>
      </c>
      <c r="M15" s="1301">
        <v>3.3532519363913993E-2</v>
      </c>
      <c r="N15" s="1302"/>
      <c r="O15" s="1303">
        <v>583.53246043286583</v>
      </c>
      <c r="P15" s="1304">
        <v>603.09977396180329</v>
      </c>
      <c r="Q15" s="1303">
        <v>623.32322881054961</v>
      </c>
      <c r="R15" s="1305"/>
      <c r="S15" s="1305"/>
      <c r="T15" s="1305"/>
      <c r="U15" s="1305"/>
      <c r="V15" s="1305"/>
      <c r="W15" s="1305"/>
      <c r="X15" s="1305"/>
      <c r="Y15" s="1305"/>
      <c r="Z15" s="1305"/>
      <c r="AA15" s="1305"/>
      <c r="AB15" s="1305"/>
      <c r="AC15" s="1305"/>
      <c r="AD15" s="1305"/>
      <c r="AE15" s="1305"/>
      <c r="AF15" s="1305"/>
      <c r="AG15" s="1305"/>
      <c r="AH15" s="1305"/>
    </row>
    <row r="16" spans="1:34" s="1285" customFormat="1" ht="14" thickBot="1">
      <c r="A16" s="1306"/>
      <c r="B16" s="1306"/>
      <c r="C16" s="1307"/>
      <c r="D16" s="1308"/>
      <c r="E16" s="1307"/>
      <c r="F16" s="1308"/>
      <c r="G16" s="1307"/>
      <c r="H16" s="1308"/>
      <c r="I16" s="1307"/>
      <c r="J16" s="1308"/>
      <c r="K16" s="1309"/>
      <c r="L16" s="1310"/>
      <c r="M16" s="1311"/>
      <c r="N16" s="1312"/>
      <c r="O16" s="1313"/>
      <c r="P16" s="1314"/>
      <c r="Q16" s="1313"/>
    </row>
    <row r="17" spans="1:17" s="1316" customFormat="1" ht="16.5" customHeight="1" thickBot="1">
      <c r="A17" s="1315" t="s">
        <v>1918</v>
      </c>
      <c r="B17" s="1315"/>
      <c r="C17" s="1287">
        <v>16873.599999999999</v>
      </c>
      <c r="D17" s="1288">
        <v>17009.099999999999</v>
      </c>
      <c r="E17" s="1287">
        <v>17841.5</v>
      </c>
      <c r="F17" s="1288">
        <v>18231.2</v>
      </c>
      <c r="G17" s="1287">
        <v>19316.223118000002</v>
      </c>
      <c r="H17" s="1288">
        <v>20344.518999999997</v>
      </c>
      <c r="I17" s="1287">
        <v>20951.55</v>
      </c>
      <c r="J17" s="1288">
        <v>21678.139952999998</v>
      </c>
      <c r="K17" s="1289"/>
      <c r="L17" s="1290">
        <v>3.4679532206447483E-2</v>
      </c>
      <c r="M17" s="1291">
        <v>3.6441740972590786E-2</v>
      </c>
      <c r="N17" s="1292"/>
      <c r="O17" s="1287">
        <v>22971.18210736</v>
      </c>
      <c r="P17" s="1294">
        <v>24169.817738911763</v>
      </c>
      <c r="Q17" s="1293">
        <v>25475.704516527054</v>
      </c>
    </row>
    <row r="18" spans="1:17" ht="14" thickBot="1">
      <c r="A18" s="1275"/>
      <c r="B18" s="1296" t="s">
        <v>1864</v>
      </c>
      <c r="C18" s="1297">
        <v>12459</v>
      </c>
      <c r="D18" s="1298">
        <v>13138.5</v>
      </c>
      <c r="E18" s="1297">
        <v>14024.1</v>
      </c>
      <c r="F18" s="1298">
        <v>14620.5</v>
      </c>
      <c r="G18" s="1297">
        <v>15478.308999999999</v>
      </c>
      <c r="H18" s="1298">
        <v>16386.458999999999</v>
      </c>
      <c r="I18" s="1297">
        <v>17095.580000000002</v>
      </c>
      <c r="J18" s="1298">
        <v>17924.119355999999</v>
      </c>
      <c r="K18" s="1299"/>
      <c r="L18" s="1300">
        <v>4.8465121159972258E-2</v>
      </c>
      <c r="M18" s="1301">
        <v>5.3331201099114267E-2</v>
      </c>
      <c r="N18" s="1302"/>
      <c r="O18" s="1297">
        <v>19139.8209413</v>
      </c>
      <c r="P18" s="1304">
        <v>20392.193410620002</v>
      </c>
      <c r="Q18" s="1303">
        <v>21753.259749789999</v>
      </c>
    </row>
    <row r="19" spans="1:17" ht="15" customHeight="1" thickBot="1">
      <c r="A19" s="1275"/>
      <c r="B19" s="1295" t="s">
        <v>1919</v>
      </c>
      <c r="C19" s="1317">
        <v>1678.5</v>
      </c>
      <c r="D19" s="1318">
        <v>1778</v>
      </c>
      <c r="E19" s="1317">
        <v>2097.1999999999998</v>
      </c>
      <c r="F19" s="1318">
        <v>2189.9</v>
      </c>
      <c r="G19" s="1317">
        <v>2288</v>
      </c>
      <c r="H19" s="1318">
        <v>2400.1999999999998</v>
      </c>
      <c r="I19" s="1317">
        <v>2502.83</v>
      </c>
      <c r="J19" s="1318">
        <v>2588.5</v>
      </c>
      <c r="K19" s="1319"/>
      <c r="L19" s="1320">
        <v>3.422925248618558E-2</v>
      </c>
      <c r="M19" s="1321">
        <v>6.3837415512950413E-2</v>
      </c>
      <c r="N19" s="1322"/>
      <c r="O19" s="1317">
        <v>2832.3123952999999</v>
      </c>
      <c r="P19" s="1323">
        <v>3099.4394553699999</v>
      </c>
      <c r="Q19" s="1324">
        <v>3304.8211339999998</v>
      </c>
    </row>
    <row r="20" spans="1:17" s="1285" customFormat="1" ht="16.5" customHeight="1" thickBot="1">
      <c r="A20" s="1275"/>
      <c r="B20" s="1295" t="s">
        <v>1920</v>
      </c>
      <c r="C20" s="1325">
        <v>1815.57</v>
      </c>
      <c r="D20" s="1326">
        <v>2087.14</v>
      </c>
      <c r="E20" s="1325">
        <v>2263.1999999999998</v>
      </c>
      <c r="F20" s="1326">
        <v>2476.6</v>
      </c>
      <c r="G20" s="1325">
        <v>2532.8000000000002</v>
      </c>
      <c r="H20" s="1326">
        <v>2671.6</v>
      </c>
      <c r="I20" s="1325">
        <v>2848.4</v>
      </c>
      <c r="J20" s="1326">
        <v>2961.1</v>
      </c>
      <c r="K20" s="1327"/>
      <c r="L20" s="1328">
        <v>3.9566072180873491E-2</v>
      </c>
      <c r="M20" s="1329">
        <v>7.2379695258080856E-2</v>
      </c>
      <c r="N20" s="1330"/>
      <c r="O20" s="1325">
        <v>3025.2531050000002</v>
      </c>
      <c r="P20" s="1326">
        <v>3119.6</v>
      </c>
      <c r="Q20" s="1331">
        <v>3244.384</v>
      </c>
    </row>
    <row r="21" spans="1:17" ht="15" customHeight="1" thickBot="1">
      <c r="A21" s="1275"/>
      <c r="B21" s="1296" t="s">
        <v>1921</v>
      </c>
      <c r="C21" s="1297">
        <v>3901.9</v>
      </c>
      <c r="D21" s="1298">
        <v>3394.7</v>
      </c>
      <c r="E21" s="1297">
        <v>3357.3</v>
      </c>
      <c r="F21" s="1298">
        <v>2846.8</v>
      </c>
      <c r="G21" s="1297">
        <v>2254.1563019999999</v>
      </c>
      <c r="H21" s="1298">
        <v>1604.76</v>
      </c>
      <c r="I21" s="1297">
        <v>1460.47</v>
      </c>
      <c r="J21" s="1298">
        <v>1393.58</v>
      </c>
      <c r="K21" s="1299"/>
      <c r="L21" s="1300">
        <v>-4.5800324553054939E-2</v>
      </c>
      <c r="M21" s="1301">
        <v>-0.13677849162785904</v>
      </c>
      <c r="N21" s="1302"/>
      <c r="O21" s="1297">
        <v>1076.3866620599999</v>
      </c>
      <c r="P21" s="1304">
        <v>827.6243282917618</v>
      </c>
      <c r="Q21" s="1303">
        <v>672.4447667370564</v>
      </c>
    </row>
    <row r="22" spans="1:17" ht="15" customHeight="1" thickBot="1">
      <c r="A22" s="1275"/>
      <c r="B22" s="1295" t="s">
        <v>1922</v>
      </c>
      <c r="C22" s="1317">
        <v>92.3</v>
      </c>
      <c r="D22" s="1318">
        <v>106.4</v>
      </c>
      <c r="E22" s="1317">
        <v>57.8</v>
      </c>
      <c r="F22" s="1318">
        <v>59.7</v>
      </c>
      <c r="G22" s="1317">
        <v>55.1</v>
      </c>
      <c r="H22" s="1318">
        <v>28.1</v>
      </c>
      <c r="I22" s="1317">
        <v>38.17</v>
      </c>
      <c r="J22" s="1318">
        <v>39</v>
      </c>
      <c r="K22" s="1319"/>
      <c r="L22" s="1320">
        <v>2.174482577940795E-2</v>
      </c>
      <c r="M22" s="1321">
        <v>-0.11579728578594028</v>
      </c>
      <c r="N22" s="1322"/>
      <c r="O22" s="1317">
        <v>35.927482439999999</v>
      </c>
      <c r="P22" s="1323">
        <v>27.624328291761763</v>
      </c>
      <c r="Q22" s="1324">
        <v>22.444766737056433</v>
      </c>
    </row>
    <row r="23" spans="1:17" ht="14" thickBot="1">
      <c r="A23" s="1275"/>
      <c r="B23" s="1296" t="s">
        <v>1923</v>
      </c>
      <c r="C23" s="1297">
        <v>512.70000000000005</v>
      </c>
      <c r="D23" s="1298">
        <v>475.9</v>
      </c>
      <c r="E23" s="1297">
        <v>460.1</v>
      </c>
      <c r="F23" s="1298">
        <v>763.9</v>
      </c>
      <c r="G23" s="1297">
        <v>1583.757816</v>
      </c>
      <c r="H23" s="1298">
        <v>2353.3000000000002</v>
      </c>
      <c r="I23" s="1297">
        <v>2395.5</v>
      </c>
      <c r="J23" s="1298">
        <v>2360.4405969999998</v>
      </c>
      <c r="K23" s="1332"/>
      <c r="L23" s="1333">
        <v>-1.46355261949489E-2</v>
      </c>
      <c r="M23" s="1334">
        <v>0.24374922336975113</v>
      </c>
      <c r="N23" s="1335"/>
      <c r="O23" s="1297">
        <v>2754.9745040000003</v>
      </c>
      <c r="P23" s="1304">
        <v>2950</v>
      </c>
      <c r="Q23" s="1303">
        <v>3050</v>
      </c>
    </row>
    <row r="24" spans="1:17" ht="13.5" customHeight="1" thickBot="1">
      <c r="A24" s="1275"/>
      <c r="B24" s="1295"/>
      <c r="C24" s="1325"/>
      <c r="D24" s="1326"/>
      <c r="E24" s="1325"/>
      <c r="F24" s="1326"/>
      <c r="G24" s="1325"/>
      <c r="H24" s="1326"/>
      <c r="I24" s="1325"/>
      <c r="J24" s="1326"/>
      <c r="K24" s="1327"/>
      <c r="L24" s="1328"/>
      <c r="M24" s="1329"/>
      <c r="N24" s="1330"/>
      <c r="O24" s="1325"/>
      <c r="P24" s="1336"/>
      <c r="Q24" s="1331"/>
    </row>
    <row r="25" spans="1:17" ht="17.25" customHeight="1" thickBot="1">
      <c r="A25" s="1286" t="s">
        <v>1924</v>
      </c>
      <c r="B25" s="1295"/>
      <c r="C25" s="1287">
        <v>1533.4</v>
      </c>
      <c r="D25" s="1288">
        <v>1599</v>
      </c>
      <c r="E25" s="1287">
        <v>1702.4</v>
      </c>
      <c r="F25" s="1288">
        <v>1632.5</v>
      </c>
      <c r="G25" s="1287">
        <v>1632.6768820000002</v>
      </c>
      <c r="H25" s="1288">
        <v>1670.33</v>
      </c>
      <c r="I25" s="1287">
        <v>1688.25</v>
      </c>
      <c r="J25" s="1288">
        <v>1731.4787730000019</v>
      </c>
      <c r="K25" s="1327"/>
      <c r="L25" s="1290">
        <v>2.5605670368726186E-2</v>
      </c>
      <c r="M25" s="1291">
        <v>1.7506957541614909E-2</v>
      </c>
      <c r="N25" s="1330"/>
      <c r="O25" s="1293">
        <v>1804.3234445608771</v>
      </c>
      <c r="P25" s="1294">
        <v>1853.9263211309121</v>
      </c>
      <c r="Q25" s="1293">
        <v>1914.7119635009158</v>
      </c>
    </row>
    <row r="26" spans="1:17" ht="13.5" customHeight="1" thickBot="1">
      <c r="A26" s="1275"/>
      <c r="B26" s="1296" t="s">
        <v>1908</v>
      </c>
      <c r="C26" s="1297">
        <v>72.599999999999739</v>
      </c>
      <c r="D26" s="1298">
        <v>80.999999999998636</v>
      </c>
      <c r="E26" s="1297">
        <v>106.80000000000098</v>
      </c>
      <c r="F26" s="1298">
        <v>50.400000000001</v>
      </c>
      <c r="G26" s="1297">
        <v>32.676882000000205</v>
      </c>
      <c r="H26" s="1298">
        <v>42.130000000000337</v>
      </c>
      <c r="I26" s="1297">
        <v>72.150000000000091</v>
      </c>
      <c r="J26" s="1298">
        <v>58.374773000002051</v>
      </c>
      <c r="K26" s="1299"/>
      <c r="L26" s="1300">
        <v>-0.19092483714480979</v>
      </c>
      <c r="M26" s="1301">
        <v>-3.067414317816175E-2</v>
      </c>
      <c r="N26" s="1302"/>
      <c r="O26" s="1303">
        <v>58.873172090371099</v>
      </c>
      <c r="P26" s="1304">
        <v>60.005169025032501</v>
      </c>
      <c r="Q26" s="1303">
        <v>62.390732445764002</v>
      </c>
    </row>
    <row r="27" spans="1:17" ht="13.5" customHeight="1" thickBot="1">
      <c r="A27" s="1275"/>
      <c r="B27" s="1296" t="s">
        <v>1909</v>
      </c>
      <c r="C27" s="1297">
        <v>1460.8</v>
      </c>
      <c r="D27" s="1298">
        <v>1518</v>
      </c>
      <c r="E27" s="1297">
        <v>1595.6</v>
      </c>
      <c r="F27" s="1298">
        <v>1582.1</v>
      </c>
      <c r="G27" s="1297">
        <v>1600</v>
      </c>
      <c r="H27" s="1298">
        <v>1628.2</v>
      </c>
      <c r="I27" s="1297">
        <v>1616.1</v>
      </c>
      <c r="J27" s="1298">
        <v>1673.1039999999998</v>
      </c>
      <c r="K27" s="1299"/>
      <c r="L27" s="1300">
        <v>3.5272569766722217E-2</v>
      </c>
      <c r="M27" s="1301">
        <v>1.957430616383693E-2</v>
      </c>
      <c r="N27" s="1302"/>
      <c r="O27" s="1303">
        <v>1745.450272470506</v>
      </c>
      <c r="P27" s="1304">
        <v>1793.9211521058796</v>
      </c>
      <c r="Q27" s="1303">
        <v>1852.3212310551517</v>
      </c>
    </row>
    <row r="28" spans="1:17" ht="13.5" customHeight="1" thickBot="1">
      <c r="A28" s="1275"/>
      <c r="B28" s="1295"/>
      <c r="C28" s="1325"/>
      <c r="D28" s="1326"/>
      <c r="E28" s="1325"/>
      <c r="F28" s="1326"/>
      <c r="G28" s="1325"/>
      <c r="H28" s="1326"/>
      <c r="I28" s="1325"/>
      <c r="J28" s="1326"/>
      <c r="K28" s="1327"/>
      <c r="L28" s="1328"/>
      <c r="M28" s="1329"/>
      <c r="N28" s="1330"/>
      <c r="O28" s="1325"/>
      <c r="P28" s="1336"/>
      <c r="Q28" s="1331"/>
    </row>
    <row r="29" spans="1:17" ht="16.5" customHeight="1" thickBot="1">
      <c r="A29" s="1286" t="s">
        <v>1925</v>
      </c>
      <c r="B29" s="1275"/>
      <c r="C29" s="1287">
        <v>9188.1841259122539</v>
      </c>
      <c r="D29" s="1288">
        <v>9667.7441772787352</v>
      </c>
      <c r="E29" s="1287">
        <v>10038.188652942059</v>
      </c>
      <c r="F29" s="1288">
        <v>10438.064388047223</v>
      </c>
      <c r="G29" s="1287">
        <v>10721.299971696475</v>
      </c>
      <c r="H29" s="1288">
        <v>11021.271160769484</v>
      </c>
      <c r="I29" s="1287">
        <v>11351.121165100019</v>
      </c>
      <c r="J29" s="1288">
        <v>11808.156226744133</v>
      </c>
      <c r="K29" s="1337"/>
      <c r="L29" s="1290">
        <v>4.0263429047811217E-2</v>
      </c>
      <c r="M29" s="1291">
        <v>3.6488836014623605E-2</v>
      </c>
      <c r="N29" s="1338"/>
      <c r="O29" s="1293">
        <v>11786.475045633757</v>
      </c>
      <c r="P29" s="1294">
        <v>11926.883375222489</v>
      </c>
      <c r="Q29" s="1293">
        <v>11996.498768555435</v>
      </c>
    </row>
    <row r="30" spans="1:17" ht="12.75" customHeight="1" thickBot="1">
      <c r="A30" s="1275"/>
      <c r="B30" s="1275"/>
      <c r="C30" s="1277"/>
      <c r="D30" s="1278"/>
      <c r="E30" s="1277"/>
      <c r="F30" s="1278"/>
      <c r="G30" s="1277"/>
      <c r="H30" s="1278"/>
      <c r="I30" s="1277"/>
      <c r="J30" s="1278"/>
      <c r="K30" s="1279"/>
      <c r="L30" s="1280"/>
      <c r="M30" s="1281"/>
      <c r="N30" s="1282"/>
      <c r="O30" s="1277"/>
      <c r="P30" s="1278"/>
      <c r="Q30" s="1277"/>
    </row>
    <row r="31" spans="1:17" ht="16.5" customHeight="1" thickBot="1">
      <c r="A31" s="1286" t="s">
        <v>1903</v>
      </c>
      <c r="B31" s="1275"/>
      <c r="C31" s="1287">
        <v>378.7</v>
      </c>
      <c r="D31" s="1288">
        <v>386.6</v>
      </c>
      <c r="E31" s="1287">
        <v>395.2</v>
      </c>
      <c r="F31" s="1288">
        <v>408.8</v>
      </c>
      <c r="G31" s="1287">
        <v>443.72611837314082</v>
      </c>
      <c r="H31" s="1288">
        <v>463.46745935715603</v>
      </c>
      <c r="I31" s="1287">
        <v>477.70596569061348</v>
      </c>
      <c r="J31" s="1288">
        <v>484.77612582398501</v>
      </c>
      <c r="K31" s="1289"/>
      <c r="L31" s="1290">
        <v>1.4800234121318256E-2</v>
      </c>
      <c r="M31" s="1291">
        <v>3.5907185419298049E-2</v>
      </c>
      <c r="N31" s="1292"/>
      <c r="O31" s="1293">
        <v>502.27743779349589</v>
      </c>
      <c r="P31" s="1294">
        <v>520.3095878795026</v>
      </c>
      <c r="Q31" s="1293">
        <v>538.82514136971679</v>
      </c>
    </row>
    <row r="32" spans="1:17" ht="12.75" customHeight="1" thickBot="1">
      <c r="A32" s="1286"/>
      <c r="B32" s="1295"/>
      <c r="C32" s="1339"/>
      <c r="D32" s="1340"/>
      <c r="E32" s="1277"/>
      <c r="F32" s="1278"/>
      <c r="G32" s="1277"/>
      <c r="H32" s="1278"/>
      <c r="I32" s="1277"/>
      <c r="J32" s="1278"/>
      <c r="K32" s="1279"/>
      <c r="L32" s="1280"/>
      <c r="M32" s="1281"/>
      <c r="N32" s="1282"/>
      <c r="O32" s="1341"/>
      <c r="P32" s="1342"/>
      <c r="Q32" s="1341"/>
    </row>
    <row r="33" spans="1:29" ht="17.25" customHeight="1" thickBot="1">
      <c r="A33" s="1343" t="s">
        <v>1904</v>
      </c>
      <c r="B33" s="1344"/>
      <c r="C33" s="1345">
        <v>37908.300000000003</v>
      </c>
      <c r="D33" s="1346">
        <v>38669.599999999999</v>
      </c>
      <c r="E33" s="1345">
        <v>40292.400000000001</v>
      </c>
      <c r="F33" s="1346">
        <v>41585.599999999999</v>
      </c>
      <c r="G33" s="1345">
        <v>43365.319112359233</v>
      </c>
      <c r="H33" s="1346">
        <v>46129.491818309332</v>
      </c>
      <c r="I33" s="1345">
        <v>47981.46820977678</v>
      </c>
      <c r="J33" s="1346">
        <v>49880.554048008169</v>
      </c>
      <c r="K33" s="1347"/>
      <c r="L33" s="1348">
        <v>3.9579569135494541E-2</v>
      </c>
      <c r="M33" s="1349">
        <v>3.9987542482479155E-2</v>
      </c>
      <c r="N33" s="1350"/>
      <c r="O33" s="1351">
        <v>52005.252391942362</v>
      </c>
      <c r="P33" s="1352">
        <v>54149.282385717313</v>
      </c>
      <c r="Q33" s="1351">
        <v>56376.066805212933</v>
      </c>
    </row>
    <row r="34" spans="1:29" ht="14.25" customHeight="1">
      <c r="A34" s="1353" t="s">
        <v>36</v>
      </c>
      <c r="B34" s="1353"/>
      <c r="C34" s="1354"/>
      <c r="D34" s="1354"/>
      <c r="E34" s="1354"/>
      <c r="F34" s="1354"/>
      <c r="G34" s="1354"/>
      <c r="H34" s="1354"/>
      <c r="I34" s="1354"/>
      <c r="J34" s="1354"/>
      <c r="K34" s="1223"/>
      <c r="L34" s="1223"/>
      <c r="M34" s="1223"/>
      <c r="N34" s="1354"/>
      <c r="O34" s="1354"/>
      <c r="P34" s="1354"/>
    </row>
    <row r="35" spans="1:29">
      <c r="A35" s="1355"/>
      <c r="B35" s="1353"/>
      <c r="C35" s="1223"/>
      <c r="D35" s="1354"/>
      <c r="E35" s="1223"/>
      <c r="F35" s="1223"/>
      <c r="G35" s="1223"/>
      <c r="H35" s="1223"/>
      <c r="I35" s="1223"/>
      <c r="J35" s="1223"/>
      <c r="K35" s="1223"/>
      <c r="L35" s="1223"/>
      <c r="M35" s="1223"/>
      <c r="N35" s="1354"/>
      <c r="O35" s="1223"/>
      <c r="P35" s="1223"/>
      <c r="R35" s="1246"/>
      <c r="S35" s="1246"/>
      <c r="T35" s="1246"/>
      <c r="U35" s="1246"/>
      <c r="X35" s="1246"/>
      <c r="Y35" s="1246"/>
      <c r="Z35" s="1246"/>
      <c r="AA35" s="1246"/>
      <c r="AB35" s="1235"/>
      <c r="AC35" s="1356"/>
    </row>
    <row r="36" spans="1:29">
      <c r="A36" s="1357" t="s">
        <v>1926</v>
      </c>
      <c r="B36" s="1353"/>
      <c r="C36" s="1223"/>
      <c r="D36" s="1354"/>
      <c r="E36" s="1223"/>
      <c r="F36" s="1223"/>
      <c r="G36" s="1223"/>
      <c r="H36" s="1223"/>
      <c r="I36" s="1223"/>
      <c r="J36" s="1223"/>
      <c r="K36" s="1223"/>
      <c r="L36" s="1223"/>
      <c r="M36" s="1223"/>
      <c r="N36" s="1354"/>
      <c r="O36" s="1223"/>
      <c r="P36" s="1223"/>
      <c r="R36" s="1246"/>
      <c r="S36" s="1246"/>
      <c r="T36" s="1246"/>
      <c r="U36" s="1246"/>
      <c r="X36" s="1246"/>
      <c r="Y36" s="1246"/>
      <c r="Z36" s="1246"/>
      <c r="AA36" s="1246"/>
      <c r="AB36" s="1235"/>
      <c r="AC36" s="1356"/>
    </row>
    <row r="37" spans="1:29">
      <c r="A37" s="1355"/>
      <c r="B37" s="1353"/>
      <c r="D37" s="1358"/>
      <c r="N37" s="1358"/>
      <c r="R37" s="1246"/>
      <c r="S37" s="1246"/>
      <c r="T37" s="1246"/>
      <c r="U37" s="1246"/>
      <c r="X37" s="1246"/>
      <c r="Y37" s="1246"/>
      <c r="Z37" s="1246"/>
      <c r="AA37" s="1246"/>
      <c r="AB37" s="1235"/>
      <c r="AC37" s="1356"/>
    </row>
    <row r="38" spans="1:29">
      <c r="A38" s="1353" t="s">
        <v>1910</v>
      </c>
      <c r="B38" s="1353"/>
      <c r="R38" s="1246"/>
      <c r="S38" s="1246"/>
      <c r="T38" s="1246"/>
      <c r="U38" s="1246"/>
    </row>
    <row r="39" spans="1:29">
      <c r="A39" s="1353"/>
      <c r="B39" s="1353"/>
    </row>
    <row r="40" spans="1:29">
      <c r="A40" s="1355" t="s">
        <v>1911</v>
      </c>
      <c r="B40" s="1353"/>
    </row>
    <row r="41" spans="1:29">
      <c r="A41" s="1353" t="s">
        <v>1912</v>
      </c>
      <c r="B41" s="1353"/>
    </row>
    <row r="42" spans="1:29">
      <c r="A42" s="1353" t="s">
        <v>1913</v>
      </c>
      <c r="B42" s="1355"/>
    </row>
    <row r="43" spans="1:29">
      <c r="A43" s="1353"/>
      <c r="B43" s="1355"/>
    </row>
    <row r="44" spans="1:29">
      <c r="A44" s="1355" t="s">
        <v>1914</v>
      </c>
      <c r="B44" s="1355"/>
    </row>
    <row r="45" spans="1:29">
      <c r="A45" s="1355"/>
      <c r="B45" s="1353"/>
    </row>
    <row r="46" spans="1:29">
      <c r="A46" s="1353"/>
      <c r="B46" s="1353"/>
      <c r="E46" s="1246"/>
      <c r="O46" s="1246"/>
    </row>
    <row r="47" spans="1:29">
      <c r="A47" s="1353" t="s">
        <v>104</v>
      </c>
      <c r="B47" s="1353"/>
    </row>
    <row r="48" spans="1:29">
      <c r="A48" s="1359"/>
      <c r="B48" s="1359"/>
    </row>
    <row r="49" spans="1:2">
      <c r="A49" s="1359"/>
      <c r="B49" s="1359"/>
    </row>
    <row r="50" spans="1:2">
      <c r="A50" s="1359"/>
      <c r="B50" s="1359"/>
    </row>
    <row r="51" spans="1:2">
      <c r="A51" s="1359"/>
      <c r="B51" s="1359"/>
    </row>
    <row r="52" spans="1:2">
      <c r="A52" s="1359"/>
    </row>
    <row r="53" spans="1:2">
      <c r="A53" s="1359"/>
    </row>
    <row r="56" spans="1:2">
      <c r="B56" s="1359"/>
    </row>
    <row r="57" spans="1:2">
      <c r="B57" s="1359"/>
    </row>
    <row r="58" spans="1:2" ht="16">
      <c r="A58" s="1360"/>
      <c r="B58" s="1359"/>
    </row>
    <row r="59" spans="1:2">
      <c r="A59" s="1359"/>
      <c r="B59" s="1359"/>
    </row>
    <row r="60" spans="1:2">
      <c r="A60" s="1359"/>
      <c r="B60" s="1359"/>
    </row>
    <row r="61" spans="1:2">
      <c r="A61" s="1359"/>
      <c r="B61" s="1359"/>
    </row>
    <row r="62" spans="1:2">
      <c r="A62" s="1359"/>
      <c r="B62" s="1359"/>
    </row>
    <row r="63" spans="1:2">
      <c r="A63" s="1359"/>
      <c r="B63" s="1359"/>
    </row>
    <row r="64" spans="1:2">
      <c r="A64" s="1359"/>
      <c r="B64" s="1359"/>
    </row>
    <row r="65" spans="1:2">
      <c r="A65" s="1359"/>
      <c r="B65" s="1359"/>
    </row>
    <row r="66" spans="1:2">
      <c r="A66" s="1359"/>
      <c r="B66" s="1359"/>
    </row>
    <row r="67" spans="1:2">
      <c r="A67" s="1359"/>
      <c r="B67" s="1359"/>
    </row>
    <row r="68" spans="1:2">
      <c r="B68" s="1359"/>
    </row>
    <row r="69" spans="1:2">
      <c r="A69" s="1359"/>
      <c r="B69" s="1359"/>
    </row>
    <row r="70" spans="1:2">
      <c r="A70" s="1359"/>
      <c r="B70" s="1359"/>
    </row>
    <row r="71" spans="1:2">
      <c r="A71" s="1359"/>
      <c r="B71" s="1359"/>
    </row>
    <row r="72" spans="1:2">
      <c r="A72" s="1359"/>
      <c r="B72" s="1359"/>
    </row>
    <row r="73" spans="1:2">
      <c r="A73" s="1359"/>
      <c r="B73" s="1359"/>
    </row>
    <row r="74" spans="1:2">
      <c r="A74" s="1359"/>
      <c r="B74" s="1359"/>
    </row>
    <row r="75" spans="1:2">
      <c r="A75" s="1359"/>
    </row>
    <row r="79" spans="1:2">
      <c r="B79" s="1359"/>
    </row>
    <row r="80" spans="1:2">
      <c r="B80" s="1359"/>
    </row>
    <row r="81" spans="1:2">
      <c r="B81" s="1359"/>
    </row>
    <row r="82" spans="1:2">
      <c r="A82" s="1359"/>
      <c r="B82" s="1359"/>
    </row>
    <row r="83" spans="1:2">
      <c r="A83" s="1359"/>
      <c r="B83" s="1359"/>
    </row>
    <row r="84" spans="1:2">
      <c r="A84" s="1359"/>
      <c r="B84" s="1359"/>
    </row>
    <row r="85" spans="1:2">
      <c r="A85" s="1359"/>
      <c r="B85" s="1359"/>
    </row>
    <row r="86" spans="1:2">
      <c r="A86" s="1359"/>
      <c r="B86" s="1359"/>
    </row>
    <row r="87" spans="1:2">
      <c r="A87" s="1359"/>
      <c r="B87" s="1359"/>
    </row>
    <row r="88" spans="1:2" ht="16">
      <c r="A88" s="1360"/>
      <c r="B88" s="1359"/>
    </row>
    <row r="89" spans="1:2">
      <c r="A89" s="1359"/>
      <c r="B89" s="1359"/>
    </row>
    <row r="90" spans="1:2">
      <c r="B90" s="1359"/>
    </row>
    <row r="91" spans="1:2">
      <c r="A91" s="1359"/>
      <c r="B91" s="1359"/>
    </row>
    <row r="92" spans="1:2">
      <c r="A92" s="1359"/>
      <c r="B92" s="1359"/>
    </row>
    <row r="93" spans="1:2">
      <c r="A93" s="1359"/>
      <c r="B93" s="1359"/>
    </row>
    <row r="94" spans="1:2">
      <c r="A94" s="1359"/>
      <c r="B94" s="1359"/>
    </row>
  </sheetData>
  <phoneticPr fontId="70" type="noConversion"/>
  <pageMargins left="0.28000000000000003" right="0.35433070866141736" top="0.59055118110236227" bottom="0.35433070866141736" header="0.23622047244094491" footer="0.19685039370078741"/>
  <pageSetup paperSize="9" scale="70" orientation="landscape" cellComments="asDisplayed"/>
  <headerFooter alignWithMargins="0">
    <oddHeader>&amp;L&amp;"Helvetica,Gras"Zusatzinformationen zum Gesundheitswesen</oddHeader>
  </headerFooter>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49F98-1EEE-6C46-BB00-5B428E6164F2}">
  <dimension ref="A1:B18"/>
  <sheetViews>
    <sheetView workbookViewId="0">
      <selection activeCell="B5" sqref="B5"/>
    </sheetView>
  </sheetViews>
  <sheetFormatPr baseColWidth="10" defaultColWidth="11.3984375" defaultRowHeight="13"/>
  <cols>
    <col min="1" max="1" width="5.59765625" style="116" customWidth="1"/>
    <col min="2" max="16384" width="11.3984375" style="116"/>
  </cols>
  <sheetData>
    <row r="1" spans="1:2" ht="16">
      <c r="A1" s="115" t="s">
        <v>421</v>
      </c>
    </row>
    <row r="2" spans="1:2" ht="16">
      <c r="A2" s="115"/>
    </row>
    <row r="3" spans="1:2" s="119" customFormat="1">
      <c r="A3" s="117" t="s">
        <v>422</v>
      </c>
      <c r="B3" s="118" t="s">
        <v>423</v>
      </c>
    </row>
    <row r="4" spans="1:2" s="119" customFormat="1">
      <c r="A4" s="117" t="s">
        <v>424</v>
      </c>
      <c r="B4" s="118" t="s">
        <v>425</v>
      </c>
    </row>
    <row r="5" spans="1:2">
      <c r="A5" s="117" t="s">
        <v>426</v>
      </c>
      <c r="B5" s="118" t="s">
        <v>427</v>
      </c>
    </row>
    <row r="6" spans="1:2" s="119" customFormat="1">
      <c r="A6" s="118"/>
      <c r="B6" s="118"/>
    </row>
    <row r="7" spans="1:2" s="119" customFormat="1">
      <c r="A7" s="118"/>
      <c r="B7" s="118"/>
    </row>
    <row r="8" spans="1:2" s="119" customFormat="1">
      <c r="A8" s="118"/>
      <c r="B8" s="118"/>
    </row>
    <row r="9" spans="1:2" s="119" customFormat="1">
      <c r="A9" s="118"/>
      <c r="B9" s="118"/>
    </row>
    <row r="10" spans="1:2" s="119" customFormat="1">
      <c r="A10" s="118"/>
      <c r="B10" s="118"/>
    </row>
    <row r="11" spans="1:2" s="119" customFormat="1">
      <c r="A11" s="118"/>
      <c r="B11" s="118"/>
    </row>
    <row r="12" spans="1:2" s="119" customFormat="1">
      <c r="A12" s="118"/>
      <c r="B12" s="118"/>
    </row>
    <row r="13" spans="1:2">
      <c r="A13" s="120"/>
      <c r="B13" s="121"/>
    </row>
    <row r="14" spans="1:2">
      <c r="A14" s="120"/>
      <c r="B14" s="121"/>
    </row>
    <row r="15" spans="1:2">
      <c r="A15" s="118"/>
      <c r="B15" s="118"/>
    </row>
    <row r="18" spans="1:1">
      <c r="A18" s="122" t="s">
        <v>104</v>
      </c>
    </row>
  </sheetData>
  <phoneticPr fontId="39" type="noConversion"/>
  <pageMargins left="0.46" right="0.35" top="0.88" bottom="0.984251969" header="0.4921259845" footer="0.4921259845"/>
  <pageSetup paperSize="9" orientation="portrait"/>
  <headerFooter alignWithMargins="0"/>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27234-AA63-824A-8385-8F6C2BF6FB39}">
  <dimension ref="A1:K24"/>
  <sheetViews>
    <sheetView zoomScale="75" workbookViewId="0">
      <selection activeCell="J18" sqref="J18"/>
    </sheetView>
  </sheetViews>
  <sheetFormatPr baseColWidth="10" defaultColWidth="11.3984375" defaultRowHeight="13"/>
  <cols>
    <col min="1" max="1" width="21.796875" style="2" customWidth="1"/>
    <col min="2" max="7" width="12.796875" style="2" customWidth="1"/>
    <col min="8" max="16384" width="11.3984375" style="2"/>
  </cols>
  <sheetData>
    <row r="1" spans="1:11" s="1" customFormat="1" ht="14" customHeight="1"/>
    <row r="2" spans="1:11" s="1" customFormat="1" ht="28" customHeight="1">
      <c r="A2" s="21" t="s">
        <v>495</v>
      </c>
      <c r="G2" s="138">
        <v>2004</v>
      </c>
    </row>
    <row r="3" spans="1:11" ht="24" customHeight="1">
      <c r="A3" s="139" t="s">
        <v>479</v>
      </c>
      <c r="B3" s="164" t="s">
        <v>496</v>
      </c>
      <c r="C3" s="141" t="s">
        <v>497</v>
      </c>
      <c r="D3" s="164" t="s">
        <v>496</v>
      </c>
      <c r="E3" s="141" t="s">
        <v>497</v>
      </c>
      <c r="F3" s="164" t="s">
        <v>652</v>
      </c>
      <c r="G3" s="141" t="s">
        <v>451</v>
      </c>
    </row>
    <row r="4" spans="1:11" ht="15" customHeight="1">
      <c r="A4" s="165" t="s">
        <v>480</v>
      </c>
      <c r="B4" s="166" t="s">
        <v>501</v>
      </c>
      <c r="C4" s="144" t="s">
        <v>498</v>
      </c>
      <c r="D4" s="166" t="s">
        <v>502</v>
      </c>
      <c r="E4" s="144" t="s">
        <v>498</v>
      </c>
      <c r="F4" s="166"/>
      <c r="G4" s="144" t="s">
        <v>486</v>
      </c>
    </row>
    <row r="5" spans="1:11" ht="15" customHeight="1">
      <c r="A5" s="165" t="s">
        <v>484</v>
      </c>
      <c r="B5" s="166"/>
      <c r="C5" s="144"/>
      <c r="D5" s="166"/>
      <c r="E5" s="144"/>
      <c r="F5" s="166"/>
      <c r="G5" s="144" t="s">
        <v>454</v>
      </c>
    </row>
    <row r="6" spans="1:11" ht="14.25" customHeight="1">
      <c r="A6" s="167"/>
      <c r="B6" s="168"/>
      <c r="C6" s="147"/>
      <c r="D6" s="168"/>
      <c r="E6" s="147"/>
      <c r="F6" s="168"/>
      <c r="G6" s="147"/>
    </row>
    <row r="7" spans="1:11" ht="24.75" customHeight="1" thickBot="1">
      <c r="A7" s="169">
        <v>1996</v>
      </c>
      <c r="B7" s="175">
        <v>82</v>
      </c>
      <c r="C7" s="150">
        <v>0.56551724137931036</v>
      </c>
      <c r="D7" s="149">
        <v>63</v>
      </c>
      <c r="E7" s="150">
        <v>0.43448275862068964</v>
      </c>
      <c r="F7" s="149">
        <v>145</v>
      </c>
      <c r="G7" s="150">
        <v>-0.12650602409638553</v>
      </c>
      <c r="I7" s="10"/>
      <c r="J7" s="10"/>
      <c r="K7" s="10"/>
    </row>
    <row r="8" spans="1:11" ht="20" customHeight="1" thickBot="1">
      <c r="A8" s="171">
        <v>1997</v>
      </c>
      <c r="B8" s="176">
        <v>60</v>
      </c>
      <c r="C8" s="154">
        <v>0.46511627906976744</v>
      </c>
      <c r="D8" s="153">
        <v>69</v>
      </c>
      <c r="E8" s="154">
        <v>0.53488372093023251</v>
      </c>
      <c r="F8" s="153">
        <v>129</v>
      </c>
      <c r="G8" s="154">
        <v>-0.1103448275862069</v>
      </c>
    </row>
    <row r="9" spans="1:11" ht="20" customHeight="1" thickBot="1">
      <c r="A9" s="171">
        <v>1998</v>
      </c>
      <c r="B9" s="176">
        <v>62</v>
      </c>
      <c r="C9" s="154">
        <v>0.52542372881355937</v>
      </c>
      <c r="D9" s="153">
        <v>56</v>
      </c>
      <c r="E9" s="154">
        <v>0.47457627118644069</v>
      </c>
      <c r="F9" s="153">
        <v>118</v>
      </c>
      <c r="G9" s="154">
        <v>-8.5271317829457363E-2</v>
      </c>
    </row>
    <row r="10" spans="1:11" ht="20" customHeight="1" thickBot="1">
      <c r="A10" s="171">
        <v>1999</v>
      </c>
      <c r="B10" s="176">
        <v>59</v>
      </c>
      <c r="C10" s="154">
        <v>0.54128440366972475</v>
      </c>
      <c r="D10" s="153">
        <v>50</v>
      </c>
      <c r="E10" s="154">
        <v>0.45871559633027525</v>
      </c>
      <c r="F10" s="153">
        <v>109</v>
      </c>
      <c r="G10" s="154">
        <v>-7.6271186440677971E-2</v>
      </c>
    </row>
    <row r="11" spans="1:11" ht="19.5" customHeight="1" thickBot="1">
      <c r="A11" s="171">
        <v>2000</v>
      </c>
      <c r="B11" s="176">
        <v>59</v>
      </c>
      <c r="C11" s="154">
        <v>0.58415841584158412</v>
      </c>
      <c r="D11" s="153">
        <v>42</v>
      </c>
      <c r="E11" s="154">
        <v>0.41584158415841582</v>
      </c>
      <c r="F11" s="153">
        <v>101</v>
      </c>
      <c r="G11" s="154">
        <v>-7.3394495412844041E-2</v>
      </c>
    </row>
    <row r="12" spans="1:11" ht="20" customHeight="1" thickBot="1">
      <c r="A12" s="171">
        <v>2001</v>
      </c>
      <c r="B12" s="176">
        <v>64</v>
      </c>
      <c r="C12" s="154">
        <v>0.64646464646464652</v>
      </c>
      <c r="D12" s="153">
        <v>35</v>
      </c>
      <c r="E12" s="154">
        <v>0.35353535353535354</v>
      </c>
      <c r="F12" s="153">
        <v>99</v>
      </c>
      <c r="G12" s="154">
        <v>-1.9801980198019802E-2</v>
      </c>
    </row>
    <row r="13" spans="1:11" ht="20" customHeight="1" thickBot="1">
      <c r="A13" s="171">
        <v>2002</v>
      </c>
      <c r="B13" s="176">
        <v>68</v>
      </c>
      <c r="C13" s="154">
        <v>0.73118279569892475</v>
      </c>
      <c r="D13" s="153">
        <v>25</v>
      </c>
      <c r="E13" s="154">
        <v>0.26881720430107525</v>
      </c>
      <c r="F13" s="153">
        <v>93</v>
      </c>
      <c r="G13" s="154">
        <v>-6.0606060606060608E-2</v>
      </c>
    </row>
    <row r="14" spans="1:11" ht="20" customHeight="1" thickBot="1">
      <c r="A14" s="771">
        <v>2003</v>
      </c>
      <c r="B14" s="176">
        <v>70</v>
      </c>
      <c r="C14" s="154">
        <v>0.75268817204301075</v>
      </c>
      <c r="D14" s="153">
        <v>23</v>
      </c>
      <c r="E14" s="154">
        <v>0.24731182795698925</v>
      </c>
      <c r="F14" s="153">
        <v>93</v>
      </c>
      <c r="G14" s="154">
        <v>0</v>
      </c>
    </row>
    <row r="15" spans="1:11" ht="24.75" customHeight="1" thickBot="1">
      <c r="A15" s="772">
        <v>2004</v>
      </c>
      <c r="B15" s="177">
        <v>72</v>
      </c>
      <c r="C15" s="174">
        <v>0.77419354838709675</v>
      </c>
      <c r="D15" s="173">
        <v>21</v>
      </c>
      <c r="E15" s="174">
        <v>0.22580645161290322</v>
      </c>
      <c r="F15" s="173">
        <v>93</v>
      </c>
      <c r="G15" s="174">
        <v>0</v>
      </c>
    </row>
    <row r="16" spans="1:11">
      <c r="A16" s="155" t="s">
        <v>2108</v>
      </c>
      <c r="B16" s="155"/>
      <c r="C16" s="155"/>
      <c r="D16" s="155"/>
      <c r="E16" s="155"/>
      <c r="F16" s="155"/>
      <c r="G16" s="155"/>
    </row>
    <row r="17" spans="1:7">
      <c r="A17" s="4"/>
      <c r="B17" s="4"/>
      <c r="C17" s="4"/>
      <c r="D17" s="4"/>
      <c r="E17" s="4"/>
      <c r="F17" s="4"/>
      <c r="G17" s="4"/>
    </row>
    <row r="18" spans="1:7">
      <c r="A18" s="4" t="s">
        <v>471</v>
      </c>
      <c r="B18" s="4"/>
      <c r="C18" s="4"/>
      <c r="D18" s="4"/>
      <c r="E18" s="4"/>
      <c r="F18" s="4"/>
      <c r="G18" s="4"/>
    </row>
    <row r="19" spans="1:7">
      <c r="A19" s="4"/>
      <c r="B19" s="4"/>
      <c r="C19" s="4"/>
      <c r="D19" s="4"/>
      <c r="E19" s="4"/>
      <c r="F19" s="4"/>
      <c r="G19" s="4"/>
    </row>
    <row r="20" spans="1:7">
      <c r="A20" s="2" t="s">
        <v>499</v>
      </c>
    </row>
    <row r="21" spans="1:7">
      <c r="A21" s="2" t="s">
        <v>500</v>
      </c>
    </row>
    <row r="24" spans="1:7">
      <c r="A24" s="4" t="s">
        <v>104</v>
      </c>
    </row>
  </sheetData>
  <phoneticPr fontId="0" type="noConversion"/>
  <pageMargins left="0.56000000000000005" right="0.56999999999999995" top="0.81" bottom="0.49" header="0.47" footer="0.4921259845"/>
  <pageSetup paperSize="9" scale="80" orientation="portrait" horizontalDpi="1200" verticalDpi="1200"/>
  <headerFooter alignWithMargins="0">
    <oddHeader>&amp;L&amp;"Arial,Gras"Risikoausgleich in der OKP</oddHeader>
  </headerFooter>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049BA-1BD6-6640-BFB8-F321E30E09AF}">
  <dimension ref="A1:K25"/>
  <sheetViews>
    <sheetView topLeftCell="A10" zoomScale="75" workbookViewId="0">
      <selection activeCell="A3" sqref="A3"/>
    </sheetView>
  </sheetViews>
  <sheetFormatPr baseColWidth="10" defaultColWidth="11.3984375" defaultRowHeight="13"/>
  <cols>
    <col min="1" max="1" width="21.796875" style="2" customWidth="1"/>
    <col min="2" max="2" width="15.19921875" style="2" customWidth="1"/>
    <col min="3" max="4" width="12.796875" style="2" customWidth="1"/>
    <col min="5" max="5" width="13" style="2" customWidth="1"/>
    <col min="6" max="6" width="15.19921875" style="2" customWidth="1"/>
    <col min="7" max="7" width="13" style="2" customWidth="1"/>
    <col min="8" max="16384" width="11.3984375" style="2"/>
  </cols>
  <sheetData>
    <row r="1" spans="1:11" s="1" customFormat="1" ht="14" customHeight="1"/>
    <row r="2" spans="1:11" s="1" customFormat="1" ht="39" customHeight="1">
      <c r="A2" s="1715" t="s">
        <v>478</v>
      </c>
      <c r="B2" s="1716"/>
      <c r="C2" s="1716"/>
      <c r="D2" s="1716"/>
      <c r="E2" s="1716"/>
      <c r="F2" s="1716"/>
      <c r="G2" s="138">
        <v>2004</v>
      </c>
    </row>
    <row r="3" spans="1:11" ht="24" customHeight="1">
      <c r="A3" s="139" t="s">
        <v>479</v>
      </c>
      <c r="B3" s="163" t="s">
        <v>493</v>
      </c>
      <c r="C3" s="141"/>
      <c r="D3" s="164"/>
      <c r="E3" s="141"/>
      <c r="F3" s="163" t="s">
        <v>494</v>
      </c>
      <c r="G3" s="141"/>
    </row>
    <row r="4" spans="1:11" ht="15" customHeight="1">
      <c r="A4" s="165" t="s">
        <v>480</v>
      </c>
      <c r="B4" s="166" t="s">
        <v>481</v>
      </c>
      <c r="C4" s="144" t="s">
        <v>451</v>
      </c>
      <c r="D4" s="166" t="s">
        <v>482</v>
      </c>
      <c r="E4" s="144" t="s">
        <v>451</v>
      </c>
      <c r="F4" s="166" t="s">
        <v>483</v>
      </c>
      <c r="G4" s="144" t="s">
        <v>451</v>
      </c>
    </row>
    <row r="5" spans="1:11" ht="15" customHeight="1">
      <c r="A5" s="165" t="s">
        <v>484</v>
      </c>
      <c r="B5" s="166" t="s">
        <v>485</v>
      </c>
      <c r="C5" s="144" t="s">
        <v>486</v>
      </c>
      <c r="D5" s="166" t="s">
        <v>487</v>
      </c>
      <c r="E5" s="144" t="s">
        <v>486</v>
      </c>
      <c r="F5" s="166" t="s">
        <v>488</v>
      </c>
      <c r="G5" s="144" t="s">
        <v>486</v>
      </c>
    </row>
    <row r="6" spans="1:11" ht="24" customHeight="1">
      <c r="A6" s="167"/>
      <c r="B6" s="168"/>
      <c r="C6" s="147" t="s">
        <v>454</v>
      </c>
      <c r="D6" s="168"/>
      <c r="E6" s="147" t="s">
        <v>489</v>
      </c>
      <c r="F6" s="168"/>
      <c r="G6" s="147" t="s">
        <v>489</v>
      </c>
    </row>
    <row r="7" spans="1:11" ht="23.25" customHeight="1" thickBot="1">
      <c r="A7" s="169">
        <v>1996</v>
      </c>
      <c r="B7" s="149">
        <v>913.21658500000001</v>
      </c>
      <c r="C7" s="150">
        <v>0.93069045454545452</v>
      </c>
      <c r="D7" s="149">
        <v>2674.048675</v>
      </c>
      <c r="E7" s="170" t="s">
        <v>2115</v>
      </c>
      <c r="F7" s="149">
        <v>530</v>
      </c>
      <c r="G7" s="150">
        <v>0.4887640449438202</v>
      </c>
      <c r="I7" s="10"/>
      <c r="J7" s="10"/>
      <c r="K7" s="10"/>
    </row>
    <row r="8" spans="1:11" ht="20" customHeight="1" thickBot="1">
      <c r="A8" s="171">
        <v>1997</v>
      </c>
      <c r="B8" s="153">
        <v>951.20448216581099</v>
      </c>
      <c r="C8" s="154">
        <v>4.1597905458332182E-2</v>
      </c>
      <c r="D8" s="153">
        <v>2894.7924399622598</v>
      </c>
      <c r="E8" s="154">
        <v>8.2550391481658339E-2</v>
      </c>
      <c r="F8" s="153">
        <v>532</v>
      </c>
      <c r="G8" s="154">
        <v>3.7735849056603774E-3</v>
      </c>
    </row>
    <row r="9" spans="1:11" ht="20" customHeight="1" thickBot="1">
      <c r="A9" s="171">
        <v>1998</v>
      </c>
      <c r="B9" s="153">
        <v>1005.42211</v>
      </c>
      <c r="C9" s="154">
        <v>5.6998919633704945E-2</v>
      </c>
      <c r="D9" s="153">
        <v>3172.9022279999999</v>
      </c>
      <c r="E9" s="154">
        <v>9.6072445194504488E-2</v>
      </c>
      <c r="F9" s="153">
        <v>609.28660000000002</v>
      </c>
      <c r="G9" s="154">
        <v>0.14527556390977447</v>
      </c>
    </row>
    <row r="10" spans="1:11" ht="20" customHeight="1" thickBot="1">
      <c r="A10" s="171">
        <v>1999</v>
      </c>
      <c r="B10" s="153">
        <v>1043.283537</v>
      </c>
      <c r="C10" s="154">
        <v>3.7657245273828376E-2</v>
      </c>
      <c r="D10" s="153">
        <v>3340.3853559999998</v>
      </c>
      <c r="E10" s="154">
        <v>5.2785467677512014E-2</v>
      </c>
      <c r="F10" s="153">
        <v>659.60795700000006</v>
      </c>
      <c r="G10" s="154">
        <v>8.2590618273896119E-2</v>
      </c>
    </row>
    <row r="11" spans="1:11" ht="23.25" customHeight="1" thickBot="1">
      <c r="A11" s="171">
        <v>2000</v>
      </c>
      <c r="B11" s="153">
        <v>1090.4996369999999</v>
      </c>
      <c r="C11" s="154">
        <v>4.5257207964549594E-2</v>
      </c>
      <c r="D11" s="153">
        <v>3554.1311930000002</v>
      </c>
      <c r="E11" s="154">
        <v>6.3988376854805129E-2</v>
      </c>
      <c r="F11" s="153">
        <v>732.09943699999997</v>
      </c>
      <c r="G11" s="154">
        <v>0.10990085736640061</v>
      </c>
    </row>
    <row r="12" spans="1:11" ht="20" customHeight="1" thickBot="1">
      <c r="A12" s="171">
        <v>2001</v>
      </c>
      <c r="B12" s="153">
        <v>1148.4065562125586</v>
      </c>
      <c r="C12" s="154">
        <v>5.3101273258432738E-2</v>
      </c>
      <c r="D12" s="153">
        <v>3804.1073437743612</v>
      </c>
      <c r="E12" s="154">
        <v>7.0333968331472624E-2</v>
      </c>
      <c r="F12" s="153">
        <v>844.73803099999998</v>
      </c>
      <c r="G12" s="154">
        <v>0.15385696028065654</v>
      </c>
    </row>
    <row r="13" spans="1:11" ht="20" customHeight="1" thickBot="1">
      <c r="A13" s="171">
        <v>2002</v>
      </c>
      <c r="B13" s="153">
        <v>1176.9857406315903</v>
      </c>
      <c r="C13" s="154">
        <v>2.4885946761994921E-2</v>
      </c>
      <c r="D13" s="153">
        <v>3992.1493332093432</v>
      </c>
      <c r="E13" s="154">
        <v>4.9431304756087785E-2</v>
      </c>
      <c r="F13" s="153">
        <v>928.34341900000004</v>
      </c>
      <c r="G13" s="154">
        <v>9.8971971110414073E-2</v>
      </c>
    </row>
    <row r="14" spans="1:11" ht="20" customHeight="1" thickBot="1">
      <c r="A14" s="171">
        <v>2003</v>
      </c>
      <c r="B14" s="153">
        <v>1165.5985248499421</v>
      </c>
      <c r="C14" s="154">
        <v>-9.6748969749944191E-3</v>
      </c>
      <c r="D14" s="153">
        <v>4231.4747261964076</v>
      </c>
      <c r="E14" s="154">
        <v>5.9949008168656705E-2</v>
      </c>
      <c r="F14" s="153">
        <v>1008.669965</v>
      </c>
      <c r="G14" s="154">
        <v>8.652675761576116E-2</v>
      </c>
    </row>
    <row r="15" spans="1:11" ht="25.5" customHeight="1" thickBot="1">
      <c r="A15" s="172">
        <v>2004</v>
      </c>
      <c r="B15" s="173">
        <v>1233.4256947047143</v>
      </c>
      <c r="C15" s="174">
        <v>5.8190850802169757E-2</v>
      </c>
      <c r="D15" s="173">
        <v>4554.5751523643485</v>
      </c>
      <c r="E15" s="174">
        <v>7.6356458935622609E-2</v>
      </c>
      <c r="F15" s="173">
        <v>1102.909758</v>
      </c>
      <c r="G15" s="174">
        <v>9.3429760248685462E-2</v>
      </c>
    </row>
    <row r="16" spans="1:11">
      <c r="A16" s="155" t="s">
        <v>2132</v>
      </c>
      <c r="B16" s="155"/>
      <c r="C16" s="155"/>
      <c r="D16" s="155"/>
      <c r="E16" s="155"/>
      <c r="F16" s="155"/>
      <c r="G16" s="155"/>
    </row>
    <row r="17" spans="1:7">
      <c r="A17" s="4"/>
      <c r="B17" s="4"/>
      <c r="C17" s="4"/>
      <c r="D17" s="4"/>
      <c r="E17" s="4"/>
      <c r="F17" s="4"/>
      <c r="G17" s="4"/>
    </row>
    <row r="18" spans="1:7">
      <c r="A18" s="4" t="s">
        <v>471</v>
      </c>
      <c r="B18" s="4"/>
      <c r="C18" s="4"/>
      <c r="D18" s="4"/>
      <c r="E18" s="4"/>
      <c r="F18" s="4"/>
      <c r="G18" s="4"/>
    </row>
    <row r="19" spans="1:7">
      <c r="A19" s="4"/>
      <c r="B19" s="4"/>
      <c r="C19" s="4"/>
      <c r="D19" s="4"/>
      <c r="E19" s="4"/>
      <c r="F19" s="4"/>
      <c r="G19" s="4"/>
    </row>
    <row r="20" spans="1:7">
      <c r="A20" s="4" t="s">
        <v>490</v>
      </c>
    </row>
    <row r="21" spans="1:7">
      <c r="A21" s="22" t="s">
        <v>491</v>
      </c>
    </row>
    <row r="22" spans="1:7">
      <c r="A22" s="22" t="s">
        <v>492</v>
      </c>
    </row>
    <row r="25" spans="1:7">
      <c r="A25" s="4" t="s">
        <v>104</v>
      </c>
    </row>
  </sheetData>
  <mergeCells count="1">
    <mergeCell ref="A2:F2"/>
  </mergeCells>
  <phoneticPr fontId="0" type="noConversion"/>
  <pageMargins left="0.62" right="0.66" top="0.89" bottom="0.49" header="0.53" footer="0.4921259845"/>
  <pageSetup paperSize="9" scale="80" orientation="portrait" horizontalDpi="1200" verticalDpi="1200"/>
  <headerFooter alignWithMargins="0">
    <oddHeader>&amp;L&amp;"Arial,Gras"Risikoausgleich in der OKP</oddHeader>
  </headerFooter>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3F6C4-49C5-0848-B5FF-7656B66176FE}">
  <dimension ref="A1:J34"/>
  <sheetViews>
    <sheetView topLeftCell="A18" zoomScale="75" workbookViewId="0">
      <selection activeCell="A3" sqref="A3"/>
    </sheetView>
  </sheetViews>
  <sheetFormatPr baseColWidth="10" defaultColWidth="11.3984375" defaultRowHeight="13"/>
  <cols>
    <col min="1" max="1" width="14.796875" style="2" customWidth="1"/>
    <col min="2" max="2" width="14.796875" style="161" customWidth="1"/>
    <col min="3" max="3" width="14.3984375" style="162" customWidth="1"/>
    <col min="4" max="4" width="14.796875" style="161" customWidth="1"/>
    <col min="5" max="5" width="14.796875" style="162" customWidth="1"/>
    <col min="6" max="6" width="14.796875" style="161" customWidth="1"/>
    <col min="7" max="7" width="14.796875" style="162" customWidth="1"/>
    <col min="8" max="8" width="7.59765625" style="2" customWidth="1"/>
    <col min="9" max="9" width="6.3984375" style="2" customWidth="1"/>
    <col min="10" max="10" width="8.796875" style="2" customWidth="1"/>
    <col min="11" max="16384" width="11.3984375" style="2"/>
  </cols>
  <sheetData>
    <row r="1" spans="1:10" s="1" customFormat="1" ht="18.75" customHeight="1">
      <c r="A1" s="134"/>
      <c r="B1" s="135"/>
      <c r="C1" s="136"/>
      <c r="D1" s="137"/>
      <c r="E1" s="136"/>
      <c r="F1" s="137"/>
      <c r="G1" s="136"/>
    </row>
    <row r="2" spans="1:10" s="1" customFormat="1" ht="40.5" customHeight="1">
      <c r="A2" s="1730" t="s">
        <v>477</v>
      </c>
      <c r="B2" s="1716"/>
      <c r="C2" s="1716"/>
      <c r="D2" s="1716"/>
      <c r="E2" s="1716"/>
      <c r="F2" s="1716"/>
      <c r="G2" s="138">
        <v>2004</v>
      </c>
    </row>
    <row r="3" spans="1:10" ht="27" customHeight="1">
      <c r="A3" s="139" t="s">
        <v>449</v>
      </c>
      <c r="B3" s="140" t="s">
        <v>450</v>
      </c>
      <c r="C3" s="141" t="s">
        <v>451</v>
      </c>
      <c r="D3" s="140" t="s">
        <v>452</v>
      </c>
      <c r="E3" s="141" t="s">
        <v>451</v>
      </c>
      <c r="F3" s="140" t="s">
        <v>652</v>
      </c>
      <c r="G3" s="141" t="s">
        <v>451</v>
      </c>
    </row>
    <row r="4" spans="1:10" ht="15" customHeight="1">
      <c r="A4" s="142"/>
      <c r="B4" s="143"/>
      <c r="C4" s="144" t="s">
        <v>453</v>
      </c>
      <c r="D4" s="143"/>
      <c r="E4" s="144" t="s">
        <v>453</v>
      </c>
      <c r="F4" s="143"/>
      <c r="G4" s="144" t="s">
        <v>453</v>
      </c>
    </row>
    <row r="5" spans="1:10" ht="15" customHeight="1">
      <c r="A5" s="142"/>
      <c r="B5" s="143"/>
      <c r="C5" s="144" t="s">
        <v>454</v>
      </c>
      <c r="D5" s="143"/>
      <c r="E5" s="144" t="s">
        <v>454</v>
      </c>
      <c r="F5" s="143"/>
      <c r="G5" s="144" t="s">
        <v>454</v>
      </c>
    </row>
    <row r="6" spans="1:10" ht="23" customHeight="1">
      <c r="A6" s="145"/>
      <c r="B6" s="146"/>
      <c r="C6" s="147"/>
      <c r="D6" s="146"/>
      <c r="E6" s="147"/>
      <c r="F6" s="146"/>
      <c r="G6" s="147"/>
    </row>
    <row r="7" spans="1:10" ht="30" customHeight="1" thickBot="1">
      <c r="A7" s="148" t="s">
        <v>455</v>
      </c>
      <c r="B7" s="149">
        <v>0</v>
      </c>
      <c r="C7" s="150">
        <v>0</v>
      </c>
      <c r="D7" s="149">
        <v>0</v>
      </c>
      <c r="E7" s="150">
        <v>0</v>
      </c>
      <c r="F7" s="149">
        <v>0</v>
      </c>
      <c r="G7" s="150">
        <v>0</v>
      </c>
      <c r="H7" s="151"/>
      <c r="I7" s="151"/>
      <c r="J7" s="151"/>
    </row>
    <row r="8" spans="1:10" ht="20" customHeight="1" thickBot="1">
      <c r="A8" s="152" t="s">
        <v>456</v>
      </c>
      <c r="B8" s="153">
        <v>-163.38084129411641</v>
      </c>
      <c r="C8" s="154">
        <v>-7.8301201091014419E-2</v>
      </c>
      <c r="D8" s="153">
        <v>-123.05074011846348</v>
      </c>
      <c r="E8" s="154">
        <v>-8.2861028055206662E-2</v>
      </c>
      <c r="F8" s="153">
        <v>-143.42823486151531</v>
      </c>
      <c r="G8" s="154">
        <v>-8.0365330023762727E-2</v>
      </c>
      <c r="H8" s="151"/>
      <c r="I8" s="151"/>
      <c r="J8" s="151"/>
    </row>
    <row r="9" spans="1:10" ht="20" customHeight="1" thickBot="1">
      <c r="A9" s="152" t="s">
        <v>457</v>
      </c>
      <c r="B9" s="153">
        <v>-158.26594260604912</v>
      </c>
      <c r="C9" s="154">
        <v>-7.1926820542693448E-2</v>
      </c>
      <c r="D9" s="153">
        <v>-81.815018546865673</v>
      </c>
      <c r="E9" s="154">
        <v>-6.8011701993961685E-2</v>
      </c>
      <c r="F9" s="153">
        <v>-120.03142884497987</v>
      </c>
      <c r="G9" s="154">
        <v>-7.0457966354814189E-2</v>
      </c>
      <c r="H9" s="151"/>
      <c r="I9" s="151"/>
      <c r="J9" s="151"/>
    </row>
    <row r="10" spans="1:10" ht="20" customHeight="1" thickBot="1">
      <c r="A10" s="152" t="s">
        <v>458</v>
      </c>
      <c r="B10" s="153">
        <v>-147.13864426155305</v>
      </c>
      <c r="C10" s="154">
        <v>-7.1466097247062405E-2</v>
      </c>
      <c r="D10" s="153">
        <v>-63.432506996258638</v>
      </c>
      <c r="E10" s="154">
        <v>-4.8068883579403317E-2</v>
      </c>
      <c r="F10" s="153">
        <v>-105.14396041867936</v>
      </c>
      <c r="G10" s="154">
        <v>-6.4228468913677117E-2</v>
      </c>
      <c r="H10" s="151"/>
      <c r="I10" s="151"/>
      <c r="J10" s="151"/>
    </row>
    <row r="11" spans="1:10" ht="20" customHeight="1" thickBot="1">
      <c r="A11" s="152" t="s">
        <v>459</v>
      </c>
      <c r="B11" s="153">
        <v>-133.45590120243554</v>
      </c>
      <c r="C11" s="154">
        <v>-7.9420015758681711E-2</v>
      </c>
      <c r="D11" s="153">
        <v>-75.092230356614039</v>
      </c>
      <c r="E11" s="154">
        <v>-4.9026732398709492E-2</v>
      </c>
      <c r="F11" s="153">
        <v>-104.42635650978856</v>
      </c>
      <c r="G11" s="154">
        <v>-6.7653720551310692E-2</v>
      </c>
      <c r="H11" s="151"/>
      <c r="I11" s="151"/>
      <c r="J11" s="151"/>
    </row>
    <row r="12" spans="1:10" ht="20" customHeight="1" thickBot="1">
      <c r="A12" s="152" t="s">
        <v>460</v>
      </c>
      <c r="B12" s="153">
        <v>-115.01145205691847</v>
      </c>
      <c r="C12" s="154">
        <v>-7.7891781860551387E-2</v>
      </c>
      <c r="D12" s="153">
        <v>-75.5601638246346</v>
      </c>
      <c r="E12" s="154">
        <v>-7.3013569858157365E-2</v>
      </c>
      <c r="F12" s="153">
        <v>-95.462858765117531</v>
      </c>
      <c r="G12" s="154">
        <v>-7.565546552627507E-2</v>
      </c>
      <c r="H12" s="151"/>
      <c r="I12" s="151"/>
      <c r="J12" s="151"/>
    </row>
    <row r="13" spans="1:10" ht="20" customHeight="1" thickBot="1">
      <c r="A13" s="152" t="s">
        <v>461</v>
      </c>
      <c r="B13" s="153">
        <v>-90.168701440101074</v>
      </c>
      <c r="C13" s="154">
        <v>-9.1695554431241486E-2</v>
      </c>
      <c r="D13" s="153">
        <v>-50.579017574155927</v>
      </c>
      <c r="E13" s="154">
        <v>-8.7279448366908013E-2</v>
      </c>
      <c r="F13" s="153">
        <v>-70.63474131769209</v>
      </c>
      <c r="G13" s="154">
        <v>-9.0857623481657018E-2</v>
      </c>
      <c r="H13" s="151"/>
      <c r="I13" s="151"/>
      <c r="J13" s="151"/>
    </row>
    <row r="14" spans="1:10" ht="20" customHeight="1" thickBot="1">
      <c r="A14" s="152" t="s">
        <v>462</v>
      </c>
      <c r="B14" s="153">
        <v>-51.954255037009005</v>
      </c>
      <c r="C14" s="154">
        <v>-7.8342466535590127E-2</v>
      </c>
      <c r="D14" s="153">
        <v>-16.262503611078017</v>
      </c>
      <c r="E14" s="154">
        <v>-0.25673556180666568</v>
      </c>
      <c r="F14" s="153">
        <v>-34.147068872484958</v>
      </c>
      <c r="G14" s="154">
        <v>-0.11550877122914137</v>
      </c>
      <c r="H14" s="151"/>
      <c r="I14" s="151"/>
      <c r="J14" s="151"/>
    </row>
    <row r="15" spans="1:10" ht="20" customHeight="1" thickBot="1">
      <c r="A15" s="152" t="s">
        <v>463</v>
      </c>
      <c r="B15" s="153">
        <v>1.5899094556297086</v>
      </c>
      <c r="C15" s="154">
        <v>4.3776628723747377</v>
      </c>
      <c r="D15" s="153">
        <v>22.490894503075992</v>
      </c>
      <c r="E15" s="154">
        <v>-5.6769240159981242E-2</v>
      </c>
      <c r="F15" s="153">
        <v>12.048593485876459</v>
      </c>
      <c r="G15" s="154">
        <v>3.0823407189284068E-2</v>
      </c>
      <c r="H15" s="151"/>
      <c r="I15" s="151"/>
      <c r="J15" s="151"/>
    </row>
    <row r="16" spans="1:10" ht="20" customHeight="1" thickBot="1">
      <c r="A16" s="152" t="s">
        <v>464</v>
      </c>
      <c r="B16" s="153">
        <v>58.811214994071605</v>
      </c>
      <c r="C16" s="154">
        <v>8.018874273610864E-2</v>
      </c>
      <c r="D16" s="153">
        <v>64.93851388068046</v>
      </c>
      <c r="E16" s="154">
        <v>5.4468757533247265E-2</v>
      </c>
      <c r="F16" s="153">
        <v>61.951668309645875</v>
      </c>
      <c r="G16" s="154">
        <v>6.59738328150003E-2</v>
      </c>
      <c r="H16" s="151"/>
      <c r="I16" s="151"/>
      <c r="J16" s="151"/>
    </row>
    <row r="17" spans="1:10" ht="20" customHeight="1" thickBot="1">
      <c r="A17" s="152" t="s">
        <v>465</v>
      </c>
      <c r="B17" s="153">
        <v>141.21138047384116</v>
      </c>
      <c r="C17" s="154">
        <v>5.7745241493595507E-2</v>
      </c>
      <c r="D17" s="153">
        <v>124.12753472717341</v>
      </c>
      <c r="E17" s="154">
        <v>7.0118363189277291E-2</v>
      </c>
      <c r="F17" s="153">
        <v>132.10417514000608</v>
      </c>
      <c r="G17" s="154">
        <v>6.4204802824937846E-2</v>
      </c>
      <c r="H17" s="151"/>
      <c r="I17" s="151"/>
      <c r="J17" s="151"/>
    </row>
    <row r="18" spans="1:10" ht="20" customHeight="1" thickBot="1">
      <c r="A18" s="152" t="s">
        <v>466</v>
      </c>
      <c r="B18" s="153">
        <v>231.19441320223703</v>
      </c>
      <c r="C18" s="154">
        <v>7.0863504614341627E-2</v>
      </c>
      <c r="D18" s="153">
        <v>206.03244799049853</v>
      </c>
      <c r="E18" s="154">
        <v>8.6211701785482514E-2</v>
      </c>
      <c r="F18" s="153">
        <v>217.07445877449001</v>
      </c>
      <c r="G18" s="154">
        <v>7.9382044723824582E-2</v>
      </c>
      <c r="H18" s="151"/>
      <c r="I18" s="151"/>
      <c r="J18" s="151"/>
    </row>
    <row r="19" spans="1:10" ht="20" customHeight="1" thickBot="1">
      <c r="A19" s="152" t="s">
        <v>467</v>
      </c>
      <c r="B19" s="153">
        <v>319.86273511679553</v>
      </c>
      <c r="C19" s="154">
        <v>5.6092251682609909E-2</v>
      </c>
      <c r="D19" s="153">
        <v>313.05327282639837</v>
      </c>
      <c r="E19" s="154">
        <v>5.9623844956704745E-2</v>
      </c>
      <c r="F19" s="153">
        <v>315.78387373460384</v>
      </c>
      <c r="G19" s="154">
        <v>5.8236242896935395E-2</v>
      </c>
      <c r="H19" s="151"/>
      <c r="I19" s="151"/>
      <c r="J19" s="151"/>
    </row>
    <row r="20" spans="1:10" ht="20" customHeight="1" thickBot="1">
      <c r="A20" s="152" t="s">
        <v>468</v>
      </c>
      <c r="B20" s="153">
        <v>421.4543087561641</v>
      </c>
      <c r="C20" s="154">
        <v>5.9530467699543045E-2</v>
      </c>
      <c r="D20" s="153">
        <v>472.61572728289354</v>
      </c>
      <c r="E20" s="154">
        <v>5.3101761880544461E-2</v>
      </c>
      <c r="F20" s="153">
        <v>453.9525216897502</v>
      </c>
      <c r="G20" s="154">
        <v>5.5203339882315801E-2</v>
      </c>
      <c r="H20" s="151"/>
      <c r="I20" s="151"/>
      <c r="J20" s="151"/>
    </row>
    <row r="21" spans="1:10" ht="20" customHeight="1" thickBot="1">
      <c r="A21" s="152" t="s">
        <v>469</v>
      </c>
      <c r="B21" s="153">
        <v>573.07356859749643</v>
      </c>
      <c r="C21" s="154">
        <v>8.3250479372954725E-2</v>
      </c>
      <c r="D21" s="153">
        <v>723.01156647367463</v>
      </c>
      <c r="E21" s="154">
        <v>5.5558750685879281E-2</v>
      </c>
      <c r="F21" s="153">
        <v>675.5338142463446</v>
      </c>
      <c r="G21" s="154">
        <v>6.1864376517915036E-2</v>
      </c>
      <c r="H21" s="151"/>
      <c r="I21" s="151"/>
      <c r="J21" s="151"/>
    </row>
    <row r="22" spans="1:10" ht="20" customHeight="1" thickBot="1">
      <c r="A22" s="152" t="s">
        <v>470</v>
      </c>
      <c r="B22" s="153">
        <v>805.8631295511226</v>
      </c>
      <c r="C22" s="154">
        <v>4.1772054399339176E-2</v>
      </c>
      <c r="D22" s="153">
        <v>1080.9721167250889</v>
      </c>
      <c r="E22" s="154">
        <v>3.3545024027104735E-2</v>
      </c>
      <c r="F22" s="153">
        <v>1014.0322139136019</v>
      </c>
      <c r="G22" s="154">
        <v>3.4085958003235703E-2</v>
      </c>
      <c r="H22" s="151"/>
      <c r="I22" s="151"/>
      <c r="J22" s="151"/>
    </row>
    <row r="23" spans="1:10" ht="20" customHeight="1">
      <c r="A23" s="155" t="s">
        <v>2132</v>
      </c>
      <c r="B23" s="156"/>
      <c r="C23" s="157"/>
      <c r="D23" s="156"/>
      <c r="E23" s="157"/>
      <c r="F23" s="156"/>
      <c r="G23" s="157"/>
    </row>
    <row r="24" spans="1:10" ht="11.25" customHeight="1">
      <c r="A24" s="4"/>
      <c r="B24" s="158"/>
      <c r="C24" s="159"/>
      <c r="D24" s="158"/>
      <c r="E24" s="159"/>
      <c r="F24" s="158"/>
      <c r="G24" s="159"/>
    </row>
    <row r="25" spans="1:10" ht="15.75" customHeight="1">
      <c r="A25" s="4" t="s">
        <v>471</v>
      </c>
      <c r="B25" s="158"/>
      <c r="C25" s="159"/>
      <c r="D25" s="158"/>
      <c r="E25" s="159"/>
      <c r="F25" s="158"/>
      <c r="G25" s="159"/>
    </row>
    <row r="26" spans="1:10">
      <c r="A26" s="160"/>
      <c r="B26" s="158"/>
      <c r="C26" s="159"/>
      <c r="D26" s="158"/>
      <c r="E26" s="159"/>
      <c r="F26" s="158"/>
      <c r="G26" s="159"/>
    </row>
    <row r="27" spans="1:10">
      <c r="A27" s="160" t="s">
        <v>472</v>
      </c>
      <c r="B27" s="158"/>
      <c r="C27" s="159"/>
      <c r="D27" s="158"/>
      <c r="E27" s="159"/>
      <c r="F27" s="158"/>
      <c r="G27" s="159"/>
    </row>
    <row r="28" spans="1:10">
      <c r="A28" s="160" t="s">
        <v>473</v>
      </c>
      <c r="B28" s="158"/>
      <c r="C28" s="159"/>
      <c r="D28" s="158"/>
      <c r="E28" s="159"/>
      <c r="F28" s="158"/>
      <c r="G28" s="159"/>
    </row>
    <row r="29" spans="1:10">
      <c r="A29" s="160" t="s">
        <v>474</v>
      </c>
      <c r="B29" s="158"/>
      <c r="C29" s="159"/>
      <c r="D29" s="158"/>
      <c r="E29" s="159"/>
      <c r="F29" s="158"/>
      <c r="G29" s="159"/>
    </row>
    <row r="30" spans="1:10">
      <c r="A30" s="160" t="s">
        <v>475</v>
      </c>
      <c r="B30" s="158"/>
      <c r="C30" s="159"/>
      <c r="D30" s="158"/>
      <c r="E30" s="159"/>
      <c r="F30" s="158"/>
      <c r="G30" s="159"/>
    </row>
    <row r="31" spans="1:10">
      <c r="A31" s="160" t="s">
        <v>476</v>
      </c>
      <c r="B31" s="158"/>
      <c r="C31" s="159"/>
      <c r="D31" s="158"/>
      <c r="E31" s="159"/>
      <c r="F31" s="158"/>
      <c r="G31" s="159"/>
    </row>
    <row r="32" spans="1:10">
      <c r="A32" s="160"/>
      <c r="B32" s="158"/>
      <c r="C32" s="159"/>
      <c r="D32" s="158"/>
      <c r="E32" s="159"/>
      <c r="F32" s="158"/>
      <c r="G32" s="159"/>
    </row>
    <row r="33" spans="1:7">
      <c r="A33" s="160"/>
      <c r="B33" s="158"/>
      <c r="C33" s="159"/>
      <c r="D33" s="158"/>
      <c r="E33" s="159"/>
      <c r="F33" s="158"/>
      <c r="G33" s="159"/>
    </row>
    <row r="34" spans="1:7">
      <c r="A34" s="4" t="s">
        <v>104</v>
      </c>
    </row>
  </sheetData>
  <mergeCells count="1">
    <mergeCell ref="A2:F2"/>
  </mergeCells>
  <phoneticPr fontId="0" type="noConversion"/>
  <pageMargins left="0.62" right="0.54" top="0.74" bottom="0.86614173228346458" header="0.4" footer="0.51181102362204722"/>
  <pageSetup paperSize="9" scale="80" orientation="portrait" horizontalDpi="1200" verticalDpi="1200"/>
  <headerFooter alignWithMargins="0">
    <oddHeader>&amp;L&amp;"Arial,Gras"Risikoausgleich in der OKP</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155</vt:i4>
      </vt:variant>
      <vt:variant>
        <vt:lpstr>Benannte Bereiche</vt:lpstr>
      </vt:variant>
      <vt:variant>
        <vt:i4>146</vt:i4>
      </vt:variant>
    </vt:vector>
  </HeadingPairs>
  <TitlesOfParts>
    <vt:vector size="301" baseType="lpstr">
      <vt:lpstr>Info</vt:lpstr>
      <vt:lpstr> I d</vt:lpstr>
      <vt:lpstr>B d</vt:lpstr>
      <vt:lpstr>G1 96 -&gt; 04 d</vt:lpstr>
      <vt:lpstr>G2 04 -&gt; 96 d</vt:lpstr>
      <vt:lpstr>T1d</vt:lpstr>
      <vt:lpstr>101d</vt:lpstr>
      <vt:lpstr>102d</vt:lpstr>
      <vt:lpstr>103d</vt:lpstr>
      <vt:lpstr>104d</vt:lpstr>
      <vt:lpstr>105d</vt:lpstr>
      <vt:lpstr>106d</vt:lpstr>
      <vt:lpstr>107d</vt:lpstr>
      <vt:lpstr>108d</vt:lpstr>
      <vt:lpstr>109d</vt:lpstr>
      <vt:lpstr>110d</vt:lpstr>
      <vt:lpstr>111d</vt:lpstr>
      <vt:lpstr>112d</vt:lpstr>
      <vt:lpstr>113d</vt:lpstr>
      <vt:lpstr>114d</vt:lpstr>
      <vt:lpstr>115d</vt:lpstr>
      <vt:lpstr>116d</vt:lpstr>
      <vt:lpstr>117d</vt:lpstr>
      <vt:lpstr>118d</vt:lpstr>
      <vt:lpstr>119d</vt:lpstr>
      <vt:lpstr>120d</vt:lpstr>
      <vt:lpstr>121d</vt:lpstr>
      <vt:lpstr>122d</vt:lpstr>
      <vt:lpstr>123d</vt:lpstr>
      <vt:lpstr>124d</vt:lpstr>
      <vt:lpstr>125d</vt:lpstr>
      <vt:lpstr>126d</vt:lpstr>
      <vt:lpstr>127d</vt:lpstr>
      <vt:lpstr>128d</vt:lpstr>
      <vt:lpstr>129d</vt:lpstr>
      <vt:lpstr>130d</vt:lpstr>
      <vt:lpstr>131d</vt:lpstr>
      <vt:lpstr>132d</vt:lpstr>
      <vt:lpstr>133d</vt:lpstr>
      <vt:lpstr>134d</vt:lpstr>
      <vt:lpstr>135d</vt:lpstr>
      <vt:lpstr>136d</vt:lpstr>
      <vt:lpstr>137d</vt:lpstr>
      <vt:lpstr>138d</vt:lpstr>
      <vt:lpstr>139d</vt:lpstr>
      <vt:lpstr>140d</vt:lpstr>
      <vt:lpstr>141d</vt:lpstr>
      <vt:lpstr>142d</vt:lpstr>
      <vt:lpstr>143d</vt:lpstr>
      <vt:lpstr>144d</vt:lpstr>
      <vt:lpstr>145d</vt:lpstr>
      <vt:lpstr>146d</vt:lpstr>
      <vt:lpstr>147d</vt:lpstr>
      <vt:lpstr>148d</vt:lpstr>
      <vt:lpstr>149d</vt:lpstr>
      <vt:lpstr>150d</vt:lpstr>
      <vt:lpstr>151d</vt:lpstr>
      <vt:lpstr>T2d</vt:lpstr>
      <vt:lpstr>201d</vt:lpstr>
      <vt:lpstr>202d</vt:lpstr>
      <vt:lpstr>203d</vt:lpstr>
      <vt:lpstr>204d</vt:lpstr>
      <vt:lpstr>205d</vt:lpstr>
      <vt:lpstr>206d</vt:lpstr>
      <vt:lpstr>207d</vt:lpstr>
      <vt:lpstr>208d</vt:lpstr>
      <vt:lpstr>209d</vt:lpstr>
      <vt:lpstr>210d</vt:lpstr>
      <vt:lpstr>211d</vt:lpstr>
      <vt:lpstr>212d</vt:lpstr>
      <vt:lpstr>213d</vt:lpstr>
      <vt:lpstr>T3d</vt:lpstr>
      <vt:lpstr>301d</vt:lpstr>
      <vt:lpstr>302d</vt:lpstr>
      <vt:lpstr>303d</vt:lpstr>
      <vt:lpstr>304d</vt:lpstr>
      <vt:lpstr>305d</vt:lpstr>
      <vt:lpstr>306d</vt:lpstr>
      <vt:lpstr>307d</vt:lpstr>
      <vt:lpstr>308d</vt:lpstr>
      <vt:lpstr>309d</vt:lpstr>
      <vt:lpstr>310d</vt:lpstr>
      <vt:lpstr>311d</vt:lpstr>
      <vt:lpstr>312d</vt:lpstr>
      <vt:lpstr>313d</vt:lpstr>
      <vt:lpstr>T4d</vt:lpstr>
      <vt:lpstr>401d</vt:lpstr>
      <vt:lpstr>402d</vt:lpstr>
      <vt:lpstr>403d</vt:lpstr>
      <vt:lpstr>404d</vt:lpstr>
      <vt:lpstr>405d</vt:lpstr>
      <vt:lpstr>406d</vt:lpstr>
      <vt:lpstr>407d</vt:lpstr>
      <vt:lpstr>408d</vt:lpstr>
      <vt:lpstr>409d</vt:lpstr>
      <vt:lpstr>410d</vt:lpstr>
      <vt:lpstr>411d</vt:lpstr>
      <vt:lpstr>412d</vt:lpstr>
      <vt:lpstr>413d</vt:lpstr>
      <vt:lpstr>T5d</vt:lpstr>
      <vt:lpstr>501d</vt:lpstr>
      <vt:lpstr>502d</vt:lpstr>
      <vt:lpstr>503d</vt:lpstr>
      <vt:lpstr>504d</vt:lpstr>
      <vt:lpstr>T6d</vt:lpstr>
      <vt:lpstr>601d</vt:lpstr>
      <vt:lpstr>602d</vt:lpstr>
      <vt:lpstr>603d</vt:lpstr>
      <vt:lpstr>604d</vt:lpstr>
      <vt:lpstr>605d</vt:lpstr>
      <vt:lpstr>606d</vt:lpstr>
      <vt:lpstr>T7d</vt:lpstr>
      <vt:lpstr>701d</vt:lpstr>
      <vt:lpstr>702d</vt:lpstr>
      <vt:lpstr>703d</vt:lpstr>
      <vt:lpstr>704d</vt:lpstr>
      <vt:lpstr>705d</vt:lpstr>
      <vt:lpstr>T8d</vt:lpstr>
      <vt:lpstr>801d</vt:lpstr>
      <vt:lpstr>802d</vt:lpstr>
      <vt:lpstr>803d</vt:lpstr>
      <vt:lpstr>804d</vt:lpstr>
      <vt:lpstr>805d</vt:lpstr>
      <vt:lpstr>806d</vt:lpstr>
      <vt:lpstr>807d</vt:lpstr>
      <vt:lpstr>808d</vt:lpstr>
      <vt:lpstr>809d</vt:lpstr>
      <vt:lpstr>810d</vt:lpstr>
      <vt:lpstr>811d</vt:lpstr>
      <vt:lpstr>T9d</vt:lpstr>
      <vt:lpstr>901d</vt:lpstr>
      <vt:lpstr>902d</vt:lpstr>
      <vt:lpstr>903d</vt:lpstr>
      <vt:lpstr>904d</vt:lpstr>
      <vt:lpstr>905d</vt:lpstr>
      <vt:lpstr>906d</vt:lpstr>
      <vt:lpstr>907d</vt:lpstr>
      <vt:lpstr>908d</vt:lpstr>
      <vt:lpstr>909d</vt:lpstr>
      <vt:lpstr>910d</vt:lpstr>
      <vt:lpstr>911d</vt:lpstr>
      <vt:lpstr>912d</vt:lpstr>
      <vt:lpstr>913d</vt:lpstr>
      <vt:lpstr>914d</vt:lpstr>
      <vt:lpstr>915d</vt:lpstr>
      <vt:lpstr>916d</vt:lpstr>
      <vt:lpstr>917d</vt:lpstr>
      <vt:lpstr>918d</vt:lpstr>
      <vt:lpstr>919d</vt:lpstr>
      <vt:lpstr>920d</vt:lpstr>
      <vt:lpstr>921d</vt:lpstr>
      <vt:lpstr>T10d</vt:lpstr>
      <vt:lpstr>1001d</vt:lpstr>
      <vt:lpstr>1002d</vt:lpstr>
      <vt:lpstr>1003d</vt:lpstr>
      <vt:lpstr>'1001d'!Druckbereich</vt:lpstr>
      <vt:lpstr>'1002d'!Druckbereich</vt:lpstr>
      <vt:lpstr>'1003d'!Druckbereich</vt:lpstr>
      <vt:lpstr>'101d'!Druckbereich</vt:lpstr>
      <vt:lpstr>'102d'!Druckbereich</vt:lpstr>
      <vt:lpstr>'103d'!Druckbereich</vt:lpstr>
      <vt:lpstr>'104d'!Druckbereich</vt:lpstr>
      <vt:lpstr>'105d'!Druckbereich</vt:lpstr>
      <vt:lpstr>'106d'!Druckbereich</vt:lpstr>
      <vt:lpstr>'107d'!Druckbereich</vt:lpstr>
      <vt:lpstr>'108d'!Druckbereich</vt:lpstr>
      <vt:lpstr>'109d'!Druckbereich</vt:lpstr>
      <vt:lpstr>'110d'!Druckbereich</vt:lpstr>
      <vt:lpstr>'111d'!Druckbereich</vt:lpstr>
      <vt:lpstr>'112d'!Druckbereich</vt:lpstr>
      <vt:lpstr>'113d'!Druckbereich</vt:lpstr>
      <vt:lpstr>'114d'!Druckbereich</vt:lpstr>
      <vt:lpstr>'115d'!Druckbereich</vt:lpstr>
      <vt:lpstr>'116d'!Druckbereich</vt:lpstr>
      <vt:lpstr>'117d'!Druckbereich</vt:lpstr>
      <vt:lpstr>'118d'!Druckbereich</vt:lpstr>
      <vt:lpstr>'119d'!Druckbereich</vt:lpstr>
      <vt:lpstr>'120d'!Druckbereich</vt:lpstr>
      <vt:lpstr>'121d'!Druckbereich</vt:lpstr>
      <vt:lpstr>'122d'!Druckbereich</vt:lpstr>
      <vt:lpstr>'123d'!Druckbereich</vt:lpstr>
      <vt:lpstr>'124d'!Druckbereich</vt:lpstr>
      <vt:lpstr>'125d'!Druckbereich</vt:lpstr>
      <vt:lpstr>'126d'!Druckbereich</vt:lpstr>
      <vt:lpstr>'127d'!Druckbereich</vt:lpstr>
      <vt:lpstr>'128d'!Druckbereich</vt:lpstr>
      <vt:lpstr>'129d'!Druckbereich</vt:lpstr>
      <vt:lpstr>'130d'!Druckbereich</vt:lpstr>
      <vt:lpstr>'131d'!Druckbereich</vt:lpstr>
      <vt:lpstr>'132d'!Druckbereich</vt:lpstr>
      <vt:lpstr>'133d'!Druckbereich</vt:lpstr>
      <vt:lpstr>'134d'!Druckbereich</vt:lpstr>
      <vt:lpstr>'135d'!Druckbereich</vt:lpstr>
      <vt:lpstr>'136d'!Druckbereich</vt:lpstr>
      <vt:lpstr>'138d'!Druckbereich</vt:lpstr>
      <vt:lpstr>'139d'!Druckbereich</vt:lpstr>
      <vt:lpstr>'140d'!Druckbereich</vt:lpstr>
      <vt:lpstr>'141d'!Druckbereich</vt:lpstr>
      <vt:lpstr>'142d'!Druckbereich</vt:lpstr>
      <vt:lpstr>'143d'!Druckbereich</vt:lpstr>
      <vt:lpstr>'144d'!Druckbereich</vt:lpstr>
      <vt:lpstr>'145d'!Druckbereich</vt:lpstr>
      <vt:lpstr>'146d'!Druckbereich</vt:lpstr>
      <vt:lpstr>'147d'!Druckbereich</vt:lpstr>
      <vt:lpstr>'148d'!Druckbereich</vt:lpstr>
      <vt:lpstr>'149d'!Druckbereich</vt:lpstr>
      <vt:lpstr>'150d'!Druckbereich</vt:lpstr>
      <vt:lpstr>'151d'!Druckbereich</vt:lpstr>
      <vt:lpstr>'201d'!Druckbereich</vt:lpstr>
      <vt:lpstr>'202d'!Druckbereich</vt:lpstr>
      <vt:lpstr>'203d'!Druckbereich</vt:lpstr>
      <vt:lpstr>'204d'!Druckbereich</vt:lpstr>
      <vt:lpstr>'205d'!Druckbereich</vt:lpstr>
      <vt:lpstr>'206d'!Druckbereich</vt:lpstr>
      <vt:lpstr>'207d'!Druckbereich</vt:lpstr>
      <vt:lpstr>'208d'!Druckbereich</vt:lpstr>
      <vt:lpstr>'209d'!Druckbereich</vt:lpstr>
      <vt:lpstr>'210d'!Druckbereich</vt:lpstr>
      <vt:lpstr>'211d'!Druckbereich</vt:lpstr>
      <vt:lpstr>'212d'!Druckbereich</vt:lpstr>
      <vt:lpstr>'213d'!Druckbereich</vt:lpstr>
      <vt:lpstr>'301d'!Druckbereich</vt:lpstr>
      <vt:lpstr>'302d'!Druckbereich</vt:lpstr>
      <vt:lpstr>'303d'!Druckbereich</vt:lpstr>
      <vt:lpstr>'304d'!Druckbereich</vt:lpstr>
      <vt:lpstr>'305d'!Druckbereich</vt:lpstr>
      <vt:lpstr>'306d'!Druckbereich</vt:lpstr>
      <vt:lpstr>'307d'!Druckbereich</vt:lpstr>
      <vt:lpstr>'308d'!Druckbereich</vt:lpstr>
      <vt:lpstr>'309d'!Druckbereich</vt:lpstr>
      <vt:lpstr>'310d'!Druckbereich</vt:lpstr>
      <vt:lpstr>'311d'!Druckbereich</vt:lpstr>
      <vt:lpstr>'312d'!Druckbereich</vt:lpstr>
      <vt:lpstr>'313d'!Druckbereich</vt:lpstr>
      <vt:lpstr>'401d'!Druckbereich</vt:lpstr>
      <vt:lpstr>'402d'!Druckbereich</vt:lpstr>
      <vt:lpstr>'403d'!Druckbereich</vt:lpstr>
      <vt:lpstr>'404d'!Druckbereich</vt:lpstr>
      <vt:lpstr>'405d'!Druckbereich</vt:lpstr>
      <vt:lpstr>'406d'!Druckbereich</vt:lpstr>
      <vt:lpstr>'407d'!Druckbereich</vt:lpstr>
      <vt:lpstr>'408d'!Druckbereich</vt:lpstr>
      <vt:lpstr>'409d'!Druckbereich</vt:lpstr>
      <vt:lpstr>'410d'!Druckbereich</vt:lpstr>
      <vt:lpstr>'411d'!Druckbereich</vt:lpstr>
      <vt:lpstr>'412d'!Druckbereich</vt:lpstr>
      <vt:lpstr>'413d'!Druckbereich</vt:lpstr>
      <vt:lpstr>'501d'!Druckbereich</vt:lpstr>
      <vt:lpstr>'502d'!Druckbereich</vt:lpstr>
      <vt:lpstr>'503d'!Druckbereich</vt:lpstr>
      <vt:lpstr>'504d'!Druckbereich</vt:lpstr>
      <vt:lpstr>'601d'!Druckbereich</vt:lpstr>
      <vt:lpstr>'602d'!Druckbereich</vt:lpstr>
      <vt:lpstr>'603d'!Druckbereich</vt:lpstr>
      <vt:lpstr>'604d'!Druckbereich</vt:lpstr>
      <vt:lpstr>'605d'!Druckbereich</vt:lpstr>
      <vt:lpstr>'606d'!Druckbereich</vt:lpstr>
      <vt:lpstr>'701d'!Druckbereich</vt:lpstr>
      <vt:lpstr>'702d'!Druckbereich</vt:lpstr>
      <vt:lpstr>'703d'!Druckbereich</vt:lpstr>
      <vt:lpstr>'704d'!Druckbereich</vt:lpstr>
      <vt:lpstr>'705d'!Druckbereich</vt:lpstr>
      <vt:lpstr>'801d'!Druckbereich</vt:lpstr>
      <vt:lpstr>'802d'!Druckbereich</vt:lpstr>
      <vt:lpstr>'803d'!Druckbereich</vt:lpstr>
      <vt:lpstr>'804d'!Druckbereich</vt:lpstr>
      <vt:lpstr>'805d'!Druckbereich</vt:lpstr>
      <vt:lpstr>'806d'!Druckbereich</vt:lpstr>
      <vt:lpstr>'807d'!Druckbereich</vt:lpstr>
      <vt:lpstr>'808d'!Druckbereich</vt:lpstr>
      <vt:lpstr>'809d'!Druckbereich</vt:lpstr>
      <vt:lpstr>'810d'!Druckbereich</vt:lpstr>
      <vt:lpstr>'811d'!Druckbereich</vt:lpstr>
      <vt:lpstr>'901d'!Druckbereich</vt:lpstr>
      <vt:lpstr>'902d'!Druckbereich</vt:lpstr>
      <vt:lpstr>'903d'!Druckbereich</vt:lpstr>
      <vt:lpstr>'904d'!Druckbereich</vt:lpstr>
      <vt:lpstr>'905d'!Druckbereich</vt:lpstr>
      <vt:lpstr>'906d'!Druckbereich</vt:lpstr>
      <vt:lpstr>'907d'!Druckbereich</vt:lpstr>
      <vt:lpstr>'908d'!Druckbereich</vt:lpstr>
      <vt:lpstr>'909d'!Druckbereich</vt:lpstr>
      <vt:lpstr>'910d'!Druckbereich</vt:lpstr>
      <vt:lpstr>'911d'!Druckbereich</vt:lpstr>
      <vt:lpstr>'912d'!Druckbereich</vt:lpstr>
      <vt:lpstr>'913d'!Druckbereich</vt:lpstr>
      <vt:lpstr>'914d'!Druckbereich</vt:lpstr>
      <vt:lpstr>'915d'!Druckbereich</vt:lpstr>
      <vt:lpstr>'916d'!Druckbereich</vt:lpstr>
      <vt:lpstr>'917d'!Druckbereich</vt:lpstr>
      <vt:lpstr>'918d'!Druckbereich</vt:lpstr>
      <vt:lpstr>'919d'!Druckbereich</vt:lpstr>
      <vt:lpstr>'920d'!Druckbereich</vt:lpstr>
      <vt:lpstr>'921d'!Druckbereich</vt:lpstr>
      <vt:lpstr>Info!Druckbereich</vt:lpstr>
      <vt:lpstr>'501d'!Drucktitel</vt:lpstr>
      <vt:lpstr>'503d'!Drucktitel</vt:lpstr>
      <vt:lpstr>'504d'!Drucktitel</vt:lpstr>
      <vt:lpstr>'921d'!Drucktitel</vt:lpstr>
      <vt:lpstr>'G1 96 -&gt; 04 d'!Drucktitel</vt:lpstr>
      <vt:lpstr>'G2 04 -&gt; 96 d'!Drucktitel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Informatikdienst</dc:creator>
  <cp:lastModifiedBy>Smaili Kenan (smailken)</cp:lastModifiedBy>
  <cp:lastPrinted>2005-12-07T15:57:04Z</cp:lastPrinted>
  <dcterms:created xsi:type="dcterms:W3CDTF">1999-10-15T08:29:27Z</dcterms:created>
  <dcterms:modified xsi:type="dcterms:W3CDTF">2026-05-02T10:06:23Z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-2021548164</vt:i4>
  </property>
  <property fmtid="{D5CDD505-2E9C-101B-9397-08002B2CF9AE}" pid="3" name="_EmailSubject">
    <vt:lpwstr>enlever liaisons</vt:lpwstr>
  </property>
  <property fmtid="{D5CDD505-2E9C-101B-9397-08002B2CF9AE}" pid="4" name="_AuthorEmail">
    <vt:lpwstr>Yves-Alain.Gerber@bfs.admin.ch</vt:lpwstr>
  </property>
  <property fmtid="{D5CDD505-2E9C-101B-9397-08002B2CF9AE}" pid="5" name="_AuthorEmailDisplayName">
    <vt:lpwstr>Gerber Yves-Alain BFS</vt:lpwstr>
  </property>
  <property fmtid="{D5CDD505-2E9C-101B-9397-08002B2CF9AE}" pid="6" name="_PreviousAdHocReviewCycleID">
    <vt:i4>1897203600</vt:i4>
  </property>
  <property fmtid="{D5CDD505-2E9C-101B-9397-08002B2CF9AE}" pid="7" name="_ReviewingToolsShownOnce">
    <vt:lpwstr/>
  </property>
</Properties>
</file>