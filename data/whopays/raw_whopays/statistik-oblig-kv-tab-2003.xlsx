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backupFile="1"/>
  <mc:AlternateContent xmlns:mc="http://schemas.openxmlformats.org/markup-compatibility/2006">
    <mc:Choice Requires="x15">
      <x15ac:absPath xmlns:x15ac="http://schemas.microsoft.com/office/spreadsheetml/2010/11/ac" url="/Users/K.Smaili_ZHAW/Desktop/ZHAW/4. Semester/PoDSV_Project Orientated Digital Storytelling and Visualization/PODSV_Visualisierungsprojekt/data/whopays/raw_whopays/"/>
    </mc:Choice>
  </mc:AlternateContent>
  <xr:revisionPtr revIDLastSave="0" documentId="8_{4DCF2F9A-93E0-9D4E-BAED-82D2C6D50BE3}" xr6:coauthVersionLast="47" xr6:coauthVersionMax="47" xr10:uidLastSave="{00000000-0000-0000-0000-000000000000}"/>
  <bookViews>
    <workbookView xWindow="0" yWindow="500" windowWidth="38400" windowHeight="20000" tabRatio="601" xr2:uid="{DB04E218-C804-EC40-9B6F-A482D9432DF2}"/>
  </bookViews>
  <sheets>
    <sheet name="Info" sheetId="1" r:id="rId1"/>
    <sheet name=" H d" sheetId="2" r:id="rId2"/>
    <sheet name="T1d" sheetId="3" r:id="rId3"/>
    <sheet name="101d" sheetId="4" r:id="rId4"/>
    <sheet name="102d" sheetId="5" r:id="rId5"/>
    <sheet name="103d" sheetId="6" r:id="rId6"/>
    <sheet name="104d" sheetId="7" r:id="rId7"/>
    <sheet name="105d" sheetId="8" r:id="rId8"/>
    <sheet name="106d" sheetId="9" r:id="rId9"/>
    <sheet name="107d" sheetId="10" r:id="rId10"/>
    <sheet name="108d" sheetId="11" r:id="rId11"/>
    <sheet name="109d" sheetId="12" r:id="rId12"/>
    <sheet name="110d" sheetId="13" r:id="rId13"/>
    <sheet name="111d" sheetId="14" r:id="rId14"/>
    <sheet name="112d" sheetId="15" r:id="rId15"/>
    <sheet name="113d" sheetId="16" r:id="rId16"/>
    <sheet name="114d" sheetId="17" r:id="rId17"/>
    <sheet name="115d" sheetId="18" r:id="rId18"/>
    <sheet name="116d" sheetId="19" r:id="rId19"/>
    <sheet name="117d" sheetId="20" r:id="rId20"/>
    <sheet name="118d" sheetId="21" r:id="rId21"/>
    <sheet name="119d" sheetId="22" r:id="rId22"/>
    <sheet name="120d" sheetId="23" r:id="rId23"/>
    <sheet name="121d" sheetId="24" r:id="rId24"/>
    <sheet name="122d" sheetId="25" r:id="rId25"/>
    <sheet name="123d" sheetId="26" r:id="rId26"/>
    <sheet name="124d" sheetId="27" r:id="rId27"/>
    <sheet name="125d" sheetId="28" r:id="rId28"/>
    <sheet name="126d" sheetId="29" r:id="rId29"/>
    <sheet name="127d" sheetId="30" r:id="rId30"/>
    <sheet name="128d" sheetId="31" r:id="rId31"/>
    <sheet name="129d" sheetId="32" r:id="rId32"/>
    <sheet name="130d" sheetId="33" r:id="rId33"/>
    <sheet name="131d" sheetId="34" r:id="rId34"/>
    <sheet name="132d" sheetId="35" r:id="rId35"/>
    <sheet name="133d" sheetId="36" r:id="rId36"/>
    <sheet name="134d" sheetId="37" r:id="rId37"/>
    <sheet name="135d" sheetId="38" r:id="rId38"/>
    <sheet name="136d" sheetId="39" r:id="rId39"/>
    <sheet name="137d" sheetId="40" r:id="rId40"/>
    <sheet name="138d" sheetId="41" r:id="rId41"/>
    <sheet name="139d" sheetId="42" r:id="rId42"/>
    <sheet name="140d" sheetId="43" r:id="rId43"/>
    <sheet name="141d" sheetId="44" r:id="rId44"/>
    <sheet name="142d" sheetId="45" r:id="rId45"/>
    <sheet name="143d" sheetId="46" r:id="rId46"/>
    <sheet name="144d" sheetId="47" r:id="rId47"/>
    <sheet name="145d" sheetId="48" r:id="rId48"/>
    <sheet name="146d" sheetId="49" r:id="rId49"/>
    <sheet name="147d" sheetId="50" r:id="rId50"/>
    <sheet name="148d" sheetId="51" r:id="rId51"/>
    <sheet name="149d" sheetId="52" r:id="rId52"/>
    <sheet name="T2d" sheetId="53" r:id="rId53"/>
    <sheet name="201d" sheetId="54" r:id="rId54"/>
    <sheet name="202d" sheetId="55" r:id="rId55"/>
    <sheet name="203d" sheetId="56" r:id="rId56"/>
    <sheet name="204d" sheetId="57" r:id="rId57"/>
    <sheet name="205d" sheetId="58" r:id="rId58"/>
    <sheet name="206d" sheetId="59" r:id="rId59"/>
    <sheet name="207d" sheetId="60" r:id="rId60"/>
    <sheet name="208d" sheetId="61" r:id="rId61"/>
    <sheet name="209d" sheetId="62" r:id="rId62"/>
    <sheet name="210d" sheetId="63" r:id="rId63"/>
    <sheet name="211d" sheetId="64" r:id="rId64"/>
    <sheet name="212d" sheetId="65" r:id="rId65"/>
    <sheet name="213d" sheetId="66" r:id="rId66"/>
    <sheet name="T3d" sheetId="67" r:id="rId67"/>
    <sheet name="301d" sheetId="68" r:id="rId68"/>
    <sheet name="302d" sheetId="69" r:id="rId69"/>
    <sheet name="303d" sheetId="70" r:id="rId70"/>
    <sheet name="304d" sheetId="71" r:id="rId71"/>
    <sheet name="305d" sheetId="72" r:id="rId72"/>
    <sheet name="306d" sheetId="73" r:id="rId73"/>
    <sheet name="307d" sheetId="74" r:id="rId74"/>
    <sheet name="308d" sheetId="75" r:id="rId75"/>
    <sheet name="309d" sheetId="76" r:id="rId76"/>
    <sheet name="310d" sheetId="77" r:id="rId77"/>
    <sheet name="311d" sheetId="78" r:id="rId78"/>
    <sheet name="312d" sheetId="79" r:id="rId79"/>
    <sheet name="313d" sheetId="80" r:id="rId80"/>
    <sheet name="T4d" sheetId="81" r:id="rId81"/>
    <sheet name="401d" sheetId="82" r:id="rId82"/>
    <sheet name="402d" sheetId="83" r:id="rId83"/>
    <sheet name="403d" sheetId="84" r:id="rId84"/>
    <sheet name="404d" sheetId="85" r:id="rId85"/>
    <sheet name="405d" sheetId="86" r:id="rId86"/>
    <sheet name="406d" sheetId="87" r:id="rId87"/>
    <sheet name="407d" sheetId="88" r:id="rId88"/>
    <sheet name="408d" sheetId="89" r:id="rId89"/>
    <sheet name="409d" sheetId="90" r:id="rId90"/>
    <sheet name="410d" sheetId="91" r:id="rId91"/>
    <sheet name="411d" sheetId="92" r:id="rId92"/>
    <sheet name="412d" sheetId="93" r:id="rId93"/>
    <sheet name="413d" sheetId="94" r:id="rId94"/>
    <sheet name="T5d" sheetId="95" r:id="rId95"/>
    <sheet name="501d" sheetId="96" r:id="rId96"/>
    <sheet name="502d" sheetId="97" r:id="rId97"/>
    <sheet name="503d" sheetId="98" r:id="rId98"/>
    <sheet name="504d" sheetId="99" r:id="rId99"/>
    <sheet name="T6d" sheetId="100" r:id="rId100"/>
    <sheet name="601d" sheetId="101" r:id="rId101"/>
    <sheet name="602d" sheetId="102" r:id="rId102"/>
    <sheet name="603d" sheetId="103" r:id="rId103"/>
    <sheet name="604d" sheetId="104" r:id="rId104"/>
    <sheet name="605d" sheetId="105" r:id="rId105"/>
    <sheet name="606d" sheetId="106" r:id="rId106"/>
    <sheet name="T7d" sheetId="107" r:id="rId107"/>
    <sheet name="701d" sheetId="108" r:id="rId108"/>
    <sheet name="702d" sheetId="109" r:id="rId109"/>
    <sheet name="703d" sheetId="110" r:id="rId110"/>
    <sheet name="704d" sheetId="111" r:id="rId111"/>
    <sheet name="705d" sheetId="112" r:id="rId112"/>
    <sheet name="706d" sheetId="113" r:id="rId113"/>
    <sheet name="T8d" sheetId="114" r:id="rId114"/>
    <sheet name="801d" sheetId="115" r:id="rId115"/>
    <sheet name="802d" sheetId="116" r:id="rId116"/>
    <sheet name="803d" sheetId="117" r:id="rId117"/>
    <sheet name="804d" sheetId="118" r:id="rId118"/>
    <sheet name="805d" sheetId="119" r:id="rId119"/>
    <sheet name="806d" sheetId="120" r:id="rId120"/>
    <sheet name="807d" sheetId="121" r:id="rId121"/>
    <sheet name="808d" sheetId="122" r:id="rId122"/>
    <sheet name="809d" sheetId="123" r:id="rId123"/>
    <sheet name="810d" sheetId="124" r:id="rId124"/>
    <sheet name="811d" sheetId="125" r:id="rId125"/>
    <sheet name="812d" sheetId="126" r:id="rId126"/>
    <sheet name="T9d" sheetId="127" r:id="rId127"/>
    <sheet name="901d" sheetId="128" r:id="rId128"/>
    <sheet name="902d" sheetId="129" r:id="rId129"/>
    <sheet name="903d" sheetId="130" r:id="rId130"/>
    <sheet name="904d" sheetId="131" r:id="rId131"/>
    <sheet name="905d" sheetId="132" r:id="rId132"/>
    <sheet name="906d" sheetId="133" r:id="rId133"/>
    <sheet name="907d" sheetId="134" r:id="rId134"/>
    <sheet name="908d" sheetId="135" r:id="rId135"/>
    <sheet name="909d" sheetId="136" r:id="rId136"/>
    <sheet name="910d" sheetId="137" r:id="rId137"/>
    <sheet name="911d" sheetId="138" r:id="rId138"/>
    <sheet name="912d" sheetId="139" r:id="rId139"/>
    <sheet name="913d" sheetId="140" r:id="rId140"/>
    <sheet name="914d" sheetId="141" r:id="rId141"/>
    <sheet name="915d" sheetId="142" r:id="rId142"/>
    <sheet name="916d" sheetId="143" r:id="rId143"/>
    <sheet name="917d" sheetId="144" r:id="rId144"/>
    <sheet name="918d" sheetId="145" r:id="rId145"/>
    <sheet name="919d" sheetId="146" r:id="rId146"/>
    <sheet name="920d" sheetId="147" r:id="rId147"/>
    <sheet name="F1d" sheetId="148" r:id="rId148"/>
    <sheet name="F2d" sheetId="149" r:id="rId149"/>
  </sheets>
  <definedNames>
    <definedName name="_xlnm.Print_Area" localSheetId="3">'101d'!$A$1:$I$25</definedName>
    <definedName name="_xlnm.Print_Area" localSheetId="4">'102d'!$A$1:$G$28</definedName>
    <definedName name="_xlnm.Print_Area" localSheetId="5">'103d'!$A$1:$F$43</definedName>
    <definedName name="_xlnm.Print_Area" localSheetId="6">'104d'!$A$1:$G$41</definedName>
    <definedName name="_xlnm.Print_Area" localSheetId="7">'105d'!$A$1:$G$22</definedName>
    <definedName name="_xlnm.Print_Area" localSheetId="8">'106d'!$A$1:$G$18</definedName>
    <definedName name="_xlnm.Print_Area" localSheetId="9">'107d'!$A$1:$G$29</definedName>
    <definedName name="_xlnm.Print_Area" localSheetId="10">'108d'!$A$1:$G$25</definedName>
    <definedName name="_xlnm.Print_Area" localSheetId="11">'109d'!$A$2:$G$26</definedName>
    <definedName name="_xlnm.Print_Area" localSheetId="12">'110d'!$A$1:$J$73</definedName>
    <definedName name="_xlnm.Print_Area" localSheetId="13">'111d'!$A$1:$G$17</definedName>
    <definedName name="_xlnm.Print_Area" localSheetId="14">'112d'!$A$1:$G$17</definedName>
    <definedName name="_xlnm.Print_Area" localSheetId="15">'113d'!$A$1:$G$24</definedName>
    <definedName name="_xlnm.Print_Area" localSheetId="16">'114d'!$A$1:$G$22</definedName>
    <definedName name="_xlnm.Print_Area" localSheetId="17">'115d'!$A$1:$N$48</definedName>
    <definedName name="_xlnm.Print_Area" localSheetId="18">'116d'!$A$1:$H$32</definedName>
    <definedName name="_xlnm.Print_Area" localSheetId="19">'117d'!$A$1:$N$47</definedName>
    <definedName name="_xlnm.Print_Area" localSheetId="20">'118d'!$A$1:$H$32</definedName>
    <definedName name="_xlnm.Print_Area" localSheetId="21">'119d'!$A$1:$G$22</definedName>
    <definedName name="_xlnm.Print_Area" localSheetId="22">'120d'!$A$1:$J$73</definedName>
    <definedName name="_xlnm.Print_Area" localSheetId="23">'121d'!$A$1:$G$24</definedName>
    <definedName name="_xlnm.Print_Area" localSheetId="24">'122d'!$A$1:$G$24</definedName>
    <definedName name="_xlnm.Print_Area" localSheetId="25">'123d'!$A$1:$H$22</definedName>
    <definedName name="_xlnm.Print_Area" localSheetId="26">'124d'!$A$1:$G$22</definedName>
    <definedName name="_xlnm.Print_Area" localSheetId="27">'125d'!$A$1:$F$24</definedName>
    <definedName name="_xlnm.Print_Area" localSheetId="28">'126d'!$A$1:$F$24</definedName>
    <definedName name="_xlnm.Print_Area" localSheetId="29">'127d'!$A$1:$E$39</definedName>
    <definedName name="_xlnm.Print_Area" localSheetId="30">'128d'!$A$1:$E$39</definedName>
    <definedName name="_xlnm.Print_Area" localSheetId="31">'129d'!$A$1:$E$39</definedName>
    <definedName name="_xlnm.Print_Area" localSheetId="32">'130d'!$A$1:$E$39</definedName>
    <definedName name="_xlnm.Print_Area" localSheetId="33">'131d'!$A$1:$E$39</definedName>
    <definedName name="_xlnm.Print_Area" localSheetId="34">'132d'!$A$1:$G$26</definedName>
    <definedName name="_xlnm.Print_Area" localSheetId="35">'133d'!$A$1:$G$26</definedName>
    <definedName name="_xlnm.Print_Area" localSheetId="36">'134d'!$A$1:$F$22</definedName>
    <definedName name="_xlnm.Print_Area" localSheetId="37">'135d'!$A$1:$I$21</definedName>
    <definedName name="_xlnm.Print_Area" localSheetId="38">'136d'!$A$1:$I$39</definedName>
    <definedName name="_xlnm.Print_Area" localSheetId="40">'138d'!$A$1:$H$39</definedName>
    <definedName name="_xlnm.Print_Area" localSheetId="41">'139d'!$A$1:$G$17</definedName>
    <definedName name="_xlnm.Print_Area" localSheetId="42">'140d'!$A$1:$G$17</definedName>
    <definedName name="_xlnm.Print_Area" localSheetId="43">'141d'!$A$1:$I$38</definedName>
    <definedName name="_xlnm.Print_Area" localSheetId="44">'142d'!$A$1:$G$25</definedName>
    <definedName name="_xlnm.Print_Area" localSheetId="45">'143d'!$A$1:$Q$50</definedName>
    <definedName name="_xlnm.Print_Area" localSheetId="46">'144d'!$A$1:$J$66</definedName>
    <definedName name="_xlnm.Print_Area" localSheetId="47">'145d'!$A$1:$J$66</definedName>
    <definedName name="_xlnm.Print_Area" localSheetId="48">'146d'!$A$1:$J$66</definedName>
    <definedName name="_xlnm.Print_Area" localSheetId="49">'147d'!$A$1:$E$31</definedName>
    <definedName name="_xlnm.Print_Area" localSheetId="50">'148d'!$A$1:$E$19</definedName>
    <definedName name="_xlnm.Print_Area" localSheetId="51">'149d'!$A$1:$F$19</definedName>
    <definedName name="_xlnm.Print_Area" localSheetId="53">'201d'!$A$1:$G$27</definedName>
    <definedName name="_xlnm.Print_Area" localSheetId="54">'202d'!$A$1:$G$27</definedName>
    <definedName name="_xlnm.Print_Area" localSheetId="55">'203d'!$A$1:$H$52</definedName>
    <definedName name="_xlnm.Print_Area" localSheetId="56">'204d'!$A$1:$G$43</definedName>
    <definedName name="_xlnm.Print_Area" localSheetId="57">'205d'!$A$1:$G$41</definedName>
    <definedName name="_xlnm.Print_Area" localSheetId="58">'206d'!$A$1:$H$45</definedName>
    <definedName name="_xlnm.Print_Area" localSheetId="59">'207d'!$A$1:$G$43</definedName>
    <definedName name="_xlnm.Print_Area" localSheetId="60">'208d'!$A$1:$G$41</definedName>
    <definedName name="_xlnm.Print_Area" localSheetId="61">'209d'!$A$1:$G$45</definedName>
    <definedName name="_xlnm.Print_Area" localSheetId="62">'210d'!$A$1:$G$41</definedName>
    <definedName name="_xlnm.Print_Area" localSheetId="63">'211d'!$A$1:$G$45</definedName>
    <definedName name="_xlnm.Print_Area" localSheetId="64">'212d'!$A$1:$G$32</definedName>
    <definedName name="_xlnm.Print_Area" localSheetId="65">'213d'!$A$1:$H$34</definedName>
    <definedName name="_xlnm.Print_Area" localSheetId="67">'301d'!$A$1:$L$46</definedName>
    <definedName name="_xlnm.Print_Area" localSheetId="68">'302d'!$A$1:$K$43</definedName>
    <definedName name="_xlnm.Print_Area" localSheetId="69">'303d'!$A$1:$L$45</definedName>
    <definedName name="_xlnm.Print_Area" localSheetId="70">'304d'!$A$1:$K$43</definedName>
    <definedName name="_xlnm.Print_Area" localSheetId="71">'305d'!$A$1:$L$41</definedName>
    <definedName name="_xlnm.Print_Area" localSheetId="72">'306d'!$A$1:$L$43</definedName>
    <definedName name="_xlnm.Print_Area" localSheetId="73">'307d'!$A$1:$F$42</definedName>
    <definedName name="_xlnm.Print_Area" localSheetId="74">'308d'!$A$1:$F$42</definedName>
    <definedName name="_xlnm.Print_Area" localSheetId="75">'309d'!$A$1:$H$44</definedName>
    <definedName name="_xlnm.Print_Area" localSheetId="76">'310d'!$A$1:$K$42</definedName>
    <definedName name="_xlnm.Print_Area" localSheetId="77">'311d'!$A$1:$F$43</definedName>
    <definedName name="_xlnm.Print_Area" localSheetId="78">'312d'!$A$1:$F$43</definedName>
    <definedName name="_xlnm.Print_Area" localSheetId="79">'313d'!$A$1:$F$43</definedName>
    <definedName name="_xlnm.Print_Area" localSheetId="81">'401d'!$A$1:$H$23</definedName>
    <definedName name="_xlnm.Print_Area" localSheetId="82">'402d'!$A$1:$G$42</definedName>
    <definedName name="_xlnm.Print_Area" localSheetId="83">'403d'!$A$1:$E$35</definedName>
    <definedName name="_xlnm.Print_Area" localSheetId="84">'404d'!$A$1:$I$43</definedName>
    <definedName name="_xlnm.Print_Area" localSheetId="85">'405d'!$A$1:$I$42</definedName>
    <definedName name="_xlnm.Print_Area" localSheetId="86">'406d'!$A$1:$I$42</definedName>
    <definedName name="_xlnm.Print_Area" localSheetId="87">'407d'!$A$1:$H$28</definedName>
    <definedName name="_xlnm.Print_Area" localSheetId="88">'408d'!$A$1:$I$49</definedName>
    <definedName name="_xlnm.Print_Area" localSheetId="89">'409d'!$A$1:$G$47</definedName>
    <definedName name="_xlnm.Print_Area" localSheetId="90">'410d'!$A$1:$G$42</definedName>
    <definedName name="_xlnm.Print_Area" localSheetId="91">'411d'!$A$1:$J$41</definedName>
    <definedName name="_xlnm.Print_Area" localSheetId="92">'412d'!$A$1:$J$43</definedName>
    <definedName name="_xlnm.Print_Area" localSheetId="93">'413d'!$A$1:$I$47</definedName>
    <definedName name="_xlnm.Print_Area" localSheetId="95">'501d'!$A$1:$Q$111</definedName>
    <definedName name="_xlnm.Print_Area" localSheetId="96">'502d'!$A$1:$J$66</definedName>
    <definedName name="_xlnm.Print_Area" localSheetId="97">'503d'!$A$1:$I$120</definedName>
    <definedName name="_xlnm.Print_Area" localSheetId="98">'504d'!$A$1:$I$30</definedName>
    <definedName name="_xlnm.Print_Area" localSheetId="100">'601d'!$A$1:$G$24</definedName>
    <definedName name="_xlnm.Print_Area" localSheetId="101">'602d'!$A$1:$G$24</definedName>
    <definedName name="_xlnm.Print_Area" localSheetId="102">'603d'!$A$1:$E$37</definedName>
    <definedName name="_xlnm.Print_Area" localSheetId="103">'604d'!$A$1:$E$37</definedName>
    <definedName name="_xlnm.Print_Area" localSheetId="104">'605d'!$A$1:$E$40</definedName>
    <definedName name="_xlnm.Print_Area" localSheetId="105">'606d'!$A$1:$E$40</definedName>
    <definedName name="_xlnm.Print_Area" localSheetId="107">'701d'!$A$1:$G$26</definedName>
    <definedName name="_xlnm.Print_Area" localSheetId="108">'702d'!$A$2:$G$23</definedName>
    <definedName name="_xlnm.Print_Area" localSheetId="109">'703d'!$A$1:$E$39</definedName>
    <definedName name="_xlnm.Print_Area" localSheetId="110">'704d'!$A$1:$E$37</definedName>
    <definedName name="_xlnm.Print_Area" localSheetId="111">'705d'!$A$1:$E$39</definedName>
    <definedName name="_xlnm.Print_Area" localSheetId="112">'706d'!$A$1:$E$42</definedName>
    <definedName name="_xlnm.Print_Area" localSheetId="114">'801d'!$A$1:$F$54</definedName>
    <definedName name="_xlnm.Print_Area" localSheetId="115">'802d'!$A$1:$G$57</definedName>
    <definedName name="_xlnm.Print_Area" localSheetId="116">'803d'!$A$1:$H$24</definedName>
    <definedName name="_xlnm.Print_Area" localSheetId="117">'804d'!$A$1:$G$27</definedName>
    <definedName name="_xlnm.Print_Area" localSheetId="118">'805d'!$A$1:$D$48</definedName>
    <definedName name="_xlnm.Print_Area" localSheetId="119">'806d'!$A$1:$D$41</definedName>
    <definedName name="_xlnm.Print_Area" localSheetId="120">'807d'!$A$1:$G$26</definedName>
    <definedName name="_xlnm.Print_Area" localSheetId="121">'808d'!$A$1:$F$26</definedName>
    <definedName name="_xlnm.Print_Area" localSheetId="122">'809d'!$A$1:$D$33</definedName>
    <definedName name="_xlnm.Print_Area" localSheetId="123">'810d'!$A$1:$D$44</definedName>
    <definedName name="_xlnm.Print_Area" localSheetId="124">'811d'!$A$1:$D$31</definedName>
    <definedName name="_xlnm.Print_Area" localSheetId="125">'812d'!$A$1:$D$27</definedName>
    <definedName name="_xlnm.Print_Area" localSheetId="127">'901d'!$A$1:$G$29</definedName>
    <definedName name="_xlnm.Print_Area" localSheetId="128">'902d'!$A$1:$G$29</definedName>
    <definedName name="_xlnm.Print_Area" localSheetId="129">'903d'!$A$1:$I$28</definedName>
    <definedName name="_xlnm.Print_Area" localSheetId="130">'904d'!$A$1:$H$26</definedName>
    <definedName name="_xlnm.Print_Area" localSheetId="131">'905d'!$A$1:$F$26</definedName>
    <definedName name="_xlnm.Print_Area" localSheetId="132">'906d'!$A$1:$P$77</definedName>
    <definedName name="_xlnm.Print_Area" localSheetId="133">'907d'!$A$1:$I$57</definedName>
    <definedName name="_xlnm.Print_Area" localSheetId="134">'908d'!$A$1:$Q$84</definedName>
    <definedName name="_xlnm.Print_Area" localSheetId="135">'909d'!$A$1:$J$50</definedName>
    <definedName name="_xlnm.Print_Area" localSheetId="136">'910d'!$A$1:$I$36</definedName>
    <definedName name="_xlnm.Print_Area" localSheetId="137">'911d'!$A$1:$N$26</definedName>
    <definedName name="_xlnm.Print_Area" localSheetId="138">'912d'!$A$1:$I$44</definedName>
    <definedName name="_xlnm.Print_Area" localSheetId="139">'913d'!$A$1:$I$30</definedName>
    <definedName name="_xlnm.Print_Area" localSheetId="140">'914d'!$A$1:$G$39</definedName>
    <definedName name="_xlnm.Print_Area" localSheetId="141">'915d'!$A$1:$I$47</definedName>
    <definedName name="_xlnm.Print_Area" localSheetId="142">'916d'!$A$1:$I$38</definedName>
    <definedName name="_xlnm.Print_Area" localSheetId="143">'917d'!$A$1:$K$32</definedName>
    <definedName name="_xlnm.Print_Area" localSheetId="144">'918d'!$A$1:$I$32</definedName>
    <definedName name="_xlnm.Print_Area" localSheetId="145">'919d'!$A$1:$O$25</definedName>
    <definedName name="_xlnm.Print_Area" localSheetId="146">'920d'!$A$1:$O$37</definedName>
    <definedName name="_xlnm.Print_Area" localSheetId="147">F1d!$A$1:$H$181</definedName>
    <definedName name="_xlnm.Print_Area" localSheetId="148">F2d!$A$1:$H$184</definedName>
    <definedName name="_xlnm.Print_Area" localSheetId="0">Info!$A$1:$K$66</definedName>
    <definedName name="_xlnm.Print_Titles" localSheetId="95">'501d'!$A:$A,'501d'!$1:$10</definedName>
    <definedName name="_xlnm.Print_Titles" localSheetId="97">'503d'!$A:$A,'503d'!$1:$10</definedName>
    <definedName name="_xlnm.Print_Titles" localSheetId="98">'504d'!$A:$A,'504d'!$1:$7</definedName>
    <definedName name="_xlnm.Print_Titles" localSheetId="132">'906d'!$1:$7</definedName>
    <definedName name="_xlnm.Print_Titles" localSheetId="134">'908d'!$1:$6</definedName>
    <definedName name="_xlnm.Print_Titles" localSheetId="147">F1d!$5:$5</definedName>
    <definedName name="_xlnm.Print_Titles" localSheetId="148">F2d!$5:$5</definedName>
    <definedName name="Z_E58FEA52_E3A2_4787_9824_12DA55A527FE_.wvu.Cols" localSheetId="90" hidden="1">'410d'!$I:$I</definedName>
    <definedName name="Z_E58FEA52_E3A2_4787_9824_12DA55A527FE_.wvu.PrintArea" localSheetId="90" hidden="1">'410d'!$A$1:$E$41</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4" i="90" l="1"/>
  <c r="C34" i="90"/>
  <c r="S34" i="136"/>
  <c r="P34" i="136"/>
  <c r="M34" i="136"/>
  <c r="U34" i="136"/>
  <c r="R34" i="136"/>
  <c r="O34" i="136"/>
  <c r="N34" i="136"/>
  <c r="U33" i="136"/>
  <c r="R33" i="136"/>
  <c r="U32" i="136"/>
  <c r="R32" i="136"/>
  <c r="U31" i="136"/>
  <c r="R31" i="136"/>
  <c r="U30" i="136"/>
  <c r="R30" i="136"/>
  <c r="U29" i="136"/>
  <c r="R29" i="136"/>
  <c r="U28" i="136"/>
  <c r="R28" i="136"/>
  <c r="U27" i="136"/>
  <c r="R27" i="136"/>
  <c r="U26" i="136"/>
  <c r="R26" i="136"/>
  <c r="U25" i="136"/>
  <c r="R25" i="136"/>
  <c r="U24" i="136"/>
  <c r="R24" i="136"/>
  <c r="U23" i="136"/>
  <c r="R23" i="136"/>
  <c r="U22" i="136"/>
  <c r="R22" i="136"/>
  <c r="U21" i="136"/>
  <c r="R21" i="136"/>
  <c r="U20" i="136"/>
  <c r="R20" i="136"/>
  <c r="U19" i="136"/>
  <c r="R19" i="136"/>
  <c r="U18" i="136"/>
  <c r="R18" i="136"/>
  <c r="U17" i="136"/>
  <c r="R17" i="136"/>
  <c r="U16" i="136"/>
  <c r="R16" i="136"/>
  <c r="U15" i="136"/>
  <c r="R15" i="136"/>
  <c r="U14" i="136"/>
  <c r="R14" i="136"/>
  <c r="U13" i="136"/>
  <c r="R13" i="136"/>
  <c r="U12" i="136"/>
  <c r="R12" i="136"/>
  <c r="U11" i="136"/>
  <c r="R11" i="136"/>
  <c r="U10" i="136"/>
  <c r="R10" i="136"/>
  <c r="U9" i="136"/>
  <c r="R9" i="136"/>
  <c r="U8" i="136"/>
  <c r="R8" i="1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Informatik</author>
  </authors>
  <commentList>
    <comment ref="H6" authorId="0" shapeId="0" xr:uid="{A456D0DA-7226-F04B-900C-3D3A7EB05A1B}">
      <text>
        <r>
          <rPr>
            <b/>
            <sz val="8"/>
            <color indexed="81"/>
            <rFont val="Tahoma"/>
            <family val="2"/>
          </rPr>
          <t>Cap / 22.10.01</t>
        </r>
        <r>
          <rPr>
            <sz val="8"/>
            <color indexed="81"/>
            <rFont val="Tahoma"/>
            <family val="2"/>
          </rPr>
          <t xml:space="preserve">
gemäss Auswertung 1999 vom 22.10.01</t>
        </r>
      </text>
    </comment>
  </commentList>
</comments>
</file>

<file path=xl/sharedStrings.xml><?xml version="1.0" encoding="utf-8"?>
<sst xmlns="http://schemas.openxmlformats.org/spreadsheetml/2006/main" count="9052" uniqueCount="2157">
  <si>
    <t>Betriebsrechnung der Zusatzversicherungen Versicherte wohnhaft im Ausland</t>
  </si>
  <si>
    <t xml:space="preserve">Betriebsrechnung der Zusatzversicherungen </t>
  </si>
  <si>
    <t>1) Maximaler Subventionsbetrag von Bund und Kantonen gemäss KVG-Verteilmodell (vgl. Art. 106 KVG).</t>
  </si>
  <si>
    <t>2) Vgl. Art. 66 Abs. 5 KVG: "Der Kanton darf den (...) von ihm zu übernehmenden Betrag um maximal 50 Prozent kürzen, wenn</t>
  </si>
  <si>
    <t>die Prämienverbilligung für Versicherte in bescheidenen wirtschaftlichen Verhältnissen trotzdem sichergestellt ist. Der Beitrag</t>
  </si>
  <si>
    <t>des Bundes an diesen Kanton wird im gleichen Verhältnis gekürzt".</t>
  </si>
  <si>
    <t>3) Subventionsbudget = maximaler Subventionsbetrag abzüglich der Kürzungsbeträge von Kantonen und Bund (vgl. Fussnote 2).</t>
  </si>
  <si>
    <t>4) Effektiv im Berichtsjahr an die Haushalte/BezügerInnen ausbezahlte Prämienverbilligungen nach KVG.</t>
  </si>
  <si>
    <r>
      <t xml:space="preserve">tionsziel </t>
    </r>
    <r>
      <rPr>
        <vertAlign val="superscript"/>
        <sz val="11"/>
        <rFont val="Arial"/>
        <family val="2"/>
      </rPr>
      <t>1</t>
    </r>
  </si>
  <si>
    <r>
      <t xml:space="preserve">faktor </t>
    </r>
    <r>
      <rPr>
        <vertAlign val="superscript"/>
        <sz val="11"/>
        <rFont val="Arial"/>
        <family val="2"/>
      </rPr>
      <t>2</t>
    </r>
    <r>
      <rPr>
        <sz val="11"/>
        <rFont val="Arial"/>
        <family val="2"/>
      </rPr>
      <t xml:space="preserve"> :</t>
    </r>
  </si>
  <si>
    <r>
      <t xml:space="preserve">Kürzungen </t>
    </r>
    <r>
      <rPr>
        <vertAlign val="superscript"/>
        <sz val="11"/>
        <rFont val="Arial"/>
        <family val="2"/>
      </rPr>
      <t>3</t>
    </r>
  </si>
  <si>
    <r>
      <t xml:space="preserve">nach KVG </t>
    </r>
    <r>
      <rPr>
        <vertAlign val="superscript"/>
        <sz val="11"/>
        <rFont val="Arial"/>
        <family val="2"/>
      </rPr>
      <t>4</t>
    </r>
  </si>
  <si>
    <t>T 4.10 Ausgerichtete Leistungen nach Kantonen</t>
  </si>
  <si>
    <t>nach KVG</t>
  </si>
  <si>
    <t>pro Haushalt</t>
  </si>
  <si>
    <t>pro Bezüger</t>
  </si>
  <si>
    <t>und früher</t>
  </si>
  <si>
    <t>Quelle: Formular PV1 / T 4.04 / T 4.02</t>
  </si>
  <si>
    <t>1) Effektiv im Berichtsjahr an die Haushalte/BezügerInnen ausbezahlte Prämienverbilligungen nach KVG.</t>
  </si>
  <si>
    <t>für 2003</t>
  </si>
  <si>
    <t>für 2002</t>
  </si>
  <si>
    <r>
      <t xml:space="preserve">nach KVG </t>
    </r>
    <r>
      <rPr>
        <b/>
        <vertAlign val="superscript"/>
        <sz val="11"/>
        <rFont val="Arial"/>
        <family val="2"/>
      </rPr>
      <t>1</t>
    </r>
  </si>
  <si>
    <t>Total</t>
  </si>
  <si>
    <t>&gt; 90</t>
  </si>
  <si>
    <t>Veränd.</t>
  </si>
  <si>
    <t>gegenüb.</t>
  </si>
  <si>
    <t>Vorjahr</t>
  </si>
  <si>
    <t>0 - 18</t>
  </si>
  <si>
    <t>19 - 25</t>
  </si>
  <si>
    <t>26 - 30</t>
  </si>
  <si>
    <t>31 - 35</t>
  </si>
  <si>
    <t>36 - 40</t>
  </si>
  <si>
    <t>41 - 45</t>
  </si>
  <si>
    <t>46 - 50</t>
  </si>
  <si>
    <t>51 - 55</t>
  </si>
  <si>
    <t>56 - 60</t>
  </si>
  <si>
    <t>61 - 65</t>
  </si>
  <si>
    <t>66 - 70</t>
  </si>
  <si>
    <t>71 - 75</t>
  </si>
  <si>
    <t>76 - 80</t>
  </si>
  <si>
    <t>81 - 85</t>
  </si>
  <si>
    <t>86 - 90</t>
  </si>
  <si>
    <t>Männlich</t>
  </si>
  <si>
    <t>Weiblich</t>
  </si>
  <si>
    <t>Quelle: Statistik des Risikoausgleiches - Gemeinsame Einrichtung KVG</t>
  </si>
  <si>
    <t>1) Durchschnittlicher Versichertenbestand = Anzahl Versicherungsmonate dividiert durch 12.</t>
  </si>
  <si>
    <t>in %</t>
  </si>
  <si>
    <t>des Totals</t>
  </si>
  <si>
    <t>Datenstand: 4.7.2003</t>
  </si>
  <si>
    <t>Vom Bund anerkannte Versicherungsträger</t>
  </si>
  <si>
    <t xml:space="preserve">Tabellen </t>
  </si>
  <si>
    <t>Teil 1</t>
  </si>
  <si>
    <t>Versicherte und Finanzen in der obligatorischen Krankenpflegeversicherung (OKP)</t>
  </si>
  <si>
    <t>Teil 2</t>
  </si>
  <si>
    <t>Leistungen und Kostenbeteiligung in der OKP</t>
  </si>
  <si>
    <t>Teil 3</t>
  </si>
  <si>
    <t>Prämien in der OKP</t>
  </si>
  <si>
    <t>Teil 4</t>
  </si>
  <si>
    <t>Prämienverbilligung in der OKP</t>
  </si>
  <si>
    <t>Teil 5</t>
  </si>
  <si>
    <t>Aufsichtsdaten OKP</t>
  </si>
  <si>
    <t>Teil 6</t>
  </si>
  <si>
    <t>601-606</t>
  </si>
  <si>
    <t>Freiwillige Taggeldversicherung KVG</t>
  </si>
  <si>
    <t>Teil 7</t>
  </si>
  <si>
    <t>Teil 8</t>
  </si>
  <si>
    <t>Teil 9</t>
  </si>
  <si>
    <t>Zusatzinformationen zum Gesundheitswesen</t>
  </si>
  <si>
    <t>Letzter vollständiger Bericht auf deutsch im PDF-Format auf der Internet-Adresse</t>
  </si>
  <si>
    <r>
      <t xml:space="preserve">1) Effektive Kosten = (bezahlte) Leistungen der Versicherer in der OKP </t>
    </r>
    <r>
      <rPr>
        <b/>
        <sz val="10"/>
        <rFont val="Arial"/>
        <family val="2"/>
      </rPr>
      <t>ohne</t>
    </r>
    <r>
      <rPr>
        <sz val="10"/>
        <rFont val="Arial"/>
        <family val="2"/>
      </rPr>
      <t xml:space="preserve"> Kostenbeteiligung durch die Versicherten.</t>
    </r>
  </si>
  <si>
    <t>Kanton</t>
  </si>
  <si>
    <t>Kinder</t>
  </si>
  <si>
    <t>Männer</t>
  </si>
  <si>
    <t>Frauen</t>
  </si>
  <si>
    <t>Erwach-</t>
  </si>
  <si>
    <t>Kinder und</t>
  </si>
  <si>
    <t>sene</t>
  </si>
  <si>
    <t>Erwachsene</t>
  </si>
  <si>
    <t>ZH</t>
  </si>
  <si>
    <t>BE</t>
  </si>
  <si>
    <t>LU</t>
  </si>
  <si>
    <t>UR</t>
  </si>
  <si>
    <t>SZ</t>
  </si>
  <si>
    <t>OW</t>
  </si>
  <si>
    <t>NW</t>
  </si>
  <si>
    <t>GL</t>
  </si>
  <si>
    <t>ZG</t>
  </si>
  <si>
    <t>FR</t>
  </si>
  <si>
    <t>SO</t>
  </si>
  <si>
    <t>BS</t>
  </si>
  <si>
    <t>BL</t>
  </si>
  <si>
    <t>SH</t>
  </si>
  <si>
    <t>AR</t>
  </si>
  <si>
    <t>AI</t>
  </si>
  <si>
    <t>SG</t>
  </si>
  <si>
    <t>GR</t>
  </si>
  <si>
    <t>AG</t>
  </si>
  <si>
    <t>TG</t>
  </si>
  <si>
    <t>TI</t>
  </si>
  <si>
    <t>VD</t>
  </si>
  <si>
    <t>VS</t>
  </si>
  <si>
    <t>NE</t>
  </si>
  <si>
    <t>GE</t>
  </si>
  <si>
    <t>JU</t>
  </si>
  <si>
    <t>CH</t>
  </si>
  <si>
    <t>Quelle: T 2.07 / T 2.03</t>
  </si>
  <si>
    <t>Aus-</t>
  </si>
  <si>
    <t>Netto-</t>
  </si>
  <si>
    <t>Anteil</t>
  </si>
  <si>
    <t>gleichs-</t>
  </si>
  <si>
    <t>am Total</t>
  </si>
  <si>
    <t>1) 1993 - 1995: Risikoausgleich in der Krankenpflegegrundversicherung gemäss KUVG.</t>
  </si>
  <si>
    <t>2) Anzahl Versicherer, die für das Ausgleichsjahr eine Abgabe an den Risikoausgleich leisten mussten (Nettozahler), resp.</t>
  </si>
  <si>
    <t>einen Beitrag aus dem Risikoausgleich erhielten (Nettoempfänger).</t>
  </si>
  <si>
    <t>nach Ge-</t>
  </si>
  <si>
    <t>nach</t>
  </si>
  <si>
    <t>zwischen</t>
  </si>
  <si>
    <t>jahr</t>
  </si>
  <si>
    <t>schlecht</t>
  </si>
  <si>
    <t>Alter</t>
  </si>
  <si>
    <t>Versicherern</t>
  </si>
  <si>
    <t xml:space="preserve">Vorjahr </t>
  </si>
  <si>
    <t>1) Theoretisch-statistische Grösse: Gesamtschweizerische Umverteilung von Männern zu Frauen resp. von jüngeren</t>
  </si>
  <si>
    <t>Versicherten (19 – 55-jährige Personen) zu älteren Versicherten (56-jährige und ältere Personen).</t>
  </si>
  <si>
    <t>2) Effektiv erfolgte Umverteilung zwischen den Versicherern (von Nettozahlern zu Nettoempfängern; vgl. Tabelle 2.01).</t>
  </si>
  <si>
    <t>1) Leistungen brutto = Leistungen inkl. Kostenbeteiligung der Versicherten.</t>
  </si>
  <si>
    <t>2) Leistungen netto = Leistungen der Versicherer abzüglich Kostenbeteiligung der Versicherten.</t>
  </si>
  <si>
    <t>3) Reserven in Prozent des Prämiensolls.</t>
  </si>
  <si>
    <t>4) Schätzungen.</t>
  </si>
  <si>
    <t>Quelle: 1996-2003 : T 1.01, 1.02, 1.08, 1.09, 1.10, 1.15, 1.17, 1.19, 1.20, 1.21, 1.22, 1.23, 1.25, 1.32, 1.33 / 2004-2005: Prämiengenehmigungsverfahren BAG.</t>
  </si>
  <si>
    <t>oder</t>
  </si>
  <si>
    <t>Formulare EF123:</t>
  </si>
  <si>
    <t>Anzahl Versicherer mit EF1 Seite 12 Total OKP Vers. &gt; 0</t>
  </si>
  <si>
    <t>EF3 Seite 3 Total</t>
  </si>
  <si>
    <t>EF3 Seite 7 T 3.6 / [ 2 ]</t>
  </si>
  <si>
    <t>EF3 Seite 8 T 3.7.1</t>
  </si>
  <si>
    <t>EF2 Konto 32 K+U Seiten 2.2 -&gt; 2.7</t>
  </si>
  <si>
    <t>= [ 3 ] / [ 2 ] * 100</t>
  </si>
  <si>
    <t>= [ 13 ] / [ 2 ]</t>
  </si>
  <si>
    <t>EF3 Seite 8 T 3.7.2</t>
  </si>
  <si>
    <t>= [ 9 ] - [ 13 ]</t>
  </si>
  <si>
    <t>= [ 10 ] - [ 14 ]</t>
  </si>
  <si>
    <t>EF3 Seite 5 T 3.4</t>
  </si>
  <si>
    <t>EF2 Konten 40-47 + 48 K+U Seiten 2.2 -&gt; 2.7</t>
  </si>
  <si>
    <t>= [ 7 ] / [ 2 ]</t>
  </si>
  <si>
    <t xml:space="preserve">EF2 Konto Gesamtbetriebsergebnis Krankheit + Unfall Seiten 2.2 -&gt; 2.7 </t>
  </si>
  <si>
    <t>EF3 Seite 7 T 3.6</t>
  </si>
  <si>
    <t>= [ 9 ] / [ 2 ]</t>
  </si>
  <si>
    <t>=[ 20 ] / [ 7 ] * 100</t>
  </si>
  <si>
    <r>
      <t xml:space="preserve">2004 </t>
    </r>
    <r>
      <rPr>
        <b/>
        <i/>
        <vertAlign val="superscript"/>
        <sz val="10"/>
        <rFont val="Arial"/>
        <family val="2"/>
      </rPr>
      <t>4</t>
    </r>
  </si>
  <si>
    <r>
      <t xml:space="preserve"> 2005 </t>
    </r>
    <r>
      <rPr>
        <b/>
        <i/>
        <vertAlign val="superscript"/>
        <sz val="10"/>
        <rFont val="Arial"/>
        <family val="2"/>
      </rPr>
      <t>4</t>
    </r>
  </si>
  <si>
    <r>
      <t xml:space="preserve">9  – Leistungen </t>
    </r>
    <r>
      <rPr>
        <vertAlign val="superscript"/>
        <sz val="11"/>
        <rFont val="Arial"/>
        <family val="2"/>
      </rPr>
      <t>1</t>
    </r>
    <r>
      <rPr>
        <sz val="11"/>
        <rFont val="Arial"/>
        <family val="2"/>
      </rPr>
      <t xml:space="preserve"> in Mio. Fr.</t>
    </r>
  </si>
  <si>
    <r>
      <t xml:space="preserve">10 – Leistungen </t>
    </r>
    <r>
      <rPr>
        <vertAlign val="superscript"/>
        <sz val="11"/>
        <rFont val="Arial"/>
        <family val="2"/>
      </rPr>
      <t>1</t>
    </r>
    <r>
      <rPr>
        <sz val="11"/>
        <rFont val="Arial"/>
        <family val="2"/>
      </rPr>
      <t xml:space="preserve"> pro Versicherte(n) in Fr.</t>
    </r>
  </si>
  <si>
    <r>
      <t xml:space="preserve">15 – Bezahlte Leistungen </t>
    </r>
    <r>
      <rPr>
        <vertAlign val="superscript"/>
        <sz val="11"/>
        <rFont val="Arial"/>
        <family val="2"/>
      </rPr>
      <t xml:space="preserve">2 </t>
    </r>
    <r>
      <rPr>
        <sz val="11"/>
        <rFont val="Arial"/>
        <family val="2"/>
      </rPr>
      <t>in Mio. Fr.</t>
    </r>
  </si>
  <si>
    <r>
      <t xml:space="preserve">16 – Bezahlte Leistungen </t>
    </r>
    <r>
      <rPr>
        <vertAlign val="superscript"/>
        <sz val="11"/>
        <rFont val="Arial"/>
        <family val="2"/>
      </rPr>
      <t>2</t>
    </r>
    <r>
      <rPr>
        <sz val="11"/>
        <rFont val="Arial"/>
        <family val="2"/>
      </rPr>
      <t xml:space="preserve"> pro Versicherten in  Fr.</t>
    </r>
  </si>
  <si>
    <r>
      <t xml:space="preserve">21 – Reservenquote </t>
    </r>
    <r>
      <rPr>
        <vertAlign val="superscript"/>
        <sz val="11"/>
        <rFont val="Arial"/>
        <family val="2"/>
      </rPr>
      <t>3</t>
    </r>
    <r>
      <rPr>
        <sz val="11"/>
        <rFont val="Arial"/>
        <family val="2"/>
      </rPr>
      <t xml:space="preserve"> per 31.12. in %</t>
    </r>
  </si>
  <si>
    <t>1) Versichertenbestand = Durchschnittsbestand = Stand aller Monate zusammengezählt und geteilt durch 12.</t>
  </si>
  <si>
    <t>3) Vgl. Fussnote 3) von Tabelle 1.02.</t>
  </si>
  <si>
    <t>Quelle: Formular EF1 [1.12]</t>
  </si>
  <si>
    <r>
      <t xml:space="preserve">T 1.42 Versichertenbestand </t>
    </r>
    <r>
      <rPr>
        <b/>
        <vertAlign val="superscript"/>
        <sz val="12"/>
        <rFont val="Arial"/>
        <family val="2"/>
      </rPr>
      <t xml:space="preserve">1  </t>
    </r>
    <r>
      <rPr>
        <b/>
        <sz val="12"/>
        <rFont val="Arial"/>
        <family val="2"/>
      </rPr>
      <t>nach Geschlecht / Kinder ab 1995</t>
    </r>
  </si>
  <si>
    <t>Kostenbe-</t>
  </si>
  <si>
    <t xml:space="preserve">teiligung </t>
  </si>
  <si>
    <t>ohne KOBE</t>
  </si>
  <si>
    <t>mit KOBE</t>
  </si>
  <si>
    <t>(netto)</t>
  </si>
  <si>
    <t>(brutto)</t>
  </si>
  <si>
    <t>1) OKP = Obligatorische Krankenpflegeversicherung KVG; vor 1996: Krankenpflegegrundversicherung gemäss KUVG und dort ohne</t>
  </si>
  <si>
    <t>die Leistungen für Mutterschaft, Invalidität und Tbc.</t>
  </si>
  <si>
    <t>2) Schätzungen.</t>
  </si>
  <si>
    <t>Quelle: 1985-2003 : T 1.09; T 1.13 - T 1.21; T 1.21 / 2004-2005: Prämiengenehmigungsverfahren BAG.</t>
  </si>
  <si>
    <r>
      <t xml:space="preserve">T 1.41 Prämiensoll, Kostenbeteiligung (KOBE) und Leistungen in der OKP </t>
    </r>
    <r>
      <rPr>
        <b/>
        <vertAlign val="superscript"/>
        <sz val="12"/>
        <rFont val="Arial"/>
        <family val="2"/>
      </rPr>
      <t>1</t>
    </r>
    <r>
      <rPr>
        <b/>
        <sz val="12"/>
        <rFont val="Arial"/>
        <family val="2"/>
      </rPr>
      <t xml:space="preserve">  ab 1985</t>
    </r>
  </si>
  <si>
    <r>
      <t xml:space="preserve">2004 </t>
    </r>
    <r>
      <rPr>
        <i/>
        <vertAlign val="superscript"/>
        <sz val="11"/>
        <rFont val="Arial"/>
        <family val="2"/>
      </rPr>
      <t>2</t>
    </r>
  </si>
  <si>
    <r>
      <t xml:space="preserve">2005 </t>
    </r>
    <r>
      <rPr>
        <i/>
        <vertAlign val="superscript"/>
        <sz val="11"/>
        <rFont val="Arial"/>
        <family val="2"/>
      </rPr>
      <t>2</t>
    </r>
  </si>
  <si>
    <t>12.10.04: 1.24 -&gt;1.26, 1.32 -&gt;1.34, 1.41 -&gt; 1.43</t>
  </si>
  <si>
    <t>17-18</t>
  </si>
  <si>
    <t>Gesamttotal  Kapitalanlagen, Grundstücke und Gebäude</t>
  </si>
  <si>
    <t>1) Anschaffungswert = Buchwert</t>
  </si>
  <si>
    <t>Quelle: Formular EF1 [11]</t>
  </si>
  <si>
    <t>T 8.12  Ergebnisverteilung per 31.12.</t>
  </si>
  <si>
    <t>Gesamtbetriebsrechnung:</t>
  </si>
  <si>
    <t>Vorschlag</t>
  </si>
  <si>
    <t>Rückschlag</t>
  </si>
  <si>
    <t>Zuweisungen</t>
  </si>
  <si>
    <t xml:space="preserve">Entnahmen </t>
  </si>
  <si>
    <t>Fonds:</t>
  </si>
  <si>
    <t>Reglementierte Fonds</t>
  </si>
  <si>
    <t>Immobilien</t>
  </si>
  <si>
    <t>EDV-Projekte</t>
  </si>
  <si>
    <t>Eigenkapital:</t>
  </si>
  <si>
    <t xml:space="preserve">Reserven Oblig. Krankenpflegeversicherung (ohne Kto. 290.5) </t>
  </si>
  <si>
    <t>Reserven Freiw.Taggeldversicherung KVG</t>
  </si>
  <si>
    <t xml:space="preserve">Reserven Aktive Rückversicherung nach KVG </t>
  </si>
  <si>
    <t>Zusatzversicherung VVG, inkl. Taggeld VVG</t>
  </si>
  <si>
    <t xml:space="preserve">Total </t>
  </si>
  <si>
    <t>Quelle: Formular EF1 [10]</t>
  </si>
  <si>
    <t>T 1.03  Versichertenbestand nach Wohnkanton per 31.12.</t>
  </si>
  <si>
    <t xml:space="preserve">Veränderung </t>
  </si>
  <si>
    <t xml:space="preserve">gegenüber </t>
  </si>
  <si>
    <t>unbekannt</t>
  </si>
  <si>
    <t>Betriebsrechnung der Zusatzversicherungen</t>
  </si>
  <si>
    <t>Betriebsrechnung der obligatorischen Krankenpflegeversicherung Personen mit Wohnsitz in einem EG- bzw. EFTA-Staat</t>
  </si>
  <si>
    <t>3) Diese Auswertung basiert auf der Gesamtheit der Versicherten, für die Alter, Geschlecht, Kanton, Versicherungsform und Franchisehöhe bekannt sind.</t>
  </si>
  <si>
    <r>
      <t xml:space="preserve">T 1.20  Kostenbeteiligung </t>
    </r>
    <r>
      <rPr>
        <b/>
        <vertAlign val="superscript"/>
        <sz val="12"/>
        <rFont val="Arial"/>
        <family val="2"/>
      </rPr>
      <t>1</t>
    </r>
    <r>
      <rPr>
        <b/>
        <sz val="12"/>
        <rFont val="Arial"/>
        <family val="2"/>
      </rPr>
      <t xml:space="preserve"> je versicherte Person in Franken nach Versicherungsform ab 1994 </t>
    </r>
  </si>
  <si>
    <r>
      <t xml:space="preserve">Zusätzliche Angaben : nach Altersgruppe ab 1997 </t>
    </r>
    <r>
      <rPr>
        <b/>
        <vertAlign val="superscript"/>
        <sz val="12"/>
        <rFont val="Arial"/>
        <family val="2"/>
      </rPr>
      <t>3</t>
    </r>
  </si>
  <si>
    <r>
      <t xml:space="preserve">1997 </t>
    </r>
    <r>
      <rPr>
        <vertAlign val="superscript"/>
        <sz val="11"/>
        <rFont val="Arial"/>
        <family val="2"/>
      </rPr>
      <t>2</t>
    </r>
  </si>
  <si>
    <t>Quelle: 1996-2003: T 1.10 ; 2004 - 2005: T 1.43.</t>
  </si>
  <si>
    <t>Quelle: T 1.10</t>
  </si>
  <si>
    <t>1) Siehe auch die Tabellen 1.45, 1.46 und 9.15.</t>
  </si>
  <si>
    <r>
      <t xml:space="preserve">T 1.44 Prämiensoll je versicherte Person nach Versicherungsform : Veränderung gegenüber dem Vorjahr ab 1997 </t>
    </r>
    <r>
      <rPr>
        <b/>
        <vertAlign val="superscript"/>
        <sz val="12"/>
        <rFont val="Arial"/>
        <family val="2"/>
      </rPr>
      <t>1</t>
    </r>
  </si>
  <si>
    <r>
      <t>Zusätzliche Angaben : nach Altersgruppe ab 1998</t>
    </r>
    <r>
      <rPr>
        <b/>
        <vertAlign val="superscript"/>
        <sz val="12"/>
        <rFont val="Arial"/>
        <family val="2"/>
      </rPr>
      <t xml:space="preserve"> </t>
    </r>
  </si>
  <si>
    <t>T 1.45 Kostenbeteiligung je versicherte Person nach Versicherungsform : Veränderung gegenüber dem Vorjahr ab 1997</t>
  </si>
  <si>
    <t>Quelle: 1996-2003: T 1.20 ; 2004 - 2005: T 1.43.</t>
  </si>
  <si>
    <t>Quelle: T 1.20</t>
  </si>
  <si>
    <t>1) Siehe auch die Tabellen 1.44, 1.46 und 9.15.</t>
  </si>
  <si>
    <t>T 1.46 Totaler Beitrag je versicherte Person (Prämie + Kostenbeteiligung) nach Versicherungsform : Veränderung gegenüber dem Vorjahr ab 1997</t>
  </si>
  <si>
    <t>Quelle: 1996-2003: T 1.10 + 1.20 ; 2004 - 2005: T 1.43.</t>
  </si>
  <si>
    <t>Quelle: T 1.10 + 1.20</t>
  </si>
  <si>
    <t>1) Siehe auch die Tabellen 1.44, 1.45 und 9.15.</t>
  </si>
  <si>
    <t xml:space="preserve">T 1.19  Kostenbeteiligung der Versicherten in Franken nach Versicherungsform ab 1994 </t>
  </si>
  <si>
    <t>Quelle: T 1.28; 1.29; 1.30; 1.31 [32]</t>
  </si>
  <si>
    <t xml:space="preserve">T 1.18  Leistungen (brutto) in Franken je versicherte Person nach Kostengruppen und Geschlecht / Kinder </t>
  </si>
  <si>
    <t>Kostengruppen</t>
  </si>
  <si>
    <t>Arzt ambulant</t>
  </si>
  <si>
    <t>Spital ambulant</t>
  </si>
  <si>
    <t>Medikamente Arzt</t>
  </si>
  <si>
    <t>Medikamente Apotheke</t>
  </si>
  <si>
    <t>Spitex</t>
  </si>
  <si>
    <t>Physiotherapeut</t>
  </si>
  <si>
    <t>Labor</t>
  </si>
  <si>
    <t>Chiropraktor</t>
  </si>
  <si>
    <t>Mittel und Gegenstände</t>
  </si>
  <si>
    <t>Komplementärmedizin</t>
  </si>
  <si>
    <t>Übrige Leistungen ambulant</t>
  </si>
  <si>
    <t>Leistungen Total</t>
  </si>
  <si>
    <t>davon Leistungen Mutterschaft</t>
  </si>
  <si>
    <t>1) Sofern keine Aufteilung nach den anderen aufgeführten Kostengruppen möglich ist.</t>
  </si>
  <si>
    <t>2) Intra-muros Behandlung; andere Gruppen = ambulante Behandlung.</t>
  </si>
  <si>
    <t xml:space="preserve">Quelle: T 1.16 / T 1.06 </t>
  </si>
  <si>
    <r>
      <t xml:space="preserve">Spital stationär </t>
    </r>
    <r>
      <rPr>
        <vertAlign val="superscript"/>
        <sz val="11"/>
        <rFont val="Arial"/>
        <family val="2"/>
      </rPr>
      <t>2</t>
    </r>
  </si>
  <si>
    <r>
      <t xml:space="preserve">Pflegeheim </t>
    </r>
    <r>
      <rPr>
        <vertAlign val="superscript"/>
        <sz val="11"/>
        <rFont val="Arial"/>
        <family val="2"/>
      </rPr>
      <t>2</t>
    </r>
  </si>
  <si>
    <r>
      <t xml:space="preserve">Betriebsbeiträge an HMO's </t>
    </r>
    <r>
      <rPr>
        <vertAlign val="superscript"/>
        <sz val="11"/>
        <rFont val="Arial"/>
        <family val="2"/>
      </rPr>
      <t>1</t>
    </r>
  </si>
  <si>
    <r>
      <t xml:space="preserve">Übrige Leistungen stationär </t>
    </r>
    <r>
      <rPr>
        <vertAlign val="superscript"/>
        <sz val="11"/>
        <rFont val="Arial"/>
        <family val="2"/>
      </rPr>
      <t>2</t>
    </r>
  </si>
  <si>
    <t>Ambulante</t>
  </si>
  <si>
    <t>Behandlung</t>
  </si>
  <si>
    <t>Arzt</t>
  </si>
  <si>
    <t>Spital</t>
  </si>
  <si>
    <t>Mittel und</t>
  </si>
  <si>
    <t>Betriebsbeiträge</t>
  </si>
  <si>
    <r>
      <t xml:space="preserve">T 2.03  Durchschnittlicher Versichertenbestand </t>
    </r>
    <r>
      <rPr>
        <b/>
        <vertAlign val="superscript"/>
        <sz val="12"/>
        <rFont val="Arial"/>
        <family val="2"/>
      </rPr>
      <t>1, 2</t>
    </r>
    <r>
      <rPr>
        <b/>
        <sz val="12"/>
        <rFont val="Arial"/>
        <family val="2"/>
      </rPr>
      <t xml:space="preserve">  nach Kantonen</t>
    </r>
  </si>
  <si>
    <t xml:space="preserve">T 2.02  Risikoausgleich: Bruttoumverteilung und Nettoumverteilung in Mio. Fr. ab 1993 </t>
  </si>
  <si>
    <r>
      <t xml:space="preserve">Bruttoumverteilung </t>
    </r>
    <r>
      <rPr>
        <vertAlign val="superscript"/>
        <sz val="11"/>
        <rFont val="Arial"/>
        <family val="2"/>
      </rPr>
      <t>1</t>
    </r>
  </si>
  <si>
    <r>
      <t xml:space="preserve">Nettoumverteilung </t>
    </r>
    <r>
      <rPr>
        <vertAlign val="superscript"/>
        <sz val="11"/>
        <rFont val="Arial"/>
        <family val="2"/>
      </rPr>
      <t>2</t>
    </r>
  </si>
  <si>
    <t xml:space="preserve">T 2.01  Risikoausgleich: Nettozahler und Nettoempfänger ab 1993 </t>
  </si>
  <si>
    <r>
      <t xml:space="preserve">zahler </t>
    </r>
    <r>
      <rPr>
        <vertAlign val="superscript"/>
        <sz val="11"/>
        <rFont val="Arial"/>
        <family val="2"/>
      </rPr>
      <t>2</t>
    </r>
  </si>
  <si>
    <r>
      <t xml:space="preserve">empfänger </t>
    </r>
    <r>
      <rPr>
        <vertAlign val="superscript"/>
        <sz val="11"/>
        <rFont val="Arial"/>
        <family val="2"/>
      </rPr>
      <t>2</t>
    </r>
  </si>
  <si>
    <r>
      <t xml:space="preserve">jahr </t>
    </r>
    <r>
      <rPr>
        <vertAlign val="superscript"/>
        <sz val="11"/>
        <rFont val="Arial"/>
        <family val="2"/>
      </rPr>
      <t>1</t>
    </r>
  </si>
  <si>
    <t>Statistik der obligatorischen Krankenversicherung 2003 , Bundesamt für Gesundheit</t>
  </si>
  <si>
    <t>Datenstand: 5.7.2004</t>
  </si>
  <si>
    <t>–</t>
  </si>
  <si>
    <t>2: Leistungen und Kostenbeteiligung in der OKP</t>
  </si>
  <si>
    <t xml:space="preserve">Risikoausgleich: Nettozahler und Nettoempfänger ab 1993 </t>
  </si>
  <si>
    <t xml:space="preserve">Risikoausgleich: Bruttoumverteilung und Nettoumverteilung ab 1993 </t>
  </si>
  <si>
    <t>Durchschnittlicher Versichertenbestand nach Kantonen und Geschlecht</t>
  </si>
  <si>
    <t>Bruttokosten nach Kantonen und Geschlecht</t>
  </si>
  <si>
    <t>Bruttokosten pro Versicherten pro Versicherungsmonat nach Kantonen und Geschlecht</t>
  </si>
  <si>
    <t xml:space="preserve">Bruttokosten pro Versicherten pro Versicherungsmonat nach Altersgruppen und Geschlecht </t>
  </si>
  <si>
    <t>Effektive Kosten nach Kantonen und Geschlecht</t>
  </si>
  <si>
    <t>Effektive Kosten pro Versicherten pro Versicherungsmonat nach Kantonen und Geschlecht</t>
  </si>
  <si>
    <t>Effektive Kosten pro Versicherten pro Versicherungsmonat nach Altersgruppen und Geschlecht</t>
  </si>
  <si>
    <t>Kostenbeteiligung pro Versicherten pro Jahr nach Kantonen und Geschlecht</t>
  </si>
  <si>
    <t>Kostenbeteiligung pro Versicherten pro Jahr nach Altersgruppen und Geschlecht</t>
  </si>
  <si>
    <t>Durchschnittlicher Versichertenbestand nach Altersgruppen und Geschlecht</t>
  </si>
  <si>
    <t>Risikoausgleich pro Versicherten und Versicherungsmonat nach Altersgruppen und Geschlecht</t>
  </si>
  <si>
    <t>5: Individuelle Daten pro Versicherer</t>
  </si>
  <si>
    <t>Aufsichtsdaten der Krankenversicherer OKP</t>
  </si>
  <si>
    <t>Erklärungen und Quellen für die Aufsichtsdaten</t>
  </si>
  <si>
    <t xml:space="preserve">KVG-Versicherer: Daten zur freiwilligen Taggeldversicherung </t>
  </si>
  <si>
    <t>Mutationen bei den Krankenversicherern</t>
  </si>
  <si>
    <t>T 5.04  Mutationen bei den Krankenversicherern</t>
  </si>
  <si>
    <t xml:space="preserve"> 6.10.04: Teil 3</t>
  </si>
  <si>
    <t>R1</t>
  </si>
  <si>
    <t>R2</t>
  </si>
  <si>
    <t>R3</t>
  </si>
  <si>
    <t>RU</t>
  </si>
  <si>
    <t>Quelle: Genehmigungsverfahren für Krankenversicherungsprämien, BSV.</t>
  </si>
  <si>
    <t>1) Vgl. Fussnote 1) von Tabelle 3.01.</t>
  </si>
  <si>
    <t>2) Die Krankenkassen dürfen innerhalb eines Kantons bis zu drei unterschiedliche Regionaltarife anwenden (R1, R2, R3).</t>
  </si>
  <si>
    <t>Einige Kantone haben nur eine Region: die Krankenkassen wenden eine Einheitsprämie an (RU).</t>
  </si>
  <si>
    <r>
      <t xml:space="preserve">T 3.13 Kantonale monatliche Durchschnittsprämien </t>
    </r>
    <r>
      <rPr>
        <b/>
        <vertAlign val="superscript"/>
        <sz val="12"/>
        <rFont val="Arial"/>
        <family val="2"/>
      </rPr>
      <t>1</t>
    </r>
    <r>
      <rPr>
        <b/>
        <sz val="12"/>
        <rFont val="Arial"/>
        <family val="2"/>
      </rPr>
      <t xml:space="preserve"> pro Prämienregion </t>
    </r>
    <r>
      <rPr>
        <b/>
        <vertAlign val="superscript"/>
        <sz val="12"/>
        <rFont val="Arial"/>
        <family val="2"/>
      </rPr>
      <t>2</t>
    </r>
  </si>
  <si>
    <t>für Kinder (0 - 18 Jahre) in Franken für 2005</t>
  </si>
  <si>
    <t>Datenstand: 28.9.2004</t>
  </si>
  <si>
    <t>Quelle: Genehmigungsverfahren für Krankenversicherungsprämien, BAG.</t>
  </si>
  <si>
    <r>
      <t xml:space="preserve">T 3.12  Kantonale monatliche Durchschnittsprämien </t>
    </r>
    <r>
      <rPr>
        <b/>
        <vertAlign val="superscript"/>
        <sz val="12"/>
        <rFont val="Arial"/>
        <family val="2"/>
      </rPr>
      <t>1</t>
    </r>
    <r>
      <rPr>
        <b/>
        <sz val="12"/>
        <rFont val="Arial"/>
        <family val="2"/>
      </rPr>
      <t xml:space="preserve"> pro Prämienregion </t>
    </r>
    <r>
      <rPr>
        <b/>
        <vertAlign val="superscript"/>
        <sz val="12"/>
        <rFont val="Arial"/>
        <family val="2"/>
      </rPr>
      <t>2</t>
    </r>
  </si>
  <si>
    <t>für junge Erwachsene (19 -25 Jahre) in Franken für 2005</t>
  </si>
  <si>
    <r>
      <t xml:space="preserve">T 3.11  Kantonale monatliche Durchschnittsprämien </t>
    </r>
    <r>
      <rPr>
        <b/>
        <vertAlign val="superscript"/>
        <sz val="12"/>
        <rFont val="Arial"/>
        <family val="2"/>
      </rPr>
      <t>1</t>
    </r>
    <r>
      <rPr>
        <b/>
        <sz val="12"/>
        <rFont val="Arial"/>
        <family val="2"/>
      </rPr>
      <t xml:space="preserve">  pro Prämienregion </t>
    </r>
    <r>
      <rPr>
        <b/>
        <vertAlign val="superscript"/>
        <sz val="12"/>
        <rFont val="Arial"/>
        <family val="2"/>
      </rPr>
      <t>2</t>
    </r>
  </si>
  <si>
    <t>für Erwachsene (26 Jahre und mehr) in Franken für 2005</t>
  </si>
  <si>
    <t>2)  Die Werte für 1996 wurden revidiert. Diese Werte beziehen sich auf das KVG-Einführungsjahr</t>
  </si>
  <si>
    <t>und sind infolge teilweise unvollständiger Daten mit Zurückhaltung zu interpretieren.</t>
  </si>
  <si>
    <r>
      <t xml:space="preserve">T 3.10 Kantonale monatliche Durchschnittsprämien </t>
    </r>
    <r>
      <rPr>
        <b/>
        <vertAlign val="superscript"/>
        <sz val="12"/>
        <rFont val="Arial"/>
        <family val="2"/>
      </rPr>
      <t xml:space="preserve">1 </t>
    </r>
    <r>
      <rPr>
        <b/>
        <sz val="12"/>
        <rFont val="Arial"/>
        <family val="2"/>
      </rPr>
      <t xml:space="preserve"> für alle Versicherte in Franken ab 1996</t>
    </r>
  </si>
  <si>
    <r>
      <t xml:space="preserve">1996 </t>
    </r>
    <r>
      <rPr>
        <vertAlign val="superscript"/>
        <sz val="11"/>
        <rFont val="Arial"/>
        <family val="2"/>
      </rPr>
      <t>2</t>
    </r>
  </si>
  <si>
    <t>der Versicherten sind unterhalb dieser Prämie</t>
  </si>
  <si>
    <t>der Versicherten sind unterhalb und oberhalb dieser Prämie</t>
  </si>
  <si>
    <t>der Versicherten sind oberhalb dieser Prämie</t>
  </si>
  <si>
    <t>Schätzung basierend auf den Prämien 2005 und der Aufteilung der Versicherten 2003.</t>
  </si>
  <si>
    <r>
      <t>T 3.09  Verteilung der kantonalen monatlichen Durchschnittsprämien</t>
    </r>
    <r>
      <rPr>
        <b/>
        <vertAlign val="superscript"/>
        <sz val="12"/>
        <rFont val="Arial"/>
        <family val="2"/>
      </rPr>
      <t xml:space="preserve"> 1</t>
    </r>
  </si>
  <si>
    <r>
      <t xml:space="preserve">T 3.08  Verteilung der kantonalen monatlichen Durchschnittsprämien </t>
    </r>
    <r>
      <rPr>
        <b/>
        <vertAlign val="superscript"/>
        <sz val="12"/>
        <rFont val="Arial"/>
        <family val="2"/>
      </rPr>
      <t>1</t>
    </r>
  </si>
  <si>
    <t>für junge Erwachsene (19 - 25 Jahre) in Franken für 2005</t>
  </si>
  <si>
    <r>
      <t xml:space="preserve">T 3.07  Verteilung der kantonalen monatlichen Durchschnittsprämien </t>
    </r>
    <r>
      <rPr>
        <b/>
        <vertAlign val="superscript"/>
        <sz val="12"/>
        <rFont val="Arial"/>
        <family val="2"/>
      </rPr>
      <t>1</t>
    </r>
  </si>
  <si>
    <t>Verän-</t>
  </si>
  <si>
    <t>derung</t>
  </si>
  <si>
    <t>1997 / 98</t>
  </si>
  <si>
    <t>1998 / 99</t>
  </si>
  <si>
    <t>1999 / 00</t>
  </si>
  <si>
    <t>2000 / 01</t>
  </si>
  <si>
    <t>2001 / 02</t>
  </si>
  <si>
    <t>2002 / 03</t>
  </si>
  <si>
    <t>2003 / 04</t>
  </si>
  <si>
    <t>2004 / 05</t>
  </si>
  <si>
    <t>1996 - 2005</t>
  </si>
  <si>
    <t>Quelle: T 3.05</t>
  </si>
  <si>
    <t>2) Schätzung: Veränderungen 1996 / 97 der Durchschnittsprämien der Erwachsenen. Die Werte für 1996 / 97 wurden revidiert.</t>
  </si>
  <si>
    <r>
      <t xml:space="preserve">T 3.06 Kantonale Durchschnittsprämien </t>
    </r>
    <r>
      <rPr>
        <b/>
        <vertAlign val="superscript"/>
        <sz val="12"/>
        <rFont val="Arial"/>
        <family val="2"/>
      </rPr>
      <t xml:space="preserve">1 </t>
    </r>
    <r>
      <rPr>
        <b/>
        <sz val="12"/>
        <rFont val="Arial"/>
        <family val="2"/>
      </rPr>
      <t xml:space="preserve"> für Kinder: Vorjahresveränderungen in % ab 1996</t>
    </r>
  </si>
  <si>
    <r>
      <t>1996</t>
    </r>
    <r>
      <rPr>
        <vertAlign val="superscript"/>
        <sz val="11"/>
        <rFont val="Arial"/>
        <family val="2"/>
      </rPr>
      <t xml:space="preserve">2) </t>
    </r>
    <r>
      <rPr>
        <sz val="11"/>
        <rFont val="Arial"/>
        <family val="2"/>
      </rPr>
      <t>/ 97</t>
    </r>
  </si>
  <si>
    <r>
      <t xml:space="preserve">1996 / 97 </t>
    </r>
    <r>
      <rPr>
        <vertAlign val="superscript"/>
        <sz val="11"/>
        <rFont val="Arial"/>
        <family val="2"/>
      </rPr>
      <t>2</t>
    </r>
  </si>
  <si>
    <t>2) Die Werte für 1996 wurden revidiert. Sie wurden mittels der Veränderungen 1996/97 der Durchschnittsprämien der Erwachsenen geschätzt.</t>
  </si>
  <si>
    <r>
      <t xml:space="preserve">T 3.05 Kantonale monatliche Durchschnittsprämien </t>
    </r>
    <r>
      <rPr>
        <b/>
        <vertAlign val="superscript"/>
        <sz val="12"/>
        <rFont val="Arial"/>
        <family val="2"/>
      </rPr>
      <t xml:space="preserve">1 </t>
    </r>
    <r>
      <rPr>
        <b/>
        <sz val="12"/>
        <rFont val="Arial"/>
        <family val="2"/>
      </rPr>
      <t xml:space="preserve"> für Kinder (0 – 18 Jahre) in Franken ab 1996</t>
    </r>
  </si>
  <si>
    <t>9.09, 9.10</t>
  </si>
  <si>
    <t>Datenstand: 28.2.2005</t>
  </si>
  <si>
    <t>9) Provisorische Werte.</t>
  </si>
  <si>
    <t>Versichertenbestand KVG, Personen mit Wohnsitz in der Schweiz und scheizerischer Prämie (inkl. Versicherte gemäss Art. 4 und 5 KVV)</t>
  </si>
  <si>
    <t>= ( [ 9 ] / [ 3 ] ) in %</t>
  </si>
  <si>
    <t>* wenn EF2 Seite 2.8 VVG Konto 63 Krankheit + Unfall &gt; 0</t>
  </si>
  <si>
    <t xml:space="preserve">T 5.01 Aufsichtsdaten OKP gemäss Art. 31 KVV </t>
  </si>
  <si>
    <t>Name des OKP Versicherers</t>
  </si>
  <si>
    <t>Versicher-</t>
  </si>
  <si>
    <t>Einnahmen</t>
  </si>
  <si>
    <t>Prämien</t>
  </si>
  <si>
    <t>Risikoaus–</t>
  </si>
  <si>
    <t>Leistungen</t>
  </si>
  <si>
    <t>Verwaltungs-</t>
  </si>
  <si>
    <t>Gesamter-</t>
  </si>
  <si>
    <t>Stand der</t>
  </si>
  <si>
    <t>Reserven</t>
  </si>
  <si>
    <t>* : KVG-</t>
  </si>
  <si>
    <t>tenbestand</t>
  </si>
  <si>
    <t>in Mio. Fr.</t>
  </si>
  <si>
    <t>gleich in %</t>
  </si>
  <si>
    <t>des Ver-</t>
  </si>
  <si>
    <t xml:space="preserve">aufwand + </t>
  </si>
  <si>
    <t>gebnis pro</t>
  </si>
  <si>
    <t xml:space="preserve"> Rückstel-</t>
  </si>
  <si>
    <t>in % der</t>
  </si>
  <si>
    <t>der Ein-</t>
  </si>
  <si>
    <t>sicherers</t>
  </si>
  <si>
    <t>Abschrei-</t>
  </si>
  <si>
    <t>versicherte</t>
  </si>
  <si>
    <t>lungen</t>
  </si>
  <si>
    <t>lungen pro</t>
  </si>
  <si>
    <t xml:space="preserve"> in Mio. Fr.</t>
  </si>
  <si>
    <t>pro versi-</t>
  </si>
  <si>
    <t>mit VVG</t>
  </si>
  <si>
    <t>nahmen</t>
  </si>
  <si>
    <t>bungen</t>
  </si>
  <si>
    <t>bungen pro</t>
  </si>
  <si>
    <r>
      <t xml:space="preserve">1) Bruttokosten = Leistungen (brutto) der Versicherer in der OKP </t>
    </r>
    <r>
      <rPr>
        <b/>
        <sz val="10"/>
        <rFont val="Arial"/>
        <family val="2"/>
      </rPr>
      <t>mit</t>
    </r>
    <r>
      <rPr>
        <sz val="10"/>
        <rFont val="Arial"/>
        <family val="2"/>
      </rPr>
      <t xml:space="preserve"> Kostenbeteiligung durch die Versicherten.</t>
    </r>
  </si>
  <si>
    <t>(vgl. hierzu auch Tabellen 1.13, 1.15 und 1.16).</t>
  </si>
  <si>
    <r>
      <t xml:space="preserve">1) Bruttokosten = Leistungen (brutto) der Versicherer in der OKP </t>
    </r>
    <r>
      <rPr>
        <b/>
        <sz val="10"/>
        <rFont val="Arial"/>
        <family val="2"/>
      </rPr>
      <t>mit</t>
    </r>
    <r>
      <rPr>
        <sz val="10"/>
        <rFont val="Arial"/>
        <family val="2"/>
      </rPr>
      <t xml:space="preserve"> Kostenbeteiligung durch die Versicherten;</t>
    </r>
  </si>
  <si>
    <t>Quelle: T 2.04 / T 2.03</t>
  </si>
  <si>
    <t xml:space="preserve">  (vgl. hierzu auch Tabelle 1.21).</t>
  </si>
  <si>
    <r>
      <t xml:space="preserve">1) Effektive Kosten = (bezahlte) Leistungen der Versicherer in der OKP </t>
    </r>
    <r>
      <rPr>
        <b/>
        <sz val="10"/>
        <rFont val="Arial"/>
        <family val="2"/>
      </rPr>
      <t>ohne</t>
    </r>
    <r>
      <rPr>
        <sz val="10"/>
        <rFont val="Arial"/>
        <family val="2"/>
      </rPr>
      <t xml:space="preserve"> Kostenbeteiligung durch die Versicherten;</t>
    </r>
  </si>
  <si>
    <t>Quelle: T 2.05 - T 2.08</t>
  </si>
  <si>
    <t>Statistik der obligatorischen Krankenversicherung 2003</t>
  </si>
  <si>
    <t>201-213</t>
  </si>
  <si>
    <t>andere Teile folgen später</t>
  </si>
  <si>
    <t>501-504</t>
  </si>
  <si>
    <t>701-706</t>
  </si>
  <si>
    <t>301-313</t>
  </si>
  <si>
    <t>401-413</t>
  </si>
  <si>
    <r>
      <t xml:space="preserve">Zusatzversicherungen VVG, inkl. Taggeld VVG </t>
    </r>
    <r>
      <rPr>
        <vertAlign val="superscript"/>
        <sz val="11"/>
        <rFont val="Arial"/>
        <family val="2"/>
      </rPr>
      <t>2</t>
    </r>
  </si>
  <si>
    <t>Datenstand: 5.8.2004</t>
  </si>
  <si>
    <t xml:space="preserve">T 8.05 Gesamtbetriebsrechnung: Ertrag der Versicherer </t>
  </si>
  <si>
    <t>– Taggeld</t>
  </si>
  <si>
    <t>– Überschussbeteiligung auf Kollektivversicherung Taggeld</t>
  </si>
  <si>
    <t>60 – 63</t>
  </si>
  <si>
    <t>Prämiensoll</t>
  </si>
  <si>
    <t>Erlösminderungen auf Prämien</t>
  </si>
  <si>
    <t>Andere Prämienanteile</t>
  </si>
  <si>
    <t>60 – 65</t>
  </si>
  <si>
    <t>Prämienanteile der Rückversicherer</t>
  </si>
  <si>
    <t>60 – 66</t>
  </si>
  <si>
    <t>Prämienverbilligung und sonstige Beiträge / Subventionen</t>
  </si>
  <si>
    <t>– Beiträge zur Prämienverbilligung (Art. 65 KVG)</t>
  </si>
  <si>
    <t>– Beiträge anderer Institutionen z.G. der Versicherten</t>
  </si>
  <si>
    <t>– Beiträge z.G. des Versicheres</t>
  </si>
  <si>
    <t>– Beiträge an Insolvenzfonds</t>
  </si>
  <si>
    <t>Prämienermässigung an Versicherte</t>
  </si>
  <si>
    <t>67 – 68</t>
  </si>
  <si>
    <t>Eigene Subventionen und Beiträge</t>
  </si>
  <si>
    <t>Liegenschaftsrechnung</t>
  </si>
  <si>
    <t>– Liegenschaftsergebnis</t>
  </si>
  <si>
    <t>Neutraler Aufwand und Ertrag</t>
  </si>
  <si>
    <t>– Kapitalertrag</t>
  </si>
  <si>
    <t>– Kapitalaufwand</t>
  </si>
  <si>
    <t>– Wertberichtigung auf Wertschriften</t>
  </si>
  <si>
    <t>– Nicht rückzuerstattende Abgabeerträge VOC und HEL</t>
  </si>
  <si>
    <t>– Übriger neutraler Aufwand und Ertrag</t>
  </si>
  <si>
    <t>Einkommens-, Vermögens-, Ertrags- und Kapitalsteuer VVG</t>
  </si>
  <si>
    <t>Total neutraler Aufwand/Ertrag</t>
  </si>
  <si>
    <t>6 / 7</t>
  </si>
  <si>
    <t>Total des Gesamtertrages</t>
  </si>
  <si>
    <t>Rückschlag Gesamtbetriebsrechnung</t>
  </si>
  <si>
    <t>Quelle: Formular EF1 [8,9]</t>
  </si>
  <si>
    <t>T 8.09  Bilanz: Aktiven der Versicherer per 31.12.</t>
  </si>
  <si>
    <t>Umlaufvermögen</t>
  </si>
  <si>
    <t>Flüssige Mittel</t>
  </si>
  <si>
    <t>Forderungen bei Versicherten</t>
  </si>
  <si>
    <t>– Forderungen bei Versicherten brutto</t>
  </si>
  <si>
    <t xml:space="preserve">– Wertberichtigung / Delkredere </t>
  </si>
  <si>
    <t>Forderungen bei Partnern</t>
  </si>
  <si>
    <t>– Forderungen bei Partnern brutto</t>
  </si>
  <si>
    <t>– Wertberichtigung / Delkredere</t>
  </si>
  <si>
    <t>Forderungen bei Rückversicherern</t>
  </si>
  <si>
    <t>Forderungen von Subventionen, Prämienverbilligung, Risikoausgleich und anderen Beiträgen</t>
  </si>
  <si>
    <t>Vorausbezahlte Versicherungsleistungen, Regress und Rückerstattungsansprüche</t>
  </si>
  <si>
    <t>Übrige Forderungen und aktive Rechnungsabgrenzung</t>
  </si>
  <si>
    <t>Anlagevermögen</t>
  </si>
  <si>
    <t>Kapitalanlagen</t>
  </si>
  <si>
    <t>– Kapitalanlagen brutto</t>
  </si>
  <si>
    <t xml:space="preserve">– Wertberichtigung </t>
  </si>
  <si>
    <t>Grundstücke und Gebäude</t>
  </si>
  <si>
    <t>– Grundstücke und Gebäude brutto</t>
  </si>
  <si>
    <t>– Wertberichtigung</t>
  </si>
  <si>
    <t>Betriebseinrichtungen und Fahrzeuge</t>
  </si>
  <si>
    <t>– Betriebseinrichtungen und Fahrzeuge brutto</t>
  </si>
  <si>
    <t>Total Aktiven</t>
  </si>
  <si>
    <t>Quelle: Formular EF1 [3]</t>
  </si>
  <si>
    <t>T 8.10  Bilanz: Passiven der Versicherer per 31.12.</t>
  </si>
  <si>
    <t>Fremdkapital</t>
  </si>
  <si>
    <t>Verbindlichkeiten aus Versicherungsleistungen</t>
  </si>
  <si>
    <t>Verbindlichkeiten bei Versicherten (ohne Konto.215)</t>
  </si>
  <si>
    <t>Noch zur Verrechnung gelangende Abgabeerträge VOC und HEL</t>
  </si>
  <si>
    <t>Verbindlichkeiten bei Partnern</t>
  </si>
  <si>
    <t>Verbindlichkeiten bei Rückversicherern</t>
  </si>
  <si>
    <t>Verbindlichkeiten bei der Gemeinsamen Einrichtung KVG</t>
  </si>
  <si>
    <t>Verbindlichkeiten bei anderen Versicherern</t>
  </si>
  <si>
    <t>Übrige Verbindlichkeiten und passive Rechnungsabgrenzung</t>
  </si>
  <si>
    <t>Rückstellung für unerledigte Versicherungsfälle, Risikoausgleich, nicht versicherungstechn. Rückstellungen, Rücklagen aus Fusionen</t>
  </si>
  <si>
    <t xml:space="preserve">Oblig. Krankenpflegevers. (ohne Kto. 270.2 und 270.3)  </t>
  </si>
  <si>
    <t>Nicht versicherungstechnische Rückstellungen KVG</t>
  </si>
  <si>
    <t>Oblig. Krankenpflegevers. (effektive Kosten gemäss Verordnung (EWG) Nr. 574/72 Art. 93)</t>
  </si>
  <si>
    <t>Oblig. Krankenpflegevers. (Pauschalkosten gem. Verordnung (EWG) Nr. 574/72 Art. 94 und 95)</t>
  </si>
  <si>
    <t>– Freiwillige Taggeldversicherung nach KVG</t>
  </si>
  <si>
    <t>– Aktive Rückversicherung</t>
  </si>
  <si>
    <t>– Zusatzversicherungen inkl. Taggeld VVG</t>
  </si>
  <si>
    <t>– Nicht versicherungstechnische Rückstellungen VVG</t>
  </si>
  <si>
    <t>– Risikoausgleich</t>
  </si>
  <si>
    <t>– Zweckgebundene Rücklagen aus Fusionen</t>
  </si>
  <si>
    <t>Fonds und Eigenkapital</t>
  </si>
  <si>
    <t>Fonds</t>
  </si>
  <si>
    <t>– Reglementierte Fonds</t>
  </si>
  <si>
    <t>– Immobilien (Renovationen, Umbauten)</t>
  </si>
  <si>
    <t>– EDV-Projekte</t>
  </si>
  <si>
    <t>Eigenkapital</t>
  </si>
  <si>
    <t xml:space="preserve">Reserven Oblig. Krankenpflegeversicherung (ohne Konto 290.5) </t>
  </si>
  <si>
    <t>Reserven Oblig. Krankenpflegeversicherung EG und EFTA (ohne Liechtenstein)</t>
  </si>
  <si>
    <t>Aktienkapital</t>
  </si>
  <si>
    <t>– Reserven Taggeldversicherung nach KVG</t>
  </si>
  <si>
    <t>– Reserven Aktive Rückversicherung</t>
  </si>
  <si>
    <t>– Zusatzversicherung VVG, inkl. Taggeld VVG</t>
  </si>
  <si>
    <t>– Einkaufssummen fusionierter Versicherer</t>
  </si>
  <si>
    <t>Total Passiven</t>
  </si>
  <si>
    <t>Quelle: Formular EF1 [4,5]</t>
  </si>
  <si>
    <t>T 8.11  Aufstellung über Kapitalanlagen, Grundstücke und Gebäude per 31.12.</t>
  </si>
  <si>
    <t xml:space="preserve">Kapitalanlagen </t>
  </si>
  <si>
    <t>Kapitalanlagen nach Art. 80 KVV</t>
  </si>
  <si>
    <t>Anlagen bei öffentlich-rechtlichen Körperschaften und bei Banken und Sparkassen</t>
  </si>
  <si>
    <t>Wertpapiere und andere an der Börse kotierte Anlagen</t>
  </si>
  <si>
    <t xml:space="preserve">Anlagen in grundpfandgesicherten Darlehen </t>
  </si>
  <si>
    <t>Anlagen und Guthaben von Betriebskrankenkassen im eigenen Betrieb</t>
  </si>
  <si>
    <t>Anlagen bei Institutionen, die der Durchführung der sozialen Krankenversicherung dienen</t>
  </si>
  <si>
    <t xml:space="preserve">Sonstige Wertschriften </t>
  </si>
  <si>
    <t>Wertberichtigung Kapitalanlagen</t>
  </si>
  <si>
    <t>Kapitalanlagen  - Gesamttotal</t>
  </si>
  <si>
    <t xml:space="preserve">Grundstücke </t>
  </si>
  <si>
    <t>Gebäude für Verwaltungszwecke</t>
  </si>
  <si>
    <t>Gebäude für Wohn- und Geschäftszwecke</t>
  </si>
  <si>
    <t>Wertberichtigung Grundstücke und Gebäude</t>
  </si>
  <si>
    <t>Grundstücke / Gebäude - Gesamttotal</t>
  </si>
  <si>
    <t>Datenstand: 7.10.04</t>
  </si>
  <si>
    <t>T 1.40  Leistungen (brutto) in Franken je versicherte Person nach Versicherungsform und Geschlecht / Kinder 2003</t>
  </si>
  <si>
    <t>Datenstand: 21.9.2005</t>
  </si>
  <si>
    <t>3.02,3.04,3.06</t>
  </si>
  <si>
    <t>Rückstellungen für unerledigte Versicherungsfälle, welche am Ende des Jahres für diejenigen Leistungen gebildet werden müssen, welche von den Versicherten bereits in Anspruch genommen worden sind, für die sie aber noch keine Rechnungen erhalten haben.</t>
  </si>
  <si>
    <t>Es handelt sich hierbei um geschuldete Leistungen, welche die Versicherer im folgenden Jahr noch zu erbringen haben; sie stellen somit keine Reserven dar.</t>
  </si>
  <si>
    <t>Krankenversicherungsstatistik verantwortlich sein.</t>
  </si>
  <si>
    <t>Quelle: T 1.03; T 6.01; T 4.13</t>
  </si>
  <si>
    <r>
      <t xml:space="preserve">Versicherten-bestand  </t>
    </r>
    <r>
      <rPr>
        <vertAlign val="superscript"/>
        <sz val="11"/>
        <rFont val="Arial"/>
        <family val="2"/>
      </rPr>
      <t>1</t>
    </r>
  </si>
  <si>
    <r>
      <t xml:space="preserve">rungsdichte </t>
    </r>
    <r>
      <rPr>
        <vertAlign val="superscript"/>
        <sz val="11"/>
        <rFont val="Arial"/>
        <family val="2"/>
      </rPr>
      <t>2</t>
    </r>
  </si>
  <si>
    <t>T 8.01 Anzahl Versicherer ab 1945</t>
  </si>
  <si>
    <t xml:space="preserve">Anzahl </t>
  </si>
  <si>
    <t>Zuwachs</t>
  </si>
  <si>
    <t>Abgang</t>
  </si>
  <si>
    <t>Taggeld</t>
  </si>
  <si>
    <t>1) Einzelheiten ab 1979.</t>
  </si>
  <si>
    <t>2) Obligatorische Krankenpflegeversicherung ab 1996 (OKP).</t>
  </si>
  <si>
    <t>Quelle: T 5.01; T 5.03; T 5.04</t>
  </si>
  <si>
    <r>
      <t xml:space="preserve">      Anzahl Versicherer </t>
    </r>
    <r>
      <rPr>
        <vertAlign val="superscript"/>
        <sz val="11"/>
        <rFont val="Arial"/>
        <family val="2"/>
      </rPr>
      <t>1</t>
    </r>
  </si>
  <si>
    <r>
      <t xml:space="preserve">pflege </t>
    </r>
    <r>
      <rPr>
        <vertAlign val="superscript"/>
        <sz val="11"/>
        <rFont val="Arial"/>
        <family val="2"/>
      </rPr>
      <t>2</t>
    </r>
  </si>
  <si>
    <t>T 1.05 Versichertenbestand per 31.12. nach Versicherungsform ab 1994</t>
  </si>
  <si>
    <t>Wählbare</t>
  </si>
  <si>
    <t>BONUS-</t>
  </si>
  <si>
    <t>Einge-</t>
  </si>
  <si>
    <t xml:space="preserve"> Jahres-</t>
  </si>
  <si>
    <t>schränk-</t>
  </si>
  <si>
    <t>franchisen</t>
  </si>
  <si>
    <t>te Wahl</t>
  </si>
  <si>
    <t xml:space="preserve"> (z.B. HMO)</t>
  </si>
  <si>
    <t>Quelle: T 1.06</t>
  </si>
  <si>
    <t>1) Versichertenbestand am Jahresende.</t>
  </si>
  <si>
    <t>2) Personen, die das 18. Altersjahr noch nicht vollendet haben (vor 1996: das 16. Altersjahr).</t>
  </si>
  <si>
    <t>3) Bis 2001: Inbegriffen Versicherte mit Wohnsitz oder Aufenthalt im Ausland gemäss Art. 3, 4 und 5 KVV;</t>
  </si>
  <si>
    <t xml:space="preserve">    ab 2002: Mit Personen mit Wohnsitz oder Aufenthalt im Ausland gemäss Art. 4 und 5 KVV aber ohne Versicherte,</t>
  </si>
  <si>
    <t xml:space="preserve">    die dem Versicherungsobligatorium unterstehen und in einem EU- oder EFTA-Staat Wohnsitz haben (EWG).</t>
  </si>
  <si>
    <t>Quelle: T 1.03</t>
  </si>
  <si>
    <r>
      <t xml:space="preserve">T 1.02  Versichertenbestand </t>
    </r>
    <r>
      <rPr>
        <b/>
        <vertAlign val="superscript"/>
        <sz val="12"/>
        <rFont val="Arial"/>
        <family val="2"/>
      </rPr>
      <t>1</t>
    </r>
    <r>
      <rPr>
        <b/>
        <sz val="12"/>
        <rFont val="Arial"/>
        <family val="2"/>
      </rPr>
      <t xml:space="preserve"> nach Geschlecht / Kinder ab 1994</t>
    </r>
  </si>
  <si>
    <r>
      <t xml:space="preserve">Jahr </t>
    </r>
    <r>
      <rPr>
        <vertAlign val="superscript"/>
        <sz val="11"/>
        <rFont val="Arial"/>
        <family val="2"/>
      </rPr>
      <t>3</t>
    </r>
  </si>
  <si>
    <r>
      <t xml:space="preserve">Kinder </t>
    </r>
    <r>
      <rPr>
        <vertAlign val="superscript"/>
        <sz val="11"/>
        <rFont val="Arial"/>
        <family val="2"/>
      </rPr>
      <t>2</t>
    </r>
  </si>
  <si>
    <t>1 – 5'000</t>
  </si>
  <si>
    <t>5'001 –</t>
  </si>
  <si>
    <t>10'001 –</t>
  </si>
  <si>
    <t xml:space="preserve">50'001 – </t>
  </si>
  <si>
    <t xml:space="preserve">100'001 – </t>
  </si>
  <si>
    <t>1) Gemäss Versichertenbestand OKP am Jahresende.</t>
  </si>
  <si>
    <t>2) 1994 und 1995: Krankenpflegegrundversicherung KUVG.</t>
  </si>
  <si>
    <t>Quelle: T 5.01</t>
  </si>
  <si>
    <r>
      <t xml:space="preserve">T 1.01  Anzahl Versicherer OKP nach Grösse </t>
    </r>
    <r>
      <rPr>
        <b/>
        <vertAlign val="superscript"/>
        <sz val="12"/>
        <rFont val="Arial"/>
        <family val="2"/>
      </rPr>
      <t>1</t>
    </r>
    <r>
      <rPr>
        <b/>
        <sz val="12"/>
        <rFont val="Arial"/>
        <family val="2"/>
      </rPr>
      <t xml:space="preserve"> ab 1994</t>
    </r>
  </si>
  <si>
    <t>T 1.14  Leistungen (brutto) in Franken je versicherte Person nach Versicherungsform ab 1994</t>
  </si>
  <si>
    <t>Quelle: T 1.40</t>
  </si>
  <si>
    <t>T 1.13  Leistungen (brutto) in Franken nach Versicherungsform ab 1994</t>
  </si>
  <si>
    <t>Quelle: T 1.39</t>
  </si>
  <si>
    <t xml:space="preserve">T 1.12  Prämiensoll in Franken je versicherte Person nach Versicherungsform und Geschlecht / Kinder </t>
  </si>
  <si>
    <t>Abweichung</t>
  </si>
  <si>
    <t>vom Gesamt-</t>
  </si>
  <si>
    <t>durchschnitt</t>
  </si>
  <si>
    <t>Quelle: T 1.11 / T 1.06</t>
  </si>
  <si>
    <t xml:space="preserve">T 1.11  Prämiensoll in Franken nach Versicherungsform und Geschlecht / Kinder </t>
  </si>
  <si>
    <t>Quelle: Formular EF3 [T 3.4]</t>
  </si>
  <si>
    <t>T 1.09  Prämiensoll in Franken nach Versicherungsform ab 1994</t>
  </si>
  <si>
    <t>1) Der Wechsel auf das Subventionierungssystem mit individueller Prämienverbilligung unter dem KVG führte technisch zu einem</t>
  </si>
  <si>
    <t>relativ höheren Prämiensoll der Versicherer; dieser Effekt ist beim Anstieg des Prämiensolls von 1995 auf 1996 zu berücksichtigen.</t>
  </si>
  <si>
    <t>2) Vgl. Fussnote 3) von Tabelle 1.02.</t>
  </si>
  <si>
    <t>Quelle: T 1.11</t>
  </si>
  <si>
    <r>
      <t xml:space="preserve">Jahr </t>
    </r>
    <r>
      <rPr>
        <vertAlign val="superscript"/>
        <sz val="11"/>
        <rFont val="Arial"/>
        <family val="2"/>
      </rPr>
      <t>1, 2</t>
    </r>
  </si>
  <si>
    <t>T 1.07 Erkrankte, Spitaleinweisungen und Spitaltage ab 1994</t>
  </si>
  <si>
    <t>Einwei-</t>
  </si>
  <si>
    <t>2) Die Zeitreihen der Einweisungen und besonders der Spitaltage sind von beschränkter Aussagekraft;</t>
  </si>
  <si>
    <t>der Grund liegt darin, dass vor 1999 nicht von allen Versicherern die Einweisungen und Tage in Pflegeheime(n) vollständig ausge-</t>
  </si>
  <si>
    <t>schieden werden konnten. So ist insbesondere auch die starke Abnahme der Spitaltage zwischen 1998 und 1999 auf diese</t>
  </si>
  <si>
    <t>"Nicht-mehr-Berücksichtigung" von Pflegeheimtagen durch grosse Versicherer zurückzuführen und darf somit nicht als echte</t>
  </si>
  <si>
    <t>Abnahme der Spitaltage im Spital stationär fehlinterpretiert werden.</t>
  </si>
  <si>
    <t>Quelle: T 1.08</t>
  </si>
  <si>
    <r>
      <t xml:space="preserve">Erkrankte </t>
    </r>
    <r>
      <rPr>
        <vertAlign val="superscript"/>
        <sz val="11"/>
        <rFont val="Arial"/>
        <family val="2"/>
      </rPr>
      <t>1</t>
    </r>
  </si>
  <si>
    <r>
      <t>Spitaltage</t>
    </r>
    <r>
      <rPr>
        <vertAlign val="superscript"/>
        <sz val="11"/>
        <rFont val="Arial"/>
        <family val="2"/>
      </rPr>
      <t xml:space="preserve"> 2</t>
    </r>
  </si>
  <si>
    <r>
      <t xml:space="preserve">sungen </t>
    </r>
    <r>
      <rPr>
        <vertAlign val="superscript"/>
        <sz val="11"/>
        <rFont val="Arial"/>
        <family val="2"/>
      </rPr>
      <t>2</t>
    </r>
  </si>
  <si>
    <t xml:space="preserve">Quelle: A: Formular EF3 [T 3.8.1 + 3.8.4] / B: Formular EF1 [1.12] </t>
  </si>
  <si>
    <t>1.11.04: Teil1 [mit 1.10, 1.20, 1.44 -&gt;1.46]</t>
  </si>
  <si>
    <t xml:space="preserve"> 7.10.04: 1.01, 1.02, 1.05, 1.07, 1.09, 1.11-&gt;1.14</t>
  </si>
  <si>
    <t>vom KVG-Bereich eines Versicherers abgetrennt werden, sich der Sicht der BAG-Krankenversicherungsstatistik entziehen.</t>
  </si>
  <si>
    <t>die resp. der Entnahme von den Fonds und Reserven.</t>
  </si>
  <si>
    <t>Quelle:  T 8.05 [6/7]; T 8.06 [3/4]; T 8.06 [800-801] - T 8.05 [800-801]</t>
  </si>
  <si>
    <r>
      <t xml:space="preserve">ergebnis </t>
    </r>
    <r>
      <rPr>
        <vertAlign val="superscript"/>
        <sz val="11"/>
        <rFont val="Arial"/>
        <family val="2"/>
      </rPr>
      <t>2</t>
    </r>
  </si>
  <si>
    <t xml:space="preserve">T 4.13 BezügerInnenquoten nach Geschlecht und Kantonen und begünstigte Haushalte in % </t>
  </si>
  <si>
    <t>Privat-</t>
  </si>
  <si>
    <t>Begünstigte</t>
  </si>
  <si>
    <t>haushalte</t>
  </si>
  <si>
    <t>(approximativ)</t>
  </si>
  <si>
    <t>Quelle: BFS Sektion Bevölkerungsentwicklung / T 4.02 / T 4.05</t>
  </si>
  <si>
    <t>1) Durchschnittliche Wohnbevölkerung in einem bestimmten Gebiet nach wirtschaftlichem Wohnsitz (BFS).</t>
  </si>
  <si>
    <t>2) Anzahl Personen in % der mittleren Wohnbevölkerung des Berichtsjahres.</t>
  </si>
  <si>
    <t>3) Gemäss eidgenössischer Volkszählung 2000.</t>
  </si>
  <si>
    <t>4) Die Zahlen sind nur begrenzt vergleichbar, da</t>
  </si>
  <si>
    <t>- Vergleich der Zahlen dieses Jahres mit den Haushalten von 2000,</t>
  </si>
  <si>
    <t>- unterschiedliche Definition des Begriffes Haushalt.</t>
  </si>
  <si>
    <r>
      <t xml:space="preserve">Mittlere Wohnbevölkerung </t>
    </r>
    <r>
      <rPr>
        <vertAlign val="superscript"/>
        <sz val="11"/>
        <rFont val="Arial"/>
        <family val="2"/>
      </rPr>
      <t>1</t>
    </r>
  </si>
  <si>
    <r>
      <t xml:space="preserve">BezügerInnenquoten </t>
    </r>
    <r>
      <rPr>
        <vertAlign val="superscript"/>
        <sz val="11"/>
        <rFont val="Arial"/>
        <family val="2"/>
      </rPr>
      <t>2</t>
    </r>
  </si>
  <si>
    <r>
      <t xml:space="preserve">Total </t>
    </r>
    <r>
      <rPr>
        <vertAlign val="superscript"/>
        <sz val="11"/>
        <rFont val="Arial"/>
        <family val="2"/>
      </rPr>
      <t>3</t>
    </r>
  </si>
  <si>
    <r>
      <t xml:space="preserve">in % </t>
    </r>
    <r>
      <rPr>
        <vertAlign val="superscript"/>
        <sz val="11"/>
        <rFont val="Arial"/>
        <family val="2"/>
      </rPr>
      <t>4</t>
    </r>
  </si>
  <si>
    <t>2) Alleinerziehende Personen mit einem oder mehreren Kindern.</t>
  </si>
  <si>
    <r>
      <t xml:space="preserve">T 4.04 Anzahl subventionierte Haushalte </t>
    </r>
    <r>
      <rPr>
        <b/>
        <vertAlign val="superscript"/>
        <sz val="12"/>
        <rFont val="Arial"/>
        <family val="2"/>
      </rPr>
      <t>1</t>
    </r>
    <r>
      <rPr>
        <b/>
        <sz val="12"/>
        <rFont val="Arial"/>
        <family val="2"/>
      </rPr>
      <t xml:space="preserve">  nach Haushaltsgrösse und Kantonen</t>
    </r>
  </si>
  <si>
    <r>
      <t xml:space="preserve">Haushalte </t>
    </r>
    <r>
      <rPr>
        <vertAlign val="superscript"/>
        <sz val="11"/>
        <rFont val="Arial"/>
        <family val="2"/>
      </rPr>
      <t>2</t>
    </r>
  </si>
  <si>
    <t>T 4.03 Anzahl BezügerInnen nach Geschlecht und Altersgruppen</t>
  </si>
  <si>
    <t>Altersgruppe</t>
  </si>
  <si>
    <t>männlich</t>
  </si>
  <si>
    <t>weiblich</t>
  </si>
  <si>
    <t>Anteil am</t>
  </si>
  <si>
    <t>total</t>
  </si>
  <si>
    <t>20 – 25</t>
  </si>
  <si>
    <t>26 – 30</t>
  </si>
  <si>
    <t>31 – 35</t>
  </si>
  <si>
    <t>36 – 40</t>
  </si>
  <si>
    <t>41 – 45</t>
  </si>
  <si>
    <t>46 – 50</t>
  </si>
  <si>
    <t>51 – 55</t>
  </si>
  <si>
    <t>56 – 60</t>
  </si>
  <si>
    <t>61 – 65</t>
  </si>
  <si>
    <t>66 – 70</t>
  </si>
  <si>
    <t>71 – 75</t>
  </si>
  <si>
    <t>76 – 80</t>
  </si>
  <si>
    <t>81 – 85</t>
  </si>
  <si>
    <t>86 – 90</t>
  </si>
  <si>
    <t>96 und mehr</t>
  </si>
  <si>
    <t>Alter unbekannt</t>
  </si>
  <si>
    <t>Quelle: Formular PV2 [2.1]</t>
  </si>
  <si>
    <t>T 4.02 Anzahl BezügerInnen nach Geschlecht und Kantonen</t>
  </si>
  <si>
    <t>Männliche</t>
  </si>
  <si>
    <t>Weibliche</t>
  </si>
  <si>
    <t xml:space="preserve">davon </t>
  </si>
  <si>
    <t>Personen</t>
  </si>
  <si>
    <t>Ergänzungs-</t>
  </si>
  <si>
    <t>Sozialhilfe-</t>
  </si>
  <si>
    <t>Leistungs-</t>
  </si>
  <si>
    <t>BezügerInnen</t>
  </si>
  <si>
    <t>1) Anzahl Personen, an welche im Berichtsjahr Subventionen nach KVG ausgerichtet wurden.</t>
  </si>
  <si>
    <r>
      <t xml:space="preserve">BezügerInnen </t>
    </r>
    <r>
      <rPr>
        <vertAlign val="superscript"/>
        <sz val="11"/>
        <rFont val="Arial"/>
        <family val="2"/>
      </rPr>
      <t>1</t>
    </r>
  </si>
  <si>
    <t xml:space="preserve">Datenstand: 16.08.04 </t>
  </si>
  <si>
    <t>KVG-Verteilmodell 2003</t>
  </si>
  <si>
    <t>2002/03</t>
  </si>
  <si>
    <t>1996 - 2003</t>
  </si>
  <si>
    <t>1: Versicherte und Finanzen in der obligatorischen Krankenpflegeversicherung (OKP)</t>
  </si>
  <si>
    <t>Anzahl Versicherer OKP nach Grösse ab 1994</t>
  </si>
  <si>
    <t xml:space="preserve"> 8.10.04: 1.15 -&gt;1.19, 1.21 -&gt; 1.23,  1.39, 1.40</t>
  </si>
  <si>
    <t>11.10.04: Teil 8 mit [8.01 -&gt; 8.04, 8.07, 8.08]</t>
  </si>
  <si>
    <t>Versichertenbestand nachGeschlecht / Kinder ab 1994 per 31.12</t>
  </si>
  <si>
    <t>Versichertenbestand nach Wohnkanton per 31.12</t>
  </si>
  <si>
    <t>Versichertenbestand nach Alter und Geschlecht per 31.12</t>
  </si>
  <si>
    <t>Versichertenbestand per 31.12 nach Versicherungsform ab 1994</t>
  </si>
  <si>
    <t>Versichertenbestand nach Versicherungsform und Geschlecht / Kinder per 31.12</t>
  </si>
  <si>
    <t>Erkrankte, Spitaleinweisungen und Spitaltage ab 1994</t>
  </si>
  <si>
    <t>Erkrankte, Spitaleinweisungen und Spitaltage nach Geschlecht / Kinder</t>
  </si>
  <si>
    <t>Prämiensoll nach Versicherungsform ab 1994</t>
  </si>
  <si>
    <t>Prämiensoll je versicherte Person nach Versicherungsform ab 1994</t>
  </si>
  <si>
    <t>Prämiensoll nach Versicherungsform und Geschlecht / Kinder</t>
  </si>
  <si>
    <t>Prämiensoll je versicherte Person nach Versicherungsform und Geschlecht / Kinder ab 1994</t>
  </si>
  <si>
    <t>Leistungen (brutto)  nach Versicherungsform ab 1994</t>
  </si>
  <si>
    <t>Leistungen (brutto)  je versicherte Person nach Versicherungsform ab 1994</t>
  </si>
  <si>
    <t>Leistungen (brutto)  nach Kostengruppen ab 1994</t>
  </si>
  <si>
    <t xml:space="preserve">Leistungen (brutto) nach Kostengruppen und Geschlecht / Kinder </t>
  </si>
  <si>
    <t xml:space="preserve">Leistungen (brutto) je versicherte Person nach Kostengruppen ab 1994 </t>
  </si>
  <si>
    <t xml:space="preserve">Leistungen (brutto)  je versicherte Person nach Kostengruppen und Geschlecht / Kinder </t>
  </si>
  <si>
    <t xml:space="preserve">Kostenbeteiligung der Versicherten in Fr. nach Versicherungsform ab 1994 </t>
  </si>
  <si>
    <t xml:space="preserve">Kostenbeteiligung je versicherte Person in Fr. nach Versicherungsform ab 1994 </t>
  </si>
  <si>
    <t>Bezahlte Leistungen nach Versicherungsform ab 1994</t>
  </si>
  <si>
    <t>Bezahlte Leistungen je versicherte Person nach Versicherungsform ab 1994</t>
  </si>
  <si>
    <t>Verwaltungsaufwand / Abschreibungen  nach Versicherungsform ab 1994</t>
  </si>
  <si>
    <t>801-812</t>
  </si>
  <si>
    <t>(0 - 100%)</t>
  </si>
  <si>
    <t>8: Gesamtgeschäft der vom BAG anerkannten Krankenversicherer</t>
  </si>
  <si>
    <t>Anzahl Versicherer ab 1945</t>
  </si>
  <si>
    <t>Versichertenbestände und Versicherungsdichte ab 1945</t>
  </si>
  <si>
    <t xml:space="preserve">Stellen- und Personalbestand der Versicherer ab 1994 </t>
  </si>
  <si>
    <t xml:space="preserve">Ertrag, Aufwand und Ergebnis der Versicherer ab 1994 </t>
  </si>
  <si>
    <t>Gesamtgeschäft der vom BAG anerkannten Krankenversicherer</t>
  </si>
  <si>
    <t>Gesamtbetriebsrechnung: Ertrag der Versicherer</t>
  </si>
  <si>
    <t xml:space="preserve">Gesamtbetriebsrechnung: Aufwand der Versicherer </t>
  </si>
  <si>
    <t xml:space="preserve">Aktiven und Passiven der Versicherer ab 1994 </t>
  </si>
  <si>
    <t xml:space="preserve">Eigenkapital und Eigenkapitalquote der Versicherer ab 1994 </t>
  </si>
  <si>
    <t>Bilanz: Aktiven der Versicherer per 31.12</t>
  </si>
  <si>
    <t>Bilanz: Passiven der Versicherer per 31.12</t>
  </si>
  <si>
    <t>Aufstellung über Kapitalanlagen, Grundstücke und Gebäude per 31.12</t>
  </si>
  <si>
    <t>Ergebnisverteilung per 31.12</t>
  </si>
  <si>
    <t xml:space="preserve">T 8.06  Gesamtbetriebsrechnung: Aufwand der Versicherer </t>
  </si>
  <si>
    <t>Betrag</t>
  </si>
  <si>
    <t>Anteile</t>
  </si>
  <si>
    <t>Kostenbeteiligung der Versicherten</t>
  </si>
  <si>
    <t>30 – 33</t>
  </si>
  <si>
    <t>Veränderung der Rückstellungen für unerledigte Versicherungsfälle / versicherungstechnische Rückstellungen</t>
  </si>
  <si>
    <t>30 – 35</t>
  </si>
  <si>
    <t>Leistungsanteile der Rückversicherer</t>
  </si>
  <si>
    <t>– Personalaufwand inkl. Sozialleistungen</t>
  </si>
  <si>
    <t>– Verwaltungsräumlichkeiten und Betriebseinrichtungen</t>
  </si>
  <si>
    <t>– EDV-Kosten</t>
  </si>
  <si>
    <t>– Versicherungsprämien und Verbandsbeiträge</t>
  </si>
  <si>
    <t>– Marketing und Werbung inkl. Provisionen KVG</t>
  </si>
  <si>
    <t>– Marketing und Werbung inkl. Provisionen VVG</t>
  </si>
  <si>
    <t>– Übriger Verwaltungsaufwand</t>
  </si>
  <si>
    <t>– Erhaltene Verwaltungsentschädigung</t>
  </si>
  <si>
    <t>40 – 47</t>
  </si>
  <si>
    <t>Total Verwaltungsaufwand</t>
  </si>
  <si>
    <t>3 / 4</t>
  </si>
  <si>
    <t>800 – 801</t>
  </si>
  <si>
    <t>Vorschlag Gesamtbetriebsrechnung</t>
  </si>
  <si>
    <t>Gesamt-Total</t>
  </si>
  <si>
    <t>1) Mit Versicherten, die dem Versicherungsobligatorium unterstehen und in einem EU- oder EFTA-Staat Wohnsitz haben (EWG);</t>
  </si>
  <si>
    <t>[T 1.27 + T 7.06].</t>
  </si>
  <si>
    <t xml:space="preserve">2) Jene Zusatzversicherungen VVG, welche auch unternehmensrechtlich vom KVG-Bereich eines Versicherers abgetrennt werden, </t>
  </si>
  <si>
    <t>entziehen sich der Sicht der BSV-Krankenversicherungsstatistik.</t>
  </si>
  <si>
    <t>Quelle: Formular EF1 [6,7]</t>
  </si>
  <si>
    <r>
      <t xml:space="preserve">Obligatorische Krankenpflegeversicherung KVG </t>
    </r>
    <r>
      <rPr>
        <vertAlign val="superscript"/>
        <sz val="11"/>
        <rFont val="Arial"/>
        <family val="2"/>
      </rPr>
      <t>1</t>
    </r>
  </si>
  <si>
    <t>Komplementär-</t>
  </si>
  <si>
    <t>(ambulant)</t>
  </si>
  <si>
    <t>(Arzt)</t>
  </si>
  <si>
    <t>(Apotheke)</t>
  </si>
  <si>
    <t>Gegenstände</t>
  </si>
  <si>
    <t>an HMO's</t>
  </si>
  <si>
    <t>medizin</t>
  </si>
  <si>
    <t>«Intra-muros»</t>
  </si>
  <si>
    <t xml:space="preserve">Spital </t>
  </si>
  <si>
    <t>Pflegeheim</t>
  </si>
  <si>
    <t>(stationär)</t>
  </si>
  <si>
    <t>1) Vgl. Fussnoten 1) , 2) und 3) von Tabelle 1.15.</t>
  </si>
  <si>
    <t>Quelle: T 1.15 / 1.06</t>
  </si>
  <si>
    <r>
      <t xml:space="preserve">T 1.17  Leistungen (brutto) in Franken je versicherte Person nach Kostengruppen ab 1994 </t>
    </r>
    <r>
      <rPr>
        <b/>
        <vertAlign val="superscript"/>
        <sz val="12"/>
        <rFont val="Arial"/>
        <family val="2"/>
      </rPr>
      <t>1</t>
    </r>
  </si>
  <si>
    <t xml:space="preserve">T 1.16  Leistungen (brutto) in Franken nach Kostengruppen und Geschlecht / Kinder </t>
  </si>
  <si>
    <t>in 1000 Fr.</t>
  </si>
  <si>
    <t xml:space="preserve">Quelle: Formular EF3 [T 3.6] </t>
  </si>
  <si>
    <t>T 1.15  Leistungen (brutto) in Mio. Franken nach Kostengruppen ab 1994</t>
  </si>
  <si>
    <t>1) Als «Intra-muros» Behandlung gelten die Kategorien "Spital stationär", "Pflegeheime" und "übrige Leistungen stationär";</t>
  </si>
  <si>
    <t xml:space="preserve"> als ambulante Kosten gelten alle übrigen Kategorien.</t>
  </si>
  <si>
    <t>2) Werte 1994 - 1997 teilweise geschätzt, Werte 1999 mit Datenstand Oktober 2001 revidiert.</t>
  </si>
  <si>
    <t>3) Schätzungen : alle Kostengruppen sind nicht verfügbar.</t>
  </si>
  <si>
    <r>
      <t xml:space="preserve">Behandlung </t>
    </r>
    <r>
      <rPr>
        <b/>
        <vertAlign val="superscript"/>
        <sz val="11"/>
        <rFont val="Arial"/>
        <family val="2"/>
      </rPr>
      <t>1</t>
    </r>
  </si>
  <si>
    <r>
      <t xml:space="preserve">2004 </t>
    </r>
    <r>
      <rPr>
        <i/>
        <vertAlign val="superscript"/>
        <sz val="11"/>
        <rFont val="Arial"/>
        <family val="2"/>
      </rPr>
      <t>3</t>
    </r>
  </si>
  <si>
    <r>
      <t xml:space="preserve">2005 </t>
    </r>
    <r>
      <rPr>
        <i/>
        <vertAlign val="superscript"/>
        <sz val="11"/>
        <rFont val="Arial"/>
        <family val="2"/>
      </rPr>
      <t>3</t>
    </r>
  </si>
  <si>
    <r>
      <t xml:space="preserve">Quelle : T 1.16 ; </t>
    </r>
    <r>
      <rPr>
        <i/>
        <sz val="10"/>
        <rFont val="Arial"/>
        <family val="2"/>
      </rPr>
      <t>Schätzungen : Prämiengenehmigungsverfahren BAG.</t>
    </r>
  </si>
  <si>
    <t>Quelle: T 1.39 / T 1.06</t>
  </si>
  <si>
    <t>T 1.39  Leistungen (brutto) in Franken nach Versicherungsform und Geschlecht / Kinder</t>
  </si>
  <si>
    <t>Quelle: Formular EF3 [T 3.5]</t>
  </si>
  <si>
    <t>T 1.23 Verwaltungsaufwand / Abschreibungen in Franken nach Versicherungsform ab 1994</t>
  </si>
  <si>
    <t>In % des</t>
  </si>
  <si>
    <t>Versicherungs-</t>
  </si>
  <si>
    <t>und Betriebsauf-</t>
  </si>
  <si>
    <t>wand</t>
  </si>
  <si>
    <t>wands</t>
  </si>
  <si>
    <t>Quelle: T 1.28; 1.29; 1.30; 1.31 [4] und 1.27 [3/4]</t>
  </si>
  <si>
    <t>1) Bezahlte Leistungen der Versicherer = Leistungen (brutto) der Versicherer minus Kostenbeteiligungen der Versicherten.</t>
  </si>
  <si>
    <t>Quelle: T 1.21 / T 1.05</t>
  </si>
  <si>
    <r>
      <t xml:space="preserve">T 1.22 Bezahlte Leistungen </t>
    </r>
    <r>
      <rPr>
        <b/>
        <vertAlign val="superscript"/>
        <sz val="12"/>
        <rFont val="Arial"/>
        <family val="2"/>
      </rPr>
      <t>1</t>
    </r>
    <r>
      <rPr>
        <b/>
        <sz val="12"/>
        <rFont val="Arial"/>
        <family val="2"/>
      </rPr>
      <t xml:space="preserve">  in Franken je versicherte Person nach Versicherungsform ab 1994</t>
    </r>
  </si>
  <si>
    <t>Quelle: T 1.28; 1.29; 1.30; 1.31 [30-33]</t>
  </si>
  <si>
    <r>
      <t xml:space="preserve">T 1.21  Bezahlte Leistungen </t>
    </r>
    <r>
      <rPr>
        <b/>
        <vertAlign val="superscript"/>
        <sz val="12"/>
        <rFont val="Arial"/>
        <family val="2"/>
      </rPr>
      <t xml:space="preserve">1 </t>
    </r>
    <r>
      <rPr>
        <b/>
        <sz val="12"/>
        <rFont val="Arial"/>
        <family val="2"/>
      </rPr>
      <t xml:space="preserve"> in Franken nach Versicherungsform ab 1994</t>
    </r>
  </si>
  <si>
    <t>T 1.34 Verteilung der Versicherten (Kinder und Erwachsene) nach Versicherungsform ab 1994</t>
  </si>
  <si>
    <t>Quelle: T 1.05</t>
  </si>
  <si>
    <t xml:space="preserve">T 1.33  Stand der Rückstellungen für unerledigte Versicherungsfälle in Franken ab 1996 </t>
  </si>
  <si>
    <t>Stand</t>
  </si>
  <si>
    <t>Stand Rück-</t>
  </si>
  <si>
    <t>Rückstellungen</t>
  </si>
  <si>
    <t>Rück-</t>
  </si>
  <si>
    <t>stellungen pro</t>
  </si>
  <si>
    <t>in % der be-</t>
  </si>
  <si>
    <t>stellungen</t>
  </si>
  <si>
    <t>zahlten Lei-</t>
  </si>
  <si>
    <t>1) Bestand jeweils am Jahresende gemäss Bilanz; Werte 1994 und 1995 noch nicht separat für die Grundversicherung erfasst.</t>
  </si>
  <si>
    <t>2) Vgl. Tabelle 1.06.</t>
  </si>
  <si>
    <t>3) Vgl. Tabelle 1.21.</t>
  </si>
  <si>
    <t>Quelle: T 8.10 [270]; T 1.06; T 1.21</t>
  </si>
  <si>
    <r>
      <t xml:space="preserve">Person in Fr. </t>
    </r>
    <r>
      <rPr>
        <vertAlign val="superscript"/>
        <sz val="11"/>
        <rFont val="Arial"/>
        <family val="2"/>
      </rPr>
      <t>2</t>
    </r>
  </si>
  <si>
    <r>
      <t xml:space="preserve">stungen </t>
    </r>
    <r>
      <rPr>
        <vertAlign val="superscript"/>
        <sz val="11"/>
        <rFont val="Arial"/>
        <family val="2"/>
      </rPr>
      <t>3</t>
    </r>
  </si>
  <si>
    <t>T 1.32 Stand der Reserven in Franken ab 1996</t>
  </si>
  <si>
    <t>Reserve-</t>
  </si>
  <si>
    <t>pro ver-</t>
  </si>
  <si>
    <t>sicherte Per-</t>
  </si>
  <si>
    <t>3) Reserven in % des Prämiensolls (vgl. Tabelle 1.09).</t>
  </si>
  <si>
    <t>Quelle: T 8.10 [290 + 290.9]; T 1.06; T 1.09</t>
  </si>
  <si>
    <r>
      <t xml:space="preserve">Reserven </t>
    </r>
    <r>
      <rPr>
        <vertAlign val="superscript"/>
        <sz val="11"/>
        <rFont val="Arial"/>
        <family val="2"/>
      </rPr>
      <t>2</t>
    </r>
  </si>
  <si>
    <r>
      <t xml:space="preserve">quote </t>
    </r>
    <r>
      <rPr>
        <vertAlign val="superscript"/>
        <sz val="11"/>
        <rFont val="Arial"/>
        <family val="2"/>
      </rPr>
      <t>3</t>
    </r>
  </si>
  <si>
    <t>T 1.26  Gesamtbetriebsergebnis in Franken je versicherte Person nach Versicherungsform ab 1994</t>
  </si>
  <si>
    <t>Quelle: T 1.25 / T 1.05</t>
  </si>
  <si>
    <t>T 1.25  Gesamtbetriebsergebnis in Franken nach Versicherungsform ab 1994</t>
  </si>
  <si>
    <t>Quelle: T 1.28; 1.29; 1.30; 1.31</t>
  </si>
  <si>
    <t xml:space="preserve">T 1.24 Verwaltungsaufwand / Abschreibungen in Franken je versicherte Person nach Versicherungsform ab 1994 </t>
  </si>
  <si>
    <t>Quelle: T 1.23 / T 1.05</t>
  </si>
  <si>
    <t>T 1.43 Obligatorische Krankenpflegeversicherung ab 1996: wichtigste Indikatoren</t>
  </si>
  <si>
    <t>Merkmale</t>
  </si>
  <si>
    <t>Veränderung 2002-2003 in %</t>
  </si>
  <si>
    <t>Veränderung 1996-2003 in %</t>
  </si>
  <si>
    <t>Jahresdurch-schnittliche Veränderung 1996-2003 in %</t>
  </si>
  <si>
    <t>1  – Anzahl Versicherer OKP</t>
  </si>
  <si>
    <t>2  – Versichertenbestand per 31.12. in 1'000</t>
  </si>
  <si>
    <t>3  – Anzahl Erkrankte in 1'000</t>
  </si>
  <si>
    <t>4  – Anzahl Erkrankte je 100 Versicherte</t>
  </si>
  <si>
    <t>5  – Anzahl Spitaleinweisungen in 1'000</t>
  </si>
  <si>
    <t>6  – Anzahl Spitaltage in 1'000</t>
  </si>
  <si>
    <t>7  – Prämiensoll in Mio. Fr.</t>
  </si>
  <si>
    <t>8  – Prämiensoll pro Versicherte(n) in Fr.</t>
  </si>
  <si>
    <t>11 –– davon ambulante Leistungen in Fr.</t>
  </si>
  <si>
    <t>12 –– davon stationäre Leistungen in Fr.</t>
  </si>
  <si>
    <t>13 – Kostenbeteiligung in Mio. Fr.</t>
  </si>
  <si>
    <t>14 – Kostenbeteiligung pro Versicherten in Fr.</t>
  </si>
  <si>
    <t>4) Quelle: Bundesamt für Privatversicherungen (BPV). Vor 1991 sind keine Zahlen verfügbar; 1992-1996:  Schätzungen  BSV.</t>
  </si>
  <si>
    <t xml:space="preserve">     Der Anteil der Kollektivversicherung (Prämien und Leistungen) umfasst mehr als 90 %.</t>
  </si>
  <si>
    <r>
      <t>Total</t>
    </r>
    <r>
      <rPr>
        <b/>
        <vertAlign val="superscript"/>
        <sz val="11"/>
        <rFont val="Arial"/>
        <family val="2"/>
      </rPr>
      <t xml:space="preserve"> 3</t>
    </r>
  </si>
  <si>
    <r>
      <t xml:space="preserve">Total </t>
    </r>
    <r>
      <rPr>
        <b/>
        <vertAlign val="superscript"/>
        <sz val="11"/>
        <rFont val="Arial"/>
        <family val="2"/>
      </rPr>
      <t>3</t>
    </r>
  </si>
  <si>
    <r>
      <t xml:space="preserve">VVG </t>
    </r>
    <r>
      <rPr>
        <vertAlign val="superscript"/>
        <sz val="11"/>
        <rFont val="Arial"/>
        <family val="2"/>
      </rPr>
      <t>2</t>
    </r>
  </si>
  <si>
    <r>
      <t xml:space="preserve">VVG </t>
    </r>
    <r>
      <rPr>
        <vertAlign val="superscript"/>
        <sz val="11"/>
        <rFont val="Arial"/>
        <family val="2"/>
      </rPr>
      <t>4</t>
    </r>
  </si>
  <si>
    <r>
      <t xml:space="preserve">KVG </t>
    </r>
    <r>
      <rPr>
        <vertAlign val="superscript"/>
        <sz val="11"/>
        <rFont val="Arial"/>
        <family val="2"/>
      </rPr>
      <t>1</t>
    </r>
  </si>
  <si>
    <r>
      <t xml:space="preserve">T 9.16 Krankenversicherung bei den privaten Versicherungsunternehmungen </t>
    </r>
    <r>
      <rPr>
        <b/>
        <sz val="12"/>
        <rFont val="Arial"/>
        <family val="2"/>
      </rPr>
      <t>ab 1985 in Mio. Fr.</t>
    </r>
  </si>
  <si>
    <t>mit</t>
  </si>
  <si>
    <t>krankenver-</t>
  </si>
  <si>
    <t>1) Prämien = verdiente Prämien brutto; Leistungen = Zahlungen für Versicherungsfälle brutto.</t>
  </si>
  <si>
    <t xml:space="preserve">   Die Zusatzversicherungen gemäss VVG der KVG-Versicherer (Krankenkassen) ab 1996 sind in diesen Zahlen nicht inbegriffen.</t>
  </si>
  <si>
    <t>2) Prämien und Leistungen ohne Taggeldversicherung.</t>
  </si>
  <si>
    <t>Quelle: Bundesamt für Privatversicherungen (BPV).</t>
  </si>
  <si>
    <r>
      <t xml:space="preserve">Prämien </t>
    </r>
    <r>
      <rPr>
        <b/>
        <vertAlign val="superscript"/>
        <sz val="11"/>
        <rFont val="Arial"/>
        <family val="2"/>
      </rPr>
      <t>1</t>
    </r>
  </si>
  <si>
    <r>
      <t xml:space="preserve">Leistungen </t>
    </r>
    <r>
      <rPr>
        <b/>
        <vertAlign val="superscript"/>
        <sz val="11"/>
        <rFont val="Arial"/>
        <family val="2"/>
      </rPr>
      <t>1</t>
    </r>
  </si>
  <si>
    <r>
      <t xml:space="preserve">      Krankenpflegeversicherung</t>
    </r>
    <r>
      <rPr>
        <b/>
        <vertAlign val="superscript"/>
        <sz val="11"/>
        <rFont val="Arial"/>
        <family val="2"/>
      </rPr>
      <t xml:space="preserve"> 2</t>
    </r>
  </si>
  <si>
    <r>
      <t xml:space="preserve">      Krankenpflegeversicherung </t>
    </r>
    <r>
      <rPr>
        <b/>
        <vertAlign val="superscript"/>
        <sz val="11"/>
        <rFont val="Arial"/>
        <family val="2"/>
      </rPr>
      <t>2</t>
    </r>
  </si>
  <si>
    <r>
      <t xml:space="preserve">   Vor 1991 sind keine Zahlen verfügbar; </t>
    </r>
    <r>
      <rPr>
        <i/>
        <sz val="10"/>
        <rFont val="Arial"/>
        <family val="2"/>
      </rPr>
      <t>1992-1996:  Schätzungen  BSV (kursiv).</t>
    </r>
  </si>
  <si>
    <t>Junge</t>
  </si>
  <si>
    <t xml:space="preserve">Kinder </t>
  </si>
  <si>
    <t>allgemein</t>
  </si>
  <si>
    <t>halbprivat</t>
  </si>
  <si>
    <t>privat</t>
  </si>
  <si>
    <t>(ganze CH)</t>
  </si>
  <si>
    <t>Veränderung gegenüber dem Vorjahr</t>
  </si>
  <si>
    <t>1) Ausgaben für die Krankenversicherung: Prämien + Kostenbeteiligung für die OKP bzw. Prämien für Spitalzusatzversicherungen.</t>
  </si>
  <si>
    <t>In den Publikationen 2001 und 2002 wurde in der Tabelle 9.15 der Index der Prämien (nicht der Ausgaben) verwendet.</t>
  </si>
  <si>
    <t>2) Quelle: T1.10 + T1.20 und 1.46. Index der Ausgaben (Prämien + Kostenbeteiligung). Effektive Erhöhungen.</t>
  </si>
  <si>
    <t>3) Quelle: BFS, Sektion Preise und Verbrauch. Krankenversicherungsprämienindex (KVPI) seit 1999.</t>
  </si>
  <si>
    <t>4) OKP: Schätzungen.</t>
  </si>
  <si>
    <r>
      <t xml:space="preserve">T 9.15 Index der Krankenversicherungsausgaben </t>
    </r>
    <r>
      <rPr>
        <b/>
        <vertAlign val="superscript"/>
        <sz val="12"/>
        <rFont val="Arial"/>
        <family val="2"/>
      </rPr>
      <t>1</t>
    </r>
    <r>
      <rPr>
        <b/>
        <sz val="12"/>
        <rFont val="Arial"/>
        <family val="2"/>
      </rPr>
      <t xml:space="preserve"> je versicherte Person nach Versicherungsart ab 1996 (Basis 1999 = 100)</t>
    </r>
  </si>
  <si>
    <r>
      <t xml:space="preserve">Grundversicherung (OKP) </t>
    </r>
    <r>
      <rPr>
        <b/>
        <vertAlign val="superscript"/>
        <sz val="11"/>
        <rFont val="Arial"/>
        <family val="2"/>
      </rPr>
      <t>2</t>
    </r>
  </si>
  <si>
    <r>
      <t xml:space="preserve">Spitalzusatzversicherungen </t>
    </r>
    <r>
      <rPr>
        <b/>
        <vertAlign val="superscript"/>
        <sz val="11"/>
        <rFont val="Arial"/>
        <family val="2"/>
      </rPr>
      <t>3</t>
    </r>
  </si>
  <si>
    <r>
      <t xml:space="preserve">2004 </t>
    </r>
    <r>
      <rPr>
        <i/>
        <vertAlign val="superscript"/>
        <sz val="11"/>
        <rFont val="Arial"/>
        <family val="2"/>
      </rPr>
      <t>4</t>
    </r>
  </si>
  <si>
    <r>
      <t xml:space="preserve">2005 </t>
    </r>
    <r>
      <rPr>
        <i/>
        <vertAlign val="superscript"/>
        <sz val="11"/>
        <rFont val="Arial"/>
        <family val="2"/>
      </rPr>
      <t>4</t>
    </r>
  </si>
  <si>
    <r>
      <t xml:space="preserve">Werte der </t>
    </r>
    <r>
      <rPr>
        <u/>
        <sz val="10"/>
        <rFont val="Arial"/>
        <family val="2"/>
      </rPr>
      <t>effektiven</t>
    </r>
    <r>
      <rPr>
        <sz val="10"/>
        <rFont val="Arial"/>
        <family val="2"/>
      </rPr>
      <t xml:space="preserve"> Erhöhung der Prämien nach Altersgruppen und Versicherungsform: vgl. T 1.44.</t>
    </r>
  </si>
  <si>
    <r>
      <t xml:space="preserve">Werte der </t>
    </r>
    <r>
      <rPr>
        <u/>
        <sz val="10"/>
        <rFont val="Arial"/>
        <family val="2"/>
      </rPr>
      <t>effektiven</t>
    </r>
    <r>
      <rPr>
        <sz val="10"/>
        <rFont val="Arial"/>
        <family val="2"/>
      </rPr>
      <t xml:space="preserve"> Erhöhung der Kostenbeteiligung nach Altersgruppen und Versicherungsform: vgl. T 1.45.</t>
    </r>
  </si>
  <si>
    <r>
      <t xml:space="preserve">Werte der </t>
    </r>
    <r>
      <rPr>
        <u/>
        <sz val="10"/>
        <rFont val="Arial"/>
        <family val="2"/>
      </rPr>
      <t>effektiven</t>
    </r>
    <r>
      <rPr>
        <sz val="10"/>
        <rFont val="Arial"/>
        <family val="2"/>
      </rPr>
      <t xml:space="preserve"> Erhöhung der gesamten Ausgaben nach Altersgruppen und Versicherungsform: vgl. T 1.46.</t>
    </r>
  </si>
  <si>
    <r>
      <t xml:space="preserve">Werte der </t>
    </r>
    <r>
      <rPr>
        <u/>
        <sz val="10"/>
        <rFont val="Arial"/>
        <family val="2"/>
      </rPr>
      <t>geschätzten</t>
    </r>
    <r>
      <rPr>
        <sz val="10"/>
        <rFont val="Arial"/>
        <family val="2"/>
      </rPr>
      <t xml:space="preserve"> Erhöhung der Prämien pro Kanton und Altersgruppen für die ordentliche Franchise: vgl. T 3.02, 3.04 und 3.06.</t>
    </r>
  </si>
  <si>
    <t>T 9.14 Entwicklung der Indizes der Krankenpflegekosten, der Löhne sowie der Preise ab 1985</t>
  </si>
  <si>
    <t>Pflege-</t>
  </si>
  <si>
    <t>BFS-Lohn-</t>
  </si>
  <si>
    <t>Konsumen-</t>
  </si>
  <si>
    <t>kosten-</t>
  </si>
  <si>
    <t>tenpreis-</t>
  </si>
  <si>
    <t>index</t>
  </si>
  <si>
    <t>(nominal)</t>
  </si>
  <si>
    <t>Pflegekostenindex OKP</t>
  </si>
  <si>
    <t>BFS–Lohnindex</t>
  </si>
  <si>
    <t>Konsumentenpreisindex</t>
  </si>
  <si>
    <t>1) Entwicklung der Leistungen pro Versicherte(n) in der Krankenpflege-Grundversicherung gemäss KUVG resp. in der oblig. Kranken–</t>
  </si>
  <si>
    <t>pflegeversicherung KVG (ab 1996). Bei den Leistungen - erfasst mit der Kostenbeteiligung der Versicherten – ist der Wechsel auf ei–</t>
  </si>
  <si>
    <t>nen neuen Kontenplan ab 1994 zu berücksichtigen; so wurden vor 1994 die Leistungen berechnet als Gesamtkosten der ambulanten</t>
  </si>
  <si>
    <t>Krankenpflege plus Heilanstaltskosten der Grundversicherung plus Kosten der oblig. Spitaltaggeldversicherung; dabei nicht erfasst</t>
  </si>
  <si>
    <t>waren die Leistungen für Mutterschaft, Invalidität und Tbc; die Folge ist eine leichte Unterschätzung des Indexes für 1985 – 1993.</t>
  </si>
  <si>
    <t>Quelle: T 1.14.</t>
  </si>
  <si>
    <t>2) Quelle: BFS, Sektion Löhne und Arbeitsbedingungen.</t>
  </si>
  <si>
    <t>3) Quelle: T 9.12.</t>
  </si>
  <si>
    <r>
      <t xml:space="preserve">index </t>
    </r>
    <r>
      <rPr>
        <vertAlign val="superscript"/>
        <sz val="11"/>
        <rFont val="Arial"/>
        <family val="2"/>
      </rPr>
      <t>2</t>
    </r>
  </si>
  <si>
    <r>
      <t xml:space="preserve">index (LIK) </t>
    </r>
    <r>
      <rPr>
        <vertAlign val="superscript"/>
        <sz val="11"/>
        <rFont val="Arial"/>
        <family val="2"/>
      </rPr>
      <t>3</t>
    </r>
  </si>
  <si>
    <r>
      <t xml:space="preserve">OKP </t>
    </r>
    <r>
      <rPr>
        <vertAlign val="superscript"/>
        <sz val="11"/>
        <rFont val="Arial"/>
        <family val="2"/>
      </rPr>
      <t>1</t>
    </r>
  </si>
  <si>
    <t>T 9.11 Versicherte mit einer Spitalzusatzversicherung ab 1994</t>
  </si>
  <si>
    <t>Versicherten-</t>
  </si>
  <si>
    <t xml:space="preserve">   KVG-Versicherer </t>
  </si>
  <si>
    <t xml:space="preserve">   Total der Versicherer </t>
  </si>
  <si>
    <t xml:space="preserve">   (KVG + Privatversicherer)</t>
  </si>
  <si>
    <t>OKP</t>
  </si>
  <si>
    <t>per 31.12</t>
  </si>
  <si>
    <t>ganze CH</t>
  </si>
  <si>
    <t>in % von A</t>
  </si>
  <si>
    <t>1) Quelle: Bundesamt für Privatversicherungen (BPV).</t>
  </si>
  <si>
    <t>2) Quelle: Bundesamt für Sozialversicherung (BSV), Formular EF3 [3.7.3].</t>
  </si>
  <si>
    <t>3) Quelle: T 1.06.</t>
  </si>
  <si>
    <r>
      <t xml:space="preserve"> Privatversicherer </t>
    </r>
    <r>
      <rPr>
        <b/>
        <vertAlign val="superscript"/>
        <sz val="11"/>
        <rFont val="Arial"/>
        <family val="2"/>
      </rPr>
      <t>1</t>
    </r>
  </si>
  <si>
    <r>
      <t xml:space="preserve">(A) </t>
    </r>
    <r>
      <rPr>
        <vertAlign val="superscript"/>
        <sz val="11"/>
        <rFont val="Arial"/>
        <family val="2"/>
      </rPr>
      <t>3</t>
    </r>
  </si>
  <si>
    <r>
      <t xml:space="preserve">in % von A </t>
    </r>
    <r>
      <rPr>
        <vertAlign val="superscript"/>
        <sz val="11"/>
        <rFont val="Arial"/>
        <family val="2"/>
      </rPr>
      <t>2</t>
    </r>
  </si>
  <si>
    <r>
      <t xml:space="preserve">in % von A </t>
    </r>
    <r>
      <rPr>
        <vertAlign val="superscript"/>
        <sz val="11"/>
        <rFont val="Arial"/>
        <family val="2"/>
      </rPr>
      <t>1</t>
    </r>
  </si>
  <si>
    <t>Ärzte</t>
  </si>
  <si>
    <t>Apo</t>
  </si>
  <si>
    <t>Wohn-</t>
  </si>
  <si>
    <t>Apothe-</t>
  </si>
  <si>
    <t>theken</t>
  </si>
  <si>
    <t>Anzahl Ärzte (linke Skala)</t>
  </si>
  <si>
    <t>Anzahl Apotheken (rechte Skala)</t>
  </si>
  <si>
    <t>bevölke-</t>
  </si>
  <si>
    <t>1) Quelle: siehe Tabelle 9.09.</t>
  </si>
  <si>
    <t>2) Anzahl Ärzte mit Praxistätigkeit pro 1'000 Einwohner.</t>
  </si>
  <si>
    <t>3) Veränderung der Dichte.</t>
  </si>
  <si>
    <t>4) Anzahl Apotheken (Öffentliche Apotheken) pro 10'000 Einwohner.</t>
  </si>
  <si>
    <r>
      <t xml:space="preserve">T 9.10  Entwicklung der Wohnbevölkerung, der Ärzte mit Praxistätigkeit </t>
    </r>
    <r>
      <rPr>
        <b/>
        <vertAlign val="superscript"/>
        <sz val="12"/>
        <rFont val="Arial"/>
        <family val="2"/>
      </rPr>
      <t>5</t>
    </r>
    <r>
      <rPr>
        <b/>
        <sz val="12"/>
        <rFont val="Arial"/>
        <family val="2"/>
      </rPr>
      <t xml:space="preserve"> und der Apotheken ab 1985</t>
    </r>
  </si>
  <si>
    <r>
      <t xml:space="preserve">Veränd. </t>
    </r>
    <r>
      <rPr>
        <vertAlign val="superscript"/>
        <sz val="11"/>
        <rFont val="Arial"/>
        <family val="2"/>
      </rPr>
      <t>3</t>
    </r>
  </si>
  <si>
    <r>
      <t xml:space="preserve">Ärzte </t>
    </r>
    <r>
      <rPr>
        <vertAlign val="superscript"/>
        <sz val="11"/>
        <rFont val="Arial"/>
        <family val="2"/>
      </rPr>
      <t>1</t>
    </r>
  </si>
  <si>
    <r>
      <t xml:space="preserve">dichte </t>
    </r>
    <r>
      <rPr>
        <vertAlign val="superscript"/>
        <sz val="11"/>
        <rFont val="Arial"/>
        <family val="2"/>
      </rPr>
      <t>2</t>
    </r>
  </si>
  <si>
    <r>
      <t xml:space="preserve">ken </t>
    </r>
    <r>
      <rPr>
        <vertAlign val="superscript"/>
        <sz val="11"/>
        <rFont val="Arial"/>
        <family val="2"/>
      </rPr>
      <t>1</t>
    </r>
  </si>
  <si>
    <r>
      <t xml:space="preserve">dichte </t>
    </r>
    <r>
      <rPr>
        <vertAlign val="superscript"/>
        <sz val="11"/>
        <rFont val="Arial"/>
        <family val="2"/>
      </rPr>
      <t>4</t>
    </r>
  </si>
  <si>
    <r>
      <t xml:space="preserve">rung </t>
    </r>
    <r>
      <rPr>
        <vertAlign val="superscript"/>
        <sz val="11"/>
        <rFont val="Arial"/>
        <family val="2"/>
      </rPr>
      <t>1</t>
    </r>
  </si>
  <si>
    <t>Daten Vorjahr</t>
  </si>
  <si>
    <t>Ärzte:</t>
  </si>
  <si>
    <t>Ärzte-</t>
  </si>
  <si>
    <t>Apo-</t>
  </si>
  <si>
    <t>Aerzte-</t>
  </si>
  <si>
    <t>Allge-</t>
  </si>
  <si>
    <t>Spezial-</t>
  </si>
  <si>
    <t>Ärzte mit</t>
  </si>
  <si>
    <t>theken-</t>
  </si>
  <si>
    <t>mein-</t>
  </si>
  <si>
    <t>ärzte</t>
  </si>
  <si>
    <t>Praxistä-</t>
  </si>
  <si>
    <t>äzte</t>
  </si>
  <si>
    <t>ken</t>
  </si>
  <si>
    <t>praktiker</t>
  </si>
  <si>
    <t>FMH</t>
  </si>
  <si>
    <t>tigkeit</t>
  </si>
  <si>
    <t>1) Quellen: BFS, Bevölkerungsentwicklung; FMH, Ärztestatistik (Ärzte mit Praxistätigkeit), Schweizerischerer Apothekerverein.</t>
  </si>
  <si>
    <t xml:space="preserve">1) Quelle: BFS, Bevölkerungsentwicklung. </t>
  </si>
  <si>
    <t>2) Anzahl Einwohner pro Arzt mit Praxistätigkeit resp. Anzahl Einwohner pro Apotheke (Öffentliche Apotheken).</t>
  </si>
  <si>
    <t>2) Summe der Ärzte (mit Praxistätigkeit) mit Facharzttitel in Allgemeinmedizin und der Ärzte (mit Praxistätigkeit) ohne Facharzttitel.</t>
  </si>
  <si>
    <t>3) Inklusiv Fachärzte für innere Medizin, die als Grundversorger tätig sind.</t>
  </si>
  <si>
    <t>4) Quelle: FMH, Ärztestatistik;</t>
  </si>
  <si>
    <t>5) Anzahl Ärzte mit Praxistätigkeit pro 1'000 Einwohner.</t>
  </si>
  <si>
    <t>6) Veränderung der Dichte.</t>
  </si>
  <si>
    <t>7) Quelle: Schweizerischer Apothekerverein SAV.</t>
  </si>
  <si>
    <t>8) Anzahl Apotheken (Öffentliche Apotheken) pro 10'000 Einwohner.</t>
  </si>
  <si>
    <r>
      <t xml:space="preserve">T 9.09  Wohnbevölkerung, Ärzte mit Praxistätigkeit </t>
    </r>
    <r>
      <rPr>
        <b/>
        <vertAlign val="superscript"/>
        <sz val="12"/>
        <rFont val="Arial"/>
        <family val="2"/>
      </rPr>
      <t>9</t>
    </r>
    <r>
      <rPr>
        <b/>
        <sz val="12"/>
        <rFont val="Arial"/>
        <family val="2"/>
      </rPr>
      <t xml:space="preserve"> und Apotheken nach Kantonen </t>
    </r>
  </si>
  <si>
    <r>
      <t xml:space="preserve">Veränd. </t>
    </r>
    <r>
      <rPr>
        <vertAlign val="superscript"/>
        <sz val="11"/>
        <rFont val="Arial"/>
        <family val="2"/>
      </rPr>
      <t>6</t>
    </r>
  </si>
  <si>
    <r>
      <t xml:space="preserve">dichte </t>
    </r>
    <r>
      <rPr>
        <vertAlign val="superscript"/>
        <sz val="11"/>
        <rFont val="Arial"/>
        <family val="2"/>
      </rPr>
      <t>5</t>
    </r>
  </si>
  <si>
    <r>
      <t xml:space="preserve">dichte </t>
    </r>
    <r>
      <rPr>
        <vertAlign val="superscript"/>
        <sz val="11"/>
        <rFont val="Arial"/>
        <family val="2"/>
      </rPr>
      <t>2)</t>
    </r>
  </si>
  <si>
    <r>
      <t>ken</t>
    </r>
    <r>
      <rPr>
        <vertAlign val="superscript"/>
        <sz val="11"/>
        <rFont val="Arial"/>
        <family val="2"/>
      </rPr>
      <t xml:space="preserve"> 7</t>
    </r>
  </si>
  <si>
    <r>
      <t xml:space="preserve">dichte </t>
    </r>
    <r>
      <rPr>
        <vertAlign val="superscript"/>
        <sz val="11"/>
        <rFont val="Arial"/>
        <family val="2"/>
      </rPr>
      <t>8</t>
    </r>
  </si>
  <si>
    <r>
      <t xml:space="preserve">praktiker </t>
    </r>
    <r>
      <rPr>
        <vertAlign val="superscript"/>
        <sz val="11"/>
        <rFont val="Arial"/>
        <family val="2"/>
      </rPr>
      <t>2</t>
    </r>
  </si>
  <si>
    <r>
      <t xml:space="preserve">FMH </t>
    </r>
    <r>
      <rPr>
        <vertAlign val="superscript"/>
        <sz val="11"/>
        <rFont val="Arial"/>
        <family val="2"/>
      </rPr>
      <t>3</t>
    </r>
  </si>
  <si>
    <r>
      <t xml:space="preserve">tigkeit </t>
    </r>
    <r>
      <rPr>
        <vertAlign val="superscript"/>
        <sz val="11"/>
        <rFont val="Arial"/>
        <family val="2"/>
      </rPr>
      <t>4</t>
    </r>
  </si>
  <si>
    <t>T 9.08 Details des Finanzierungssaldos in Millionen Franken</t>
  </si>
  <si>
    <t xml:space="preserve">Durchschnittl. </t>
  </si>
  <si>
    <t>Schätzung</t>
  </si>
  <si>
    <t>2001-2002</t>
  </si>
  <si>
    <t>jährl.</t>
  </si>
  <si>
    <t>1996-2002</t>
  </si>
  <si>
    <t>Krankenversicherer</t>
  </si>
  <si>
    <t xml:space="preserve">  a) Leistungen der Krankenversicherer I </t>
  </si>
  <si>
    <t>Obligatorische Krankenpflegeversicherung KVG</t>
  </si>
  <si>
    <t xml:space="preserve">Zusatzversicherungen VVG der KVG-Versicherer </t>
  </si>
  <si>
    <t>Zusatzversicherungen VVG der Privatversicherer</t>
  </si>
  <si>
    <t xml:space="preserve">Zusatzversicherungen VVG der Privatversicherer </t>
  </si>
  <si>
    <t xml:space="preserve">  d) Verwaltungskosten (inkl. Prävention) </t>
  </si>
  <si>
    <t xml:space="preserve">  e) Leistungen III (=c+d)</t>
  </si>
  <si>
    <t xml:space="preserve">  f) Kostenbeteiligung</t>
  </si>
  <si>
    <t xml:space="preserve">  g) Gesamtleistungen IV (=e+f)</t>
  </si>
  <si>
    <t xml:space="preserve">  h) Prämien der Haushalte </t>
  </si>
  <si>
    <t>17 – Verwaltungsaufwand / Abschreibungen in Mio. Fr.</t>
  </si>
  <si>
    <t>18 – Gesamtbetriebsergebnis in Mio. Fr.</t>
  </si>
  <si>
    <t>19 – Rückstellungen: Stand per 31.12. in Mio. Fr.</t>
  </si>
  <si>
    <t>20 – Reserven: Stand per 31.12. in Mio. Fr.</t>
  </si>
  <si>
    <t>Kantonale Durchschnittsprämien für junge Erwachsene: Vorjahresveränderungen ab 1996</t>
  </si>
  <si>
    <t>Kantonale Durchschnittsprämien für Kinder (0 – 18 Jahre) ab 1996</t>
  </si>
  <si>
    <t>Kantonale Durchschnittsprämien für Kinder: Vorjahresveränderungen ab 1996</t>
  </si>
  <si>
    <t>Verteilung der kantonalen Durchschnittsprämien für Erwachsene</t>
  </si>
  <si>
    <t>Verteilung der kantonalen Durchschnittsprämien für junge Erwachsene</t>
  </si>
  <si>
    <t>Verteilung der kantonalen Durchschnittsprämien für Kinder</t>
  </si>
  <si>
    <t>3.10</t>
  </si>
  <si>
    <t>Kantonale Durchschnittsprämien für alle Versicherte ab 1996</t>
  </si>
  <si>
    <t>Kantonale Durchschnittsprämien für Erwachsene pro Prämienregion</t>
  </si>
  <si>
    <t>Kantonale Durchschnittsprämien für junge Erwachsene pro Prämienregion</t>
  </si>
  <si>
    <t>Kantonale Durchschnittsprämien für Kinder pro Prämienregion</t>
  </si>
  <si>
    <t>Name des Versicherers</t>
  </si>
  <si>
    <t>Datum</t>
  </si>
  <si>
    <t>nicht mehr</t>
  </si>
  <si>
    <t>Neuer</t>
  </si>
  <si>
    <t>Neue</t>
  </si>
  <si>
    <t>Neues</t>
  </si>
  <si>
    <t>Zusammenschluss oder Transfer mit</t>
  </si>
  <si>
    <t>Nr.</t>
  </si>
  <si>
    <t>in der</t>
  </si>
  <si>
    <t>Versicherer</t>
  </si>
  <si>
    <t>Namen</t>
  </si>
  <si>
    <t>Tätikeits-</t>
  </si>
  <si>
    <t>gebiet</t>
  </si>
  <si>
    <t>Oberwallis</t>
  </si>
  <si>
    <t>Quelle: Bulletin RKUV BSV-BAG</t>
  </si>
  <si>
    <t>Securitas Krankenversicherung</t>
  </si>
  <si>
    <t>x</t>
  </si>
  <si>
    <t/>
  </si>
  <si>
    <t>HC Färberei Oberuzwil</t>
  </si>
  <si>
    <t>Krankenkasse Eisten</t>
  </si>
  <si>
    <t>KK Visp und Umgebung</t>
  </si>
  <si>
    <t>Krankenkasse SBB</t>
  </si>
  <si>
    <t>Atupri Krankenkasse</t>
  </si>
  <si>
    <t>avanex Versicherungen AG</t>
  </si>
  <si>
    <t>sansan Versicherungen AG</t>
  </si>
  <si>
    <t>CSS Versicherung</t>
  </si>
  <si>
    <t>CSS Kranken-Versicherung AG</t>
  </si>
  <si>
    <t>PROVITA Gesundheitsversicherung</t>
  </si>
  <si>
    <t>PROVITA Gesundheits-versicherung AG</t>
  </si>
  <si>
    <t>Betriebskassen der Chocoladenfabriken Lindt &amp; Sprüngli AG</t>
  </si>
  <si>
    <t>Krankenversicherung EASY SANA</t>
  </si>
  <si>
    <t>Krankenkasse Wädenswil</t>
  </si>
  <si>
    <t>Stiftung Krankenkasse Wädenswil</t>
  </si>
  <si>
    <t xml:space="preserve">Sanitas Krankenversicherung </t>
  </si>
  <si>
    <t>Sanitas Grundversicherungen AG</t>
  </si>
  <si>
    <t>ÖKK Ostschweiz</t>
  </si>
  <si>
    <t>carena schweiz</t>
  </si>
  <si>
    <t>Quelle: T 2.06 - T 2.09</t>
  </si>
  <si>
    <t>Zusätzliche Altersgruppen:</t>
  </si>
  <si>
    <t>0 – 5</t>
  </si>
  <si>
    <t>6 – 10</t>
  </si>
  <si>
    <t>11 – 15</t>
  </si>
  <si>
    <t>16 – 18</t>
  </si>
  <si>
    <t>19 – 20</t>
  </si>
  <si>
    <t>21 – 25</t>
  </si>
  <si>
    <t>91 – 95</t>
  </si>
  <si>
    <t>96 – 100</t>
  </si>
  <si>
    <t>101 – 105</t>
  </si>
  <si>
    <t xml:space="preserve">Datenstand: 28.4.2004 </t>
  </si>
  <si>
    <t>1) Berücksichtigt nur die bei dem Versicherer eingereichten Rechnungen</t>
  </si>
  <si>
    <r>
      <t xml:space="preserve">T 2.11  Kostenbeteiligung </t>
    </r>
    <r>
      <rPr>
        <b/>
        <vertAlign val="superscript"/>
        <sz val="12"/>
        <rFont val="Arial"/>
        <family val="2"/>
      </rPr>
      <t>1</t>
    </r>
    <r>
      <rPr>
        <b/>
        <sz val="12"/>
        <rFont val="Arial"/>
        <family val="2"/>
      </rPr>
      <t xml:space="preserve">  in Fr. pro Versicherten pro Jahr nach Altersgruppen und Geschlecht</t>
    </r>
  </si>
  <si>
    <t>Quelle: DATENPOOL santésuisse / Auswertung BAG / Abdeckungsgrad der Erhebung CH 2003: 94,8%  / 2002: 94,7%</t>
  </si>
  <si>
    <r>
      <t xml:space="preserve">T 2.09  Effektive Kosten </t>
    </r>
    <r>
      <rPr>
        <b/>
        <vertAlign val="superscript"/>
        <sz val="12"/>
        <rFont val="Arial"/>
        <family val="2"/>
      </rPr>
      <t>1</t>
    </r>
    <r>
      <rPr>
        <b/>
        <sz val="12"/>
        <rFont val="Arial"/>
        <family val="2"/>
      </rPr>
      <t xml:space="preserve">  in Fr. pro Versicherten pro Versicherungsmonat nach Altersgruppen und Geschlecht</t>
    </r>
  </si>
  <si>
    <r>
      <t xml:space="preserve">T 2.06  Bruttokosten </t>
    </r>
    <r>
      <rPr>
        <b/>
        <vertAlign val="superscript"/>
        <sz val="12"/>
        <rFont val="Arial"/>
        <family val="2"/>
      </rPr>
      <t>1</t>
    </r>
    <r>
      <rPr>
        <b/>
        <sz val="12"/>
        <rFont val="Arial"/>
        <family val="2"/>
      </rPr>
      <t xml:space="preserve">  in Fr. pro Versicherten pro Versicherungsmonat nach Altersgruppen und Geschlecht</t>
    </r>
  </si>
  <si>
    <t>per 1. Juni 2002 wurde die Versicherungspflicht auf einzelne Personengruppen ausgedehnt, welche Wohnsitz in einem EG-Staat haben:</t>
  </si>
  <si>
    <r>
      <t>B</t>
    </r>
    <r>
      <rPr>
        <b/>
        <i/>
        <sz val="12"/>
        <rFont val="55 Helvetica Roman"/>
      </rPr>
      <t xml:space="preserve">     Bundesamt für Gesundheit</t>
    </r>
  </si>
  <si>
    <t>BAG-</t>
  </si>
  <si>
    <t>BAG-Nr. / Versicherer</t>
  </si>
  <si>
    <t>BAG-Liste</t>
  </si>
  <si>
    <t>* Nach dem Entzug der Anerkennung als Krankenversicherer wurden die Leistungen durch den Insolvenzfonds (Gemeinsame Einrichtung) erbracht.</t>
  </si>
  <si>
    <t>Datenstand: 30.7.2004</t>
  </si>
  <si>
    <t>-</t>
  </si>
  <si>
    <r>
      <t xml:space="preserve">Korrigierte Tabellen :             </t>
    </r>
    <r>
      <rPr>
        <b/>
        <sz val="11"/>
        <color indexed="9"/>
        <rFont val="55 Helvetica Roman"/>
      </rPr>
      <t>(gegenüber PDF Version und der gedruckten Version) :</t>
    </r>
  </si>
  <si>
    <t>1) Versichertenbestand (nur OKP Versicherer)</t>
  </si>
  <si>
    <t>Durchschnittsbestand = Stand aller Monate zusammengezählt und geteilt durch 12.</t>
  </si>
  <si>
    <t>2) Einnahmen Total (in Mio. Fr.)</t>
  </si>
  <si>
    <t>Prämiensoll, Subventionen und Prämienverbilligungen, Erlösminderungen (Rabatte und Skonti) sowie die übrigen Erträge (Kapital- und Liegenschaftserträge).</t>
  </si>
  <si>
    <t>3) Prämien (in Mio. Fr.)</t>
  </si>
  <si>
    <t>Prämiensoll = Prämiensumme gemäss den genehmigten Prämientarifen.</t>
  </si>
  <si>
    <t>4) Risikoausgleich (in % der Einnahmen)</t>
  </si>
  <si>
    <t>5 + 5/1) Leistungen der Versicherer (in Mio. Fr. und pro versicherte Person in Fr.)</t>
  </si>
  <si>
    <t>Bezahlte Leistungen = Leistungen der Versicherer an die Leistungserbringer (Ärzte, Spitäler, Apotheken, usw.) nach Abzug der Kostenbeteiligung der Versicherten (Franchise / Selbstbehalt / Tagespauschale im Spital).</t>
  </si>
  <si>
    <t>6A + 6B) Verwaltungsaufwand/Abschreibungen (in % der Ausgaben und pro versicherte Person in Fr.)</t>
  </si>
  <si>
    <t>Personalaufwand inkl. Sozialleistungen, Verwaltungsräumlichkeiten und Betriebseinrichtungen, EDV-Kosten, Versicherungsprämien (Mobiliar, Haftpflicht usw.), Werbung sowie Abschreibungen. Ausgaben = Total des Versicherungs- und Betriebsaufwands.</t>
  </si>
  <si>
    <t>7) Gesamtergebnis (pro versicherte Person in Fr.)</t>
  </si>
  <si>
    <t>Das Gesamtbetriebsergebnis entspricht dem Saldo der Einnahmen (Total des Gesamtertrags) und der Ausgaben (Total des Versicherungs- und Betriebsaufwands).</t>
  </si>
  <si>
    <t>8 + 8/1) Rückstellungen (in Mio. Fr. und pro versicherte Person in Fr.)</t>
  </si>
  <si>
    <t>9 + 9/1 + 9/3) Reserven (in Mio. Fr., pro versicherte Person in Fr., in % des Prämiensolls)</t>
  </si>
  <si>
    <t>Versicherte</t>
  </si>
  <si>
    <t>bis 100</t>
  </si>
  <si>
    <t>bis 500</t>
  </si>
  <si>
    <t>bis 1000</t>
  </si>
  <si>
    <t>bis 2500</t>
  </si>
  <si>
    <t>bis 5000</t>
  </si>
  <si>
    <t>bis 10'000</t>
  </si>
  <si>
    <t>bis 50'000</t>
  </si>
  <si>
    <t>bis 250'000</t>
  </si>
  <si>
    <t>ab 250'000</t>
  </si>
  <si>
    <t>Dabei dürfen Versicherer mit einer entsprechenden Rückversicherung oder Defizitgarantie den Mindestsatz der Reserven unterschreiten.</t>
  </si>
  <si>
    <t>Quelle: Formulare EF 1 2 3</t>
  </si>
  <si>
    <t xml:space="preserve">EF1 Seite 12 Zeile 1 Spalte 4 nur wenn &gt; 0 </t>
  </si>
  <si>
    <t>EF2 Konten 6 + 7 Krankheit + Unfall Seiten 2.2 -&gt; 2.7</t>
  </si>
  <si>
    <t>EF2 Konto 61 Krankheit + Unfall Seiten 2.2 -&gt; 2.7</t>
  </si>
  <si>
    <t>(EF2 Konto 37 Krankheit + Unfall Seiten 2.2 -&gt; 2.7) / [ 2 ]</t>
  </si>
  <si>
    <t>EF2 Konto 30-33 Krankheit + Unfall Seiten 2.2 -&gt; 2.7</t>
  </si>
  <si>
    <t>5/1</t>
  </si>
  <si>
    <t>= ( [ 5 ] / [ 1 ] )</t>
  </si>
  <si>
    <t>6 A</t>
  </si>
  <si>
    <t>(EF2 Konten 40-47 + 48 Krankheit + Unfall Seiten 2.2 -&gt; 2.7) / (EF2 Konto 3/4 Krankheit + Unfall Seiten 2.2 -&gt; 2.7) in %</t>
  </si>
  <si>
    <t>6 B</t>
  </si>
  <si>
    <t>(EF2 Konten 40-47 + 48 Krankheit + Unfall Seiten 2.2 -&gt; 2.7) / [ 1 ] in %</t>
  </si>
  <si>
    <t>EF2 Konten Gesamtbetriebsergebnis ohne Position Krankheit + Unfall Seiten 2.2 -&gt; 2.7 / ( [ 1 ] )</t>
  </si>
  <si>
    <t>EF1 Seite 4 Konto 270</t>
  </si>
  <si>
    <t>8/1</t>
  </si>
  <si>
    <t>=( [ 8 ] / [ 1 ] ) in %</t>
  </si>
  <si>
    <t>EF1 Seite 5 Konten 290 + 290.9</t>
  </si>
  <si>
    <t>9/1</t>
  </si>
  <si>
    <t>= ( [ 9 ] / [ 1 ] ) in %</t>
  </si>
  <si>
    <t>9/3</t>
  </si>
  <si>
    <t>Übergangsschlüssel Tabellen *  2003 -&gt; 1996</t>
  </si>
  <si>
    <t>Beilage F1</t>
  </si>
  <si>
    <t>Beilage F2</t>
  </si>
  <si>
    <t>Übergangsschlüssel Tabellen  2003 -&gt; 1996</t>
  </si>
  <si>
    <t>Übergangsschlüssel Tabellen  1996 -&gt; 2003</t>
  </si>
  <si>
    <t xml:space="preserve">Beilage F2: </t>
  </si>
  <si>
    <t>Publikation 2003</t>
  </si>
  <si>
    <t>Publikation 2002</t>
  </si>
  <si>
    <t>Publikation 2001</t>
  </si>
  <si>
    <t xml:space="preserve">Publikation 2000 </t>
  </si>
  <si>
    <t>Publikation 1999</t>
  </si>
  <si>
    <t>Publikation 1998</t>
  </si>
  <si>
    <t>Publikation 1997</t>
  </si>
  <si>
    <t>Publikation 1996</t>
  </si>
  <si>
    <t>B 01</t>
  </si>
  <si>
    <t>B 02</t>
  </si>
  <si>
    <t>B 04 A</t>
  </si>
  <si>
    <t>B 04 B</t>
  </si>
  <si>
    <t>B 12 A</t>
  </si>
  <si>
    <t>B 12 B</t>
  </si>
  <si>
    <t>B 05 A</t>
  </si>
  <si>
    <t>B 06 A</t>
  </si>
  <si>
    <t>B 05 B</t>
  </si>
  <si>
    <t>B 06 B</t>
  </si>
  <si>
    <t>B 07 A</t>
  </si>
  <si>
    <t>B 08 A</t>
  </si>
  <si>
    <t>B 09 A</t>
  </si>
  <si>
    <t>B 09 B</t>
  </si>
  <si>
    <t>B 10 A</t>
  </si>
  <si>
    <t>B 10 B</t>
  </si>
  <si>
    <t>B 14</t>
  </si>
  <si>
    <t>B 15</t>
  </si>
  <si>
    <t>B 16</t>
  </si>
  <si>
    <t>B 17</t>
  </si>
  <si>
    <t>B 18</t>
  </si>
  <si>
    <t>B 13 A</t>
  </si>
  <si>
    <t>B 07 B</t>
  </si>
  <si>
    <t>B 08 B</t>
  </si>
  <si>
    <t>A 03 A</t>
  </si>
  <si>
    <t>j) Finanzierungssaldo (=e-h oder g-i)</t>
  </si>
  <si>
    <t>a) Quelle T 9.18. Schätzungen basierend auf T 1.43; Zusatzversicherungen: Entwicklung gemäss durchschnittl. jährl. Veränderung 1997-2003.</t>
  </si>
  <si>
    <t>b) Übriger Versicherungsaufwand gemäss Kosten des Gesundheitswesens, BFS. Quelle: T 1.27 [34]  und T 7.03 [34] + Schätzungskorrekturen.</t>
  </si>
  <si>
    <t>d) Quelle: Kosten des Gesundheitswesens [nach Leistungserbringern und Direktzahlern], BFS. Schätzungen: basierend auf dem 2002 festgestellten Verhältnis [d) / a)].</t>
  </si>
  <si>
    <t>e) Schätzungen: basierend auf dem 2002 festgestellten Verhältnis [e) / a)].</t>
  </si>
  <si>
    <t>f) Quelle: T 1.27 [32]; T 7.03 [32], keine Informationen für Privatversicherer.</t>
  </si>
  <si>
    <t>Schätzungen: OKP: basierend auf T 1.43; Zusatzversicherungen: Verhältnis [f) / a)] aus dem Jahr 2003.</t>
  </si>
  <si>
    <t>h) Quelle: T 9.18. Schätzungen: Zusatzversicherungen: Entwicklung gemäss durchschnittl. Jahresveränderung 1997-2003.</t>
  </si>
  <si>
    <t>j) Finanzierungssaldo: Differenz zwischen den Leistungen III der Versicherer an das Gesundheitswesen und den Prämieneinzahlungen der Haushalte.</t>
  </si>
  <si>
    <t xml:space="preserve">    Aus der Sicht des Finanzgleichgewichts handelt es sich um die Kapitaleinkommen, die ausserordentlichen Einkommen, die Gewinne und die Veränderungen von Reserven.</t>
  </si>
  <si>
    <t xml:space="preserve">    Ein positiver Saldo bedeutet grundsätzlich einen Abbau, ein negativer Saldo eine Erhöhung der Reserven.</t>
  </si>
  <si>
    <t>1) Ohne Taggelder (für Verdienstausfall) KVG oder VVG.</t>
  </si>
  <si>
    <t>2) ~ 20% der Leistungen der Privatversicherer (Quelle BPV), basierend auf dem 1998-99 festgestellten Verhältnis "Verwaltungskosten + Prävention / Leistungen" für die Zusatzversicherungen der KVG-Versicherer.</t>
  </si>
  <si>
    <t xml:space="preserve">3) Bruttoprämien [60-65] inklusive Prämienverbilligung KVG. Quelle: T 9.18. Schätzungen basierend auf T 1.43 - 65 Mio. Franken (Differenz zwischen Konto [61] und [60-65]). </t>
  </si>
  <si>
    <r>
      <t xml:space="preserve">Krankenversicherung </t>
    </r>
    <r>
      <rPr>
        <b/>
        <i/>
        <vertAlign val="superscript"/>
        <sz val="10"/>
        <rFont val="Tms Rmn"/>
      </rPr>
      <t>1</t>
    </r>
  </si>
  <si>
    <r>
      <t xml:space="preserve">  b) Übriger Aufwand </t>
    </r>
    <r>
      <rPr>
        <b/>
        <sz val="10"/>
        <rFont val="Tms Rmn"/>
      </rPr>
      <t>(=c-a)</t>
    </r>
  </si>
  <si>
    <r>
      <t xml:space="preserve">  c) Leistungen II </t>
    </r>
    <r>
      <rPr>
        <b/>
        <sz val="10"/>
        <rFont val="Tms Rmn"/>
      </rPr>
      <t>(=a+b oder e-d)</t>
    </r>
  </si>
  <si>
    <r>
      <t xml:space="preserve">Zusatzversicherungen VVG der Privatversicherer </t>
    </r>
    <r>
      <rPr>
        <vertAlign val="superscript"/>
        <sz val="8"/>
        <rFont val="Tms Rmn"/>
      </rPr>
      <t>2</t>
    </r>
  </si>
  <si>
    <r>
      <t xml:space="preserve">  i) Gesamtbeitrag </t>
    </r>
    <r>
      <rPr>
        <b/>
        <sz val="10"/>
        <rFont val="Tms Rmn"/>
      </rPr>
      <t>(=h+f)</t>
    </r>
  </si>
  <si>
    <r>
      <t xml:space="preserve">Werte 2003-2004-2005: Schätzungen </t>
    </r>
    <r>
      <rPr>
        <b/>
        <i/>
        <sz val="10"/>
        <rFont val="Tms Rmn"/>
      </rPr>
      <t xml:space="preserve">(kursiv) </t>
    </r>
    <r>
      <rPr>
        <b/>
        <sz val="10"/>
        <rFont val="Tms Rmn"/>
      </rPr>
      <t>[BAG]</t>
    </r>
    <r>
      <rPr>
        <b/>
        <i/>
        <sz val="10"/>
        <rFont val="Tms Rmn"/>
      </rPr>
      <t>.</t>
    </r>
  </si>
  <si>
    <t>T 9.07 Finanzströme im schweizerischen Gesundheitswesen in % des Totals der Kosten des Gesundheitswesens</t>
  </si>
  <si>
    <t>Finanzierungsträger</t>
  </si>
  <si>
    <t>des Gesundheitswesens</t>
  </si>
  <si>
    <t>Bund</t>
  </si>
  <si>
    <t>Kantone</t>
  </si>
  <si>
    <t>Gemeinden</t>
  </si>
  <si>
    <t xml:space="preserve">  Unfallversicherung UVG</t>
  </si>
  <si>
    <t xml:space="preserve"> Militärversicherung</t>
  </si>
  <si>
    <t>Übrige Systeme der sozialen Sicherheit</t>
  </si>
  <si>
    <t>Kantone (inkl. Gemeinden)</t>
  </si>
  <si>
    <t>Kantone und Gemeinden</t>
  </si>
  <si>
    <t>AHV</t>
  </si>
  <si>
    <t>IV</t>
  </si>
  <si>
    <t xml:space="preserve">  Krankenversicherungsprämien </t>
  </si>
  <si>
    <t>1) - 14) Vgl. Fussnoten von Tabelle 9.06.</t>
  </si>
  <si>
    <t>Quelle: T 9.06.</t>
  </si>
  <si>
    <r>
      <t xml:space="preserve">2002 </t>
    </r>
    <r>
      <rPr>
        <i/>
        <vertAlign val="superscript"/>
        <sz val="10"/>
        <rFont val="Tms Rmn"/>
      </rPr>
      <t>14</t>
    </r>
  </si>
  <si>
    <r>
      <t xml:space="preserve">Staat </t>
    </r>
    <r>
      <rPr>
        <b/>
        <vertAlign val="superscript"/>
        <sz val="10"/>
        <rFont val="Tms Rmn"/>
      </rPr>
      <t>1</t>
    </r>
  </si>
  <si>
    <r>
      <t xml:space="preserve">Sozialversicherungen </t>
    </r>
    <r>
      <rPr>
        <b/>
        <vertAlign val="superscript"/>
        <sz val="10"/>
        <rFont val="Tms Rmn"/>
      </rPr>
      <t>2</t>
    </r>
  </si>
  <si>
    <r>
      <t xml:space="preserve">  AHV / IV </t>
    </r>
    <r>
      <rPr>
        <b/>
        <vertAlign val="superscript"/>
        <sz val="10"/>
        <rFont val="Tms Rmn"/>
      </rPr>
      <t>3</t>
    </r>
  </si>
  <si>
    <r>
      <t xml:space="preserve">Finanzierungssaldo für die Krankenversicherung </t>
    </r>
    <r>
      <rPr>
        <b/>
        <vertAlign val="superscript"/>
        <sz val="10"/>
        <rFont val="Tms Rmn"/>
      </rPr>
      <t>4</t>
    </r>
  </si>
  <si>
    <r>
      <t xml:space="preserve">Zusatzversicherungen VVG der KVG-Versicherer </t>
    </r>
    <r>
      <rPr>
        <b/>
        <vertAlign val="superscript"/>
        <sz val="8"/>
        <rFont val="Tms Rmn"/>
      </rPr>
      <t>5</t>
    </r>
  </si>
  <si>
    <r>
      <t xml:space="preserve">Zusatzversicherungen VVG der Privatversicherer </t>
    </r>
    <r>
      <rPr>
        <b/>
        <vertAlign val="superscript"/>
        <sz val="8"/>
        <rFont val="Tms Rmn"/>
      </rPr>
      <t>6</t>
    </r>
  </si>
  <si>
    <r>
      <t xml:space="preserve">  Prämienverbilligung KVG </t>
    </r>
    <r>
      <rPr>
        <b/>
        <vertAlign val="superscript"/>
        <sz val="10"/>
        <rFont val="Tms Rmn"/>
      </rPr>
      <t>13</t>
    </r>
  </si>
  <si>
    <r>
      <t xml:space="preserve">  Ergänzungsleistungen </t>
    </r>
    <r>
      <rPr>
        <b/>
        <vertAlign val="superscript"/>
        <sz val="10"/>
        <rFont val="Tms Rmn"/>
      </rPr>
      <t>7</t>
    </r>
  </si>
  <si>
    <r>
      <t xml:space="preserve">  Sozialhilfe </t>
    </r>
    <r>
      <rPr>
        <b/>
        <vertAlign val="superscript"/>
        <sz val="10"/>
        <rFont val="Tms Rmn"/>
      </rPr>
      <t>7</t>
    </r>
  </si>
  <si>
    <r>
      <t xml:space="preserve">  Hilflosenentschädigungen </t>
    </r>
    <r>
      <rPr>
        <b/>
        <vertAlign val="superscript"/>
        <sz val="10"/>
        <rFont val="Tms Rmn"/>
      </rPr>
      <t>7</t>
    </r>
  </si>
  <si>
    <r>
      <t xml:space="preserve">Netto Aufwand der obligatorischen Krankenpflegeversicherung KVG </t>
    </r>
    <r>
      <rPr>
        <b/>
        <vertAlign val="superscript"/>
        <sz val="8"/>
        <rFont val="Tms Rmn"/>
      </rPr>
      <t>10</t>
    </r>
  </si>
  <si>
    <r>
      <t xml:space="preserve">  Kostenbeteiligung </t>
    </r>
    <r>
      <rPr>
        <b/>
        <vertAlign val="superscript"/>
        <sz val="10"/>
        <rFont val="Tms Rmn"/>
      </rPr>
      <t>11</t>
    </r>
  </si>
  <si>
    <r>
      <t xml:space="preserve">  Out of pocket </t>
    </r>
    <r>
      <rPr>
        <b/>
        <vertAlign val="superscript"/>
        <sz val="10"/>
        <rFont val="Tms Rmn"/>
      </rPr>
      <t>8</t>
    </r>
  </si>
  <si>
    <r>
      <t xml:space="preserve">Übrige private Finanzierung </t>
    </r>
    <r>
      <rPr>
        <b/>
        <vertAlign val="superscript"/>
        <sz val="10"/>
        <rFont val="Tms Rmn"/>
      </rPr>
      <t>9</t>
    </r>
  </si>
  <si>
    <r>
      <t xml:space="preserve">Total Kosten des Gesundheitswesens </t>
    </r>
    <r>
      <rPr>
        <b/>
        <vertAlign val="superscript"/>
        <sz val="10"/>
        <rFont val="Tms Rmn"/>
      </rPr>
      <t>12</t>
    </r>
  </si>
  <si>
    <t>T 9.06 Finanzströme im schweizerischen Gesundheitswesen in Millionen Franken</t>
  </si>
  <si>
    <t>Durchschnittl.</t>
  </si>
  <si>
    <t>1) Subventionen oder direkte Leistungen an das Gesundheitswesen (an die Leistungserbringer (Spitäler), an die</t>
  </si>
  <si>
    <t xml:space="preserve">   sozialmedizinischen Institutionen, an die Spitex- und Rettungsdienste) und die Öffentliche Gesundheit, Verwaltung und Prävention.</t>
  </si>
  <si>
    <t xml:space="preserve">   Quelle: Kosten des Gesundheitswesens [nach Direktzahlern], BFS. Schätzungen: Entwicklung gemäss durchschnittl. jährl. Veränderung 1996-2002.</t>
  </si>
  <si>
    <t>2) Leistungen/Zahlungen nur an das Gesundheitswesen.</t>
  </si>
  <si>
    <t>3) Individuelle Sachleistungen und Subventionen an die IV-Institutionen; von der AHV bezahlte Hilfsmittel.</t>
  </si>
  <si>
    <t>4) Quelle: T 9.08.</t>
  </si>
  <si>
    <t>5) Ohne Prämien für Taggelder KVG oder VVG. Quelle: T 9.08.</t>
  </si>
  <si>
    <t>6) Ohne Prämien für Taggelder für Verdienstausfall nach VVG. Quelle: T 9.08.</t>
  </si>
  <si>
    <t>7) Quelle: Kosten des Gesundheitswesens [aus der Sicht der sozialen Sicherheit], BFS.</t>
  </si>
  <si>
    <t xml:space="preserve">     Schätzungen: Sozialhilfe: Werte 2002; Ergänzungsleistungen und Hilflosenentschädigungen: Entwicklung gemäss durchnittl. jährl. Veränderung 1996-2002.</t>
  </si>
  <si>
    <t xml:space="preserve">8) Zahnpflege, Pensionskosten in Pflegeheimen, Spitexdienste und rezeptfreie Medikamente </t>
  </si>
  <si>
    <t xml:space="preserve">    ("over the counter") bilden die Hauptkosten zur vollen oder teilweisen Last der Haushalte.</t>
  </si>
  <si>
    <t xml:space="preserve">   Wert berechnet wie das Total der Kosten des Gesundheitswesens - Summe der anderen Positionen.</t>
  </si>
  <si>
    <t>9) Spenden und Legate an Organisationen ohne Erwerbszweck wie Pflegeheime für Betagte, Institutionen für Behinderte, Spitexorganisationen, Gesundheitsligen.</t>
  </si>
  <si>
    <t xml:space="preserve">     Quelle: Kosten des Gesundheitswesens [nach Direktzahlern], BFS. Schätzungen: Entwicklung gemäss durchschnittl. jährl. Veränderung 1996-2002.</t>
  </si>
  <si>
    <t>11) Quelle: T 9.08.</t>
  </si>
  <si>
    <t>12) Quelle: Kosten des Gesundheitswesens [nach Direktzahlern], BFS. Schätzungen: Entwicklung gemäss durchschnittl. jährl. Veränderung 1996-2002.</t>
  </si>
  <si>
    <t>13) Quelle: T 4.07.</t>
  </si>
  <si>
    <r>
      <t xml:space="preserve">2002 </t>
    </r>
    <r>
      <rPr>
        <b/>
        <i/>
        <vertAlign val="superscript"/>
        <sz val="10"/>
        <rFont val="Tms Rmn"/>
      </rPr>
      <t>14</t>
    </r>
  </si>
  <si>
    <r>
      <t xml:space="preserve">Werte 2003-2004-2005: Schätzungen </t>
    </r>
    <r>
      <rPr>
        <b/>
        <i/>
        <sz val="10"/>
        <rFont val="Times New Roman"/>
        <family val="1"/>
      </rPr>
      <t>(kursiv)</t>
    </r>
    <r>
      <rPr>
        <b/>
        <sz val="10"/>
        <rFont val="Times New Roman"/>
        <family val="1"/>
      </rPr>
      <t xml:space="preserve"> [BAG]</t>
    </r>
    <r>
      <rPr>
        <b/>
        <i/>
        <sz val="10"/>
        <rFont val="Times New Roman"/>
        <family val="1"/>
      </rPr>
      <t>.</t>
    </r>
  </si>
  <si>
    <r>
      <t xml:space="preserve">10) Aufwand der Haushalte = Bruttoprämien obligatorische Krankenpflegeversicherung (T 9.08 </t>
    </r>
    <r>
      <rPr>
        <vertAlign val="superscript"/>
        <sz val="10"/>
        <rFont val="Times New Roman"/>
        <family val="1"/>
      </rPr>
      <t>h</t>
    </r>
    <r>
      <rPr>
        <sz val="10"/>
        <rFont val="Times New Roman"/>
        <family val="1"/>
      </rPr>
      <t xml:space="preserve"> ) - Prämienverbilligung KVG an Versicherte (T 9.06 </t>
    </r>
    <r>
      <rPr>
        <vertAlign val="superscript"/>
        <sz val="10"/>
        <rFont val="Times New Roman"/>
        <family val="1"/>
      </rPr>
      <t>13</t>
    </r>
    <r>
      <rPr>
        <sz val="10"/>
        <rFont val="Times New Roman"/>
        <family val="1"/>
      </rPr>
      <t xml:space="preserve"> ).</t>
    </r>
  </si>
  <si>
    <r>
      <t>14) Provisorische Werte</t>
    </r>
    <r>
      <rPr>
        <i/>
        <sz val="10"/>
        <rFont val="Times New Roman"/>
        <family val="1"/>
      </rPr>
      <t xml:space="preserve"> (kursiv)</t>
    </r>
    <r>
      <rPr>
        <sz val="10"/>
        <rFont val="Times New Roman"/>
        <family val="1"/>
      </rPr>
      <t xml:space="preserve"> gemäss der Pressemitteilung des BFS (2-2004). Das BFS konnte die definitiven Werte für 2002 bis zum Redaktionsschluss (4.11.04) nicht liefern.</t>
    </r>
  </si>
  <si>
    <t xml:space="preserve">T 9.05 Kosten des Gesundheitswesens in der Schweiz </t>
  </si>
  <si>
    <t>aus der Sicht der Volkswirtschaft in Mio. Fr. ab 1985</t>
  </si>
  <si>
    <t>Staat</t>
  </si>
  <si>
    <t>Unter-</t>
  </si>
  <si>
    <t>Private</t>
  </si>
  <si>
    <t>nehmungen</t>
  </si>
  <si>
    <t>1) Valeurs provisoires selon communiqué de presse OFS (2-2004);</t>
  </si>
  <si>
    <t xml:space="preserve"> L'OFS n'a pas pu livrer les données définitives 2002 pour publication à la clôture de la rédaction (4.11.04).</t>
  </si>
  <si>
    <t>Quelle: Kosten des Gesundheitswesens 2001 und Gesundheitskosten in der Schweiz: Entwicklung 1960 bis 2000, BFS.</t>
  </si>
  <si>
    <r>
      <t xml:space="preserve">2002 </t>
    </r>
    <r>
      <rPr>
        <b/>
        <i/>
        <vertAlign val="superscript"/>
        <sz val="11"/>
        <rFont val="Arial"/>
        <family val="2"/>
      </rPr>
      <t>1</t>
    </r>
  </si>
  <si>
    <t>T 9.04  Kosten des Gesundheitswesens in der Schweiz nach Leistungen in Mio. Fr. ab 1985</t>
  </si>
  <si>
    <t>Stationäre</t>
  </si>
  <si>
    <t>Verkauf</t>
  </si>
  <si>
    <t>Prävention</t>
  </si>
  <si>
    <t>Verwaltung</t>
  </si>
  <si>
    <t>und</t>
  </si>
  <si>
    <t>Gesund-</t>
  </si>
  <si>
    <t>teilstationäre</t>
  </si>
  <si>
    <t>heitsgüter</t>
  </si>
  <si>
    <t>1) Inkl. Psychiatrie.</t>
  </si>
  <si>
    <t>2) Provisorische Werte gemäss der Pressemitteilung des BFS (2-2004).</t>
  </si>
  <si>
    <t xml:space="preserve">  Das BFS konnte die definitiven Werte für 2002 bis zum Redaktionsschluss (4.11.04) nicht liefern.</t>
  </si>
  <si>
    <t>Quelle: Kosten des Gesundheitswesens und Gesundheitskosten in der Schweiz: Entwicklung 1960 bis 2000, BFS.</t>
  </si>
  <si>
    <r>
      <t xml:space="preserve">Behandlung </t>
    </r>
    <r>
      <rPr>
        <vertAlign val="superscript"/>
        <sz val="11"/>
        <rFont val="Arial"/>
        <family val="2"/>
      </rPr>
      <t>1</t>
    </r>
  </si>
  <si>
    <r>
      <t xml:space="preserve">2002 </t>
    </r>
    <r>
      <rPr>
        <b/>
        <i/>
        <vertAlign val="superscript"/>
        <sz val="11"/>
        <rFont val="Arial"/>
        <family val="2"/>
      </rPr>
      <t>2</t>
    </r>
  </si>
  <si>
    <t>T 9.03  Kosten des Gesundheitswesens in der Schweiz nach Leistungserbringer in Mio. Fr. ab 1985</t>
  </si>
  <si>
    <t>Sozialme-</t>
  </si>
  <si>
    <t>Detail-</t>
  </si>
  <si>
    <t>Organisati-</t>
  </si>
  <si>
    <t>Total </t>
  </si>
  <si>
    <t>häuser</t>
  </si>
  <si>
    <t>dizinische</t>
  </si>
  <si>
    <t>Versor-</t>
  </si>
  <si>
    <t>cherer</t>
  </si>
  <si>
    <t>onen ohne</t>
  </si>
  <si>
    <t>Institu-</t>
  </si>
  <si>
    <t>Erwerbs-</t>
  </si>
  <si>
    <t>G 01 A</t>
  </si>
  <si>
    <t>G 04</t>
  </si>
  <si>
    <t>G 05</t>
  </si>
  <si>
    <t>G 06</t>
  </si>
  <si>
    <t>G 08</t>
  </si>
  <si>
    <t>G 09</t>
  </si>
  <si>
    <t>G 10</t>
  </si>
  <si>
    <t>G 12</t>
  </si>
  <si>
    <t>2.10</t>
  </si>
  <si>
    <t>F 01</t>
  </si>
  <si>
    <t>F 02</t>
  </si>
  <si>
    <t>F 03</t>
  </si>
  <si>
    <t>F 04</t>
  </si>
  <si>
    <t>F 05</t>
  </si>
  <si>
    <t>3.11</t>
  </si>
  <si>
    <t>3.12</t>
  </si>
  <si>
    <t>3.13</t>
  </si>
  <si>
    <t>E 01 B</t>
  </si>
  <si>
    <t>E 05</t>
  </si>
  <si>
    <t>E 04</t>
  </si>
  <si>
    <t>E 09</t>
  </si>
  <si>
    <t>E 08</t>
  </si>
  <si>
    <t>E 10</t>
  </si>
  <si>
    <t>E 11</t>
  </si>
  <si>
    <t>E 01 A</t>
  </si>
  <si>
    <t>E 02</t>
  </si>
  <si>
    <t xml:space="preserve">E 01 </t>
  </si>
  <si>
    <t>E 03</t>
  </si>
  <si>
    <t>5.00</t>
  </si>
  <si>
    <t>C 01 A</t>
  </si>
  <si>
    <t>C 02 A</t>
  </si>
  <si>
    <t>C 01 B</t>
  </si>
  <si>
    <t>C 03</t>
  </si>
  <si>
    <t>C 04</t>
  </si>
  <si>
    <t>C 05</t>
  </si>
  <si>
    <t>D 01 A</t>
  </si>
  <si>
    <t>D 01 B</t>
  </si>
  <si>
    <t>D 02</t>
  </si>
  <si>
    <t>D 03</t>
  </si>
  <si>
    <t>D 04</t>
  </si>
  <si>
    <t>A 01</t>
  </si>
  <si>
    <t>A 04 A</t>
  </si>
  <si>
    <t>A 05 A</t>
  </si>
  <si>
    <t>A 06</t>
  </si>
  <si>
    <t>A 07</t>
  </si>
  <si>
    <t>A 09 A</t>
  </si>
  <si>
    <t>A 12 A</t>
  </si>
  <si>
    <t>A 10</t>
  </si>
  <si>
    <t>A 11</t>
  </si>
  <si>
    <t>H 06</t>
  </si>
  <si>
    <t xml:space="preserve">H 06 </t>
  </si>
  <si>
    <t xml:space="preserve">G 06 </t>
  </si>
  <si>
    <t>H 07</t>
  </si>
  <si>
    <t>G 07</t>
  </si>
  <si>
    <t>H 09</t>
  </si>
  <si>
    <t>H 08</t>
  </si>
  <si>
    <t>H 02 A</t>
  </si>
  <si>
    <t>G 02 A</t>
  </si>
  <si>
    <t>H 02 B</t>
  </si>
  <si>
    <t>G 02 B</t>
  </si>
  <si>
    <t>H 01</t>
  </si>
  <si>
    <t>G 01</t>
  </si>
  <si>
    <t>A 02 A</t>
  </si>
  <si>
    <t>A 02 B</t>
  </si>
  <si>
    <t>A 03 B</t>
  </si>
  <si>
    <t>A 04 B</t>
  </si>
  <si>
    <t>A 05 B</t>
  </si>
  <si>
    <t>A 08 A</t>
  </si>
  <si>
    <t>A 08 B</t>
  </si>
  <si>
    <t>A 09 B</t>
  </si>
  <si>
    <t>A 12 B</t>
  </si>
  <si>
    <t>A 13 B</t>
  </si>
  <si>
    <t>A 13 A</t>
  </si>
  <si>
    <t>B 03 A</t>
  </si>
  <si>
    <t>B 03 B</t>
  </si>
  <si>
    <t>B 11 A</t>
  </si>
  <si>
    <t>B 11 B</t>
  </si>
  <si>
    <t>B 13 B</t>
  </si>
  <si>
    <t>C 02 B</t>
  </si>
  <si>
    <t>E 06</t>
  </si>
  <si>
    <t>E 07</t>
  </si>
  <si>
    <t>G 03 A</t>
  </si>
  <si>
    <t>G 03 B</t>
  </si>
  <si>
    <t>G 11</t>
  </si>
  <si>
    <t>H 03</t>
  </si>
  <si>
    <t>G 03</t>
  </si>
  <si>
    <t>H 04 A</t>
  </si>
  <si>
    <t>G 04 A</t>
  </si>
  <si>
    <t>H 04 B</t>
  </si>
  <si>
    <t>G 04 B</t>
  </si>
  <si>
    <t>H 05</t>
  </si>
  <si>
    <t xml:space="preserve">* : Teil Tabellen </t>
  </si>
  <si>
    <t xml:space="preserve">Beilage F1: </t>
  </si>
  <si>
    <t>Übergangsschlüssel Tabellen * 1996 -&gt; 2003</t>
  </si>
  <si>
    <t>Publikation 2000</t>
  </si>
  <si>
    <t>8.01+ 8.02</t>
  </si>
  <si>
    <t>2.01 + 2.02</t>
  </si>
  <si>
    <t xml:space="preserve">25.10.04: Übergangsschlüssel Tabellen  </t>
  </si>
  <si>
    <t>Schweiz</t>
  </si>
  <si>
    <t>Datenstand: 16.08.04</t>
  </si>
  <si>
    <t xml:space="preserve">Quelle: www.oecd.org/home/   Topics &gt; Health &gt; OECD Health Data 2004 - Frequently Requested Data &gt; Table 10: Total expenditure on health, % GDP </t>
  </si>
  <si>
    <t>T 1.06  Versichertenbestand nach Versicherungsform und Geschlecht / Kinder per 31.12.</t>
  </si>
  <si>
    <t>Versicherungsform</t>
  </si>
  <si>
    <t>total in %</t>
  </si>
  <si>
    <t>Datenstand: 14.9.04</t>
  </si>
  <si>
    <t>1) EUR-11: Die Euro-Zone umfasst Belgien, Deutschland, Finnland, Frankreich, Irland, Italien, Luxemburg, Niederlande, Österreich, Portugal und Spanien.</t>
  </si>
  <si>
    <t>2) Für die Definition der für die Schweiz ausgewiesenen Leistungen siehe "Gesamtrechnung der Sozialen Sichereit: Methoden und Konzepte, BFS, Neuenburg, 2002"</t>
  </si>
  <si>
    <t>Hier ist zu beachten, dass die Kostenbeteiligung der Versicherten (in der Schweiz im Rahmen des KVG obligatorisch) und die Prämienverbilligung in den Zahlen nicht berücksichtigt sind.</t>
  </si>
  <si>
    <t>Werte in der Schweiz in 2001 : Kostenbeteiligung der Versicherten = 0,57% des BIP ; Prämienverbilligung = 0,63% des BIP.</t>
  </si>
  <si>
    <r>
      <t>T 9.20  Sozialleistungen für die Gesundheitsversorgung</t>
    </r>
    <r>
      <rPr>
        <b/>
        <sz val="12"/>
        <rFont val="Arial"/>
        <family val="2"/>
      </rPr>
      <t xml:space="preserve"> : Internationaler Vergleich in % des BIP ab 1991</t>
    </r>
  </si>
  <si>
    <r>
      <t xml:space="preserve">UE-15 </t>
    </r>
    <r>
      <rPr>
        <vertAlign val="superscript"/>
        <sz val="11"/>
        <rFont val="Arial"/>
        <family val="2"/>
      </rPr>
      <t>1</t>
    </r>
  </si>
  <si>
    <r>
      <t xml:space="preserve">EUR-11 </t>
    </r>
    <r>
      <rPr>
        <vertAlign val="superscript"/>
        <sz val="11"/>
        <rFont val="Arial"/>
        <family val="2"/>
      </rPr>
      <t>1</t>
    </r>
  </si>
  <si>
    <r>
      <t xml:space="preserve">EUR-12 </t>
    </r>
    <r>
      <rPr>
        <vertAlign val="superscript"/>
        <sz val="11"/>
        <rFont val="Arial"/>
        <family val="2"/>
      </rPr>
      <t>1</t>
    </r>
  </si>
  <si>
    <r>
      <t>Schweiz</t>
    </r>
    <r>
      <rPr>
        <b/>
        <vertAlign val="superscript"/>
        <sz val="11"/>
        <rFont val="Arial"/>
        <family val="2"/>
      </rPr>
      <t xml:space="preserve"> 2</t>
    </r>
  </si>
  <si>
    <t>Quellenangabe (Name der Publikation, Jahr, Nummer der Tabelle) und Zustellung eines</t>
  </si>
  <si>
    <t>Belegexemplares an das Bundesamt für Gesundheit, Sektion Statistik und Mathematik gestattet.</t>
  </si>
  <si>
    <t>Ordentliche Jahresfranchise</t>
  </si>
  <si>
    <t>Wählbare Jahresfranchisen</t>
  </si>
  <si>
    <t>BONUS-Versicherung</t>
  </si>
  <si>
    <t>Eingeschränkte Wahl (z.B. HMO)</t>
  </si>
  <si>
    <t>Quelle: Formular EF3 [T3.3]</t>
  </si>
  <si>
    <t>Datenstand: 5.8.04</t>
  </si>
  <si>
    <t>Kontengruppen</t>
  </si>
  <si>
    <t>Krankheit</t>
  </si>
  <si>
    <t>Unfall</t>
  </si>
  <si>
    <t>Erlösminderungen für Prämien (-)</t>
  </si>
  <si>
    <t>Andere Beitragsanteile</t>
  </si>
  <si>
    <t>60-65</t>
  </si>
  <si>
    <t>Brutto-Prämien</t>
  </si>
  <si>
    <t>Prämienanteile der Rückversicherer (-)</t>
  </si>
  <si>
    <t>60-66</t>
  </si>
  <si>
    <t>Eigene Versicherungsprämien</t>
  </si>
  <si>
    <t>Prämienverbilligung / sonstige Beiträge</t>
  </si>
  <si>
    <t>Prämienermässigung an Versicherte (-)</t>
  </si>
  <si>
    <t>Sonstige Betriebserträge</t>
  </si>
  <si>
    <t>Total Versicherungsertrag</t>
  </si>
  <si>
    <t>Kostenbeteiligung der Versicherten (-)</t>
  </si>
  <si>
    <t>30-33</t>
  </si>
  <si>
    <t>Bezahlte Leistungen</t>
  </si>
  <si>
    <t>Sonstige Aufwendungen für Leistungen</t>
  </si>
  <si>
    <t>Rückstellungen für unerledigte Versicherungsfälle</t>
  </si>
  <si>
    <t>30-35</t>
  </si>
  <si>
    <t>Brutto-Leistungen</t>
  </si>
  <si>
    <t>Leistungsanteile der Rückversicherer (-)</t>
  </si>
  <si>
    <t>Risikoausgleich</t>
  </si>
  <si>
    <t>Total Versicherungsaufwand</t>
  </si>
  <si>
    <t>40-47</t>
  </si>
  <si>
    <t>901-920</t>
  </si>
  <si>
    <t>101-149</t>
  </si>
  <si>
    <t>Sozialleistungen für die Gesundheitsversorgung : Internationaler Vergleich in % des BIP ab 1991</t>
  </si>
  <si>
    <t>Medikamente</t>
  </si>
  <si>
    <t>Ärztliche Leistungen</t>
  </si>
  <si>
    <t>Verfügbar am:</t>
  </si>
  <si>
    <t xml:space="preserve"> 14.9.04: 8.05, 8.06, 8.09, 8.10, 8.11, 8.12</t>
  </si>
  <si>
    <t xml:space="preserve"> 13.7.04: 5.04 </t>
  </si>
  <si>
    <t xml:space="preserve"> 14.9.04: 1.03, 1.04, 1.08, 1.47, 1.48, 1.49</t>
  </si>
  <si>
    <t xml:space="preserve"> 21.7.04: Teil 2 mit [2.06, 2.09, 2.11] </t>
  </si>
  <si>
    <t xml:space="preserve"> 15.9.04: 1.28, 1.29, 1.30, 1.31</t>
  </si>
  <si>
    <t xml:space="preserve"> 30.7.04: Teil 5 mit [5.01, 5.02, 5.03] </t>
  </si>
  <si>
    <t xml:space="preserve"> 17.8.04: Teil 4 ohne [4.01, 4.07, 4.10, 4.13] </t>
  </si>
  <si>
    <t xml:space="preserve"> 17.8.04: 1.06, 1.27, 1.35, 1.36, 1.37, 1.38 </t>
  </si>
  <si>
    <t xml:space="preserve"> 17.8.04: 9.19 </t>
  </si>
  <si>
    <t xml:space="preserve"> 7.9.04: 4.07, 4.10</t>
  </si>
  <si>
    <t xml:space="preserve"> 13.9.04: Teil 4 mit [4.01, 4.13] </t>
  </si>
  <si>
    <t xml:space="preserve"> 13.9.04: 9.12, 9.13, 9.20</t>
  </si>
  <si>
    <t xml:space="preserve"> 9.7.04: Teil 2 ohne [2.06, 2.09, 2.11] </t>
  </si>
  <si>
    <t xml:space="preserve">T 6.02 Ertrag, Aufwand und Ergebnis in Franken ab 1994 </t>
  </si>
  <si>
    <t>Total des</t>
  </si>
  <si>
    <t>Total Ver-</t>
  </si>
  <si>
    <t>sicherungs-</t>
  </si>
  <si>
    <t>betriebs-</t>
  </si>
  <si>
    <t>und Betriebs-</t>
  </si>
  <si>
    <t>Qurelle: T 6.04</t>
  </si>
  <si>
    <t>1) Schätzungen für die Jahre 1994 und 1995.</t>
  </si>
  <si>
    <r>
      <t xml:space="preserve">ertrags </t>
    </r>
    <r>
      <rPr>
        <vertAlign val="superscript"/>
        <sz val="11"/>
        <rFont val="Arial"/>
        <family val="2"/>
      </rPr>
      <t>1</t>
    </r>
  </si>
  <si>
    <r>
      <t xml:space="preserve">ergebnis </t>
    </r>
    <r>
      <rPr>
        <vertAlign val="superscript"/>
        <sz val="11"/>
        <rFont val="Arial"/>
        <family val="2"/>
      </rPr>
      <t>1</t>
    </r>
  </si>
  <si>
    <r>
      <t xml:space="preserve">aufwand </t>
    </r>
    <r>
      <rPr>
        <vertAlign val="superscript"/>
        <sz val="11"/>
        <rFont val="Arial"/>
        <family val="2"/>
      </rPr>
      <t>1</t>
    </r>
  </si>
  <si>
    <t>T 6.01 Prämien, Leistungen und Versichertenbestand ab 1994</t>
  </si>
  <si>
    <t>Leistun-</t>
  </si>
  <si>
    <t>Versi-</t>
  </si>
  <si>
    <t>soll pro</t>
  </si>
  <si>
    <t>gen pro</t>
  </si>
  <si>
    <t>cherten-</t>
  </si>
  <si>
    <t>bestand</t>
  </si>
  <si>
    <t>te(n) in Fr.</t>
  </si>
  <si>
    <t>Quelle: T 6.03</t>
  </si>
  <si>
    <t>1) 1994 und 1995: Krankengeldversicherung gemäss KUVG; die Werte 1997 bis 1999 des Versichertenbestands wurden revidiert.</t>
  </si>
  <si>
    <r>
      <t xml:space="preserve">Jahr </t>
    </r>
    <r>
      <rPr>
        <vertAlign val="superscript"/>
        <sz val="11"/>
        <rFont val="Arial"/>
        <family val="2"/>
      </rPr>
      <t>1)</t>
    </r>
  </si>
  <si>
    <t>Anzahl / Betrag</t>
  </si>
  <si>
    <t>Einzel-</t>
  </si>
  <si>
    <t>Kollektiv-</t>
  </si>
  <si>
    <t>versiche-</t>
  </si>
  <si>
    <t>rung</t>
  </si>
  <si>
    <t>1999 alt</t>
  </si>
  <si>
    <t>1999 neu</t>
  </si>
  <si>
    <t>Anzahl Versicherer</t>
  </si>
  <si>
    <t>Prämiensoll in Franken</t>
  </si>
  <si>
    <t>Prämiensoll in Franken pro Versicherte(n)</t>
  </si>
  <si>
    <t xml:space="preserve">Leistungen in Franken </t>
  </si>
  <si>
    <t>Leistungen in Franken pro Versicherte(n)</t>
  </si>
  <si>
    <t>Quelle: Formular BSV EF3 [T 3.9]</t>
  </si>
  <si>
    <t>1) Getrennte Rechnungsführung für die Einzel- und die Kollektivversicherung wird nur bei unterschiedlichen Prämientarifen</t>
  </si>
  <si>
    <t>verlangt (vgl. Art. 75 Abs. 2 KVG).</t>
  </si>
  <si>
    <r>
      <t xml:space="preserve">T 6.03 Versicherer, Versicherte, Prämien und Leistungen nach Einzel- und Kollektivverträgen </t>
    </r>
    <r>
      <rPr>
        <b/>
        <vertAlign val="superscript"/>
        <sz val="12"/>
        <rFont val="Arial"/>
        <family val="2"/>
      </rPr>
      <t>1</t>
    </r>
  </si>
  <si>
    <t xml:space="preserve">T 6.04  Betriebsrechnung der Einzel- und Kollektivversicherung insgesamt </t>
  </si>
  <si>
    <t>Quelle: Formular BSV EF2 [T 2.0 + 2.1]</t>
  </si>
  <si>
    <t>Quelle: Formular BSV EF2 [T 2.0]</t>
  </si>
  <si>
    <r>
      <t xml:space="preserve">T 6.05  Betriebsrechnung der Einzelversicherung </t>
    </r>
    <r>
      <rPr>
        <b/>
        <vertAlign val="superscript"/>
        <sz val="12"/>
        <rFont val="Arial"/>
        <family val="2"/>
      </rPr>
      <t>1</t>
    </r>
  </si>
  <si>
    <t>Quelle: Formular BSV EF2 [T 2.1]</t>
  </si>
  <si>
    <r>
      <t xml:space="preserve">T 6.06  Betriebsrechnung der Kollektivversicherung </t>
    </r>
    <r>
      <rPr>
        <b/>
        <vertAlign val="superscript"/>
        <sz val="12"/>
        <rFont val="Arial"/>
        <family val="2"/>
      </rPr>
      <t>1</t>
    </r>
  </si>
  <si>
    <t>6: Freiwillige Taggeldversicherung KVG</t>
  </si>
  <si>
    <t>Prämien, Leistungen und Versichertenbestand ab 1994</t>
  </si>
  <si>
    <t>Ertrag, Aufwand und Ergebnis ab 1994</t>
  </si>
  <si>
    <t>Versicherer, Versicherte, Prämien und Leistungen nach Einzel- u. Kollektivverträgen</t>
  </si>
  <si>
    <t xml:space="preserve">Betriebsrechnung der Einzel- und Kollektivversicherung insgesamt </t>
  </si>
  <si>
    <t xml:space="preserve">Betriebsrechnung der Einzelversicherung </t>
  </si>
  <si>
    <t>Betriebsrechnung der Kollektivversicherung</t>
  </si>
  <si>
    <t>aufwand</t>
  </si>
  <si>
    <t>2) Vorjahresvergleiche sind nur mit Vorbehalt möglich, da jene Zusatzversicherungen VAG, welche auch unternehmensrechtlich</t>
  </si>
  <si>
    <t>3) Schätzungen für die Jahre 1994 und 1995.</t>
  </si>
  <si>
    <t>Quelle: T 7.02</t>
  </si>
  <si>
    <r>
      <t xml:space="preserve">T 7.01  Ertrag, Aufwand und Ergebnis der anderen Versicherungen insgesamt </t>
    </r>
    <r>
      <rPr>
        <b/>
        <vertAlign val="superscript"/>
        <sz val="12"/>
        <rFont val="Arial"/>
        <family val="2"/>
      </rPr>
      <t xml:space="preserve">1 </t>
    </r>
    <r>
      <rPr>
        <b/>
        <sz val="12"/>
        <rFont val="Arial"/>
        <family val="2"/>
      </rPr>
      <t xml:space="preserve"> in Franken ab 1994</t>
    </r>
  </si>
  <si>
    <t>Anzahl subventionierte Haushalte nach ausbezahltem Jahresbetrag und Kantonen</t>
  </si>
  <si>
    <t xml:space="preserve">Kantonale Grenzbeträge für die Berechtigung: Massgebende Einkommen </t>
  </si>
  <si>
    <t>Maximale, budgetierte und ausbezahlte Subventionen ab 1996</t>
  </si>
  <si>
    <t xml:space="preserve">KVG-Verteilmodell: Berechnungsbasis sowie Bundes- und Kantonsbeiträge </t>
  </si>
  <si>
    <t>Reduktionsfaktor und Subventionen nach Reduktion nach Kantonen</t>
  </si>
  <si>
    <t xml:space="preserve">Ausgerichtete Leistungen nach Kantonen </t>
  </si>
  <si>
    <t>BezügerInnenquoten nach Geschlecht und Kantonen und begünstigte Haushalte in %</t>
  </si>
  <si>
    <t>Mittelwert</t>
  </si>
  <si>
    <t>Quelle: T 4.09</t>
  </si>
  <si>
    <t>7.03, 7.05, 7.06</t>
  </si>
  <si>
    <t>T7, Index</t>
  </si>
  <si>
    <t>7.01, 7.02</t>
  </si>
  <si>
    <t>4.11, 4.12</t>
  </si>
  <si>
    <t>1.02, 1.48</t>
  </si>
  <si>
    <t>Betriebsrechnung der obligatorischen Krankenpflegeversicherung Versicherte mit Wohnsitz in einem EG- bzw. EFTA-Staat</t>
  </si>
  <si>
    <t>charakter</t>
  </si>
  <si>
    <t>1) Institutionen für Betagte, Chronischkranke und Behinderte.</t>
  </si>
  <si>
    <t>2) Ärzte, Zahnärzte, Physiotherapeuten, Psychotherapeuten, Spitexdienste, medizinische Labors und andere.</t>
  </si>
  <si>
    <t>3) Apotheken, Drogerien und therapeutische Apparate.</t>
  </si>
  <si>
    <t>4) Provisorische Werte gemäss der Pressemitteilung des BFS (2-2004).</t>
  </si>
  <si>
    <t>1) Benutzter Kantonsbeitrag in Prozent des maximalen Gesamtbeitrages.</t>
  </si>
  <si>
    <t>Jahresdurch-</t>
  </si>
  <si>
    <t>schnittliche</t>
  </si>
  <si>
    <t>Veränderung</t>
  </si>
  <si>
    <t xml:space="preserve">T 4.09 Reduktionsfaktor und Subventionen nach Reduktion nach Kantonen </t>
  </si>
  <si>
    <t>Reduk-</t>
  </si>
  <si>
    <t>Bundes-</t>
  </si>
  <si>
    <t>Kantons-</t>
  </si>
  <si>
    <t>Subventions-</t>
  </si>
  <si>
    <t>In %</t>
  </si>
  <si>
    <t>tions-</t>
  </si>
  <si>
    <t>beitrag</t>
  </si>
  <si>
    <t>Budget</t>
  </si>
  <si>
    <t>nach Re-</t>
  </si>
  <si>
    <t>Beitrag</t>
  </si>
  <si>
    <t xml:space="preserve">duktion </t>
  </si>
  <si>
    <t>vor Re-</t>
  </si>
  <si>
    <t>Quelle : EFV - Bundes- und Kantonsbeiträge nach Reduktion durch die Kantone für das Jahr 2003.</t>
  </si>
  <si>
    <t>1) vgl. Art. 66 Abs. 5 KVG: "Der Kanton darf den (...) von ihm zu übernehmenden Betrag um maximal 50 Prozent kürzen, wenn</t>
  </si>
  <si>
    <t xml:space="preserve">die Prämienverbilligung für Versicherte in bescheidenen wirtschaftlichen Verhältnissen trotzdem sichergestellt ist. </t>
  </si>
  <si>
    <t>Der Beitrag des Bundes an diesen Kanton wird im gleichen Verhältnis gekürzt".  Wert gerundet.</t>
  </si>
  <si>
    <t>2) Budget. Wert in einigen Kantonen gerundet.</t>
  </si>
  <si>
    <t>3) Benutzter Kantonsbeitrag in Prozent des maximalen Gesamtbeitrages.</t>
  </si>
  <si>
    <t>4) Der Reduktionsfaktor bezieht sich auf das Total der Prämienverbilligung.</t>
  </si>
  <si>
    <r>
      <t xml:space="preserve">faktor </t>
    </r>
    <r>
      <rPr>
        <vertAlign val="superscript"/>
        <sz val="11"/>
        <rFont val="Arial"/>
        <family val="2"/>
      </rPr>
      <t>1</t>
    </r>
  </si>
  <si>
    <r>
      <t xml:space="preserve">in Fr. </t>
    </r>
    <r>
      <rPr>
        <vertAlign val="superscript"/>
        <sz val="11"/>
        <rFont val="Arial"/>
        <family val="2"/>
      </rPr>
      <t>2</t>
    </r>
  </si>
  <si>
    <r>
      <t xml:space="preserve">in Fr. </t>
    </r>
    <r>
      <rPr>
        <b/>
        <vertAlign val="superscript"/>
        <sz val="11"/>
        <rFont val="Arial"/>
        <family val="2"/>
      </rPr>
      <t>2</t>
    </r>
  </si>
  <si>
    <r>
      <t xml:space="preserve">duktion </t>
    </r>
    <r>
      <rPr>
        <vertAlign val="superscript"/>
        <sz val="11"/>
        <rFont val="Arial"/>
        <family val="2"/>
      </rPr>
      <t>3</t>
    </r>
  </si>
  <si>
    <r>
      <t xml:space="preserve">CH </t>
    </r>
    <r>
      <rPr>
        <b/>
        <vertAlign val="superscript"/>
        <sz val="11"/>
        <rFont val="Arial"/>
        <family val="2"/>
      </rPr>
      <t>4</t>
    </r>
  </si>
  <si>
    <t>Mittlere</t>
  </si>
  <si>
    <t>Index der</t>
  </si>
  <si>
    <t>Prämien-</t>
  </si>
  <si>
    <t>Wohnbe-</t>
  </si>
  <si>
    <t>Finanz-</t>
  </si>
  <si>
    <t>kraft</t>
  </si>
  <si>
    <t>beiträge</t>
  </si>
  <si>
    <t>Beiträge</t>
  </si>
  <si>
    <t>in Fr. :</t>
  </si>
  <si>
    <t>Quelle: EFV - Bundes- und Kantonsbeiträge : Verteilungsmodell für das Jahr 2003.</t>
  </si>
  <si>
    <t>1) vgl. Art. 66 Abs. 3 KVG: "Der Bundesrat setzt die Anteile der einzelnen Kantone am Bundesbeitrag nach deren Wohnbevöl-</t>
  </si>
  <si>
    <t>kerung und deren Finanzkraft fest. Er kann die durchschnittlichen Prämien der obligatorischen Krankenpflegeversicherung in</t>
  </si>
  <si>
    <t>den einzelnen Kantonen berücksichtigen".</t>
  </si>
  <si>
    <t>2) inklusive versicherte Grenzgänger und deren Familienangehörige.</t>
  </si>
  <si>
    <t>3) Prämien-Index ist seit 2002 nicht mehr berücksichtigt.</t>
  </si>
  <si>
    <t>4)  Relativer Anteil des Kantonsbeitrages am Bundesbeitrag (vgl. Fussnote 1).</t>
  </si>
  <si>
    <t>5) Maximaler Subventionsbetrag von Bund und Kantonen gemäss KVG-Verteilmodell (vgl. Art. 106 KVG).</t>
  </si>
  <si>
    <t xml:space="preserve">T 1.49  Versicherteneintritte / Versicherungswechsler KVG nach Geschlecht </t>
  </si>
  <si>
    <t>Anteil in %</t>
  </si>
  <si>
    <t xml:space="preserve">In % am </t>
  </si>
  <si>
    <t>durchschnittlichen</t>
  </si>
  <si>
    <t>Versichertenbestand</t>
  </si>
  <si>
    <t>Junge Erwachsene</t>
  </si>
  <si>
    <t>davon Neugeborene</t>
  </si>
  <si>
    <t>Quelle: Formular EF3 [3.8.3] + T 1.47</t>
  </si>
  <si>
    <t>Quelle: Formular EF3 [T 3.8.2]</t>
  </si>
  <si>
    <t>T 1.48 Versichertenbestand KVG nach Geschlecht  am 1.1.2004</t>
  </si>
  <si>
    <t xml:space="preserve">T 1.47 Durchschnittlicher Versichertenbestand KVG, gemäss Art. 29 KVV, nach Geschlecht </t>
  </si>
  <si>
    <t>davon gestorben</t>
  </si>
  <si>
    <t>1) Effectiv Total per 31.12: siehe T 1.02.</t>
  </si>
  <si>
    <t xml:space="preserve">    Durchschnittsbestand = Stand aller Monate zusammengezählt und geteilt durch 12.</t>
  </si>
  <si>
    <t>2) Betriebsrechnung: siehe T 7.06.</t>
  </si>
  <si>
    <r>
      <t xml:space="preserve">A. Personen mit Wohnsitz in der Schweiz und scheizerischer Prämie (inkl. Versicherte gemäss Art. 4 und 5 KVV) </t>
    </r>
    <r>
      <rPr>
        <b/>
        <vertAlign val="superscript"/>
        <sz val="12"/>
        <rFont val="55 Helvetica Roman"/>
      </rPr>
      <t>1</t>
    </r>
  </si>
  <si>
    <r>
      <t xml:space="preserve">B. Personen mit Wohnsitz in einem EG- bzw. EFTA-Staat (ohne Liechtenstein) </t>
    </r>
    <r>
      <rPr>
        <b/>
        <vertAlign val="superscript"/>
        <sz val="12"/>
        <rFont val="Arial"/>
        <family val="2"/>
      </rPr>
      <t>2</t>
    </r>
  </si>
  <si>
    <t>1) Siehe Fussnote 1) in T 1.27</t>
  </si>
  <si>
    <t>Quelle: Formular EF2 [Summe 2.5 bis 2.7]</t>
  </si>
  <si>
    <r>
      <t xml:space="preserve">T 1.31  Betriebsrechnung der Versicherungen </t>
    </r>
    <r>
      <rPr>
        <b/>
        <vertAlign val="superscript"/>
        <sz val="12"/>
        <rFont val="Arial"/>
        <family val="2"/>
      </rPr>
      <t>1</t>
    </r>
    <r>
      <rPr>
        <b/>
        <sz val="12"/>
        <rFont val="Arial"/>
        <family val="2"/>
      </rPr>
      <t xml:space="preserve">  mit eingeschränkter Wahl des Leistungserbringers </t>
    </r>
  </si>
  <si>
    <t>Quelle: Formular EF2 [ 2.4]</t>
  </si>
  <si>
    <r>
      <t xml:space="preserve">T 1.30  Betriebsrechnung der BONUS-Versicherung </t>
    </r>
    <r>
      <rPr>
        <b/>
        <vertAlign val="superscript"/>
        <sz val="12"/>
        <rFont val="Arial"/>
        <family val="2"/>
      </rPr>
      <t>1</t>
    </r>
  </si>
  <si>
    <t>Quelle: Formular EF2 [ 2.3]</t>
  </si>
  <si>
    <r>
      <t xml:space="preserve">T 1.29  Betriebsrechnung der Versicherungen </t>
    </r>
    <r>
      <rPr>
        <b/>
        <vertAlign val="superscript"/>
        <sz val="12"/>
        <rFont val="Arial"/>
        <family val="2"/>
      </rPr>
      <t>1</t>
    </r>
    <r>
      <rPr>
        <b/>
        <sz val="12"/>
        <rFont val="Arial"/>
        <family val="2"/>
      </rPr>
      <t xml:space="preserve">  mit wählbarer Franchise </t>
    </r>
  </si>
  <si>
    <t>Quelle: Formular EF2 [ 2.2 ]</t>
  </si>
  <si>
    <r>
      <t xml:space="preserve">T 1.28  Betriebsrechnung der Versicherung </t>
    </r>
    <r>
      <rPr>
        <b/>
        <vertAlign val="superscript"/>
        <sz val="12"/>
        <rFont val="Arial"/>
        <family val="2"/>
      </rPr>
      <t>1</t>
    </r>
    <r>
      <rPr>
        <b/>
        <sz val="12"/>
        <rFont val="Arial"/>
        <family val="2"/>
      </rPr>
      <t xml:space="preserve">  mit ordentlicher Franchise </t>
    </r>
  </si>
  <si>
    <r>
      <t xml:space="preserve">T 4.08 KVG-Verteilmodell </t>
    </r>
    <r>
      <rPr>
        <b/>
        <vertAlign val="superscript"/>
        <sz val="12"/>
        <rFont val="Arial"/>
        <family val="2"/>
      </rPr>
      <t>1</t>
    </r>
    <r>
      <rPr>
        <b/>
        <sz val="12"/>
        <rFont val="Arial"/>
        <family val="2"/>
      </rPr>
      <t xml:space="preserve"> : Berechnungsbasis sowie Bundes- und Kantonsbeiträge </t>
    </r>
  </si>
  <si>
    <r>
      <t xml:space="preserve">index KV </t>
    </r>
    <r>
      <rPr>
        <vertAlign val="superscript"/>
        <sz val="11"/>
        <rFont val="Arial"/>
        <family val="2"/>
      </rPr>
      <t>3</t>
    </r>
  </si>
  <si>
    <r>
      <t xml:space="preserve">völkerung </t>
    </r>
    <r>
      <rPr>
        <vertAlign val="superscript"/>
        <sz val="11"/>
        <rFont val="Arial"/>
        <family val="2"/>
      </rPr>
      <t>2</t>
    </r>
  </si>
  <si>
    <r>
      <t xml:space="preserve">Ziel </t>
    </r>
    <r>
      <rPr>
        <b/>
        <vertAlign val="superscript"/>
        <sz val="11"/>
        <rFont val="Arial"/>
        <family val="2"/>
      </rPr>
      <t>5</t>
    </r>
  </si>
  <si>
    <r>
      <t xml:space="preserve">beiträge </t>
    </r>
    <r>
      <rPr>
        <vertAlign val="superscript"/>
        <sz val="11"/>
        <rFont val="Arial"/>
        <family val="2"/>
      </rPr>
      <t>4</t>
    </r>
  </si>
  <si>
    <t>Obergrenze des massgebenden Einkommens in Fr.</t>
  </si>
  <si>
    <t>Hauhaltsvorstand alleinstehend/alleinerziehend</t>
  </si>
  <si>
    <t>Hauhaltsvorstand verheiratet</t>
  </si>
  <si>
    <t>Keine</t>
  </si>
  <si>
    <t>1 Kind</t>
  </si>
  <si>
    <t>2 Kinder</t>
  </si>
  <si>
    <t>3 Kinder</t>
  </si>
  <si>
    <t>Quelle: Formular PV2 [2.3]</t>
  </si>
  <si>
    <t>1) Für massgebende Einkommen, die höher sind als die obenstehenden Beträge, werden keine Subventionen mehr ausbezahlt.</t>
  </si>
  <si>
    <t>Das massgebende Einkommen entspricht einem je nach Kanton definierten Einkommen, meist "steuerbares Einkommen" aber auch "Reineinkommen"</t>
  </si>
  <si>
    <t>oder "Effektives Einkommen", zuzüglich einem bestimmten Anteil des Vermögens (meist "steuerbares Vermögen" oder "Reinvermögen").</t>
  </si>
  <si>
    <r>
      <t xml:space="preserve">T 4.06 Kantonale Grenzbeträge für die Berechtigung: Massgebende Einkommen </t>
    </r>
    <r>
      <rPr>
        <b/>
        <vertAlign val="superscript"/>
        <sz val="12"/>
        <rFont val="Arial"/>
        <family val="2"/>
      </rPr>
      <t>1</t>
    </r>
  </si>
  <si>
    <t>Ausbezahlter Jahresbetrag</t>
  </si>
  <si>
    <t>Haushalte</t>
  </si>
  <si>
    <t>1 - 600</t>
  </si>
  <si>
    <t>601 -</t>
  </si>
  <si>
    <t>1'201 -</t>
  </si>
  <si>
    <t>2'401 -</t>
  </si>
  <si>
    <t>3'601 -</t>
  </si>
  <si>
    <t>mehr als</t>
  </si>
  <si>
    <t>Jahresbe-</t>
  </si>
  <si>
    <t>1'200 Fr.</t>
  </si>
  <si>
    <t>2'400 Fr.</t>
  </si>
  <si>
    <t>3'600 Fr.</t>
  </si>
  <si>
    <t>4'800 Fr.</t>
  </si>
  <si>
    <t>trag un-</t>
  </si>
  <si>
    <t>bekannt</t>
  </si>
  <si>
    <t>Quelle: Formular PV2 [2.2]</t>
  </si>
  <si>
    <t>1) Anzahl subventionierte Haushalte im Sinne der kantonalen Regelungen zur Prämienverbilligung.</t>
  </si>
  <si>
    <r>
      <t xml:space="preserve">T 4.05 Anzahl subventionierte Haushalte </t>
    </r>
    <r>
      <rPr>
        <b/>
        <vertAlign val="superscript"/>
        <sz val="12"/>
        <rFont val="Arial"/>
        <family val="2"/>
      </rPr>
      <t>1</t>
    </r>
    <r>
      <rPr>
        <b/>
        <sz val="12"/>
        <rFont val="Arial"/>
        <family val="2"/>
      </rPr>
      <t xml:space="preserve">  nach ausbezahltem Jahresbetrag und Kantonen </t>
    </r>
  </si>
  <si>
    <t>Haushaltgrösse gemäss Anzahl Haushaltsmitglieder</t>
  </si>
  <si>
    <t>davon</t>
  </si>
  <si>
    <t>1 Person</t>
  </si>
  <si>
    <t>2 Perso-</t>
  </si>
  <si>
    <t>3 Perso-</t>
  </si>
  <si>
    <t>4 Perso-</t>
  </si>
  <si>
    <t>5 Perso-</t>
  </si>
  <si>
    <t>alleiner-</t>
  </si>
  <si>
    <t>nen</t>
  </si>
  <si>
    <t>nen und</t>
  </si>
  <si>
    <t>ziehende</t>
  </si>
  <si>
    <t>mehr</t>
  </si>
  <si>
    <t xml:space="preserve">FR </t>
  </si>
  <si>
    <t xml:space="preserve">SO </t>
  </si>
  <si>
    <t>Datenstand: 18.10.04</t>
  </si>
  <si>
    <r>
      <t>T 1.35 Verteilung der Versicherungsformen</t>
    </r>
    <r>
      <rPr>
        <b/>
        <vertAlign val="superscript"/>
        <sz val="12"/>
        <rFont val="Arial"/>
        <family val="2"/>
      </rPr>
      <t xml:space="preserve"> </t>
    </r>
    <r>
      <rPr>
        <b/>
        <sz val="12"/>
        <rFont val="Arial"/>
        <family val="2"/>
      </rPr>
      <t xml:space="preserve">in % - Versicherte ab 19 Jahren ab 1997 </t>
    </r>
  </si>
  <si>
    <r>
      <t xml:space="preserve">1997 </t>
    </r>
    <r>
      <rPr>
        <vertAlign val="superscript"/>
        <sz val="11"/>
        <rFont val="Arial"/>
        <family val="2"/>
      </rPr>
      <t>1</t>
    </r>
  </si>
  <si>
    <t>T 1.36 Verteilung der Versicherungsformen in % nach Kanton - Versicherte ab 19 Jahren</t>
  </si>
  <si>
    <t>Ordentl.</t>
  </si>
  <si>
    <t>Quelle: DATENPOOL santésuisse / Auswertung BSV / Abdeckungsgrad der Erhebung 2003: CH 94,8% ; Kantone: 88,9% - 97,5%</t>
  </si>
  <si>
    <t>T 1.37 Verteilung der Versicherungsformen in % - Versicherte 0-18 Jahre ab 1997</t>
  </si>
  <si>
    <t>150 Fr.</t>
  </si>
  <si>
    <t>300 Fr.</t>
  </si>
  <si>
    <t>375 Fr.</t>
  </si>
  <si>
    <t>Datenstand: 13.9.2004</t>
  </si>
  <si>
    <t>0 Fr.</t>
  </si>
  <si>
    <t>Quelle: T 1.38</t>
  </si>
  <si>
    <t>T 1.38  Verteilung der Versicherungsformen in % nach Kanton - Versicherte 0-18 Jahre</t>
  </si>
  <si>
    <t xml:space="preserve">T 4.07 Maximale, budgetierte und ausbezahlte Subventionen ab 1996 </t>
  </si>
  <si>
    <t>Jahr</t>
  </si>
  <si>
    <t>Subven-</t>
  </si>
  <si>
    <t>Reduktions-</t>
  </si>
  <si>
    <t>Ausbezahlte</t>
  </si>
  <si>
    <t>budget nach</t>
  </si>
  <si>
    <t>Subventionen</t>
  </si>
  <si>
    <t>Durchschnitt</t>
  </si>
  <si>
    <t>CH in %</t>
  </si>
  <si>
    <t>T 5.02 Erklärungen und Quellen für Aufsichtsdaten OKP (T 5.01)</t>
  </si>
  <si>
    <t>Je nach Grösse des Versicherers müssen folgende Mindestsätze (Reserven in % des jährlichen Prämiensolls) erreicht werden (Art. 78 KVV):</t>
  </si>
  <si>
    <t>*) Gilt für das Jahr 2003. Ab 2004 gelten neue minimale Reserven (bis 250'000 20%, ab 250'000 15%).</t>
  </si>
  <si>
    <t>10) KVG-Versicherer mit VVG Zusatzversicherungen</t>
  </si>
  <si>
    <t>KVG-Versicherer, welche eigene VVG-Zusatzversicherungen anbieten.</t>
  </si>
  <si>
    <r>
      <t xml:space="preserve">Minimale Reserve in % </t>
    </r>
    <r>
      <rPr>
        <b/>
        <vertAlign val="superscript"/>
        <sz val="10"/>
        <color indexed="8"/>
        <rFont val="Arial"/>
        <family val="2"/>
      </rPr>
      <t>*</t>
    </r>
  </si>
  <si>
    <t xml:space="preserve">Datenstand: 6.9.04 </t>
  </si>
  <si>
    <t>Quelle: EFV - Verteilungsmodell für Bundes- und Kantonsbeiträge / T 4.11 / T 4.10</t>
  </si>
  <si>
    <t>1) Ohne Liechstenstein.</t>
  </si>
  <si>
    <r>
      <t xml:space="preserve">T 7.05  Betriebsrechnung der Zusatzversicherungen Versicherte wohnhaft im Ausland </t>
    </r>
    <r>
      <rPr>
        <b/>
        <vertAlign val="superscript"/>
        <sz val="12"/>
        <rFont val="Arial"/>
        <family val="2"/>
      </rPr>
      <t>1</t>
    </r>
  </si>
  <si>
    <t>1) Ohne T 7.04.</t>
  </si>
  <si>
    <r>
      <t xml:space="preserve">T 7.03  Betriebsrechnung der Zusatzversicherungen </t>
    </r>
    <r>
      <rPr>
        <b/>
        <vertAlign val="superscript"/>
        <sz val="12"/>
        <rFont val="Arial"/>
        <family val="2"/>
      </rPr>
      <t>1</t>
    </r>
  </si>
  <si>
    <t>1) Ohne T 7.04 und 7.05</t>
  </si>
  <si>
    <t>sicherungen</t>
  </si>
  <si>
    <t>Oblig. Kranken-</t>
  </si>
  <si>
    <t>pflegeversiche-</t>
  </si>
  <si>
    <t>rung Personen</t>
  </si>
  <si>
    <t>1) Zusammenzug der «Zusatzversicherungen»,</t>
  </si>
  <si>
    <t>«Krankenpflegeversicherung Liechtenstein», «Zusatzversicherungen Versicherte wohnhaft im Ausland»</t>
  </si>
  <si>
    <t>und «obligatorische Krankenpflegeversicherung Personen mit Wohnsitz in einem EG- bzw. EFTA-Staat» ab 2002.</t>
  </si>
  <si>
    <t>1) Personen mit Wohnsitz/Aufenthalt im Ausland gemäss Art. 4 und 5 KVV.</t>
  </si>
  <si>
    <t>Quelle: Formular EF3 [T 3.2]</t>
  </si>
  <si>
    <r>
      <t xml:space="preserve">Ausland </t>
    </r>
    <r>
      <rPr>
        <vertAlign val="superscript"/>
        <sz val="11"/>
        <rFont val="Arial"/>
        <family val="2"/>
      </rPr>
      <t>1)</t>
    </r>
  </si>
  <si>
    <t>Altersklassen</t>
  </si>
  <si>
    <t>Anzahl</t>
  </si>
  <si>
    <t xml:space="preserve">  0 - 5</t>
  </si>
  <si>
    <t xml:space="preserve">  6 - 10</t>
  </si>
  <si>
    <t>11 - 15</t>
  </si>
  <si>
    <t>16 - 18</t>
  </si>
  <si>
    <t>Total 0 - 18</t>
  </si>
  <si>
    <t>19 - 20</t>
  </si>
  <si>
    <t>21 - 25</t>
  </si>
  <si>
    <t>Total 19 - 65</t>
  </si>
  <si>
    <t>91 - 95</t>
  </si>
  <si>
    <t>96 - 100</t>
  </si>
  <si>
    <t>&gt; 100</t>
  </si>
  <si>
    <t>Total 66 u. mehr</t>
  </si>
  <si>
    <t>Quelle: Formular EF3 [T 3.1]</t>
  </si>
  <si>
    <r>
      <t xml:space="preserve">T 1.04  Versichertenbestand </t>
    </r>
    <r>
      <rPr>
        <b/>
        <vertAlign val="superscript"/>
        <sz val="12"/>
        <rFont val="Arial"/>
        <family val="2"/>
      </rPr>
      <t>1</t>
    </r>
    <r>
      <rPr>
        <b/>
        <sz val="12"/>
        <rFont val="Arial"/>
        <family val="2"/>
      </rPr>
      <t xml:space="preserve">  nach Alter und Geschlecht per 31.12.</t>
    </r>
  </si>
  <si>
    <t xml:space="preserve">T 1.08  Erkrankte, Spitaleinweisungen und Spitaltage nach Geschlecht / Kinder </t>
  </si>
  <si>
    <t>Merkmal</t>
  </si>
  <si>
    <t>Erkrankte je 100 Versicherte</t>
  </si>
  <si>
    <t>davon Mutterschaft</t>
  </si>
  <si>
    <t>Einweisungen je 100 Versicherte</t>
  </si>
  <si>
    <t>Spitaltage je 100 Versicherte</t>
  </si>
  <si>
    <t>Spitaltage je Einweisung</t>
  </si>
  <si>
    <t>1) Anzahl versicherte Personen, welche im Berichtsjahr mindestens einmal ambulante oder stationäre Kosten verursacht haben.</t>
  </si>
  <si>
    <t>2) Einweisungen und Spitaltage ins/im Spital stationär.</t>
  </si>
  <si>
    <t>Quelle: Formular EF3 [T 3.7.1 / 3.7.2] + T 1.02</t>
  </si>
  <si>
    <r>
      <t>Erkrankte</t>
    </r>
    <r>
      <rPr>
        <vertAlign val="superscript"/>
        <sz val="11"/>
        <rFont val="Arial"/>
        <family val="2"/>
      </rPr>
      <t>1</t>
    </r>
  </si>
  <si>
    <r>
      <t>Einweisungen</t>
    </r>
    <r>
      <rPr>
        <vertAlign val="superscript"/>
        <sz val="11"/>
        <rFont val="Arial"/>
        <family val="2"/>
      </rPr>
      <t>2</t>
    </r>
  </si>
  <si>
    <r>
      <t>Spitaltage</t>
    </r>
    <r>
      <rPr>
        <vertAlign val="superscript"/>
        <sz val="11"/>
        <rFont val="Arial"/>
        <family val="2"/>
      </rPr>
      <t>2</t>
    </r>
  </si>
  <si>
    <t xml:space="preserve">Verwaltungsaufwand / Abschreibungen  je versicherte Person nach Versicherungsform ab 1994 </t>
  </si>
  <si>
    <t>Gesamtbetriebsergebnis  nach Versicherungsform ab 1994</t>
  </si>
  <si>
    <t>Gesamtbetriebsergebnis  je versicherte Person nach Versicherungsform ab 1994</t>
  </si>
  <si>
    <t xml:space="preserve">Betriebsrechnung der obligatorischen Krankenpflegeversicherung KVG insgesamt </t>
  </si>
  <si>
    <t>Betriebsrechnung der Versicherung mit ordentlicher Franchise</t>
  </si>
  <si>
    <t xml:space="preserve">Betriebsrechnung der Versicherungen mit wählbarer Franchise </t>
  </si>
  <si>
    <t xml:space="preserve">Betriebsrechnung der BONUS-Versicherung </t>
  </si>
  <si>
    <t xml:space="preserve">Betriebsrechnung der Versicherungen mit eingeschränkter Wahl des Leistungserbringers </t>
  </si>
  <si>
    <t>Stand der Reserven ab 1996</t>
  </si>
  <si>
    <t xml:space="preserve">Stand der Rückstellungen für unerledigte Versicherungsfälle  ab 1996 </t>
  </si>
  <si>
    <t>Aufteilung der Versicherten (Kinder und Erwachsene) nach Versicherungsform ab 1994</t>
  </si>
  <si>
    <t xml:space="preserve">Verteilung der Versicherungsformen in % - Versicherte ab 19 Jahren seit 1997 </t>
  </si>
  <si>
    <t>Verteilung der Versicherungsformen in % nach Kanton - Versicherte ab 19 Jahren</t>
  </si>
  <si>
    <t>Verteilung der Versicherungsformen in % - Versicherte 0-18 Jahre seit 1997</t>
  </si>
  <si>
    <t xml:space="preserve">Verteilung der Versicherungsformen in % nach Kanton - Versicherte 0-18 Jahre </t>
  </si>
  <si>
    <t xml:space="preserve">Leistungen (brutto) in Fr. nach Versicherungsform und Geschlecht / Kinder </t>
  </si>
  <si>
    <t xml:space="preserve">Leistungen (brutto) in Fr. je versicherte Person nach Versicherungsform und Geschlecht / Kinder </t>
  </si>
  <si>
    <t>Versichertenbestand nach Geschlecht / Kinder ab 1995 (Jahresdurchschnitt)</t>
  </si>
  <si>
    <t>Obligatorische Krankenpflegeversicherung ab 1996: wichtigste Indikatoren</t>
  </si>
  <si>
    <t>Prämiensoll je versicherte Person nach Versicherungsform ab 1996: Veränderung gegenüber dem Vorjahr</t>
  </si>
  <si>
    <t>Kostenbeteiligung je versicherte Person nach Versicherungsform : Veränderung gegenüber dem Vorjahr ab 1997</t>
  </si>
  <si>
    <t>Totaler Beitrag je versicherte Person nach Versicherungsform : Veränderung gegenüber dem Vorjahr ab 1997</t>
  </si>
  <si>
    <t>Durchschnittlicher Versichertenbestand KVG nach Geschlecht</t>
  </si>
  <si>
    <t>Versichertenbestand KVG nach Geschlecht  am 1.1.</t>
  </si>
  <si>
    <t>Versicherteneintritte / Versicherungswechsler KVG nach Geschlecht</t>
  </si>
  <si>
    <t>9: Zusatzinformationen zum Gesundheitswesen</t>
  </si>
  <si>
    <t xml:space="preserve">Gesundheitskosten ausgewählter OECD–Länder in % des BIP ab 1960 </t>
  </si>
  <si>
    <t>Kosten des Gesundheitswesens in der Schweiz nach Direktzahler ab 1985</t>
  </si>
  <si>
    <t>Kosten des Gesundheitswesens in der Schweiz nach Leistungserbringer ab 1985</t>
  </si>
  <si>
    <t>Kosten des Gesundheitswesens in der Schweiz nach Leistungen ab 1985</t>
  </si>
  <si>
    <t>Kosten des Gesundheitswesens in der Schweiz aus der Sicht der Volkswirtschaft ab 1985</t>
  </si>
  <si>
    <t>Finanzströme im schweizerischen Gesundheitswesen in Mio. Franken ab 1996</t>
  </si>
  <si>
    <t>Finanzströme im schweizerischen Gesundheitswesen in % des Totals der Kosten des Gesundheitswesens ab 1996</t>
  </si>
  <si>
    <t>Details des Finanzierungssaldos in Mio. Franken ab 1996</t>
  </si>
  <si>
    <t>Wohnbevölkerung, Ärzte mit Praxistätigkeit und Apotheken nach Kantonen</t>
  </si>
  <si>
    <t xml:space="preserve">Entwicklung der Wohnbevölkerung, der Ärzte mit Praxistätigkeit und der Apotheken ab 1985 </t>
  </si>
  <si>
    <t>Aufteilung der Versicherten nach Art der Spitalzusatzversicherungen ab 1994</t>
  </si>
  <si>
    <t xml:space="preserve">Entwicklung der Preisindizes für Gesundheitspflege ab 1985 </t>
  </si>
  <si>
    <t>Vorjahresveränderung der Preisindizes für Gesundheitspflege ab 1986</t>
  </si>
  <si>
    <t xml:space="preserve">Entwicklung der Indizes der Krankenpflegekosten, der Löhne sowie der Preise ab 1985 </t>
  </si>
  <si>
    <t>Krankenversicherung bei den privaten Versicherungsunternehmungen ab 1985</t>
  </si>
  <si>
    <t>Taggeldversicherung KVG / VVG ab 1991</t>
  </si>
  <si>
    <t>Krankenversicherung (KVG-Versicherer und Privatversicherer) ab 1991</t>
  </si>
  <si>
    <t>Land</t>
  </si>
  <si>
    <t>Australien</t>
  </si>
  <si>
    <t>Belgien</t>
  </si>
  <si>
    <t>Dänemark</t>
  </si>
  <si>
    <t>Deutschland</t>
  </si>
  <si>
    <t>Finnland</t>
  </si>
  <si>
    <t>Frankreich</t>
  </si>
  <si>
    <t>Grossbritannien</t>
  </si>
  <si>
    <t>Italien</t>
  </si>
  <si>
    <t>Japan</t>
  </si>
  <si>
    <t>Niederlande</t>
  </si>
  <si>
    <t>Norwegen</t>
  </si>
  <si>
    <t>Österreich</t>
  </si>
  <si>
    <t>Schweden</t>
  </si>
  <si>
    <t>Spanien</t>
  </si>
  <si>
    <t>USA</t>
  </si>
  <si>
    <t>T 1.10  Prämiensoll in Franken je versicherte Person nach Versicherungsform ab 1994</t>
  </si>
  <si>
    <t>Alle Versicherte</t>
  </si>
  <si>
    <t>Quelle: T 1.12</t>
  </si>
  <si>
    <t>(0-18 Jahre)</t>
  </si>
  <si>
    <t>F 150</t>
  </si>
  <si>
    <t>F 300</t>
  </si>
  <si>
    <t>F 375</t>
  </si>
  <si>
    <t>(19-25 Jahre)</t>
  </si>
  <si>
    <t>F 400</t>
  </si>
  <si>
    <t>F 600</t>
  </si>
  <si>
    <t>F 1200</t>
  </si>
  <si>
    <t>F 1500</t>
  </si>
  <si>
    <t xml:space="preserve">Erwachsene </t>
  </si>
  <si>
    <t>(26 Jahre und mehr)</t>
  </si>
  <si>
    <t>Quelle: DATENPOOL santésuisse / Auswertung BAG / Abdeckungsgrad der Erhebung  CH 2003: 94,8% / 2002: 94,1% / 2001: 92,9% / 2000: 92,2% / 1999: 92,8% / 1998: 93% / 1997: 91,2%</t>
  </si>
  <si>
    <t>1) Vgl. Fussnote 1) von Tabelle 1.09.</t>
  </si>
  <si>
    <t>2) Diese Auswertung basiert auf der Gesamtheit der Versicherten, für die Alter, Geschlecht, Kanton, Versicherungsform und Franchisehöhe bekannt sind.</t>
  </si>
  <si>
    <t>3) Im Jahr 1996/97:  wählbare Jahresfranchisen: 300.-  600.-  1200.-  1500.-</t>
  </si>
  <si>
    <r>
      <t xml:space="preserve">Zusätzliche Angaben : nach Altersgruppe ab 1997 </t>
    </r>
    <r>
      <rPr>
        <b/>
        <vertAlign val="superscript"/>
        <sz val="12"/>
        <rFont val="Arial"/>
        <family val="2"/>
      </rPr>
      <t>2</t>
    </r>
  </si>
  <si>
    <r>
      <t xml:space="preserve">1997 </t>
    </r>
    <r>
      <rPr>
        <vertAlign val="superscript"/>
        <sz val="11"/>
        <rFont val="Arial"/>
        <family val="2"/>
      </rPr>
      <t>3</t>
    </r>
  </si>
  <si>
    <t>Quelle: T 1.19 / T 1.05</t>
  </si>
  <si>
    <t>2) Im Jahr 1997:  wählbare Jahresfranchisen: 300.-  600.-  1200.-  1500.-</t>
  </si>
  <si>
    <r>
      <t>Datenstand: 31.01.05</t>
    </r>
    <r>
      <rPr>
        <sz val="10"/>
        <rFont val="Arial"/>
        <family val="2"/>
      </rPr>
      <t xml:space="preserve"> </t>
    </r>
  </si>
  <si>
    <t>Quelle: T 3.03</t>
  </si>
  <si>
    <t>1) Vgl. Fussnote 1) von Tabelle 3.01 sowie Fussnote 2) von Tabelle 3.03.</t>
  </si>
  <si>
    <r>
      <t xml:space="preserve">T 3.04 Kantonale Durchschnittsprämien </t>
    </r>
    <r>
      <rPr>
        <b/>
        <vertAlign val="superscript"/>
        <sz val="12"/>
        <rFont val="Arial"/>
        <family val="2"/>
      </rPr>
      <t xml:space="preserve">1 </t>
    </r>
    <r>
      <rPr>
        <b/>
        <sz val="12"/>
        <rFont val="Arial"/>
        <family val="2"/>
      </rPr>
      <t xml:space="preserve"> für junge Erwachsene: Vorjahresveränderungen in % ab 1996</t>
    </r>
  </si>
  <si>
    <t>2) Bis zum Jahr 2000 gab es nur reduzierte Prämien für junge Erwachsene, welche noch in Ausbildung waren. Mit dem Weglassen</t>
  </si>
  <si>
    <t>der Bedingung "in Ausbildung" in 2001 kamen deutlich mehr Personen, welche vorher eine Erwachsenenprämie bezahlen mussten,</t>
  </si>
  <si>
    <t>in den Genuss einer reduzierten Prämie. Als Folge hiervon musste die reduzierte Prämie relativ stark auf 2001 hin erhöht werden.</t>
  </si>
  <si>
    <t>3) Die Werte für 1996 wurden revidiert. Sie wurden mittels der Veränderungen 1996/97 der Erwachsenenprämie geschätzt.</t>
  </si>
  <si>
    <r>
      <t xml:space="preserve">T 3.03 Kantonale monatliche Durchschnittsprämien </t>
    </r>
    <r>
      <rPr>
        <b/>
        <vertAlign val="superscript"/>
        <sz val="12"/>
        <rFont val="Arial"/>
        <family val="2"/>
      </rPr>
      <t xml:space="preserve">1 </t>
    </r>
    <r>
      <rPr>
        <b/>
        <sz val="12"/>
        <rFont val="Arial"/>
        <family val="2"/>
      </rPr>
      <t xml:space="preserve"> für junge Erwachsene </t>
    </r>
    <r>
      <rPr>
        <b/>
        <vertAlign val="superscript"/>
        <sz val="12"/>
        <rFont val="Arial"/>
        <family val="2"/>
      </rPr>
      <t xml:space="preserve">2 </t>
    </r>
    <r>
      <rPr>
        <b/>
        <sz val="12"/>
        <rFont val="Arial"/>
        <family val="2"/>
      </rPr>
      <t xml:space="preserve"> (19 – 25 Jahre) in Franken ab 1996</t>
    </r>
  </si>
  <si>
    <r>
      <t xml:space="preserve">1996 </t>
    </r>
    <r>
      <rPr>
        <vertAlign val="superscript"/>
        <sz val="11"/>
        <rFont val="Arial"/>
        <family val="2"/>
      </rPr>
      <t>3</t>
    </r>
  </si>
  <si>
    <t xml:space="preserve">1996 - 2005 </t>
  </si>
  <si>
    <t>Quelle: T 3.01</t>
  </si>
  <si>
    <t>2) Die Werte für 1996 / 97 wurden revidiert. Diese Werte sind infolge teilweise unvollständiger Daten mit Zurückhaltung zu interpretieren.</t>
  </si>
  <si>
    <t xml:space="preserve">     </t>
  </si>
  <si>
    <r>
      <t xml:space="preserve">T 3.02 Kantonale Durchschnittsprämien </t>
    </r>
    <r>
      <rPr>
        <b/>
        <vertAlign val="superscript"/>
        <sz val="12"/>
        <rFont val="Arial"/>
        <family val="2"/>
      </rPr>
      <t xml:space="preserve">1 </t>
    </r>
    <r>
      <rPr>
        <b/>
        <sz val="12"/>
        <rFont val="Arial"/>
        <family val="2"/>
      </rPr>
      <t xml:space="preserve"> für Erwachsene: Vorjahresveränderungen in % ab 1996</t>
    </r>
  </si>
  <si>
    <t>1) Ausgewiesen wird die geschätzte monatliche Durchschnittsprämie in Franken; die Berechnungen beruhen auf den Prämientarifen</t>
  </si>
  <si>
    <t xml:space="preserve"> (Abstufung der Prämien). Die Tarife der Versicherungsmodelle mit wählbarer Franchise, Bonus oder eingeschränkter Wahl des</t>
  </si>
  <si>
    <t xml:space="preserve">Leistungserbringers wurden hier nicht berücksichtigt. </t>
  </si>
  <si>
    <t>Zusätzliche Angaben für andere Versicherungsmodelle : siehe T 1.10 , 1.20 , 1.44 , 1.45 , 1.46 , 9.15.</t>
  </si>
  <si>
    <r>
      <t xml:space="preserve">T 3.01 Kantonale monatliche Durchschnittsprämien </t>
    </r>
    <r>
      <rPr>
        <b/>
        <vertAlign val="superscript"/>
        <sz val="12"/>
        <rFont val="Arial"/>
        <family val="2"/>
      </rPr>
      <t xml:space="preserve">1 </t>
    </r>
    <r>
      <rPr>
        <b/>
        <sz val="12"/>
        <rFont val="Arial"/>
        <family val="2"/>
      </rPr>
      <t xml:space="preserve"> für Erwachsene (26 J. und älter) in Franken ab 1996</t>
    </r>
  </si>
  <si>
    <r>
      <t xml:space="preserve"> </t>
    </r>
    <r>
      <rPr>
        <b/>
        <sz val="10"/>
        <rFont val="Arial"/>
        <family val="2"/>
      </rPr>
      <t>inklusive Unfalldeckung der ordentlichen Franchise</t>
    </r>
    <r>
      <rPr>
        <sz val="10"/>
        <rFont val="Arial"/>
        <family val="2"/>
      </rPr>
      <t xml:space="preserve"> und auf den Versichertenbeständen nach Kantonen und nach Prämienregionen</t>
    </r>
  </si>
  <si>
    <t>3: Prämientarife in der OKP</t>
  </si>
  <si>
    <t>Kantonale Durchschnittsprämien für Erwachsene (26 Jahre und älter) ab 1996</t>
  </si>
  <si>
    <t>Kantonale Durchschnittsprämien für Erwachsene: Vorjahresveränderungen ab 1996</t>
  </si>
  <si>
    <t>Kantonale Durchschnittsprämien für junge Erwachsene (19 – 25 Jahre) ab 1996</t>
  </si>
  <si>
    <r>
      <t xml:space="preserve">Jahr </t>
    </r>
    <r>
      <rPr>
        <vertAlign val="superscript"/>
        <sz val="11"/>
        <rFont val="Arial"/>
        <family val="2"/>
      </rPr>
      <t>2</t>
    </r>
  </si>
  <si>
    <r>
      <t xml:space="preserve">ertrags </t>
    </r>
    <r>
      <rPr>
        <vertAlign val="superscript"/>
        <sz val="11"/>
        <rFont val="Arial"/>
        <family val="2"/>
      </rPr>
      <t>3</t>
    </r>
  </si>
  <si>
    <r>
      <t xml:space="preserve">ergebnis </t>
    </r>
    <r>
      <rPr>
        <vertAlign val="superscript"/>
        <sz val="11"/>
        <rFont val="Arial"/>
        <family val="2"/>
      </rPr>
      <t>3</t>
    </r>
  </si>
  <si>
    <t xml:space="preserve">T 7.02  Indikatoren der Betriebsrechnung der anderen Versicherungen in Franken </t>
  </si>
  <si>
    <t>Zusatzversi-</t>
  </si>
  <si>
    <t>Kranken-</t>
  </si>
  <si>
    <t>cherungen</t>
  </si>
  <si>
    <t>pflegever-</t>
  </si>
  <si>
    <t>sicherung</t>
  </si>
  <si>
    <t>Liechten-</t>
  </si>
  <si>
    <t>mit Wohnsitz in</t>
  </si>
  <si>
    <t>stein</t>
  </si>
  <si>
    <t>wohnhaft</t>
  </si>
  <si>
    <t>einem EG- bzw.</t>
  </si>
  <si>
    <t>VVG</t>
  </si>
  <si>
    <t xml:space="preserve"> im Ausland</t>
  </si>
  <si>
    <t>EFTA-Staat</t>
  </si>
  <si>
    <t>Versicherungsertrag</t>
  </si>
  <si>
    <t>davon Brutto-Prämien</t>
  </si>
  <si>
    <t>Neutraler Aufwand/Ertrag</t>
  </si>
  <si>
    <t>Total des Gesamtertrags</t>
  </si>
  <si>
    <t>Versicherungsaufwand</t>
  </si>
  <si>
    <t>davon Brutto-Leistungen</t>
  </si>
  <si>
    <t>Betriebsaufwand</t>
  </si>
  <si>
    <t>Total Vers.- und Betriebsaufwand</t>
  </si>
  <si>
    <t>Quelle: T 7.03, 7.04, 7.05, 7.06</t>
  </si>
  <si>
    <t>Quelle: Formular EF2 [2.8]</t>
  </si>
  <si>
    <t xml:space="preserve">T 7.04  Betriebsrechnung der Krankenpflegeversicherung Liechtenstein </t>
  </si>
  <si>
    <t>Quelle: Formular EF2 [2.9]</t>
  </si>
  <si>
    <t>Quelle: Formular EF2 [2.10]</t>
  </si>
  <si>
    <t xml:space="preserve">Prämien für Effektivkosten </t>
  </si>
  <si>
    <t xml:space="preserve">Prämien für Pauschalkosten </t>
  </si>
  <si>
    <t>Leistungen (Effektivkosten)</t>
  </si>
  <si>
    <t>Leistungen (Pauschalkosten)</t>
  </si>
  <si>
    <t>Rückstellungen für Pauschalkosten</t>
  </si>
  <si>
    <t>Quelle: Formular EF2 [T.E]</t>
  </si>
  <si>
    <r>
      <t xml:space="preserve">T 7.06  Betriebsrechnung der Krankenpflegeversicherung Versicherte mit Wohnsitz in einem EG- bzw. EFTA-Staat </t>
    </r>
    <r>
      <rPr>
        <b/>
        <vertAlign val="superscript"/>
        <sz val="12"/>
        <rFont val="Arial"/>
        <family val="2"/>
      </rPr>
      <t>1</t>
    </r>
  </si>
  <si>
    <t>7: Andere Versicherungen der vom BAG anerkannten Krankenversicherer</t>
  </si>
  <si>
    <t>Ertrag, Aufwand und Ergebnis der anderen Versicherungen insgesamt ab 1994</t>
  </si>
  <si>
    <t>Indikatoren der Betriebsrechnung der anderen Versicherungen</t>
  </si>
  <si>
    <t xml:space="preserve">Betriebsrechnung der Krankenpflegeversicherung Liechtenstein </t>
  </si>
  <si>
    <t xml:space="preserve"> 15.9.04: Teil 6 + Teil 7</t>
  </si>
  <si>
    <t>Zusatzversicherungen VVG der vom BAG anerkannten Krankenversicherer</t>
  </si>
  <si>
    <t>Zahnärztliche Leistungen</t>
  </si>
  <si>
    <t>Spital-leistungen</t>
  </si>
  <si>
    <t>Medizinische Apparate</t>
  </si>
  <si>
    <t>Parame- dizinische Leistungen</t>
  </si>
  <si>
    <t>Gesundheits-pflege (Total)</t>
  </si>
  <si>
    <t>Allgemeiner Kostenindex (LIK)</t>
  </si>
  <si>
    <t>1) Basis des Indexes der Konsumentenpreise: Mai 2000 = 100. Indizes auf der Basis Jahresdurchschnitt 1995 = 100.</t>
  </si>
  <si>
    <t>Methode zur Ermittlung des Index  "Gesundheitspflege":</t>
  </si>
  <si>
    <t>- Gesundheitskosten: Gewichtung nach den 6 in der Folge aufgeführten Teilindizes:</t>
  </si>
  <si>
    <t xml:space="preserve"> - Medikamente: Kostenermittlung bei rund 200 Medikamenten in den 10 umsatzstärksten Behandlungskategorien</t>
  </si>
  <si>
    <t xml:space="preserve"> - Ärztliche Leistungen: Gewichtung nach 26 kantonalen Indizes; </t>
  </si>
  <si>
    <t xml:space="preserve">   für jeden Kanton werden die 30 umsatzstärksten Tarifpositionen ermittelt </t>
  </si>
  <si>
    <t xml:space="preserve"> - Zahnärztliche Leistungen: Kostenermittlung von 11 typischen Leistungsarten in 16 Gemeinden, bei ca. 50 Zahnärzten</t>
  </si>
  <si>
    <t xml:space="preserve"> - Spitalleistungen: Gewichtung nach 26 kantonalen Indizes unter Berücksichtigung der Tarife für stationäre und ambulante Dienste.</t>
  </si>
  <si>
    <t xml:space="preserve">   Betrachtet wurden öffentliche und private Akutspitäler und Psychiatrieeinrichtungen.</t>
  </si>
  <si>
    <t xml:space="preserve"> - Medizinische Geräte: Kostenermittlung nach den typischen Leistungen in den Bereichen Augenoptik (Brillen und </t>
  </si>
  <si>
    <t xml:space="preserve">   Kontaktlinsen in 16 Gemeinden), Hörgeräte (Kostenfeststellung nach den 6 - nach BSV-Tarif - meistverkauften Geräten)</t>
  </si>
  <si>
    <t xml:space="preserve">  und andere medizinische Geräte (z.B. Gehhilfen, Stützen usw.)</t>
  </si>
  <si>
    <t xml:space="preserve"> - Paramedizinische Leistungen: Kostenermittlung nach den typischen Leistungen in den Bereichen Physiotherapie, Labor und Spitex. </t>
  </si>
  <si>
    <t>Quelle: BFS, Sektion Preise und Verbrauch.</t>
  </si>
  <si>
    <r>
      <t xml:space="preserve">T 9.12  Entwicklung der Preisindizes für Gesundheitspflege ab 1985 </t>
    </r>
    <r>
      <rPr>
        <b/>
        <vertAlign val="superscript"/>
        <sz val="12"/>
        <rFont val="Arial"/>
        <family val="2"/>
      </rPr>
      <t>1</t>
    </r>
  </si>
  <si>
    <t>1) Basis des Indexes der Konsumentenpreise: Mai 2000 = 100.</t>
  </si>
  <si>
    <t>Quelle: T 9.12</t>
  </si>
  <si>
    <r>
      <t xml:space="preserve">T 9.13 Vorjahresveränderung der Preisindizes für Gesundheitspflege ab 1986 </t>
    </r>
    <r>
      <rPr>
        <b/>
        <vertAlign val="superscript"/>
        <sz val="12"/>
        <rFont val="Arial"/>
        <family val="2"/>
      </rPr>
      <t>1</t>
    </r>
  </si>
  <si>
    <t xml:space="preserve">T 9.19  Gesundheitskosten ausgewählter OECD–Länder in % des BIP ab 1960 </t>
  </si>
  <si>
    <t xml:space="preserve">Belgien </t>
  </si>
  <si>
    <t>Griechenland</t>
  </si>
  <si>
    <t>Irland</t>
  </si>
  <si>
    <t>Luxemburg</t>
  </si>
  <si>
    <t>Portugal</t>
  </si>
  <si>
    <t>Vereinigtes Königreich</t>
  </si>
  <si>
    <t>Island</t>
  </si>
  <si>
    <t>EUR-12: EUR-11 plus Griechenland.</t>
  </si>
  <si>
    <t>EU-15: EUR-12 plus Dänemark, Schweden und das Vereinigte Königreich.</t>
  </si>
  <si>
    <t xml:space="preserve">Quelle: Eurostat, European social statistics – Social protection: Expenditure and receipts 1992–2001: C 1.3.1 </t>
  </si>
  <si>
    <t>Verwaltungsaufwand</t>
  </si>
  <si>
    <t>Abschreibungen</t>
  </si>
  <si>
    <t>Sonstige Betriebsaufwendungen</t>
  </si>
  <si>
    <t>Total Betriebsaufwand</t>
  </si>
  <si>
    <t>3/4</t>
  </si>
  <si>
    <t>Total Versicherungs- und Betriebsaufwand</t>
  </si>
  <si>
    <t>Versicherungsbetriebsergebnis</t>
  </si>
  <si>
    <t>Neutraler Aufwand / Ertrag</t>
  </si>
  <si>
    <t>Gesamtbetriebsergebnis</t>
  </si>
  <si>
    <t>1) Vgl. Fussnote 3) von Tabelle 1.02.</t>
  </si>
  <si>
    <t>Quelle: Formular EF2 [Summe 2.2 bis 2.7]</t>
  </si>
  <si>
    <r>
      <t xml:space="preserve">T 1.27  Betriebsrechnung der obligatorischen Krankenpflegeversicherung KVG insgesamt </t>
    </r>
    <r>
      <rPr>
        <b/>
        <vertAlign val="superscript"/>
        <sz val="12"/>
        <rFont val="Arial"/>
        <family val="2"/>
      </rPr>
      <t>1</t>
    </r>
  </si>
  <si>
    <t xml:space="preserve">Jahr </t>
  </si>
  <si>
    <t>Ordentliche</t>
  </si>
  <si>
    <t>Andere</t>
  </si>
  <si>
    <t xml:space="preserve">  Jahres-</t>
  </si>
  <si>
    <t>Versiche-</t>
  </si>
  <si>
    <t>franchise</t>
  </si>
  <si>
    <t>400 Fr.</t>
  </si>
  <si>
    <t>600 Fr.</t>
  </si>
  <si>
    <t>1200 Fr.</t>
  </si>
  <si>
    <t>1500 Fr.</t>
  </si>
  <si>
    <t>rungsformen</t>
  </si>
  <si>
    <t>230 Fr.</t>
  </si>
  <si>
    <t>Datenstand: 1997 - 2000 : 16.4.02 ; 2001-2002 : 24.4.03  ; 2003 : 28.4.04</t>
  </si>
  <si>
    <t>1) Im Jahr 1997: ordentliche Jahresfranchise: 150.-  wählbare Jahresfranchisen: 300.-  600.-  1200.-  1500.-</t>
  </si>
  <si>
    <t>Quelle: T 1.36</t>
  </si>
  <si>
    <r>
      <t xml:space="preserve">2) Jahresergebnis ( = Vorschlag Gesamtbetriebsrechnung minus Rückschlag Gesamtbetriebsrechnung) </t>
    </r>
    <r>
      <rPr>
        <i/>
        <sz val="10"/>
        <rFont val="Arial"/>
        <family val="2"/>
      </rPr>
      <t>vor</t>
    </r>
    <r>
      <rPr>
        <sz val="10"/>
        <rFont val="Arial"/>
        <family val="2"/>
      </rPr>
      <t xml:space="preserve"> der Zuweisung an</t>
    </r>
  </si>
  <si>
    <t>T 8.03  Stellen- und Personalbestand der Versicherer ab 1994</t>
  </si>
  <si>
    <t xml:space="preserve">   Verwaltung / Haupsitz</t>
  </si>
  <si>
    <t xml:space="preserve">       Sektionen / Agenturen</t>
  </si>
  <si>
    <t xml:space="preserve">                    Total</t>
  </si>
  <si>
    <t>Stellen</t>
  </si>
  <si>
    <t>1) Ab 2001, nur obligatorische Grundversicherung OKP.</t>
  </si>
  <si>
    <t>Quelle: Formular EF3 [3.10.3]</t>
  </si>
  <si>
    <t>T 8.02 Versichertenbestände und Versicherungsdichte ab 1945</t>
  </si>
  <si>
    <t>geldver-</t>
  </si>
  <si>
    <t>sicherte</t>
  </si>
  <si>
    <t>völkerung</t>
  </si>
  <si>
    <t xml:space="preserve">sicherte </t>
  </si>
  <si>
    <t>1) Bis 1995 durchschnittlicher Versichertenbestand; ab 1996 Jahresendbestand (vgl. T 1.03 und 6.01).</t>
  </si>
  <si>
    <t>2) In der Schweiz wohnhafte Krankenpflegeversicherte (vgl. T 1.03) in % der mittleren Wohnbevölkerung; für die errechnete</t>
  </si>
  <si>
    <t>Versicherungsdichte von über 100% dürften primär erhebungstechnische Unterschiede zwischen der Bevölkerungs- und der</t>
  </si>
  <si>
    <t xml:space="preserve">    Das BFS konnte die definitiven Werte für 2002 bis zum Redaktionsschluss (4.11.04) nicht liefern.</t>
  </si>
  <si>
    <r>
      <t xml:space="preserve">handel </t>
    </r>
    <r>
      <rPr>
        <vertAlign val="superscript"/>
        <sz val="11"/>
        <rFont val="Arial"/>
        <family val="2"/>
      </rPr>
      <t>3</t>
    </r>
  </si>
  <si>
    <r>
      <t xml:space="preserve">gung </t>
    </r>
    <r>
      <rPr>
        <vertAlign val="superscript"/>
        <sz val="11"/>
        <rFont val="Arial"/>
        <family val="2"/>
      </rPr>
      <t>2</t>
    </r>
  </si>
  <si>
    <r>
      <t xml:space="preserve">tionen </t>
    </r>
    <r>
      <rPr>
        <vertAlign val="superscript"/>
        <sz val="11"/>
        <rFont val="Arial"/>
        <family val="2"/>
      </rPr>
      <t>1</t>
    </r>
  </si>
  <si>
    <r>
      <t xml:space="preserve">2002 </t>
    </r>
    <r>
      <rPr>
        <b/>
        <i/>
        <vertAlign val="superscript"/>
        <sz val="11"/>
        <rFont val="Arial"/>
        <family val="2"/>
      </rPr>
      <t>4</t>
    </r>
  </si>
  <si>
    <t>T 9.02  Kosten des Gesundheitswesens in der Schweiz nach Direktzahler in Mio. Fr. ab 1985</t>
  </si>
  <si>
    <t>Sozial-</t>
  </si>
  <si>
    <t>Haus-</t>
  </si>
  <si>
    <t>private</t>
  </si>
  <si>
    <t>rungen</t>
  </si>
  <si>
    <t>Finanzie-</t>
  </si>
  <si>
    <t>1) Subventionen an die Leistungserbringer (Stationäre Betriebe, etc.) sowie Ausgaben für Verwaltung und Prävention.</t>
  </si>
  <si>
    <t>2) Krankenversicherung KVG (Grundversicherung), Unfallversicherung UVG, AHV / IV und Militärversicherung.</t>
  </si>
  <si>
    <t>3) Kostenbeteiligungen der Versicherten für Sozial- und Privatversicherung sowie "Out of pocket" der Haushalte.</t>
  </si>
  <si>
    <t>4) Zuwendungen Dritter an nicht-gewinnorientierte Institutionen für Ältere, Behinderte, Spitex, etc.</t>
  </si>
  <si>
    <t>5) Provisorische Werte gemäss der Pressemitteilung des BFS (2-2004).</t>
  </si>
  <si>
    <r>
      <t xml:space="preserve">Staat </t>
    </r>
    <r>
      <rPr>
        <vertAlign val="superscript"/>
        <sz val="11"/>
        <rFont val="Arial"/>
        <family val="2"/>
      </rPr>
      <t>1</t>
    </r>
  </si>
  <si>
    <r>
      <t xml:space="preserve">rungen </t>
    </r>
    <r>
      <rPr>
        <vertAlign val="superscript"/>
        <sz val="11"/>
        <rFont val="Arial"/>
        <family val="2"/>
      </rPr>
      <t>2</t>
    </r>
  </si>
  <si>
    <r>
      <t xml:space="preserve">halte </t>
    </r>
    <r>
      <rPr>
        <vertAlign val="superscript"/>
        <sz val="11"/>
        <rFont val="Arial"/>
        <family val="2"/>
      </rPr>
      <t>3</t>
    </r>
  </si>
  <si>
    <r>
      <t xml:space="preserve">rung </t>
    </r>
    <r>
      <rPr>
        <vertAlign val="superscript"/>
        <sz val="11"/>
        <rFont val="Arial"/>
        <family val="2"/>
      </rPr>
      <t>4</t>
    </r>
  </si>
  <si>
    <r>
      <t xml:space="preserve">2002 </t>
    </r>
    <r>
      <rPr>
        <b/>
        <i/>
        <vertAlign val="superscript"/>
        <sz val="11"/>
        <rFont val="Arial"/>
        <family val="2"/>
      </rPr>
      <t>5</t>
    </r>
  </si>
  <si>
    <t>T 9.01  Kosten des Gesundheitswesens in der Schweiz aus der Sicht der sozialen Sichereit in Mio. Fr. ab 1995</t>
  </si>
  <si>
    <t>Regimes der</t>
  </si>
  <si>
    <t>sozialen</t>
  </si>
  <si>
    <t>2) Unfallversicherung UVG, AHV / IV und Militärversicherung.</t>
  </si>
  <si>
    <t>3) Regimes der Sozialen Sicherheit, die nicht als Direktzahler betrachtet sind.</t>
  </si>
  <si>
    <t>4) Betrag der Zahlungen der Krankenversicherung an das Gesundheitswesen abzüglich Beiträge an die Versicherten für die</t>
  </si>
  <si>
    <t>Prämienverbilligung, Kostenbeteiligungen der Versicherten für Sozial- und Privatversicherung sowie "Out of pocket" der Haushalte.</t>
  </si>
  <si>
    <t xml:space="preserve">5) Spenden und  Vermächtnisse an Institutionen ohne Erwerbscharakter (Pflegeheim, Institution für Behinderte, Spitexorganisation usw.) </t>
  </si>
  <si>
    <t>6) Provisorische Werte gemäss der Pressemitteilung des BFS (2-2004).</t>
  </si>
  <si>
    <r>
      <t xml:space="preserve">halte </t>
    </r>
    <r>
      <rPr>
        <vertAlign val="superscript"/>
        <sz val="11"/>
        <rFont val="Arial"/>
        <family val="2"/>
      </rPr>
      <t>4</t>
    </r>
  </si>
  <si>
    <r>
      <t xml:space="preserve">Sicherheit </t>
    </r>
    <r>
      <rPr>
        <vertAlign val="superscript"/>
        <sz val="11"/>
        <rFont val="Arial"/>
        <family val="2"/>
      </rPr>
      <t>3</t>
    </r>
  </si>
  <si>
    <r>
      <t xml:space="preserve">rung </t>
    </r>
    <r>
      <rPr>
        <vertAlign val="superscript"/>
        <sz val="11"/>
        <rFont val="Arial"/>
        <family val="2"/>
      </rPr>
      <t>5</t>
    </r>
  </si>
  <si>
    <t>8.11.04: Index (Tabellen)</t>
  </si>
  <si>
    <t>Beilage H</t>
  </si>
  <si>
    <t>Index (Tabellen)</t>
  </si>
  <si>
    <t>Beilage H : Index (Tabellen)</t>
  </si>
  <si>
    <t xml:space="preserve"> Person</t>
  </si>
  <si>
    <t>cherte Per-</t>
  </si>
  <si>
    <t>Zusatz-</t>
  </si>
  <si>
    <t xml:space="preserve"> in % der </t>
  </si>
  <si>
    <t xml:space="preserve"> in Fr.</t>
  </si>
  <si>
    <t>Person</t>
  </si>
  <si>
    <t>son in Fr.</t>
  </si>
  <si>
    <t>versicherungen</t>
  </si>
  <si>
    <t>Ausgaben</t>
  </si>
  <si>
    <t>Person in Fr.</t>
  </si>
  <si>
    <t>in Fr.</t>
  </si>
  <si>
    <t>5 / 1</t>
  </si>
  <si>
    <t>8 / 1</t>
  </si>
  <si>
    <t>9 / 1</t>
  </si>
  <si>
    <t>9 / 3</t>
  </si>
  <si>
    <t>Quelle und Erklärungen: T 5.02</t>
  </si>
  <si>
    <t>Krankenkasse Aquilana</t>
  </si>
  <si>
    <t>*</t>
  </si>
  <si>
    <t xml:space="preserve">Krankenkasse 57 </t>
  </si>
  <si>
    <t>SUPRA Caisse-maladie</t>
  </si>
  <si>
    <t>Krankenkasse Luchsingen-Hätzingen</t>
  </si>
  <si>
    <t>Krankenkasse Unitas Binn</t>
  </si>
  <si>
    <t>Krankenkasse Einsiedeln</t>
  </si>
  <si>
    <t>Caisse-maladie de la Fonction Publique</t>
  </si>
  <si>
    <t>Kranken- und Unfallkasse Rothenburg</t>
  </si>
  <si>
    <t>PROVITA Gesundheitsversicherung AG</t>
  </si>
  <si>
    <t>Sumiswalder Kranken- und Unfallkasse</t>
  </si>
  <si>
    <t>Caisse-maladie EOS</t>
  </si>
  <si>
    <t>OEKK Celerina</t>
  </si>
  <si>
    <t>Krankenkasse Steffisburg</t>
  </si>
  <si>
    <t>C.M.B.B.</t>
  </si>
  <si>
    <t>CONCORDIA Schweiz. Kranken- und Unfallversicherung</t>
  </si>
  <si>
    <t>Krankenkasse Malters</t>
  </si>
  <si>
    <t>Avenir Assurances</t>
  </si>
  <si>
    <t>Luzerner Hinterland</t>
  </si>
  <si>
    <t>Krankenkasse  KPT / CPT</t>
  </si>
  <si>
    <t>Xundheit</t>
  </si>
  <si>
    <t>Caisse-maladie Hermes</t>
  </si>
  <si>
    <t>ÖKK Kranken- und Unfallversicherungen AG</t>
  </si>
  <si>
    <t>Stiftung Panorama</t>
  </si>
  <si>
    <t>Öffent. Krankenkasse Basel</t>
  </si>
  <si>
    <t>Kranken- und Unfall-Versicherungsverein St. Moritz</t>
  </si>
  <si>
    <t>Krankenkasse Flaachtal</t>
  </si>
  <si>
    <t>KK Region Goms</t>
  </si>
  <si>
    <t>Krankenkasse Embd</t>
  </si>
  <si>
    <t>Krankenkasse Lötschental</t>
  </si>
  <si>
    <t>La Caisse Vaudoise</t>
  </si>
  <si>
    <t>Krankenkasse Stalden</t>
  </si>
  <si>
    <t>Kolping Krankenkasse AG</t>
  </si>
  <si>
    <t>Krankenkasse Elm</t>
  </si>
  <si>
    <t>Krankenkasse des Saastales</t>
  </si>
  <si>
    <t>ÖKK LUGNEZ I</t>
  </si>
  <si>
    <t>KLuG Krankenversicherung</t>
  </si>
  <si>
    <t>EGK- Gesundheitskasse</t>
  </si>
  <si>
    <t>Krankenkasse Staldenried</t>
  </si>
  <si>
    <t>ÖKK Lugnez II</t>
  </si>
  <si>
    <t>Krankenkasse SLKK</t>
  </si>
  <si>
    <t>Krankenkasse Visp und Umgebung</t>
  </si>
  <si>
    <t>ÖKK Surselva</t>
  </si>
  <si>
    <t>Schattenberge</t>
  </si>
  <si>
    <t>Natura Gesundheitskasse</t>
  </si>
  <si>
    <t>Progrès caisse-maladie</t>
  </si>
  <si>
    <t>Krankenkasse Zeneggen</t>
  </si>
  <si>
    <t>Mutualité Assurances</t>
  </si>
  <si>
    <t>KK Visperterminen</t>
  </si>
  <si>
    <t>KK Gondo-Zwischbergen</t>
  </si>
  <si>
    <t>Wincare Versicherungen</t>
  </si>
  <si>
    <t>Caisse-maladie d'Isérables</t>
  </si>
  <si>
    <t>Avantis Assureur maladie</t>
  </si>
  <si>
    <t xml:space="preserve">Caisse-maladie Vallée d'Entremont </t>
  </si>
  <si>
    <t>Krankenkasse Institut Ingenbohl</t>
  </si>
  <si>
    <t>Krankenkasse Turbenthal</t>
  </si>
  <si>
    <t>Auxilia</t>
  </si>
  <si>
    <t>Caisse-maladie de Troistorrents</t>
  </si>
  <si>
    <t>OEKK Winterthur</t>
  </si>
  <si>
    <t>KK Wädenswil</t>
  </si>
  <si>
    <t>Krankenkasse Birchmeier</t>
  </si>
  <si>
    <t>kmu-Krankenversicherung</t>
  </si>
  <si>
    <t>Stoffel KKS</t>
  </si>
  <si>
    <t>Simplon</t>
  </si>
  <si>
    <t>SWICA Krankenversicherung</t>
  </si>
  <si>
    <t>GALENOS</t>
  </si>
  <si>
    <t>ÖKK Schweiz</t>
  </si>
  <si>
    <t>Betriebskrankenkasse Heerbrugg</t>
  </si>
  <si>
    <t>Allgemeine Krankenkasse Brugg</t>
  </si>
  <si>
    <t>Caisse-maladie des Chemins de Fer du Jura</t>
  </si>
  <si>
    <t>Krankenkasse Mischabel</t>
  </si>
  <si>
    <t>Krankenkasse Zermatt</t>
  </si>
  <si>
    <t>Mutuel Assurances</t>
  </si>
  <si>
    <t xml:space="preserve">AMB </t>
  </si>
  <si>
    <t>Krankenkasse KBV</t>
  </si>
  <si>
    <t>Hotela</t>
  </si>
  <si>
    <t>Intras caisse-maladie</t>
  </si>
  <si>
    <t>Philos</t>
  </si>
  <si>
    <t>Assura</t>
  </si>
  <si>
    <t>Caisse-maladie Futura</t>
  </si>
  <si>
    <t>Caisse maladie Universa</t>
  </si>
  <si>
    <t>Aerosana Krankenkasse</t>
  </si>
  <si>
    <t>VISANA</t>
  </si>
  <si>
    <t>AGRISANO</t>
  </si>
  <si>
    <t>Helsana Versicherungen AG</t>
  </si>
  <si>
    <t>Innova Krankenversicherung AG</t>
  </si>
  <si>
    <t>Accorda assurance-maladie</t>
  </si>
  <si>
    <t>T 5.03 KVG Versicherer: Daten zur freiwilligen Taggeldversicherung</t>
  </si>
  <si>
    <t>* : KVG-Versi-</t>
  </si>
  <si>
    <t>Gesamt-</t>
  </si>
  <si>
    <t>cherer nur mit</t>
  </si>
  <si>
    <t>ergebnis</t>
  </si>
  <si>
    <t xml:space="preserve">freiwilliger </t>
  </si>
  <si>
    <t>Taggeld-</t>
  </si>
  <si>
    <t>in Tausend</t>
  </si>
  <si>
    <t>versicherung</t>
  </si>
  <si>
    <t>Fr.</t>
  </si>
  <si>
    <t xml:space="preserve"> </t>
  </si>
  <si>
    <t>1) Es gibt OKP-Versicherer, die in der freiwilligen Krankentaggeld keine Versicherten haben.</t>
  </si>
  <si>
    <t>BSV-Nr. nur wenn [2] oder [3] &gt; 0</t>
  </si>
  <si>
    <t xml:space="preserve">* wenn EF1 Seite 12 Zeile 1 Spalte 4 = 0 </t>
  </si>
  <si>
    <t>EF3 Total T 3.9.2</t>
  </si>
  <si>
    <t>EF3 Total T 3.9.3</t>
  </si>
  <si>
    <t>4</t>
  </si>
  <si>
    <t xml:space="preserve">EF2 Konten 40-47 + 48 Krankheit + Unfall Seiten 2.0 -&gt; 2.1 </t>
  </si>
  <si>
    <t>EF2 Konten Gesamtbetriebergebnis ohne Position Krankheit + Unfall Seiten 2.0 -&gt; 2.1</t>
  </si>
  <si>
    <t>EF1 Seite 4 Konto 271</t>
  </si>
  <si>
    <t>EF1 Seite 5 Konto 291</t>
  </si>
  <si>
    <r>
      <t xml:space="preserve">Name des KVG-Versicherers </t>
    </r>
    <r>
      <rPr>
        <vertAlign val="superscript"/>
        <sz val="10"/>
        <rFont val="Arial"/>
        <family val="2"/>
      </rPr>
      <t>1</t>
    </r>
  </si>
  <si>
    <t>Caisse Maladie du Personnel Communal de la Ville de NE</t>
  </si>
  <si>
    <t>T 4.11 Beiträge pro Kanton nach Reduktion in Mio. Fr. ab 1996</t>
  </si>
  <si>
    <r>
      <t xml:space="preserve">T 4.12 Beiträge pro Kanton in % des Totals vor Reduktion </t>
    </r>
    <r>
      <rPr>
        <b/>
        <vertAlign val="superscript"/>
        <sz val="12"/>
        <rFont val="Arial"/>
        <family val="2"/>
      </rPr>
      <t>1</t>
    </r>
    <r>
      <rPr>
        <b/>
        <sz val="12"/>
        <rFont val="Arial"/>
        <family val="2"/>
      </rPr>
      <t xml:space="preserve"> ab 1996</t>
    </r>
  </si>
  <si>
    <t>Color Metal</t>
  </si>
  <si>
    <t>Taggeldk.bild.Künstler/innen</t>
  </si>
  <si>
    <t>Gewerbliche Krankenkasse Bern</t>
  </si>
  <si>
    <t>KSM</t>
  </si>
  <si>
    <t>Krankengeldversicherung für Mitarbeiter der fenaco-Mitgliedgenossenschaften (KGV)</t>
  </si>
  <si>
    <t>Eine positive Prozentzahl bedeutet, dass der Versicherer in den Risikoausgleich einzahlen muss, ein negativer Wert steht bei Versicherern, welche aus dem Risikoausgleich Mittel beziehen können.</t>
  </si>
  <si>
    <t xml:space="preserve">Über den Risikoausgleich erhalten Versicherer mit überdurchschnittlich kostenverursachenden Versicherten (Frauen, ältere Personen) Beiträge, </t>
  </si>
  <si>
    <t>welche von den Versicherern mit unterdurchschnittlich kostenverursachenden Versicherten (Männer, jüngere Personen) finanziert werden.</t>
  </si>
  <si>
    <t>Sicherheits- und Schwankungsreserven = Mittel, die dem Versicherer zur Sicherstellung der langfristigen eigenen Zahlungsfähigkeit dienen.</t>
  </si>
  <si>
    <t>4: Prämienverbilligung in der OKP</t>
  </si>
  <si>
    <t>Anzahl BezügerInnen, BezügerInnen-Quoten, subventionierte Haushalte sowie ausgerichtete Subventionen ab 1996</t>
  </si>
  <si>
    <t>Anzahl BezügerInnen nach Geschlecht und Kantonen</t>
  </si>
  <si>
    <t>Anzahl BezügerInnen nach Geschlecht und Altersgruppen</t>
  </si>
  <si>
    <t xml:space="preserve">Anzahl subventionierte Haushalte nach Haushaltsgrösse und Kantonen </t>
  </si>
  <si>
    <t>Sektion Statistik und Mathematik</t>
  </si>
  <si>
    <t>© Bundesamt für Gesundheit (BAG)</t>
  </si>
  <si>
    <t>Auszugsweiser Abdruck – ausser für kommerzielle Nutzung –  unter</t>
  </si>
  <si>
    <t>laufende Aufdatierung</t>
  </si>
  <si>
    <r>
      <t xml:space="preserve">Teil  Tabellen </t>
    </r>
    <r>
      <rPr>
        <b/>
        <sz val="14"/>
        <rFont val="55 Helvetica Roman"/>
      </rPr>
      <t>(Excel 2000 Format)</t>
    </r>
  </si>
  <si>
    <t>www.bag.admin.ch/kv/statistik/d/index.htm</t>
  </si>
  <si>
    <t>Altersgruppen</t>
  </si>
  <si>
    <t>gegenüber</t>
  </si>
  <si>
    <t xml:space="preserve">1) Bei der Berechnung der Abgaben und Beiträge werden die effektiven Durchschnittskosten jeder Risikogruppe mit den </t>
  </si>
  <si>
    <t>effektiven Durchschnittskosten aller erwachsenen Versicherten im Alter von 19 und mehr Jahren (Referenzgruppe) verglichen.</t>
  </si>
  <si>
    <t xml:space="preserve">Sind die effektiven Durchschnittskosten der jeweiligen Risikogruppe höher als die Durchschnittskosten der Referenzgruppe, </t>
  </si>
  <si>
    <t>so erhält der Versicherer für jeden Versicherten in dieser Risikogruppe einen Beitrag (+). Umgekehrt hat er eine Abgabe (-) zu leisten.</t>
  </si>
  <si>
    <t>Kinder (0-18 Jahre) werden für die Berechnung des Risikoausgleichs nicht miteinbezogen.</t>
  </si>
  <si>
    <r>
      <t xml:space="preserve">T 2.13  Risikoausgleich </t>
    </r>
    <r>
      <rPr>
        <b/>
        <vertAlign val="superscript"/>
        <sz val="12"/>
        <rFont val="Arial"/>
        <family val="2"/>
      </rPr>
      <t>1</t>
    </r>
    <r>
      <rPr>
        <b/>
        <sz val="12"/>
        <rFont val="Arial"/>
        <family val="2"/>
      </rPr>
      <t xml:space="preserve">  in Fr. pro Versicherten und Versicherungsmonat nach Altersgruppen und Geschlecht</t>
    </r>
  </si>
  <si>
    <t>2) Vgl. Fussnote 2) von Tabelle 2.03.</t>
  </si>
  <si>
    <r>
      <t xml:space="preserve">T 2.12 Durchschnittlicher Versichertenbestand </t>
    </r>
    <r>
      <rPr>
        <b/>
        <vertAlign val="superscript"/>
        <sz val="12"/>
        <rFont val="Arial"/>
        <family val="2"/>
      </rPr>
      <t>1, 2</t>
    </r>
    <r>
      <rPr>
        <b/>
        <sz val="12"/>
        <rFont val="Arial"/>
        <family val="2"/>
      </rPr>
      <t xml:space="preserve">  nach Altersgruppen und Geschlecht</t>
    </r>
  </si>
  <si>
    <t>1) Berücksichtigt nur die bei dem Versicherer eingereichten Rechnungen.</t>
  </si>
  <si>
    <r>
      <t xml:space="preserve">T 2.10  Kostenbeteiligung </t>
    </r>
    <r>
      <rPr>
        <b/>
        <vertAlign val="superscript"/>
        <sz val="12"/>
        <rFont val="Arial"/>
        <family val="2"/>
      </rPr>
      <t>1</t>
    </r>
    <r>
      <rPr>
        <b/>
        <sz val="12"/>
        <rFont val="Arial"/>
        <family val="2"/>
      </rPr>
      <t xml:space="preserve">  pro Versicherten pro Jahr in Fr. nach Kantonen</t>
    </r>
  </si>
  <si>
    <r>
      <t xml:space="preserve">T 2.08  Effektive Kosten </t>
    </r>
    <r>
      <rPr>
        <b/>
        <vertAlign val="superscript"/>
        <sz val="12"/>
        <rFont val="Arial"/>
        <family val="2"/>
      </rPr>
      <t>1</t>
    </r>
    <r>
      <rPr>
        <b/>
        <sz val="12"/>
        <rFont val="Arial"/>
        <family val="2"/>
      </rPr>
      <t xml:space="preserve">  in Fr. pro Versicherten pro Versicherungsmonat nach Kantonen</t>
    </r>
  </si>
  <si>
    <r>
      <t xml:space="preserve">T 2.07  Effektive Kosten </t>
    </r>
    <r>
      <rPr>
        <b/>
        <vertAlign val="superscript"/>
        <sz val="12"/>
        <rFont val="Arial"/>
        <family val="2"/>
      </rPr>
      <t>1, 2</t>
    </r>
    <r>
      <rPr>
        <b/>
        <sz val="12"/>
        <rFont val="Arial"/>
        <family val="2"/>
      </rPr>
      <t xml:space="preserve">  in Fr. nach Kantonen </t>
    </r>
  </si>
  <si>
    <r>
      <t xml:space="preserve">T 2.05  Bruttokosten </t>
    </r>
    <r>
      <rPr>
        <b/>
        <vertAlign val="superscript"/>
        <sz val="12"/>
        <rFont val="Arial"/>
        <family val="2"/>
      </rPr>
      <t xml:space="preserve">1 </t>
    </r>
    <r>
      <rPr>
        <b/>
        <sz val="12"/>
        <rFont val="Arial"/>
        <family val="2"/>
      </rPr>
      <t xml:space="preserve"> in Fr. pro Versicherten pro Versicherungsmonat nach Kantonen</t>
    </r>
  </si>
  <si>
    <r>
      <t xml:space="preserve">T 2.04  Bruttokosten </t>
    </r>
    <r>
      <rPr>
        <b/>
        <vertAlign val="superscript"/>
        <sz val="12"/>
        <rFont val="Arial"/>
        <family val="2"/>
      </rPr>
      <t>1, 2</t>
    </r>
    <r>
      <rPr>
        <b/>
        <sz val="12"/>
        <rFont val="Arial"/>
        <family val="2"/>
      </rPr>
      <t xml:space="preserve">  in Fr. nach Kantonen</t>
    </r>
  </si>
  <si>
    <t xml:space="preserve">2) Mit dem In-Kraft-Treten des Personenfreizügigkeitsabkommens mit den EG-Staaten bzw. dem revidierten EFTA-Abkommen </t>
  </si>
  <si>
    <t xml:space="preserve">- Im Risikoausgleich zu berücksichtigen sind: </t>
  </si>
  <si>
    <t>Versicherte mit Arbeitsort in der Schweiz (Grenzgänger) sowie ihre nicht erwerbstätigen Familienangehörigen.</t>
  </si>
  <si>
    <t>- Im Risikoausgleich nicht zu berücksichtigen sind:</t>
  </si>
  <si>
    <t>Empfänger einer schweizerischen Rente und ihre nicht erwerbstätigen Familienangehörigen;</t>
  </si>
  <si>
    <t>Empfänger einer Leistung der schweizerischen Arbeitslosenversicherung und ihre nicht erwerbstätigen Familienangehörigen.</t>
  </si>
  <si>
    <t>Nicht erwerbstätige Familienangehörige von in der Schweiz erwerbstätigen und wohnenden Personen.</t>
  </si>
  <si>
    <t xml:space="preserve">Aufgrund unterschiedlicher Definitionen kommt es zu Differenzen beim Versichertenbestand und bei den Kosten  </t>
  </si>
  <si>
    <t>und denselben Angaben im Formular EF 123 der Versicherer (siehe Definition Versicherte in Tabelle 1.02, Fussnote 3).</t>
  </si>
  <si>
    <t>Prämiensoll, Kostenbeteiligung und Leistungen in der OKP ab 1985</t>
  </si>
  <si>
    <t>Beiträge pro Kanton nach Reduktion ab 1996</t>
  </si>
  <si>
    <t>Beiträge pro Kanton in % des Totals vor Reduktion ab 1996</t>
  </si>
  <si>
    <t>T 4.01 Anzahl BezügerInnen, BezügerInnen-Quoten, subventionierte Haushalte sowie ausgerichtete Subventionen nach KVG ab 1996</t>
  </si>
  <si>
    <t>Bezüger-</t>
  </si>
  <si>
    <t>Anzahl sub-</t>
  </si>
  <si>
    <t>Subvention</t>
  </si>
  <si>
    <t>Innen-</t>
  </si>
  <si>
    <t>ventionierte</t>
  </si>
  <si>
    <t>Innen</t>
  </si>
  <si>
    <t xml:space="preserve">Datenstand: 13.9.04 </t>
  </si>
  <si>
    <t>Quelle: T 4.02 / 4.04 / 4.10 / 4.13</t>
  </si>
  <si>
    <t>1) Angaben zu BezügerInnen und subventionierten Haushalten der Jahre 1996 und 1997 teilweise unvollständig.</t>
  </si>
  <si>
    <t>2) Anzahl BezügerInnen in Prozent der mittleren Wohnbevölkerung des entsprechenden Berichtsjahres.</t>
  </si>
  <si>
    <r>
      <t xml:space="preserve">Jahr </t>
    </r>
    <r>
      <rPr>
        <vertAlign val="superscript"/>
        <sz val="11"/>
        <rFont val="Arial"/>
        <family val="2"/>
      </rPr>
      <t>1</t>
    </r>
  </si>
  <si>
    <r>
      <t xml:space="preserve">quote </t>
    </r>
    <r>
      <rPr>
        <vertAlign val="superscript"/>
        <sz val="11"/>
        <rFont val="Arial"/>
        <family val="2"/>
      </rPr>
      <t>2</t>
    </r>
  </si>
  <si>
    <t>T 8.08  Eigenkapital und Eigenkapitalquote der Versicherer in Franken ab 1994</t>
  </si>
  <si>
    <t>Eigenkapital-</t>
  </si>
  <si>
    <t xml:space="preserve">1) Eigenkapital in % des Prämiensolls; </t>
  </si>
  <si>
    <t>die Abnahme der Eigenkapitalquote zwischen 1995 und 1996 wird wegen dem mit dem KVG eingeführten</t>
  </si>
  <si>
    <t xml:space="preserve"> Prämienverbilligungssystem (führte technisch zu einem relativ höheren Prämiensoll der Versicherer) überzeichnet.</t>
  </si>
  <si>
    <t>Quelle: T 8.10 [29]; T 8.05 [60-63]</t>
  </si>
  <si>
    <r>
      <t xml:space="preserve">quote </t>
    </r>
    <r>
      <rPr>
        <vertAlign val="superscript"/>
        <sz val="11"/>
        <rFont val="Arial"/>
        <family val="2"/>
      </rPr>
      <t>1</t>
    </r>
  </si>
  <si>
    <t>T 8.07 Aktiven und Passiven der Versicherer in Franken ab 1994</t>
  </si>
  <si>
    <t>Aktiven</t>
  </si>
  <si>
    <t>Passiven</t>
  </si>
  <si>
    <t>Bilanz-</t>
  </si>
  <si>
    <t>Umlauf-</t>
  </si>
  <si>
    <t>Anlage-</t>
  </si>
  <si>
    <t>Fremd-</t>
  </si>
  <si>
    <t>Fonds und</t>
  </si>
  <si>
    <t>summe</t>
  </si>
  <si>
    <t>vermögen</t>
  </si>
  <si>
    <t>kapital</t>
  </si>
  <si>
    <t>1) Bestände per Jahresende; Vorjahresvergleiche sind nur mit Vorbehalt möglich, da jene Zusatzversicherungen VAG, welche</t>
  </si>
  <si>
    <t>auch unternehmensrechtlich vom KVG-Bereich eines Versicherers abgetrennt werden, sich der Sicht der BAG-Krankenversicher-</t>
  </si>
  <si>
    <t>ungsstatistik entziehen.</t>
  </si>
  <si>
    <t>Quelle: T 8.09; T 8.10</t>
  </si>
  <si>
    <t>T 8.04  Ertrag, Aufwand und Ergebnis der Versicherer in Franken ab 1994</t>
  </si>
  <si>
    <t>ertrags</t>
  </si>
  <si>
    <t>1) Vorjahresvergleiche sind nur mit Vorbehalt möglich, da jene Zusatzversicherungen VAG, welche auch unternehmensrechtlich</t>
  </si>
  <si>
    <t>vollständig</t>
  </si>
  <si>
    <t>5.11.04: Teil9 [ohne 9.06, 9.07, 9.08]</t>
  </si>
  <si>
    <t>11.11.04: Teil9 [mit 9.06, 9.07, 9.08]</t>
  </si>
  <si>
    <t>Index der Krankenversicherungsausgaben nach Versicherungsart ab 1996</t>
  </si>
  <si>
    <t>Kosten des Gesundheitswesens in der Schweiz aus der Sicht der sozialen Sichereit ab 1995</t>
  </si>
  <si>
    <t>KVG-Versicherer</t>
  </si>
  <si>
    <t>Grund-</t>
  </si>
  <si>
    <t>Zusatzver-</t>
  </si>
  <si>
    <t>Versicherung</t>
  </si>
  <si>
    <t>Datenstand: 2.11.2004</t>
  </si>
  <si>
    <t>1) Krankenpflegeversicherung: Prämien und Leistungen ohne Taggeldversicherung;</t>
  </si>
  <si>
    <t>2) Die Zusatzversicherungen gemäss VVG der KVG-Versicherer (Krankenkassen) ab 1996 sind nicht in diesen Zahlen inbegriffen.</t>
  </si>
  <si>
    <t>Quelle: T 9.16.</t>
  </si>
  <si>
    <t>3) Zusatzversicherungen der KVG-Versicherer (Krankenkassen) : ab 1996 gemäss VVG.</t>
  </si>
  <si>
    <t>Quelle: 1991-2003: STAT KV T 7.03 [60-65] und [30-33] (BAG) - Krankentaggeld VVG (Bundesamt für Privatversicherungen [BPV]).</t>
  </si>
  <si>
    <t>4) Quelle: T 1.27 [60-65] und [30-33].</t>
  </si>
  <si>
    <r>
      <t xml:space="preserve">T 9.18  Krankenversicherung </t>
    </r>
    <r>
      <rPr>
        <b/>
        <vertAlign val="superscript"/>
        <sz val="12"/>
        <rFont val="Arial"/>
        <family val="2"/>
      </rPr>
      <t>1</t>
    </r>
    <r>
      <rPr>
        <b/>
        <sz val="12"/>
        <rFont val="Arial"/>
        <family val="2"/>
      </rPr>
      <t xml:space="preserve"> (KVG-Versicherer und Privatversicherer) ab 1991 in Mio. Fr.</t>
    </r>
  </si>
  <si>
    <r>
      <t xml:space="preserve">Privat-versicherer </t>
    </r>
    <r>
      <rPr>
        <b/>
        <vertAlign val="superscript"/>
        <sz val="11"/>
        <rFont val="Arial"/>
        <family val="2"/>
      </rPr>
      <t>2</t>
    </r>
  </si>
  <si>
    <r>
      <t xml:space="preserve">versicherung </t>
    </r>
    <r>
      <rPr>
        <vertAlign val="superscript"/>
        <sz val="10"/>
        <rFont val="Arial"/>
        <family val="2"/>
      </rPr>
      <t>4</t>
    </r>
  </si>
  <si>
    <r>
      <t xml:space="preserve">sicherung </t>
    </r>
    <r>
      <rPr>
        <vertAlign val="superscript"/>
        <sz val="11"/>
        <rFont val="Arial"/>
        <family val="2"/>
      </rPr>
      <t>3</t>
    </r>
  </si>
  <si>
    <r>
      <t xml:space="preserve">Vor 1991 sind keine Zahlen verfügbar; </t>
    </r>
    <r>
      <rPr>
        <i/>
        <sz val="10"/>
        <rFont val="Arial"/>
        <family val="2"/>
      </rPr>
      <t>1992-1996:  Schätzungen  BSV.</t>
    </r>
  </si>
  <si>
    <t>T 9.17 Taggeldversicherung KVG / VVG ab 1991 in Mio. Fr.</t>
  </si>
  <si>
    <t>Privat-versicherer</t>
  </si>
  <si>
    <t>freiwillige</t>
  </si>
  <si>
    <t>Prämien = verdiente Prämien brutto; Leistungen = Zahlungen für Versicherungsfälle .</t>
  </si>
  <si>
    <t>1) Quelle: T 6.04 [60-65] und [30-33].</t>
  </si>
  <si>
    <t xml:space="preserve">2) Quelle: Bundesamt für Privatversicherungen (BPV). Für 1996 sind keine Angaben verfügbar (Beginn dieser Versicherungsdeckung), sie wurden vom BSV geschätzt. </t>
  </si>
  <si>
    <t>3) Total: die kursiv gedruckten Zahlen wurden vom BSV geschätzt auf der Basis der vom BPV gelieferten Zahlen.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</si>
</sst>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82" formatCode="0.0"/>
    <numFmt numFmtId="183" formatCode="#,##0.0"/>
    <numFmt numFmtId="184" formatCode="0.0%"/>
  </numFmts>
  <fonts count="100">
    <font>
      <sz val="10"/>
      <name val="55 Helvetica Roman"/>
    </font>
    <font>
      <sz val="10"/>
      <name val="Geneva"/>
      <family val="2"/>
    </font>
    <font>
      <sz val="12"/>
      <name val="Arial"/>
      <family val="2"/>
    </font>
    <font>
      <b/>
      <sz val="12"/>
      <name val="Arial"/>
      <family val="2"/>
    </font>
    <font>
      <sz val="11"/>
      <name val="Arial"/>
      <family val="2"/>
    </font>
    <font>
      <sz val="10"/>
      <name val="Arial"/>
      <family val="2"/>
    </font>
    <font>
      <b/>
      <sz val="11"/>
      <name val="Arial"/>
      <family val="2"/>
    </font>
    <font>
      <b/>
      <i/>
      <sz val="22"/>
      <name val="Arial"/>
      <family val="2"/>
    </font>
    <font>
      <b/>
      <i/>
      <sz val="18"/>
      <name val="Arial"/>
      <family val="2"/>
    </font>
    <font>
      <b/>
      <sz val="10"/>
      <name val="Arial"/>
      <family val="2"/>
    </font>
    <font>
      <i/>
      <sz val="12"/>
      <name val="55 Helvetica Roman"/>
    </font>
    <font>
      <sz val="12"/>
      <name val="55 Helvetica Roman"/>
    </font>
    <font>
      <b/>
      <sz val="10"/>
      <color indexed="9"/>
      <name val="55 Helvetica Roman"/>
    </font>
    <font>
      <b/>
      <sz val="20"/>
      <name val="55 Helvetica Roman"/>
    </font>
    <font>
      <b/>
      <sz val="10"/>
      <name val="55 Helvetica Roman"/>
    </font>
    <font>
      <b/>
      <sz val="12"/>
      <color indexed="10"/>
      <name val="55 Helvetica Roman"/>
    </font>
    <font>
      <i/>
      <sz val="11"/>
      <name val="55 Helvetica Roman"/>
    </font>
    <font>
      <sz val="12"/>
      <color indexed="8"/>
      <name val="Arial"/>
      <family val="2"/>
    </font>
    <font>
      <vertAlign val="superscript"/>
      <sz val="11"/>
      <name val="Arial"/>
      <family val="2"/>
    </font>
    <font>
      <b/>
      <sz val="14"/>
      <name val="55 Helvetica Roman"/>
    </font>
    <font>
      <b/>
      <vertAlign val="superscript"/>
      <sz val="12"/>
      <name val="Arial"/>
      <family val="2"/>
    </font>
    <font>
      <sz val="10"/>
      <name val="Arial"/>
      <family val="2"/>
    </font>
    <font>
      <sz val="9"/>
      <name val="Arial"/>
      <family val="2"/>
    </font>
    <font>
      <b/>
      <i/>
      <sz val="24"/>
      <name val="Logo BAG"/>
      <family val="1"/>
    </font>
    <font>
      <b/>
      <i/>
      <sz val="12"/>
      <name val="55 Helvetica Roman"/>
    </font>
    <font>
      <b/>
      <sz val="11"/>
      <color indexed="10"/>
      <name val="55 Helvetica Roman"/>
    </font>
    <font>
      <b/>
      <sz val="11"/>
      <color indexed="9"/>
      <name val="55 Helvetica Roman"/>
    </font>
    <font>
      <b/>
      <sz val="12"/>
      <color indexed="8"/>
      <name val="Arial"/>
      <family val="2"/>
    </font>
    <font>
      <b/>
      <sz val="12"/>
      <name val="55 Helvetica Roman"/>
    </font>
    <font>
      <b/>
      <sz val="10"/>
      <color indexed="8"/>
      <name val="Arial"/>
      <family val="2"/>
    </font>
    <font>
      <sz val="10"/>
      <color indexed="8"/>
      <name val="Arial"/>
      <family val="2"/>
    </font>
    <font>
      <b/>
      <i/>
      <u/>
      <sz val="11"/>
      <name val="Arial"/>
      <family val="2"/>
    </font>
    <font>
      <vertAlign val="superscript"/>
      <sz val="10"/>
      <name val="Arial"/>
      <family val="2"/>
    </font>
    <font>
      <sz val="8"/>
      <name val="Arial"/>
      <family val="2"/>
    </font>
    <font>
      <b/>
      <vertAlign val="superscript"/>
      <sz val="11"/>
      <name val="Arial"/>
      <family val="2"/>
    </font>
    <font>
      <b/>
      <vertAlign val="superscript"/>
      <sz val="10"/>
      <color indexed="8"/>
      <name val="Arial"/>
      <family val="2"/>
    </font>
    <font>
      <i/>
      <sz val="10"/>
      <name val="Times New Roman"/>
      <family val="1"/>
    </font>
    <font>
      <sz val="10"/>
      <name val="Times New Roman"/>
      <family val="1"/>
    </font>
    <font>
      <i/>
      <sz val="10"/>
      <name val="55 Helvetica Roman"/>
    </font>
    <font>
      <i/>
      <sz val="10"/>
      <name val="Arial"/>
      <family val="2"/>
    </font>
    <font>
      <i/>
      <sz val="11"/>
      <name val="Arial"/>
      <family val="2"/>
    </font>
    <font>
      <b/>
      <i/>
      <sz val="11"/>
      <name val="Arial"/>
      <family val="2"/>
    </font>
    <font>
      <b/>
      <vertAlign val="superscript"/>
      <sz val="12"/>
      <name val="55 Helvetica Roman"/>
    </font>
    <font>
      <sz val="10"/>
      <color indexed="10"/>
      <name val="55 Helvetica Roman"/>
    </font>
    <font>
      <b/>
      <sz val="10"/>
      <color indexed="10"/>
      <name val="55 Helvetica Roman"/>
    </font>
    <font>
      <b/>
      <sz val="10"/>
      <color indexed="10"/>
      <name val="Arial"/>
      <family val="2"/>
    </font>
    <font>
      <sz val="10"/>
      <name val="55 Helvetica Roman"/>
    </font>
    <font>
      <b/>
      <sz val="9"/>
      <name val="55 Helvetica Roman"/>
    </font>
    <font>
      <b/>
      <sz val="8"/>
      <color indexed="81"/>
      <name val="Tahoma"/>
      <family val="2"/>
    </font>
    <font>
      <sz val="8"/>
      <color indexed="81"/>
      <name val="Tahoma"/>
      <family val="2"/>
    </font>
    <font>
      <sz val="9"/>
      <name val="55 Helvetica Roman"/>
    </font>
    <font>
      <i/>
      <sz val="9"/>
      <name val="Arial"/>
      <family val="2"/>
    </font>
    <font>
      <i/>
      <sz val="12"/>
      <name val="Arial"/>
      <family val="2"/>
    </font>
    <font>
      <i/>
      <vertAlign val="superscript"/>
      <sz val="11"/>
      <name val="Arial"/>
      <family val="2"/>
    </font>
    <font>
      <b/>
      <sz val="14"/>
      <name val="Arial"/>
      <family val="2"/>
    </font>
    <font>
      <b/>
      <i/>
      <vertAlign val="superscript"/>
      <sz val="10"/>
      <name val="Arial"/>
      <family val="2"/>
    </font>
    <font>
      <b/>
      <i/>
      <sz val="10"/>
      <name val="Arial"/>
      <family val="2"/>
    </font>
    <font>
      <b/>
      <sz val="9"/>
      <name val="Arial"/>
      <family val="2"/>
    </font>
    <font>
      <sz val="7"/>
      <name val="Arial"/>
      <family val="2"/>
    </font>
    <font>
      <b/>
      <sz val="7"/>
      <name val="Arial"/>
      <family val="2"/>
    </font>
    <font>
      <i/>
      <sz val="7"/>
      <name val="Arial"/>
      <family val="2"/>
    </font>
    <font>
      <b/>
      <sz val="8"/>
      <name val="Arial"/>
      <family val="2"/>
    </font>
    <font>
      <sz val="9"/>
      <color indexed="10"/>
      <name val="55 Helvetica Roman"/>
    </font>
    <font>
      <b/>
      <sz val="11"/>
      <color indexed="9"/>
      <name val="Arial"/>
      <family val="2"/>
    </font>
    <font>
      <sz val="11"/>
      <color indexed="9"/>
      <name val="Arial"/>
      <family val="2"/>
    </font>
    <font>
      <sz val="10"/>
      <color indexed="9"/>
      <name val="Arial"/>
      <family val="2"/>
    </font>
    <font>
      <u/>
      <sz val="10"/>
      <name val="Arial"/>
      <family val="2"/>
    </font>
    <font>
      <sz val="10"/>
      <name val="Tms Rmn"/>
    </font>
    <font>
      <sz val="8"/>
      <name val="Tms Rmn"/>
    </font>
    <font>
      <b/>
      <sz val="12"/>
      <name val="Times New Roman"/>
      <family val="1"/>
    </font>
    <font>
      <b/>
      <i/>
      <sz val="10"/>
      <name val="Tms Rmn"/>
    </font>
    <font>
      <b/>
      <i/>
      <vertAlign val="superscript"/>
      <sz val="10"/>
      <name val="Tms Rmn"/>
    </font>
    <font>
      <b/>
      <sz val="10"/>
      <name val="Tms Rmn"/>
    </font>
    <font>
      <i/>
      <sz val="10"/>
      <name val="Tms Rmn"/>
    </font>
    <font>
      <i/>
      <sz val="8"/>
      <name val="Tms Rmn"/>
    </font>
    <font>
      <vertAlign val="superscript"/>
      <sz val="8"/>
      <name val="Tms Rmn"/>
    </font>
    <font>
      <b/>
      <sz val="8"/>
      <name val="Tms Rmn"/>
    </font>
    <font>
      <b/>
      <i/>
      <sz val="8"/>
      <name val="Tms Rmn"/>
    </font>
    <font>
      <sz val="9"/>
      <name val="Tms Rmn"/>
    </font>
    <font>
      <sz val="10"/>
      <color indexed="10"/>
      <name val="Tms Rmn"/>
    </font>
    <font>
      <b/>
      <sz val="10"/>
      <color indexed="56"/>
      <name val="Tms Rmn"/>
    </font>
    <font>
      <b/>
      <sz val="10"/>
      <color indexed="50"/>
      <name val="Tms Rmn"/>
    </font>
    <font>
      <sz val="10"/>
      <color indexed="14"/>
      <name val="Tms Rmn"/>
    </font>
    <font>
      <i/>
      <vertAlign val="superscript"/>
      <sz val="10"/>
      <name val="Tms Rmn"/>
    </font>
    <font>
      <b/>
      <vertAlign val="superscript"/>
      <sz val="10"/>
      <name val="Tms Rmn"/>
    </font>
    <font>
      <sz val="8"/>
      <color indexed="10"/>
      <name val="Tms Rmn"/>
    </font>
    <font>
      <b/>
      <vertAlign val="superscript"/>
      <sz val="8"/>
      <name val="Tms Rmn"/>
    </font>
    <font>
      <sz val="9"/>
      <name val="Times New Roman"/>
      <family val="1"/>
    </font>
    <font>
      <sz val="10"/>
      <color indexed="56"/>
      <name val="Tms Rmn"/>
    </font>
    <font>
      <b/>
      <sz val="10"/>
      <color indexed="17"/>
      <name val="Tms Rmn"/>
    </font>
    <font>
      <b/>
      <sz val="10"/>
      <color indexed="52"/>
      <name val="Tms Rmn"/>
    </font>
    <font>
      <sz val="10"/>
      <color indexed="20"/>
      <name val="Tms Rmn"/>
    </font>
    <font>
      <b/>
      <i/>
      <sz val="10"/>
      <name val="Times New Roman"/>
      <family val="1"/>
    </font>
    <font>
      <b/>
      <sz val="10"/>
      <name val="Times New Roman"/>
      <family val="1"/>
    </font>
    <font>
      <vertAlign val="superscript"/>
      <sz val="10"/>
      <name val="Times New Roman"/>
      <family val="1"/>
    </font>
    <font>
      <b/>
      <i/>
      <vertAlign val="superscript"/>
      <sz val="11"/>
      <name val="Arial"/>
      <family val="2"/>
    </font>
    <font>
      <b/>
      <sz val="11"/>
      <color indexed="12"/>
      <name val="Arial"/>
      <family val="2"/>
    </font>
    <font>
      <sz val="10"/>
      <color indexed="12"/>
      <name val="Arial"/>
      <family val="2"/>
    </font>
    <font>
      <sz val="11"/>
      <color indexed="10"/>
      <name val="Arial"/>
      <family val="2"/>
    </font>
    <font>
      <b/>
      <sz val="11"/>
      <color indexed="10"/>
      <name val="Arial"/>
      <family val="2"/>
    </font>
  </fonts>
  <fills count="10">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7"/>
        <bgColor indexed="64"/>
      </patternFill>
    </fill>
    <fill>
      <patternFill patternType="solid">
        <fgColor indexed="42"/>
        <bgColor indexed="64"/>
      </patternFill>
    </fill>
    <fill>
      <patternFill patternType="solid">
        <fgColor indexed="44"/>
        <bgColor indexed="64"/>
      </patternFill>
    </fill>
    <fill>
      <patternFill patternType="solid">
        <fgColor indexed="43"/>
        <bgColor indexed="64"/>
      </patternFill>
    </fill>
    <fill>
      <patternFill patternType="lightGray">
        <fgColor indexed="22"/>
        <bgColor indexed="22"/>
      </patternFill>
    </fill>
    <fill>
      <patternFill patternType="solid">
        <fgColor indexed="47"/>
        <bgColor indexed="47"/>
      </patternFill>
    </fill>
  </fills>
  <borders count="31">
    <border>
      <left/>
      <right/>
      <top/>
      <bottom/>
      <diagonal/>
    </border>
    <border>
      <left/>
      <right/>
      <top style="thin">
        <color indexed="64"/>
      </top>
      <bottom/>
      <diagonal/>
    </border>
    <border>
      <left/>
      <right/>
      <top/>
      <bottom style="thin">
        <color indexed="64"/>
      </bottom>
      <diagonal/>
    </border>
    <border>
      <left/>
      <right/>
      <top style="thin">
        <color indexed="64"/>
      </top>
      <bottom style="medium">
        <color indexed="9"/>
      </bottom>
      <diagonal/>
    </border>
    <border>
      <left/>
      <right/>
      <top style="medium">
        <color indexed="9"/>
      </top>
      <bottom style="medium">
        <color indexed="9"/>
      </bottom>
      <diagonal/>
    </border>
    <border>
      <left/>
      <right/>
      <top style="medium">
        <color indexed="64"/>
      </top>
      <bottom/>
      <diagonal/>
    </border>
    <border>
      <left/>
      <right/>
      <top/>
      <bottom style="medium">
        <color indexed="9"/>
      </bottom>
      <diagonal/>
    </border>
    <border>
      <left/>
      <right/>
      <top style="medium">
        <color indexed="9"/>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medium">
        <color indexed="9"/>
      </top>
      <bottom/>
      <diagonal/>
    </border>
    <border>
      <left/>
      <right/>
      <top style="thin">
        <color indexed="64"/>
      </top>
      <bottom style="thin">
        <color indexed="64"/>
      </bottom>
      <diagonal/>
    </border>
    <border>
      <left/>
      <right/>
      <top/>
      <bottom style="medium">
        <color indexed="64"/>
      </bottom>
      <diagonal/>
    </border>
    <border>
      <left/>
      <right/>
      <top style="thin">
        <color indexed="8"/>
      </top>
      <bottom style="medium">
        <color indexed="9"/>
      </bottom>
      <diagonal/>
    </border>
    <border>
      <left/>
      <right/>
      <top style="thin">
        <color indexed="64"/>
      </top>
      <bottom style="medium">
        <color indexed="64"/>
      </bottom>
      <diagonal/>
    </border>
    <border>
      <left/>
      <right/>
      <top style="medium">
        <color indexed="9"/>
      </top>
      <bottom style="thin">
        <color indexed="64"/>
      </bottom>
      <diagonal/>
    </border>
    <border>
      <left/>
      <right/>
      <top style="hair">
        <color indexed="64"/>
      </top>
      <bottom style="hair">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top/>
      <bottom style="medium">
        <color indexed="9"/>
      </bottom>
      <diagonal/>
    </border>
    <border>
      <left style="medium">
        <color indexed="64"/>
      </left>
      <right/>
      <top style="thin">
        <color indexed="64"/>
      </top>
      <bottom style="medium">
        <color indexed="9"/>
      </bottom>
      <diagonal/>
    </border>
    <border>
      <left style="medium">
        <color indexed="64"/>
      </left>
      <right/>
      <top style="medium">
        <color indexed="9"/>
      </top>
      <bottom style="medium">
        <color indexed="9"/>
      </bottom>
      <diagonal/>
    </border>
    <border>
      <left style="medium">
        <color indexed="64"/>
      </left>
      <right/>
      <top/>
      <bottom style="medium">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top style="medium">
        <color indexed="9"/>
      </top>
      <bottom/>
      <diagonal/>
    </border>
    <border>
      <left style="medium">
        <color indexed="64"/>
      </left>
      <right/>
      <top style="medium">
        <color indexed="9"/>
      </top>
      <bottom style="medium">
        <color indexed="64"/>
      </bottom>
      <diagonal/>
    </border>
    <border>
      <left style="medium">
        <color indexed="64"/>
      </left>
      <right/>
      <top style="thin">
        <color indexed="8"/>
      </top>
      <bottom style="medium">
        <color indexed="9"/>
      </bottom>
      <diagonal/>
    </border>
    <border>
      <left style="medium">
        <color indexed="64"/>
      </left>
      <right/>
      <top style="thin">
        <color indexed="8"/>
      </top>
      <bottom style="medium">
        <color indexed="64"/>
      </bottom>
      <diagonal/>
    </border>
  </borders>
  <cellStyleXfs count="16">
    <xf numFmtId="0" fontId="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67" fillId="0" borderId="0"/>
    <xf numFmtId="0" fontId="67" fillId="0" borderId="0"/>
    <xf numFmtId="0" fontId="67" fillId="0" borderId="0"/>
    <xf numFmtId="9" fontId="1" fillId="0" borderId="0" applyFont="0" applyFill="0" applyBorder="0" applyAlignment="0" applyProtection="0"/>
  </cellStyleXfs>
  <cellXfs count="1498">
    <xf numFmtId="0" fontId="0" fillId="0" borderId="0" xfId="0"/>
    <xf numFmtId="0" fontId="2" fillId="0" borderId="0" xfId="0" applyFont="1"/>
    <xf numFmtId="0" fontId="4" fillId="2" borderId="1" xfId="0" applyFont="1" applyFill="1" applyBorder="1" applyAlignment="1">
      <alignment horizontal="left"/>
    </xf>
    <xf numFmtId="0" fontId="5" fillId="0" borderId="0" xfId="0" applyFont="1"/>
    <xf numFmtId="0" fontId="4" fillId="2" borderId="0" xfId="0" applyFont="1" applyFill="1" applyBorder="1" applyAlignment="1">
      <alignment horizontal="center"/>
    </xf>
    <xf numFmtId="0" fontId="4" fillId="2" borderId="2" xfId="0" applyFont="1" applyFill="1" applyBorder="1" applyAlignment="1">
      <alignment horizontal="center" vertical="top"/>
    </xf>
    <xf numFmtId="0" fontId="4" fillId="2" borderId="3" xfId="0" applyFont="1" applyFill="1" applyBorder="1" applyAlignment="1">
      <alignment horizontal="left"/>
    </xf>
    <xf numFmtId="0" fontId="4" fillId="2" borderId="4" xfId="0" applyFont="1" applyFill="1" applyBorder="1" applyAlignment="1">
      <alignment horizontal="left"/>
    </xf>
    <xf numFmtId="1" fontId="5" fillId="0" borderId="0" xfId="0" applyNumberFormat="1" applyFont="1"/>
    <xf numFmtId="0" fontId="5" fillId="0" borderId="5" xfId="0" applyFont="1" applyBorder="1"/>
    <xf numFmtId="0" fontId="3" fillId="3" borderId="0" xfId="0" applyFont="1" applyFill="1" applyAlignment="1">
      <alignment vertical="center"/>
    </xf>
    <xf numFmtId="0" fontId="3" fillId="0" borderId="0" xfId="0" applyFont="1" applyAlignment="1">
      <alignment vertical="center"/>
    </xf>
    <xf numFmtId="0" fontId="6" fillId="2" borderId="0" xfId="0" applyFont="1" applyFill="1" applyBorder="1" applyAlignment="1">
      <alignment horizontal="left" vertical="center"/>
    </xf>
    <xf numFmtId="3" fontId="4" fillId="4" borderId="1" xfId="0" applyNumberFormat="1" applyFont="1" applyFill="1" applyBorder="1" applyAlignment="1">
      <alignment horizontal="right"/>
    </xf>
    <xf numFmtId="3" fontId="4" fillId="4" borderId="0" xfId="0" applyNumberFormat="1" applyFont="1" applyFill="1" applyBorder="1" applyAlignment="1">
      <alignment horizontal="right"/>
    </xf>
    <xf numFmtId="3" fontId="4" fillId="4" borderId="2" xfId="0" applyNumberFormat="1" applyFont="1" applyFill="1" applyBorder="1" applyAlignment="1">
      <alignment horizontal="right" vertical="top"/>
    </xf>
    <xf numFmtId="0" fontId="4" fillId="2" borderId="1" xfId="0" applyFont="1" applyFill="1" applyBorder="1" applyAlignment="1">
      <alignment horizontal="right"/>
    </xf>
    <xf numFmtId="0" fontId="4" fillId="2" borderId="0" xfId="0" applyFont="1" applyFill="1" applyBorder="1" applyAlignment="1">
      <alignment horizontal="right"/>
    </xf>
    <xf numFmtId="0" fontId="4" fillId="2" borderId="2" xfId="0" applyFont="1" applyFill="1" applyBorder="1" applyAlignment="1">
      <alignment horizontal="right" vertical="top"/>
    </xf>
    <xf numFmtId="3" fontId="4" fillId="4" borderId="3" xfId="0" applyNumberFormat="1" applyFont="1" applyFill="1" applyBorder="1" applyAlignment="1">
      <alignment horizontal="right"/>
    </xf>
    <xf numFmtId="3" fontId="5" fillId="0" borderId="0" xfId="0" applyNumberFormat="1" applyFont="1" applyAlignment="1">
      <alignment horizontal="right"/>
    </xf>
    <xf numFmtId="0" fontId="5" fillId="0" borderId="0" xfId="0" applyFont="1" applyAlignment="1">
      <alignment horizontal="right"/>
    </xf>
    <xf numFmtId="3" fontId="3" fillId="0" borderId="0" xfId="0" applyNumberFormat="1" applyFont="1" applyAlignment="1">
      <alignment horizontal="left" vertical="center"/>
    </xf>
    <xf numFmtId="0" fontId="2" fillId="0" borderId="0" xfId="0" applyFont="1" applyAlignment="1">
      <alignment horizontal="right"/>
    </xf>
    <xf numFmtId="184" fontId="4" fillId="2" borderId="6" xfId="0" applyNumberFormat="1" applyFont="1" applyFill="1" applyBorder="1" applyAlignment="1">
      <alignment horizontal="right"/>
    </xf>
    <xf numFmtId="184" fontId="4" fillId="2" borderId="4" xfId="0" applyNumberFormat="1" applyFont="1" applyFill="1" applyBorder="1" applyAlignment="1">
      <alignment horizontal="right"/>
    </xf>
    <xf numFmtId="0" fontId="5" fillId="0" borderId="5" xfId="0" applyFont="1" applyBorder="1" applyAlignment="1">
      <alignment horizontal="right"/>
    </xf>
    <xf numFmtId="0" fontId="5" fillId="0" borderId="0" xfId="0" applyFont="1" applyBorder="1" applyAlignment="1">
      <alignment horizontal="right"/>
    </xf>
    <xf numFmtId="3" fontId="4" fillId="4" borderId="6" xfId="0" applyNumberFormat="1" applyFont="1" applyFill="1" applyBorder="1" applyAlignment="1">
      <alignment horizontal="right"/>
    </xf>
    <xf numFmtId="3" fontId="4" fillId="4" borderId="4" xfId="0" applyNumberFormat="1" applyFont="1" applyFill="1" applyBorder="1" applyAlignment="1">
      <alignment horizontal="right"/>
    </xf>
    <xf numFmtId="3" fontId="5" fillId="0" borderId="5" xfId="0" applyNumberFormat="1" applyFont="1" applyBorder="1" applyAlignment="1">
      <alignment horizontal="right"/>
    </xf>
    <xf numFmtId="3" fontId="5" fillId="0" borderId="0" xfId="0" applyNumberFormat="1" applyFont="1" applyBorder="1" applyAlignment="1">
      <alignment horizontal="right"/>
    </xf>
    <xf numFmtId="3" fontId="2" fillId="0" borderId="0" xfId="0" applyNumberFormat="1" applyFont="1" applyAlignment="1">
      <alignment horizontal="right"/>
    </xf>
    <xf numFmtId="3" fontId="6" fillId="4" borderId="4" xfId="0" applyNumberFormat="1" applyFont="1" applyFill="1" applyBorder="1" applyAlignment="1">
      <alignment horizontal="right" vertical="center"/>
    </xf>
    <xf numFmtId="184" fontId="6" fillId="2" borderId="4" xfId="0" applyNumberFormat="1" applyFont="1" applyFill="1" applyBorder="1" applyAlignment="1">
      <alignment horizontal="right" vertical="center"/>
    </xf>
    <xf numFmtId="0" fontId="9" fillId="0" borderId="0" xfId="0" applyFont="1"/>
    <xf numFmtId="1" fontId="9" fillId="0" borderId="0" xfId="0" applyNumberFormat="1" applyFont="1"/>
    <xf numFmtId="0" fontId="5" fillId="0" borderId="0" xfId="0" applyFont="1" applyBorder="1"/>
    <xf numFmtId="0" fontId="5" fillId="0" borderId="0" xfId="0" applyFont="1" applyFill="1"/>
    <xf numFmtId="0" fontId="7" fillId="0" borderId="0" xfId="0" applyFont="1" applyAlignment="1">
      <alignment horizontal="left"/>
    </xf>
    <xf numFmtId="0" fontId="8" fillId="0" borderId="0" xfId="0" applyFont="1" applyAlignment="1">
      <alignment horizontal="left"/>
    </xf>
    <xf numFmtId="0" fontId="10" fillId="0" borderId="0" xfId="0" applyFont="1" applyAlignment="1">
      <alignment horizontal="left"/>
    </xf>
    <xf numFmtId="3" fontId="5" fillId="0" borderId="0" xfId="0" applyNumberFormat="1" applyFont="1"/>
    <xf numFmtId="3" fontId="4" fillId="0" borderId="0" xfId="0" applyNumberFormat="1" applyFont="1" applyBorder="1" applyAlignment="1">
      <alignment horizontal="right"/>
    </xf>
    <xf numFmtId="0" fontId="13" fillId="5" borderId="0" xfId="0" applyFont="1" applyFill="1"/>
    <xf numFmtId="0" fontId="0" fillId="5" borderId="0" xfId="0" applyFill="1"/>
    <xf numFmtId="0" fontId="5" fillId="5" borderId="0" xfId="0" applyFont="1" applyFill="1"/>
    <xf numFmtId="0" fontId="14" fillId="5" borderId="0" xfId="0" applyFont="1" applyFill="1"/>
    <xf numFmtId="0" fontId="11" fillId="0" borderId="0" xfId="0" applyFont="1"/>
    <xf numFmtId="2" fontId="3" fillId="0" borderId="0" xfId="0" applyNumberFormat="1" applyFont="1"/>
    <xf numFmtId="2" fontId="11" fillId="0" borderId="0" xfId="0" applyNumberFormat="1" applyFont="1"/>
    <xf numFmtId="0" fontId="11" fillId="0" borderId="0" xfId="0" applyFont="1" applyAlignment="1">
      <alignment horizontal="center"/>
    </xf>
    <xf numFmtId="0" fontId="17" fillId="5" borderId="0" xfId="0" applyFont="1" applyFill="1" applyAlignment="1"/>
    <xf numFmtId="0" fontId="5" fillId="2" borderId="0" xfId="0" applyFont="1" applyFill="1"/>
    <xf numFmtId="0" fontId="2" fillId="0" borderId="0" xfId="0" applyFont="1" applyAlignment="1">
      <alignment horizontal="right" vertical="center"/>
    </xf>
    <xf numFmtId="3" fontId="2" fillId="0" borderId="0" xfId="0" applyNumberFormat="1" applyFont="1" applyAlignment="1">
      <alignment horizontal="right" vertical="center"/>
    </xf>
    <xf numFmtId="2" fontId="5" fillId="0" borderId="0" xfId="0" applyNumberFormat="1" applyFont="1"/>
    <xf numFmtId="0" fontId="5" fillId="0" borderId="0" xfId="0" applyFont="1" applyBorder="1" applyAlignment="1">
      <alignment vertical="top"/>
    </xf>
    <xf numFmtId="0" fontId="3" fillId="0" borderId="0" xfId="0" applyFont="1"/>
    <xf numFmtId="0" fontId="3" fillId="0" borderId="0" xfId="0" applyFont="1" applyAlignment="1">
      <alignment vertical="top"/>
    </xf>
    <xf numFmtId="3" fontId="4" fillId="2" borderId="1" xfId="0" applyNumberFormat="1" applyFont="1" applyFill="1" applyBorder="1" applyAlignment="1">
      <alignment horizontal="right"/>
    </xf>
    <xf numFmtId="3" fontId="4" fillId="2" borderId="0" xfId="0" applyNumberFormat="1" applyFont="1" applyFill="1" applyBorder="1" applyAlignment="1">
      <alignment horizontal="right"/>
    </xf>
    <xf numFmtId="3" fontId="4" fillId="2" borderId="2" xfId="0" applyNumberFormat="1" applyFont="1" applyFill="1" applyBorder="1" applyAlignment="1">
      <alignment horizontal="right" vertical="top"/>
    </xf>
    <xf numFmtId="3" fontId="4" fillId="2" borderId="6" xfId="0" applyNumberFormat="1" applyFont="1" applyFill="1" applyBorder="1" applyAlignment="1">
      <alignment horizontal="right"/>
    </xf>
    <xf numFmtId="3" fontId="4" fillId="0" borderId="0" xfId="0" applyNumberFormat="1" applyFont="1"/>
    <xf numFmtId="0" fontId="4" fillId="2" borderId="4" xfId="0" applyFont="1" applyFill="1" applyBorder="1" applyAlignment="1">
      <alignment horizontal="left" vertical="center"/>
    </xf>
    <xf numFmtId="3" fontId="6" fillId="4" borderId="6" xfId="0" applyNumberFormat="1" applyFont="1" applyFill="1" applyBorder="1" applyAlignment="1">
      <alignment horizontal="right" vertical="center"/>
    </xf>
    <xf numFmtId="3" fontId="6" fillId="2" borderId="6" xfId="0" applyNumberFormat="1" applyFont="1" applyFill="1" applyBorder="1" applyAlignment="1">
      <alignment horizontal="right" vertical="center"/>
    </xf>
    <xf numFmtId="184" fontId="6" fillId="2" borderId="6" xfId="0" applyNumberFormat="1" applyFont="1" applyFill="1" applyBorder="1" applyAlignment="1">
      <alignment horizontal="right" vertical="center"/>
    </xf>
    <xf numFmtId="0" fontId="4" fillId="4" borderId="1" xfId="0" applyFont="1" applyFill="1" applyBorder="1" applyAlignment="1">
      <alignment horizontal="right"/>
    </xf>
    <xf numFmtId="0" fontId="4" fillId="4" borderId="0" xfId="0" applyFont="1" applyFill="1" applyBorder="1" applyAlignment="1">
      <alignment horizontal="right"/>
    </xf>
    <xf numFmtId="0" fontId="4" fillId="4" borderId="0" xfId="0" applyFont="1" applyFill="1" applyBorder="1" applyAlignment="1">
      <alignment horizontal="center"/>
    </xf>
    <xf numFmtId="0" fontId="4" fillId="4" borderId="2" xfId="0" applyFont="1" applyFill="1" applyBorder="1" applyAlignment="1">
      <alignment horizontal="center" vertical="top"/>
    </xf>
    <xf numFmtId="0" fontId="4" fillId="4" borderId="2" xfId="0" applyFont="1" applyFill="1" applyBorder="1" applyAlignment="1">
      <alignment horizontal="right" vertical="top"/>
    </xf>
    <xf numFmtId="3" fontId="4" fillId="4" borderId="6" xfId="0" applyNumberFormat="1" applyFont="1" applyFill="1" applyBorder="1"/>
    <xf numFmtId="3" fontId="4" fillId="4" borderId="4" xfId="0" applyNumberFormat="1" applyFont="1" applyFill="1" applyBorder="1"/>
    <xf numFmtId="0" fontId="3" fillId="0" borderId="0" xfId="0" applyFont="1" applyBorder="1" applyAlignment="1">
      <alignment vertical="top"/>
    </xf>
    <xf numFmtId="0" fontId="4" fillId="2" borderId="0" xfId="0" applyFont="1" applyFill="1" applyBorder="1" applyAlignment="1">
      <alignment horizontal="left"/>
    </xf>
    <xf numFmtId="0" fontId="4" fillId="2" borderId="2" xfId="0" applyFont="1" applyFill="1" applyBorder="1" applyAlignment="1">
      <alignment horizontal="left" vertical="top"/>
    </xf>
    <xf numFmtId="0" fontId="4" fillId="2" borderId="3" xfId="0" quotePrefix="1" applyFont="1" applyFill="1" applyBorder="1" applyAlignment="1">
      <alignment horizontal="left"/>
    </xf>
    <xf numFmtId="0" fontId="4" fillId="2" borderId="4" xfId="0" quotePrefix="1" applyFont="1" applyFill="1" applyBorder="1" applyAlignment="1">
      <alignment horizontal="left"/>
    </xf>
    <xf numFmtId="0" fontId="6" fillId="2" borderId="4" xfId="0" quotePrefix="1" applyFont="1" applyFill="1" applyBorder="1" applyAlignment="1">
      <alignment horizontal="left"/>
    </xf>
    <xf numFmtId="3" fontId="6" fillId="4" borderId="4" xfId="0" applyNumberFormat="1" applyFont="1" applyFill="1" applyBorder="1"/>
    <xf numFmtId="184" fontId="6" fillId="2" borderId="4" xfId="0" applyNumberFormat="1" applyFont="1" applyFill="1" applyBorder="1" applyAlignment="1">
      <alignment horizontal="right"/>
    </xf>
    <xf numFmtId="3" fontId="6" fillId="4" borderId="4" xfId="0" applyNumberFormat="1" applyFont="1" applyFill="1" applyBorder="1" applyAlignment="1">
      <alignment horizontal="right"/>
    </xf>
    <xf numFmtId="0" fontId="4" fillId="4" borderId="1" xfId="0" applyFont="1" applyFill="1" applyBorder="1" applyAlignment="1">
      <alignment horizontal="left"/>
    </xf>
    <xf numFmtId="3" fontId="4" fillId="2" borderId="3" xfId="0" applyNumberFormat="1" applyFont="1" applyFill="1" applyBorder="1" applyAlignment="1">
      <alignment horizontal="right"/>
    </xf>
    <xf numFmtId="3" fontId="4" fillId="4" borderId="3" xfId="0" applyNumberFormat="1" applyFont="1" applyFill="1" applyBorder="1"/>
    <xf numFmtId="183" fontId="4" fillId="2" borderId="4" xfId="0" applyNumberFormat="1" applyFont="1" applyFill="1" applyBorder="1" applyAlignment="1">
      <alignment horizontal="right"/>
    </xf>
    <xf numFmtId="0" fontId="5" fillId="0" borderId="0" xfId="0" applyFont="1" applyAlignment="1">
      <alignment horizontal="left"/>
    </xf>
    <xf numFmtId="0" fontId="2" fillId="0" borderId="0" xfId="0" applyFont="1" applyAlignment="1">
      <alignment horizontal="center"/>
    </xf>
    <xf numFmtId="0" fontId="4" fillId="2" borderId="1" xfId="0" applyFont="1" applyFill="1" applyBorder="1" applyAlignment="1">
      <alignment horizontal="center"/>
    </xf>
    <xf numFmtId="0" fontId="4" fillId="0" borderId="0" xfId="0" applyFont="1"/>
    <xf numFmtId="3" fontId="4" fillId="2" borderId="3" xfId="0" applyNumberFormat="1" applyFont="1" applyFill="1" applyBorder="1"/>
    <xf numFmtId="184" fontId="4" fillId="2" borderId="3" xfId="0" applyNumberFormat="1" applyFont="1" applyFill="1" applyBorder="1" applyAlignment="1">
      <alignment horizontal="center"/>
    </xf>
    <xf numFmtId="3" fontId="6" fillId="4" borderId="3" xfId="0" applyNumberFormat="1" applyFont="1" applyFill="1" applyBorder="1" applyAlignment="1">
      <alignment vertical="center"/>
    </xf>
    <xf numFmtId="3" fontId="6" fillId="2" borderId="3" xfId="0" applyNumberFormat="1" applyFont="1" applyFill="1" applyBorder="1" applyAlignment="1">
      <alignment vertical="center"/>
    </xf>
    <xf numFmtId="184" fontId="6" fillId="2" borderId="3" xfId="0" applyNumberFormat="1" applyFont="1" applyFill="1" applyBorder="1" applyAlignment="1">
      <alignment horizontal="center" vertical="center"/>
    </xf>
    <xf numFmtId="0" fontId="5" fillId="0" borderId="5" xfId="0" applyFont="1" applyBorder="1" applyAlignment="1">
      <alignment horizontal="center"/>
    </xf>
    <xf numFmtId="0" fontId="5" fillId="0" borderId="0" xfId="0" applyFont="1" applyBorder="1" applyAlignment="1">
      <alignment horizontal="center"/>
    </xf>
    <xf numFmtId="0" fontId="5" fillId="0" borderId="0" xfId="0" applyFont="1" applyAlignment="1">
      <alignment horizontal="center"/>
    </xf>
    <xf numFmtId="3" fontId="2" fillId="0" borderId="0" xfId="0" applyNumberFormat="1" applyFont="1"/>
    <xf numFmtId="3" fontId="4" fillId="2" borderId="0" xfId="0" applyNumberFormat="1" applyFont="1" applyFill="1" applyBorder="1" applyAlignment="1">
      <alignment horizontal="center"/>
    </xf>
    <xf numFmtId="3" fontId="4" fillId="4" borderId="0" xfId="0" applyNumberFormat="1" applyFont="1" applyFill="1" applyBorder="1" applyAlignment="1">
      <alignment horizontal="center"/>
    </xf>
    <xf numFmtId="3" fontId="4" fillId="4" borderId="2" xfId="0" applyNumberFormat="1" applyFont="1" applyFill="1" applyBorder="1" applyAlignment="1">
      <alignment horizontal="center" vertical="top"/>
    </xf>
    <xf numFmtId="3" fontId="4" fillId="2" borderId="2" xfId="0" applyNumberFormat="1" applyFont="1" applyFill="1" applyBorder="1" applyAlignment="1">
      <alignment horizontal="center" vertical="top"/>
    </xf>
    <xf numFmtId="3" fontId="4" fillId="2" borderId="6" xfId="0" applyNumberFormat="1" applyFont="1" applyFill="1" applyBorder="1"/>
    <xf numFmtId="3" fontId="6" fillId="4" borderId="6" xfId="0" applyNumberFormat="1" applyFont="1" applyFill="1" applyBorder="1" applyAlignment="1">
      <alignment vertical="center"/>
    </xf>
    <xf numFmtId="3" fontId="6" fillId="2" borderId="6" xfId="0" applyNumberFormat="1" applyFont="1" applyFill="1" applyBorder="1" applyAlignment="1">
      <alignment vertical="center"/>
    </xf>
    <xf numFmtId="0" fontId="9" fillId="0" borderId="0" xfId="0" applyFont="1" applyAlignment="1">
      <alignment vertical="center"/>
    </xf>
    <xf numFmtId="3" fontId="6" fillId="0" borderId="0" xfId="0" applyNumberFormat="1" applyFont="1" applyAlignment="1">
      <alignment vertical="center"/>
    </xf>
    <xf numFmtId="3" fontId="5" fillId="0" borderId="5" xfId="0" applyNumberFormat="1" applyFont="1" applyBorder="1"/>
    <xf numFmtId="3" fontId="5" fillId="0" borderId="0" xfId="0" applyNumberFormat="1" applyFont="1" applyBorder="1"/>
    <xf numFmtId="3" fontId="4" fillId="2" borderId="4" xfId="0" applyNumberFormat="1" applyFont="1" applyFill="1" applyBorder="1"/>
    <xf numFmtId="3" fontId="6" fillId="4" borderId="4" xfId="0" applyNumberFormat="1" applyFont="1" applyFill="1" applyBorder="1" applyAlignment="1">
      <alignment vertical="center"/>
    </xf>
    <xf numFmtId="3" fontId="6" fillId="2" borderId="4" xfId="0" applyNumberFormat="1" applyFont="1" applyFill="1" applyBorder="1" applyAlignment="1">
      <alignment vertical="center"/>
    </xf>
    <xf numFmtId="3" fontId="4" fillId="2" borderId="4" xfId="0" applyNumberFormat="1" applyFont="1" applyFill="1" applyBorder="1" applyAlignment="1">
      <alignment horizontal="right"/>
    </xf>
    <xf numFmtId="3" fontId="6" fillId="2" borderId="4" xfId="0" applyNumberFormat="1" applyFont="1" applyFill="1" applyBorder="1" applyAlignment="1">
      <alignment horizontal="right" vertical="center"/>
    </xf>
    <xf numFmtId="0" fontId="5" fillId="0" borderId="0" xfId="0" applyFont="1" applyFill="1" applyBorder="1"/>
    <xf numFmtId="3" fontId="5" fillId="0" borderId="0" xfId="0" applyNumberFormat="1" applyFont="1" applyFill="1" applyBorder="1" applyAlignment="1">
      <alignment horizontal="right"/>
    </xf>
    <xf numFmtId="0" fontId="4" fillId="5" borderId="0" xfId="0" applyFont="1" applyFill="1"/>
    <xf numFmtId="0" fontId="6" fillId="5" borderId="0" xfId="0" applyFont="1" applyFill="1"/>
    <xf numFmtId="0" fontId="12" fillId="6" borderId="0" xfId="0" applyFont="1" applyFill="1"/>
    <xf numFmtId="0" fontId="6" fillId="6" borderId="0" xfId="0" applyFont="1" applyFill="1"/>
    <xf numFmtId="0" fontId="3" fillId="0" borderId="0" xfId="0" applyFont="1" applyAlignment="1">
      <alignment horizontal="right" vertical="top"/>
    </xf>
    <xf numFmtId="0" fontId="3" fillId="3" borderId="0" xfId="0" applyFont="1" applyFill="1" applyAlignment="1">
      <alignment horizontal="right" vertical="top"/>
    </xf>
    <xf numFmtId="0" fontId="5" fillId="3" borderId="0" xfId="0" applyFont="1" applyFill="1" applyBorder="1" applyProtection="1"/>
    <xf numFmtId="0" fontId="3" fillId="0" borderId="0" xfId="2" applyFont="1"/>
    <xf numFmtId="0" fontId="21" fillId="0" borderId="0" xfId="2"/>
    <xf numFmtId="0" fontId="21" fillId="0" borderId="0" xfId="2" applyAlignment="1"/>
    <xf numFmtId="0" fontId="22" fillId="0" borderId="0" xfId="2" applyFont="1" applyAlignment="1"/>
    <xf numFmtId="0" fontId="3" fillId="0" borderId="0" xfId="5" applyFont="1"/>
    <xf numFmtId="0" fontId="21" fillId="0" borderId="0" xfId="5"/>
    <xf numFmtId="0" fontId="5" fillId="0" borderId="0" xfId="5" applyFont="1"/>
    <xf numFmtId="0" fontId="2" fillId="0" borderId="0" xfId="0" applyFont="1" applyFill="1"/>
    <xf numFmtId="0" fontId="2" fillId="0" borderId="0" xfId="0" applyFont="1" applyFill="1" applyAlignment="1">
      <alignment horizontal="center"/>
    </xf>
    <xf numFmtId="3" fontId="2" fillId="0" borderId="0" xfId="0" applyNumberFormat="1" applyFont="1" applyFill="1"/>
    <xf numFmtId="0" fontId="2" fillId="0" borderId="0" xfId="0" applyNumberFormat="1" applyFont="1" applyFill="1"/>
    <xf numFmtId="0" fontId="3" fillId="0" borderId="0" xfId="0" applyFont="1" applyFill="1"/>
    <xf numFmtId="0" fontId="5" fillId="2" borderId="1" xfId="0" applyFont="1" applyFill="1" applyBorder="1" applyAlignment="1">
      <alignment horizontal="left"/>
    </xf>
    <xf numFmtId="0" fontId="5" fillId="4" borderId="1" xfId="0" applyFont="1" applyFill="1" applyBorder="1" applyAlignment="1">
      <alignment horizontal="center"/>
    </xf>
    <xf numFmtId="0" fontId="5" fillId="2" borderId="1" xfId="0" applyFont="1" applyFill="1" applyBorder="1" applyAlignment="1">
      <alignment horizontal="center"/>
    </xf>
    <xf numFmtId="3" fontId="5" fillId="4" borderId="1" xfId="0" applyNumberFormat="1" applyFont="1" applyFill="1" applyBorder="1" applyAlignment="1">
      <alignment horizontal="center"/>
    </xf>
    <xf numFmtId="3" fontId="5" fillId="2" borderId="1" xfId="0" applyNumberFormat="1" applyFont="1" applyFill="1" applyBorder="1" applyAlignment="1">
      <alignment horizontal="center"/>
    </xf>
    <xf numFmtId="0" fontId="5" fillId="2" borderId="1" xfId="0" applyNumberFormat="1" applyFont="1" applyFill="1" applyBorder="1" applyAlignment="1">
      <alignment horizontal="left"/>
    </xf>
    <xf numFmtId="0" fontId="5" fillId="2" borderId="0" xfId="0" applyFont="1" applyFill="1" applyBorder="1" applyAlignment="1">
      <alignment horizontal="left"/>
    </xf>
    <xf numFmtId="0" fontId="5" fillId="4" borderId="0" xfId="0" applyFont="1" applyFill="1" applyBorder="1" applyAlignment="1">
      <alignment horizontal="center"/>
    </xf>
    <xf numFmtId="0" fontId="5" fillId="2" borderId="0" xfId="0" applyFont="1" applyFill="1" applyBorder="1" applyAlignment="1">
      <alignment horizontal="center"/>
    </xf>
    <xf numFmtId="3" fontId="5" fillId="4" borderId="0" xfId="0" applyNumberFormat="1" applyFont="1" applyFill="1" applyBorder="1" applyAlignment="1">
      <alignment horizontal="center"/>
    </xf>
    <xf numFmtId="3" fontId="5" fillId="2" borderId="0" xfId="0" applyNumberFormat="1" applyFont="1" applyFill="1" applyBorder="1" applyAlignment="1">
      <alignment horizontal="center"/>
    </xf>
    <xf numFmtId="0" fontId="5" fillId="2" borderId="0" xfId="0" applyNumberFormat="1" applyFont="1" applyFill="1" applyBorder="1" applyAlignment="1">
      <alignment horizontal="left"/>
    </xf>
    <xf numFmtId="0" fontId="5" fillId="2" borderId="0" xfId="0" applyNumberFormat="1" applyFont="1" applyFill="1" applyBorder="1" applyAlignment="1">
      <alignment horizontal="center"/>
    </xf>
    <xf numFmtId="0" fontId="5" fillId="2" borderId="2" xfId="0" applyFont="1" applyFill="1" applyBorder="1" applyAlignment="1">
      <alignment horizontal="left"/>
    </xf>
    <xf numFmtId="0" fontId="5" fillId="2" borderId="2" xfId="0" applyFont="1" applyFill="1" applyBorder="1" applyAlignment="1">
      <alignment horizontal="center"/>
    </xf>
    <xf numFmtId="0" fontId="5" fillId="4" borderId="2" xfId="0" applyFont="1" applyFill="1" applyBorder="1" applyAlignment="1">
      <alignment horizontal="center" vertical="top"/>
    </xf>
    <xf numFmtId="0" fontId="5" fillId="2" borderId="2" xfId="0" applyFont="1" applyFill="1" applyBorder="1" applyAlignment="1">
      <alignment horizontal="center" vertical="top"/>
    </xf>
    <xf numFmtId="3" fontId="5" fillId="4" borderId="2" xfId="0" applyNumberFormat="1" applyFont="1" applyFill="1" applyBorder="1" applyAlignment="1">
      <alignment horizontal="center" vertical="top"/>
    </xf>
    <xf numFmtId="3" fontId="5" fillId="2" borderId="2" xfId="0" applyNumberFormat="1" applyFont="1" applyFill="1" applyBorder="1" applyAlignment="1">
      <alignment horizontal="center" vertical="top"/>
    </xf>
    <xf numFmtId="0" fontId="5" fillId="2" borderId="2" xfId="0" applyNumberFormat="1" applyFont="1" applyFill="1" applyBorder="1" applyAlignment="1">
      <alignment horizontal="center" vertical="top"/>
    </xf>
    <xf numFmtId="1" fontId="5" fillId="2" borderId="6" xfId="0" applyNumberFormat="1" applyFont="1" applyFill="1" applyBorder="1" applyAlignment="1">
      <alignment horizontal="center" vertical="center"/>
    </xf>
    <xf numFmtId="1" fontId="5" fillId="2" borderId="6" xfId="0" applyNumberFormat="1" applyFont="1" applyFill="1" applyBorder="1" applyAlignment="1">
      <alignment horizontal="left" vertical="center"/>
    </xf>
    <xf numFmtId="14" fontId="5" fillId="4" borderId="6" xfId="0" applyNumberFormat="1" applyFont="1" applyFill="1" applyBorder="1" applyAlignment="1">
      <alignment horizontal="center" vertical="center"/>
    </xf>
    <xf numFmtId="183" fontId="5" fillId="2" borderId="6" xfId="0" applyNumberFormat="1" applyFont="1" applyFill="1" applyBorder="1" applyAlignment="1">
      <alignment horizontal="center" vertical="center" wrapText="1"/>
    </xf>
    <xf numFmtId="183" fontId="5" fillId="4" borderId="6" xfId="0" applyNumberFormat="1" applyFont="1" applyFill="1" applyBorder="1" applyAlignment="1">
      <alignment horizontal="center" vertical="center" wrapText="1"/>
    </xf>
    <xf numFmtId="0" fontId="5" fillId="2" borderId="6" xfId="0" applyNumberFormat="1" applyFont="1" applyFill="1" applyBorder="1" applyAlignment="1">
      <alignment horizontal="center" vertical="center" wrapText="1"/>
    </xf>
    <xf numFmtId="0" fontId="9" fillId="2" borderId="7" xfId="0" applyNumberFormat="1" applyFont="1" applyFill="1" applyBorder="1" applyAlignment="1">
      <alignment horizontal="center" vertical="center"/>
    </xf>
    <xf numFmtId="0" fontId="9" fillId="2" borderId="7" xfId="0" applyNumberFormat="1" applyFont="1" applyFill="1" applyBorder="1" applyAlignment="1">
      <alignment horizontal="left" vertical="center"/>
    </xf>
    <xf numFmtId="0" fontId="9" fillId="4" borderId="7" xfId="0" applyNumberFormat="1" applyFont="1" applyFill="1" applyBorder="1" applyAlignment="1">
      <alignment horizontal="center" vertical="center"/>
    </xf>
    <xf numFmtId="0" fontId="9" fillId="2" borderId="7" xfId="0" applyNumberFormat="1" applyFont="1" applyFill="1" applyBorder="1" applyAlignment="1">
      <alignment horizontal="center" vertical="center" wrapText="1"/>
    </xf>
    <xf numFmtId="0" fontId="9" fillId="4" borderId="7" xfId="0" applyNumberFormat="1" applyFont="1" applyFill="1" applyBorder="1" applyAlignment="1">
      <alignment horizontal="center" vertical="center" wrapText="1"/>
    </xf>
    <xf numFmtId="0" fontId="9" fillId="0" borderId="0" xfId="0" applyNumberFormat="1" applyFont="1" applyAlignment="1">
      <alignment horizontal="center"/>
    </xf>
    <xf numFmtId="0" fontId="5" fillId="0" borderId="0" xfId="0" applyFont="1" applyFill="1" applyAlignment="1">
      <alignment horizontal="center"/>
    </xf>
    <xf numFmtId="0" fontId="5" fillId="0" borderId="0" xfId="0" applyNumberFormat="1" applyFont="1"/>
    <xf numFmtId="1" fontId="5" fillId="0" borderId="0" xfId="0" applyNumberFormat="1" applyFont="1" applyAlignment="1">
      <alignment horizontal="left"/>
    </xf>
    <xf numFmtId="1" fontId="5" fillId="0" borderId="0" xfId="0" applyNumberFormat="1" applyFont="1" applyFill="1" applyAlignment="1">
      <alignment horizontal="left"/>
    </xf>
    <xf numFmtId="0" fontId="5" fillId="0" borderId="0" xfId="0" applyFont="1" applyFill="1" applyAlignment="1">
      <alignment horizontal="left"/>
    </xf>
    <xf numFmtId="0" fontId="2" fillId="0" borderId="0" xfId="0" applyFont="1" applyAlignment="1">
      <alignment vertical="center"/>
    </xf>
    <xf numFmtId="0" fontId="3" fillId="0" borderId="0" xfId="0" applyFont="1" applyFill="1" applyBorder="1" applyAlignment="1">
      <alignment vertical="center"/>
    </xf>
    <xf numFmtId="3" fontId="5" fillId="0" borderId="2" xfId="0" applyNumberFormat="1" applyFont="1" applyFill="1" applyBorder="1" applyAlignment="1">
      <alignment horizontal="right"/>
    </xf>
    <xf numFmtId="0" fontId="5" fillId="0" borderId="2" xfId="0" applyFont="1" applyFill="1" applyBorder="1" applyAlignment="1">
      <alignment horizontal="right"/>
    </xf>
    <xf numFmtId="0" fontId="4" fillId="2" borderId="7" xfId="0" applyFont="1" applyFill="1" applyBorder="1" applyAlignment="1">
      <alignment horizontal="left"/>
    </xf>
    <xf numFmtId="3" fontId="4" fillId="4" borderId="7" xfId="0" applyNumberFormat="1" applyFont="1" applyFill="1" applyBorder="1" applyAlignment="1">
      <alignment horizontal="right"/>
    </xf>
    <xf numFmtId="184" fontId="4" fillId="2" borderId="7" xfId="0" applyNumberFormat="1" applyFont="1" applyFill="1" applyBorder="1" applyAlignment="1">
      <alignment horizontal="right"/>
    </xf>
    <xf numFmtId="0" fontId="5" fillId="3" borderId="0" xfId="0" applyFont="1" applyFill="1" applyBorder="1"/>
    <xf numFmtId="0" fontId="5" fillId="0" borderId="0" xfId="0" applyFont="1" applyFill="1" applyBorder="1" applyAlignment="1">
      <alignment vertical="top"/>
    </xf>
    <xf numFmtId="0" fontId="23" fillId="0" borderId="0" xfId="0" applyFont="1"/>
    <xf numFmtId="0" fontId="25" fillId="7" borderId="0" xfId="0" applyFont="1" applyFill="1"/>
    <xf numFmtId="0" fontId="5" fillId="7" borderId="0" xfId="0" applyFont="1" applyFill="1"/>
    <xf numFmtId="0" fontId="15" fillId="0" borderId="0" xfId="0" applyFont="1" applyFill="1"/>
    <xf numFmtId="14" fontId="5" fillId="7" borderId="0" xfId="0" applyNumberFormat="1" applyFont="1" applyFill="1"/>
    <xf numFmtId="0" fontId="0" fillId="0" borderId="0" xfId="0" applyAlignment="1">
      <alignment vertical="top"/>
    </xf>
    <xf numFmtId="0" fontId="28" fillId="0" borderId="0" xfId="0" applyFont="1" applyAlignment="1">
      <alignment vertical="top"/>
    </xf>
    <xf numFmtId="0" fontId="27" fillId="0" borderId="0" xfId="0" applyFont="1" applyAlignment="1"/>
    <xf numFmtId="0" fontId="29" fillId="0" borderId="0" xfId="0" applyFont="1" applyAlignment="1"/>
    <xf numFmtId="0" fontId="30" fillId="0" borderId="0" xfId="0" applyFont="1" applyAlignment="1"/>
    <xf numFmtId="0" fontId="29" fillId="0" borderId="8" xfId="0" applyFont="1" applyBorder="1" applyAlignment="1">
      <alignment vertical="top" wrapText="1"/>
    </xf>
    <xf numFmtId="0" fontId="30" fillId="0" borderId="9" xfId="0" applyFont="1" applyBorder="1" applyAlignment="1">
      <alignment horizontal="justify" vertical="top" wrapText="1"/>
    </xf>
    <xf numFmtId="0" fontId="29" fillId="0" borderId="10" xfId="0" applyFont="1" applyBorder="1" applyAlignment="1">
      <alignment vertical="top" wrapText="1"/>
    </xf>
    <xf numFmtId="0" fontId="30" fillId="0" borderId="11" xfId="0" applyFont="1" applyBorder="1" applyAlignment="1">
      <alignment horizontal="justify" vertical="top" wrapText="1"/>
    </xf>
    <xf numFmtId="0" fontId="5" fillId="0" borderId="0" xfId="0" applyFont="1" applyAlignment="1"/>
    <xf numFmtId="1" fontId="31" fillId="0" borderId="0" xfId="0" applyNumberFormat="1" applyFont="1" applyFill="1" applyBorder="1" applyAlignment="1"/>
    <xf numFmtId="0" fontId="9" fillId="0" borderId="0" xfId="0" applyFont="1" applyFill="1" applyBorder="1" applyAlignment="1">
      <alignment horizontal="center"/>
    </xf>
    <xf numFmtId="0" fontId="22" fillId="0" borderId="0" xfId="0" applyFont="1" applyFill="1" applyBorder="1"/>
    <xf numFmtId="16" fontId="9" fillId="0" borderId="0" xfId="0" quotePrefix="1" applyNumberFormat="1" applyFont="1" applyFill="1" applyBorder="1" applyAlignment="1">
      <alignment horizontal="center"/>
    </xf>
    <xf numFmtId="0" fontId="22" fillId="0" borderId="0" xfId="0" quotePrefix="1" applyFont="1" applyFill="1" applyBorder="1"/>
    <xf numFmtId="18" fontId="9" fillId="0" borderId="0" xfId="0" quotePrefix="1" applyNumberFormat="1" applyFont="1" applyFill="1" applyBorder="1" applyAlignment="1">
      <alignment horizontal="center"/>
    </xf>
    <xf numFmtId="0" fontId="9" fillId="0" borderId="0" xfId="0" quotePrefix="1" applyFont="1" applyFill="1" applyBorder="1" applyAlignment="1">
      <alignment horizontal="center"/>
    </xf>
    <xf numFmtId="0" fontId="9" fillId="0" borderId="0" xfId="0" applyFont="1" applyBorder="1" applyAlignment="1">
      <alignment horizontal="center"/>
    </xf>
    <xf numFmtId="0" fontId="22" fillId="0" borderId="0" xfId="0" applyFont="1" applyBorder="1"/>
    <xf numFmtId="1" fontId="5" fillId="0" borderId="0" xfId="0" applyNumberFormat="1" applyFont="1" applyBorder="1" applyAlignment="1">
      <alignment horizontal="left"/>
    </xf>
    <xf numFmtId="0" fontId="5" fillId="0" borderId="0" xfId="0" applyFont="1" applyBorder="1" applyAlignment="1">
      <alignment horizontal="left"/>
    </xf>
    <xf numFmtId="0" fontId="2" fillId="0" borderId="0" xfId="0" applyNumberFormat="1" applyFont="1" applyAlignment="1">
      <alignment horizontal="center"/>
    </xf>
    <xf numFmtId="0" fontId="3" fillId="0" borderId="0" xfId="0" applyNumberFormat="1" applyFont="1" applyAlignment="1">
      <alignment horizontal="right"/>
    </xf>
    <xf numFmtId="0" fontId="5" fillId="2" borderId="1" xfId="0" applyNumberFormat="1" applyFont="1" applyFill="1" applyBorder="1" applyAlignment="1">
      <alignment horizontal="center"/>
    </xf>
    <xf numFmtId="1" fontId="5" fillId="2" borderId="6" xfId="0" applyNumberFormat="1" applyFont="1" applyFill="1" applyBorder="1" applyAlignment="1">
      <alignment horizontal="right" vertical="center"/>
    </xf>
    <xf numFmtId="0" fontId="5" fillId="2" borderId="6" xfId="0" applyFont="1" applyFill="1" applyBorder="1" applyAlignment="1">
      <alignment horizontal="left" vertical="center"/>
    </xf>
    <xf numFmtId="3" fontId="5" fillId="4" borderId="6" xfId="0" applyNumberFormat="1" applyFont="1" applyFill="1" applyBorder="1" applyAlignment="1">
      <alignment vertical="center"/>
    </xf>
    <xf numFmtId="183" fontId="5" fillId="2" borderId="6" xfId="0" applyNumberFormat="1" applyFont="1" applyFill="1" applyBorder="1" applyAlignment="1">
      <alignment horizontal="right" vertical="center"/>
    </xf>
    <xf numFmtId="183" fontId="5" fillId="4" borderId="6" xfId="0" applyNumberFormat="1" applyFont="1" applyFill="1" applyBorder="1" applyAlignment="1">
      <alignment horizontal="right" vertical="center"/>
    </xf>
    <xf numFmtId="184" fontId="5" fillId="2" borderId="6" xfId="0" applyNumberFormat="1" applyFont="1" applyFill="1" applyBorder="1" applyAlignment="1">
      <alignment horizontal="right" vertical="center"/>
    </xf>
    <xf numFmtId="3" fontId="5" fillId="4" borderId="6" xfId="0" applyNumberFormat="1" applyFont="1" applyFill="1" applyBorder="1" applyAlignment="1">
      <alignment horizontal="right" vertical="center"/>
    </xf>
    <xf numFmtId="184" fontId="5" fillId="2" borderId="6" xfId="0" applyNumberFormat="1" applyFont="1" applyFill="1" applyBorder="1" applyAlignment="1">
      <alignment vertical="center"/>
    </xf>
    <xf numFmtId="3" fontId="5" fillId="2" borderId="6" xfId="0" applyNumberFormat="1" applyFont="1" applyFill="1" applyBorder="1" applyAlignment="1">
      <alignment horizontal="right" vertical="center"/>
    </xf>
    <xf numFmtId="184" fontId="5" fillId="4" borderId="6" xfId="0" applyNumberFormat="1" applyFont="1" applyFill="1" applyBorder="1" applyAlignment="1">
      <alignment horizontal="right" vertical="center"/>
    </xf>
    <xf numFmtId="0" fontId="5" fillId="2" borderId="6" xfId="0" applyNumberFormat="1" applyFont="1" applyFill="1" applyBorder="1" applyAlignment="1">
      <alignment horizontal="center" vertical="center"/>
    </xf>
    <xf numFmtId="1" fontId="5" fillId="2" borderId="4" xfId="0" applyNumberFormat="1" applyFont="1" applyFill="1" applyBorder="1" applyAlignment="1">
      <alignment horizontal="right" vertical="center"/>
    </xf>
    <xf numFmtId="0" fontId="5" fillId="2" borderId="4" xfId="0" applyFont="1" applyFill="1" applyBorder="1" applyAlignment="1">
      <alignment horizontal="left" vertical="center"/>
    </xf>
    <xf numFmtId="3" fontId="5" fillId="4" borderId="4" xfId="0" applyNumberFormat="1" applyFont="1" applyFill="1" applyBorder="1" applyAlignment="1">
      <alignment vertical="center"/>
    </xf>
    <xf numFmtId="183" fontId="5" fillId="2" borderId="4" xfId="0" applyNumberFormat="1" applyFont="1" applyFill="1" applyBorder="1" applyAlignment="1">
      <alignment horizontal="right" vertical="center"/>
    </xf>
    <xf numFmtId="183" fontId="5" fillId="4" borderId="4" xfId="0" applyNumberFormat="1" applyFont="1" applyFill="1" applyBorder="1" applyAlignment="1">
      <alignment horizontal="right" vertical="center"/>
    </xf>
    <xf numFmtId="184" fontId="5" fillId="2" borderId="4" xfId="0" applyNumberFormat="1" applyFont="1" applyFill="1" applyBorder="1" applyAlignment="1">
      <alignment horizontal="right" vertical="center"/>
    </xf>
    <xf numFmtId="3" fontId="5" fillId="4" borderId="4" xfId="0" applyNumberFormat="1" applyFont="1" applyFill="1" applyBorder="1" applyAlignment="1">
      <alignment horizontal="right" vertical="center"/>
    </xf>
    <xf numFmtId="184" fontId="5" fillId="2" borderId="4" xfId="0" applyNumberFormat="1" applyFont="1" applyFill="1" applyBorder="1" applyAlignment="1">
      <alignment vertical="center"/>
    </xf>
    <xf numFmtId="3" fontId="5" fillId="2" borderId="4" xfId="0" applyNumberFormat="1" applyFont="1" applyFill="1" applyBorder="1" applyAlignment="1">
      <alignment horizontal="right" vertical="center"/>
    </xf>
    <xf numFmtId="184" fontId="5" fillId="4" borderId="4" xfId="0" applyNumberFormat="1" applyFont="1" applyFill="1" applyBorder="1" applyAlignment="1">
      <alignment horizontal="right" vertical="center"/>
    </xf>
    <xf numFmtId="1" fontId="5" fillId="2" borderId="12" xfId="0" applyNumberFormat="1" applyFont="1" applyFill="1" applyBorder="1" applyAlignment="1">
      <alignment horizontal="right" vertical="center"/>
    </xf>
    <xf numFmtId="0" fontId="5" fillId="2" borderId="12" xfId="0" applyFont="1" applyFill="1" applyBorder="1" applyAlignment="1">
      <alignment horizontal="left" vertical="center"/>
    </xf>
    <xf numFmtId="3" fontId="5" fillId="4" borderId="12" xfId="0" applyNumberFormat="1" applyFont="1" applyFill="1" applyBorder="1" applyAlignment="1">
      <alignment vertical="center"/>
    </xf>
    <xf numFmtId="183" fontId="5" fillId="2" borderId="12" xfId="0" applyNumberFormat="1" applyFont="1" applyFill="1" applyBorder="1" applyAlignment="1">
      <alignment horizontal="right" vertical="center"/>
    </xf>
    <xf numFmtId="183" fontId="5" fillId="4" borderId="12" xfId="0" applyNumberFormat="1" applyFont="1" applyFill="1" applyBorder="1" applyAlignment="1">
      <alignment horizontal="right" vertical="center"/>
    </xf>
    <xf numFmtId="184" fontId="5" fillId="2" borderId="12" xfId="0" applyNumberFormat="1" applyFont="1" applyFill="1" applyBorder="1" applyAlignment="1">
      <alignment horizontal="right" vertical="center"/>
    </xf>
    <xf numFmtId="3" fontId="5" fillId="4" borderId="12" xfId="0" applyNumberFormat="1" applyFont="1" applyFill="1" applyBorder="1" applyAlignment="1">
      <alignment horizontal="right" vertical="center"/>
    </xf>
    <xf numFmtId="184" fontId="5" fillId="2" borderId="12" xfId="0" applyNumberFormat="1" applyFont="1" applyFill="1" applyBorder="1" applyAlignment="1">
      <alignment vertical="center"/>
    </xf>
    <xf numFmtId="3" fontId="5" fillId="2" borderId="12" xfId="0" applyNumberFormat="1" applyFont="1" applyFill="1" applyBorder="1" applyAlignment="1">
      <alignment horizontal="right" vertical="center"/>
    </xf>
    <xf numFmtId="184" fontId="5" fillId="4" borderId="12" xfId="0" applyNumberFormat="1" applyFont="1" applyFill="1" applyBorder="1" applyAlignment="1">
      <alignment horizontal="right" vertical="center"/>
    </xf>
    <xf numFmtId="0" fontId="5" fillId="2" borderId="0" xfId="0" applyNumberFormat="1" applyFont="1" applyFill="1" applyBorder="1" applyAlignment="1">
      <alignment horizontal="center" vertical="center"/>
    </xf>
    <xf numFmtId="1" fontId="9" fillId="2" borderId="7" xfId="0" applyNumberFormat="1" applyFont="1" applyFill="1" applyBorder="1" applyAlignment="1">
      <alignment horizontal="right" vertical="center"/>
    </xf>
    <xf numFmtId="0" fontId="9" fillId="2" borderId="7" xfId="0" applyFont="1" applyFill="1" applyBorder="1" applyAlignment="1">
      <alignment horizontal="left" vertical="center"/>
    </xf>
    <xf numFmtId="3" fontId="9" fillId="4" borderId="7" xfId="0" applyNumberFormat="1" applyFont="1" applyFill="1" applyBorder="1" applyAlignment="1">
      <alignment vertical="center"/>
    </xf>
    <xf numFmtId="183" fontId="9" fillId="2" borderId="7" xfId="0" applyNumberFormat="1" applyFont="1" applyFill="1" applyBorder="1" applyAlignment="1">
      <alignment horizontal="right" vertical="center"/>
    </xf>
    <xf numFmtId="183" fontId="9" fillId="4" borderId="7" xfId="0" applyNumberFormat="1" applyFont="1" applyFill="1" applyBorder="1" applyAlignment="1">
      <alignment horizontal="right" vertical="center"/>
    </xf>
    <xf numFmtId="184" fontId="9" fillId="2" borderId="7" xfId="0" applyNumberFormat="1" applyFont="1" applyFill="1" applyBorder="1" applyAlignment="1">
      <alignment horizontal="right" vertical="center"/>
    </xf>
    <xf numFmtId="3" fontId="9" fillId="4" borderId="7" xfId="0" applyNumberFormat="1" applyFont="1" applyFill="1" applyBorder="1" applyAlignment="1">
      <alignment horizontal="right" vertical="center"/>
    </xf>
    <xf numFmtId="184" fontId="9" fillId="2" borderId="7" xfId="0" applyNumberFormat="1" applyFont="1" applyFill="1" applyBorder="1" applyAlignment="1">
      <alignment vertical="center"/>
    </xf>
    <xf numFmtId="3" fontId="9" fillId="2" borderId="7" xfId="0" applyNumberFormat="1" applyFont="1" applyFill="1" applyBorder="1" applyAlignment="1">
      <alignment horizontal="right" vertical="center"/>
    </xf>
    <xf numFmtId="184" fontId="9" fillId="4" borderId="7" xfId="0" applyNumberFormat="1" applyFont="1" applyFill="1" applyBorder="1" applyAlignment="1">
      <alignment horizontal="right" vertical="center"/>
    </xf>
    <xf numFmtId="1" fontId="5" fillId="0" borderId="6" xfId="0" applyNumberFormat="1" applyFont="1" applyFill="1" applyBorder="1" applyAlignment="1">
      <alignment horizontal="right"/>
    </xf>
    <xf numFmtId="0" fontId="5" fillId="0" borderId="6" xfId="0" applyFont="1" applyFill="1" applyBorder="1" applyAlignment="1">
      <alignment horizontal="left"/>
    </xf>
    <xf numFmtId="3" fontId="5" fillId="0" borderId="6" xfId="0" applyNumberFormat="1" applyFont="1" applyFill="1" applyBorder="1" applyAlignment="1"/>
    <xf numFmtId="183" fontId="5" fillId="0" borderId="6" xfId="0" applyNumberFormat="1" applyFont="1" applyFill="1" applyBorder="1" applyAlignment="1">
      <alignment horizontal="right"/>
    </xf>
    <xf numFmtId="184" fontId="5" fillId="0" borderId="6" xfId="0" applyNumberFormat="1" applyFont="1" applyFill="1" applyBorder="1" applyAlignment="1">
      <alignment horizontal="right"/>
    </xf>
    <xf numFmtId="3" fontId="5" fillId="0" borderId="6" xfId="0" applyNumberFormat="1" applyFont="1" applyFill="1" applyBorder="1" applyAlignment="1">
      <alignment horizontal="right"/>
    </xf>
    <xf numFmtId="184" fontId="5" fillId="0" borderId="6" xfId="0" applyNumberFormat="1" applyFont="1" applyFill="1" applyBorder="1" applyAlignment="1"/>
    <xf numFmtId="0" fontId="5" fillId="0" borderId="0" xfId="0" applyNumberFormat="1" applyFont="1" applyAlignment="1">
      <alignment horizontal="center"/>
    </xf>
    <xf numFmtId="3" fontId="5" fillId="0" borderId="4" xfId="0" applyNumberFormat="1" applyFont="1" applyFill="1" applyBorder="1" applyAlignment="1"/>
    <xf numFmtId="183" fontId="5" fillId="0" borderId="4" xfId="0" applyNumberFormat="1" applyFont="1" applyFill="1" applyBorder="1" applyAlignment="1">
      <alignment horizontal="right"/>
    </xf>
    <xf numFmtId="184" fontId="5" fillId="0" borderId="4" xfId="0" applyNumberFormat="1" applyFont="1" applyFill="1" applyBorder="1" applyAlignment="1">
      <alignment horizontal="right"/>
    </xf>
    <xf numFmtId="3" fontId="5" fillId="0" borderId="4" xfId="0" applyNumberFormat="1" applyFont="1" applyFill="1" applyBorder="1" applyAlignment="1">
      <alignment horizontal="left"/>
    </xf>
    <xf numFmtId="184" fontId="5" fillId="0" borderId="4" xfId="0" applyNumberFormat="1" applyFont="1" applyFill="1" applyBorder="1" applyAlignment="1"/>
    <xf numFmtId="3" fontId="5" fillId="0" borderId="4" xfId="0" applyNumberFormat="1" applyFont="1" applyFill="1" applyBorder="1" applyAlignment="1">
      <alignment horizontal="right"/>
    </xf>
    <xf numFmtId="0" fontId="3" fillId="0" borderId="0" xfId="0" applyFont="1" applyFill="1" applyAlignment="1">
      <alignment vertical="top"/>
    </xf>
    <xf numFmtId="1" fontId="5" fillId="2" borderId="3" xfId="0" applyNumberFormat="1" applyFont="1" applyFill="1" applyBorder="1" applyAlignment="1">
      <alignment horizontal="right" vertical="center"/>
    </xf>
    <xf numFmtId="0" fontId="5" fillId="2" borderId="3" xfId="0" applyFont="1" applyFill="1" applyBorder="1" applyAlignment="1">
      <alignment horizontal="left" vertical="center"/>
    </xf>
    <xf numFmtId="3" fontId="5" fillId="4" borderId="6" xfId="0" applyNumberFormat="1" applyFont="1" applyFill="1" applyBorder="1" applyAlignment="1">
      <alignment horizontal="center" vertical="center"/>
    </xf>
    <xf numFmtId="183" fontId="5" fillId="2" borderId="3" xfId="0" applyNumberFormat="1" applyFont="1" applyFill="1" applyBorder="1" applyAlignment="1">
      <alignment horizontal="right" vertical="center"/>
    </xf>
    <xf numFmtId="183" fontId="5" fillId="4" borderId="3" xfId="0" applyNumberFormat="1" applyFont="1" applyFill="1" applyBorder="1" applyAlignment="1">
      <alignment horizontal="right" vertical="center"/>
    </xf>
    <xf numFmtId="183" fontId="5" fillId="4" borderId="3" xfId="0" applyNumberFormat="1" applyFont="1" applyFill="1" applyBorder="1" applyAlignment="1">
      <alignment vertical="center"/>
    </xf>
    <xf numFmtId="3" fontId="5" fillId="4" borderId="4" xfId="0" applyNumberFormat="1" applyFont="1" applyFill="1" applyBorder="1" applyAlignment="1">
      <alignment horizontal="center" vertical="center"/>
    </xf>
    <xf numFmtId="183" fontId="5" fillId="4" borderId="4" xfId="0" applyNumberFormat="1" applyFont="1" applyFill="1" applyBorder="1" applyAlignment="1">
      <alignment vertical="center"/>
    </xf>
    <xf numFmtId="3" fontId="5" fillId="4" borderId="12" xfId="0" applyNumberFormat="1" applyFont="1" applyFill="1" applyBorder="1" applyAlignment="1">
      <alignment horizontal="center" vertical="center"/>
    </xf>
    <xf numFmtId="183" fontId="5" fillId="4" borderId="12" xfId="0" applyNumberFormat="1" applyFont="1" applyFill="1" applyBorder="1" applyAlignment="1">
      <alignment vertical="center"/>
    </xf>
    <xf numFmtId="183" fontId="5" fillId="4" borderId="6" xfId="0" applyNumberFormat="1" applyFont="1" applyFill="1" applyBorder="1" applyAlignment="1">
      <alignment vertical="center"/>
    </xf>
    <xf numFmtId="3" fontId="9" fillId="4" borderId="7" xfId="0" applyNumberFormat="1" applyFont="1" applyFill="1" applyBorder="1" applyAlignment="1">
      <alignment horizontal="center" vertical="center"/>
    </xf>
    <xf numFmtId="183" fontId="9" fillId="4" borderId="7" xfId="0" applyNumberFormat="1" applyFont="1" applyFill="1" applyBorder="1" applyAlignment="1">
      <alignment vertical="center"/>
    </xf>
    <xf numFmtId="3" fontId="5" fillId="0" borderId="6" xfId="0" applyNumberFormat="1" applyFont="1" applyFill="1" applyBorder="1" applyAlignment="1">
      <alignment horizontal="center"/>
    </xf>
    <xf numFmtId="3" fontId="5" fillId="0" borderId="4" xfId="0" applyNumberFormat="1" applyFont="1" applyFill="1" applyBorder="1" applyAlignment="1">
      <alignment horizontal="center"/>
    </xf>
    <xf numFmtId="2" fontId="22" fillId="0" borderId="0" xfId="2" quotePrefix="1" applyNumberFormat="1" applyFont="1"/>
    <xf numFmtId="0" fontId="22" fillId="0" borderId="0" xfId="2" applyFont="1"/>
    <xf numFmtId="0" fontId="33" fillId="0" borderId="0" xfId="2" applyFont="1"/>
    <xf numFmtId="0" fontId="33" fillId="0" borderId="0" xfId="5" applyFont="1"/>
    <xf numFmtId="0" fontId="3" fillId="0" borderId="0" xfId="4" applyFont="1"/>
    <xf numFmtId="0" fontId="21" fillId="0" borderId="0" xfId="4"/>
    <xf numFmtId="0" fontId="22" fillId="0" borderId="0" xfId="4" applyFont="1" applyAlignment="1"/>
    <xf numFmtId="2" fontId="21" fillId="0" borderId="0" xfId="4" applyNumberFormat="1"/>
    <xf numFmtId="0" fontId="22" fillId="0" borderId="0" xfId="4" applyFont="1"/>
    <xf numFmtId="0" fontId="33" fillId="0" borderId="0" xfId="4" applyFont="1"/>
    <xf numFmtId="0" fontId="3" fillId="0" borderId="2" xfId="0" applyFont="1" applyFill="1" applyBorder="1" applyAlignment="1">
      <alignment horizontal="right" vertical="top"/>
    </xf>
    <xf numFmtId="182" fontId="4" fillId="2" borderId="3" xfId="0" applyNumberFormat="1" applyFont="1" applyFill="1" applyBorder="1" applyAlignment="1">
      <alignment horizontal="left"/>
    </xf>
    <xf numFmtId="184" fontId="4" fillId="4" borderId="3" xfId="0" applyNumberFormat="1" applyFont="1" applyFill="1" applyBorder="1"/>
    <xf numFmtId="184" fontId="4" fillId="2" borderId="3" xfId="0" applyNumberFormat="1" applyFont="1" applyFill="1" applyBorder="1"/>
    <xf numFmtId="184" fontId="4" fillId="2" borderId="3" xfId="0" applyNumberFormat="1" applyFont="1" applyFill="1" applyBorder="1" applyAlignment="1">
      <alignment horizontal="right"/>
    </xf>
    <xf numFmtId="184" fontId="4" fillId="4" borderId="3" xfId="0" applyNumberFormat="1" applyFont="1" applyFill="1" applyBorder="1" applyAlignment="1">
      <alignment horizontal="right"/>
    </xf>
    <xf numFmtId="182" fontId="4" fillId="2" borderId="4" xfId="0" applyNumberFormat="1" applyFont="1" applyFill="1" applyBorder="1" applyAlignment="1">
      <alignment horizontal="left"/>
    </xf>
    <xf numFmtId="182" fontId="6" fillId="2" borderId="0" xfId="0" applyNumberFormat="1" applyFont="1" applyFill="1" applyBorder="1" applyAlignment="1">
      <alignment horizontal="left" vertical="center"/>
    </xf>
    <xf numFmtId="184" fontId="6" fillId="4" borderId="3" xfId="0" applyNumberFormat="1" applyFont="1" applyFill="1" applyBorder="1" applyAlignment="1">
      <alignment vertical="center"/>
    </xf>
    <xf numFmtId="184" fontId="6" fillId="2" borderId="3" xfId="0" applyNumberFormat="1" applyFont="1" applyFill="1" applyBorder="1" applyAlignment="1">
      <alignment vertical="center"/>
    </xf>
    <xf numFmtId="184" fontId="6" fillId="2" borderId="3" xfId="0" applyNumberFormat="1" applyFont="1" applyFill="1" applyBorder="1" applyAlignment="1">
      <alignment horizontal="right" vertical="center"/>
    </xf>
    <xf numFmtId="184" fontId="6" fillId="4" borderId="7" xfId="0" applyNumberFormat="1" applyFont="1" applyFill="1" applyBorder="1" applyAlignment="1">
      <alignment horizontal="right" vertical="center"/>
    </xf>
    <xf numFmtId="2" fontId="5" fillId="0" borderId="5" xfId="0" applyNumberFormat="1" applyFont="1" applyBorder="1"/>
    <xf numFmtId="3" fontId="4" fillId="0" borderId="5" xfId="0" applyNumberFormat="1" applyFont="1" applyBorder="1" applyAlignment="1">
      <alignment horizontal="right" vertical="top"/>
    </xf>
    <xf numFmtId="2" fontId="5" fillId="0" borderId="0" xfId="0" applyNumberFormat="1" applyFont="1" applyBorder="1"/>
    <xf numFmtId="3" fontId="4" fillId="0" borderId="0" xfId="0" applyNumberFormat="1" applyFont="1" applyBorder="1" applyAlignment="1">
      <alignment horizontal="right" vertical="top"/>
    </xf>
    <xf numFmtId="0" fontId="4" fillId="4" borderId="1" xfId="0" applyFont="1" applyFill="1" applyBorder="1" applyAlignment="1">
      <alignment horizontal="center"/>
    </xf>
    <xf numFmtId="183" fontId="4" fillId="4" borderId="3" xfId="0" applyNumberFormat="1" applyFont="1" applyFill="1" applyBorder="1"/>
    <xf numFmtId="183" fontId="4" fillId="2" borderId="3" xfId="0" applyNumberFormat="1" applyFont="1" applyFill="1" applyBorder="1"/>
    <xf numFmtId="184" fontId="4" fillId="4" borderId="3" xfId="0" applyNumberFormat="1" applyFont="1" applyFill="1" applyBorder="1" applyAlignment="1">
      <alignment horizontal="center"/>
    </xf>
    <xf numFmtId="183" fontId="6" fillId="4" borderId="3" xfId="0" applyNumberFormat="1" applyFont="1" applyFill="1" applyBorder="1" applyAlignment="1">
      <alignment vertical="center"/>
    </xf>
    <xf numFmtId="183" fontId="6" fillId="2" borderId="3" xfId="0" applyNumberFormat="1" applyFont="1" applyFill="1" applyBorder="1" applyAlignment="1">
      <alignment vertical="center"/>
    </xf>
    <xf numFmtId="184" fontId="6" fillId="4" borderId="7" xfId="0" applyNumberFormat="1" applyFont="1" applyFill="1" applyBorder="1" applyAlignment="1">
      <alignment horizontal="center" vertical="center"/>
    </xf>
    <xf numFmtId="3" fontId="4" fillId="0" borderId="5" xfId="0" applyNumberFormat="1" applyFont="1" applyBorder="1" applyAlignment="1">
      <alignment horizontal="center" vertical="top"/>
    </xf>
    <xf numFmtId="3" fontId="4" fillId="0" borderId="0" xfId="0" applyNumberFormat="1" applyFont="1" applyBorder="1" applyAlignment="1">
      <alignment horizontal="center" vertical="top"/>
    </xf>
    <xf numFmtId="0" fontId="3" fillId="0" borderId="0" xfId="0" applyFont="1" applyFill="1" applyAlignment="1">
      <alignment horizontal="right" vertical="top"/>
    </xf>
    <xf numFmtId="3" fontId="4" fillId="4" borderId="1" xfId="0" applyNumberFormat="1" applyFont="1" applyFill="1" applyBorder="1" applyAlignment="1">
      <alignment horizontal="center"/>
    </xf>
    <xf numFmtId="0" fontId="6" fillId="2" borderId="1" xfId="0" applyFont="1" applyFill="1" applyBorder="1" applyAlignment="1">
      <alignment horizontal="right"/>
    </xf>
    <xf numFmtId="3" fontId="6" fillId="2" borderId="0" xfId="0" applyNumberFormat="1" applyFont="1" applyFill="1" applyBorder="1" applyAlignment="1">
      <alignment horizontal="right"/>
    </xf>
    <xf numFmtId="3" fontId="6" fillId="2" borderId="2" xfId="0" applyNumberFormat="1" applyFont="1" applyFill="1" applyBorder="1" applyAlignment="1">
      <alignment horizontal="right" vertical="top"/>
    </xf>
    <xf numFmtId="3" fontId="4" fillId="4" borderId="3" xfId="0" applyNumberFormat="1" applyFont="1" applyFill="1" applyBorder="1" applyAlignment="1">
      <alignment horizontal="center"/>
    </xf>
    <xf numFmtId="3" fontId="6" fillId="2" borderId="3" xfId="0" applyNumberFormat="1" applyFont="1" applyFill="1" applyBorder="1"/>
    <xf numFmtId="184" fontId="4" fillId="4" borderId="4" xfId="0" applyNumberFormat="1" applyFont="1" applyFill="1" applyBorder="1" applyAlignment="1">
      <alignment horizontal="center"/>
    </xf>
    <xf numFmtId="3" fontId="4" fillId="4" borderId="4" xfId="0" applyNumberFormat="1" applyFont="1" applyFill="1" applyBorder="1" applyAlignment="1">
      <alignment horizontal="center"/>
    </xf>
    <xf numFmtId="3" fontId="6" fillId="2" borderId="4" xfId="0" applyNumberFormat="1" applyFont="1" applyFill="1" applyBorder="1"/>
    <xf numFmtId="3" fontId="6" fillId="2" borderId="4" xfId="0" applyNumberFormat="1" applyFont="1" applyFill="1" applyBorder="1" applyAlignment="1">
      <alignment horizontal="right"/>
    </xf>
    <xf numFmtId="184" fontId="6" fillId="4" borderId="0" xfId="0" applyNumberFormat="1" applyFont="1" applyFill="1" applyBorder="1" applyAlignment="1">
      <alignment horizontal="center" vertical="center"/>
    </xf>
    <xf numFmtId="3" fontId="6" fillId="2" borderId="0" xfId="0" applyNumberFormat="1" applyFont="1" applyFill="1" applyBorder="1" applyAlignment="1">
      <alignment vertical="center"/>
    </xf>
    <xf numFmtId="3" fontId="6" fillId="4" borderId="0" xfId="0" applyNumberFormat="1" applyFont="1" applyFill="1" applyBorder="1" applyAlignment="1">
      <alignment horizontal="center" vertical="center"/>
    </xf>
    <xf numFmtId="184" fontId="6" fillId="2" borderId="7" xfId="0" applyNumberFormat="1" applyFont="1" applyFill="1" applyBorder="1" applyAlignment="1">
      <alignment horizontal="center" vertical="center"/>
    </xf>
    <xf numFmtId="0" fontId="9" fillId="0" borderId="0" xfId="0" applyFont="1" applyBorder="1" applyAlignment="1">
      <alignment vertical="center"/>
    </xf>
    <xf numFmtId="3" fontId="6" fillId="0" borderId="5" xfId="0" applyNumberFormat="1" applyFont="1" applyBorder="1" applyAlignment="1">
      <alignment horizontal="right" vertical="top"/>
    </xf>
    <xf numFmtId="3" fontId="6" fillId="0" borderId="0" xfId="0" applyNumberFormat="1" applyFont="1" applyBorder="1" applyAlignment="1">
      <alignment horizontal="right" vertical="top"/>
    </xf>
    <xf numFmtId="0" fontId="6" fillId="4" borderId="1" xfId="0" applyFont="1" applyFill="1" applyBorder="1" applyAlignment="1">
      <alignment horizontal="right"/>
    </xf>
    <xf numFmtId="3" fontId="6" fillId="4" borderId="0" xfId="0" applyNumberFormat="1" applyFont="1" applyFill="1" applyBorder="1" applyAlignment="1">
      <alignment horizontal="right"/>
    </xf>
    <xf numFmtId="3" fontId="6" fillId="4" borderId="2" xfId="0" applyNumberFormat="1" applyFont="1" applyFill="1" applyBorder="1" applyAlignment="1">
      <alignment horizontal="right" vertical="top"/>
    </xf>
    <xf numFmtId="3" fontId="6" fillId="4" borderId="3" xfId="0" applyNumberFormat="1" applyFont="1" applyFill="1" applyBorder="1"/>
    <xf numFmtId="184" fontId="4" fillId="2" borderId="4" xfId="0" applyNumberFormat="1" applyFont="1" applyFill="1" applyBorder="1" applyAlignment="1">
      <alignment horizontal="center"/>
    </xf>
    <xf numFmtId="3" fontId="6" fillId="4" borderId="0" xfId="0" applyNumberFormat="1" applyFont="1" applyFill="1" applyBorder="1" applyAlignment="1">
      <alignment vertical="center"/>
    </xf>
    <xf numFmtId="184" fontId="6" fillId="2" borderId="0" xfId="0" applyNumberFormat="1" applyFont="1" applyFill="1" applyBorder="1" applyAlignment="1">
      <alignment horizontal="center" vertical="center"/>
    </xf>
    <xf numFmtId="182" fontId="5" fillId="0" borderId="0" xfId="0" applyNumberFormat="1" applyFont="1" applyBorder="1"/>
    <xf numFmtId="0" fontId="4" fillId="4" borderId="0" xfId="0" applyFont="1" applyFill="1" applyBorder="1" applyAlignment="1">
      <alignment horizontal="left"/>
    </xf>
    <xf numFmtId="3" fontId="4" fillId="4" borderId="0" xfId="0" applyNumberFormat="1" applyFont="1" applyFill="1" applyBorder="1" applyAlignment="1">
      <alignment horizontal="left"/>
    </xf>
    <xf numFmtId="182" fontId="4" fillId="2" borderId="6" xfId="0" applyNumberFormat="1" applyFont="1" applyFill="1" applyBorder="1" applyAlignment="1">
      <alignment horizontal="left"/>
    </xf>
    <xf numFmtId="182" fontId="4" fillId="2" borderId="7" xfId="0" applyNumberFormat="1" applyFont="1" applyFill="1" applyBorder="1" applyAlignment="1">
      <alignment horizontal="left"/>
    </xf>
    <xf numFmtId="3" fontId="4" fillId="4" borderId="7" xfId="0" applyNumberFormat="1" applyFont="1" applyFill="1" applyBorder="1"/>
    <xf numFmtId="3" fontId="4" fillId="2" borderId="7" xfId="0" applyNumberFormat="1" applyFont="1" applyFill="1" applyBorder="1"/>
    <xf numFmtId="182" fontId="5" fillId="0" borderId="0" xfId="0" applyNumberFormat="1" applyFont="1"/>
    <xf numFmtId="184" fontId="6" fillId="4" borderId="3" xfId="0" applyNumberFormat="1" applyFont="1" applyFill="1" applyBorder="1" applyAlignment="1">
      <alignment horizontal="center" vertical="center"/>
    </xf>
    <xf numFmtId="0" fontId="5" fillId="3" borderId="0" xfId="0" applyFont="1" applyFill="1"/>
    <xf numFmtId="3" fontId="6" fillId="4" borderId="0" xfId="0" applyNumberFormat="1" applyFont="1" applyFill="1" applyBorder="1" applyAlignment="1">
      <alignment horizontal="right" vertical="center"/>
    </xf>
    <xf numFmtId="3" fontId="6" fillId="2" borderId="0" xfId="0" applyNumberFormat="1" applyFont="1" applyFill="1" applyBorder="1" applyAlignment="1">
      <alignment horizontal="right" vertical="center"/>
    </xf>
    <xf numFmtId="0" fontId="0" fillId="2" borderId="1" xfId="0" applyFill="1" applyBorder="1" applyAlignment="1">
      <alignment horizontal="right"/>
    </xf>
    <xf numFmtId="3" fontId="6" fillId="4" borderId="3" xfId="0" applyNumberFormat="1" applyFont="1" applyFill="1" applyBorder="1" applyAlignment="1">
      <alignment horizontal="right" vertical="center"/>
    </xf>
    <xf numFmtId="3" fontId="6" fillId="2" borderId="3" xfId="0" applyNumberFormat="1" applyFont="1" applyFill="1" applyBorder="1" applyAlignment="1">
      <alignment horizontal="right" vertical="center"/>
    </xf>
    <xf numFmtId="0" fontId="3" fillId="0" borderId="0" xfId="1" applyFont="1"/>
    <xf numFmtId="0" fontId="21" fillId="0" borderId="0" xfId="1"/>
    <xf numFmtId="2" fontId="21" fillId="0" borderId="0" xfId="1" applyNumberFormat="1"/>
    <xf numFmtId="0" fontId="33" fillId="0" borderId="0" xfId="1" applyFont="1"/>
    <xf numFmtId="0" fontId="28" fillId="0" borderId="0" xfId="9" applyFont="1"/>
    <xf numFmtId="0" fontId="21" fillId="0" borderId="0" xfId="9"/>
    <xf numFmtId="0" fontId="3" fillId="0" borderId="0" xfId="9" applyFont="1"/>
    <xf numFmtId="2" fontId="21" fillId="0" borderId="0" xfId="9" applyNumberFormat="1"/>
    <xf numFmtId="0" fontId="5" fillId="0" borderId="0" xfId="9" applyFont="1" applyAlignment="1"/>
    <xf numFmtId="0" fontId="22" fillId="0" borderId="0" xfId="9" applyFont="1" applyAlignment="1"/>
    <xf numFmtId="0" fontId="33" fillId="0" borderId="0" xfId="9" applyFont="1"/>
    <xf numFmtId="0" fontId="2" fillId="3" borderId="0" xfId="0" applyFont="1" applyFill="1"/>
    <xf numFmtId="0" fontId="2" fillId="3" borderId="0" xfId="0" applyFont="1" applyFill="1" applyAlignment="1">
      <alignment horizontal="right"/>
    </xf>
    <xf numFmtId="0" fontId="3" fillId="3" borderId="0" xfId="0" applyFont="1" applyFill="1" applyAlignment="1">
      <alignment vertical="top"/>
    </xf>
    <xf numFmtId="0" fontId="4" fillId="2" borderId="13" xfId="0" applyFont="1" applyFill="1" applyBorder="1" applyAlignment="1">
      <alignment horizontal="left" vertical="center"/>
    </xf>
    <xf numFmtId="0" fontId="4" fillId="4" borderId="13" xfId="0" applyFont="1" applyFill="1" applyBorder="1" applyAlignment="1">
      <alignment horizontal="right" vertical="center"/>
    </xf>
    <xf numFmtId="0" fontId="4" fillId="2" borderId="13" xfId="0" applyFont="1" applyFill="1" applyBorder="1" applyAlignment="1">
      <alignment vertical="center"/>
    </xf>
    <xf numFmtId="0" fontId="4" fillId="4" borderId="13" xfId="0" applyFont="1" applyFill="1" applyBorder="1" applyAlignment="1">
      <alignment vertical="center"/>
    </xf>
    <xf numFmtId="1" fontId="4" fillId="2" borderId="3" xfId="0" applyNumberFormat="1" applyFont="1" applyFill="1" applyBorder="1" applyAlignment="1">
      <alignment horizontal="left"/>
    </xf>
    <xf numFmtId="1" fontId="4" fillId="2" borderId="4" xfId="0" applyNumberFormat="1" applyFont="1" applyFill="1" applyBorder="1" applyAlignment="1">
      <alignment horizontal="left"/>
    </xf>
    <xf numFmtId="184" fontId="4" fillId="4" borderId="4" xfId="0" applyNumberFormat="1" applyFont="1" applyFill="1" applyBorder="1" applyAlignment="1">
      <alignment horizontal="right"/>
    </xf>
    <xf numFmtId="1" fontId="6" fillId="2" borderId="7" xfId="0" applyNumberFormat="1" applyFont="1" applyFill="1" applyBorder="1" applyAlignment="1">
      <alignment horizontal="left" vertical="center"/>
    </xf>
    <xf numFmtId="184" fontId="6" fillId="2" borderId="7" xfId="0" applyNumberFormat="1" applyFont="1" applyFill="1" applyBorder="1" applyAlignment="1">
      <alignment horizontal="right" vertical="center"/>
    </xf>
    <xf numFmtId="1" fontId="4" fillId="0" borderId="0" xfId="0" applyNumberFormat="1" applyFont="1" applyFill="1" applyBorder="1" applyAlignment="1">
      <alignment horizontal="left"/>
    </xf>
    <xf numFmtId="183" fontId="4" fillId="0" borderId="0" xfId="0" applyNumberFormat="1" applyFont="1" applyFill="1" applyBorder="1" applyAlignment="1">
      <alignment horizontal="right"/>
    </xf>
    <xf numFmtId="0" fontId="2" fillId="0" borderId="0" xfId="0" applyFont="1" applyFill="1" applyBorder="1"/>
    <xf numFmtId="0" fontId="5" fillId="0" borderId="0" xfId="0" applyFont="1" applyFill="1" applyBorder="1" applyAlignment="1">
      <alignment horizontal="right"/>
    </xf>
    <xf numFmtId="0" fontId="2" fillId="0" borderId="0" xfId="0" applyFont="1" applyBorder="1"/>
    <xf numFmtId="0" fontId="3" fillId="0" borderId="2" xfId="0" applyFont="1" applyBorder="1" applyAlignment="1">
      <alignment vertical="top"/>
    </xf>
    <xf numFmtId="0" fontId="4" fillId="2" borderId="2" xfId="0" applyFont="1" applyFill="1" applyBorder="1" applyAlignment="1">
      <alignment horizontal="center"/>
    </xf>
    <xf numFmtId="0" fontId="4" fillId="4" borderId="2" xfId="0" applyFont="1" applyFill="1" applyBorder="1" applyAlignment="1">
      <alignment horizontal="right"/>
    </xf>
    <xf numFmtId="0" fontId="4" fillId="2" borderId="2" xfId="0" applyFont="1" applyFill="1" applyBorder="1" applyAlignment="1">
      <alignment horizontal="right"/>
    </xf>
    <xf numFmtId="0" fontId="4" fillId="2" borderId="6" xfId="0" applyFont="1" applyFill="1" applyBorder="1" applyAlignment="1">
      <alignment vertical="top" wrapText="1"/>
    </xf>
    <xf numFmtId="184" fontId="4" fillId="4" borderId="6" xfId="0" applyNumberFormat="1" applyFont="1" applyFill="1" applyBorder="1"/>
    <xf numFmtId="184" fontId="4" fillId="2" borderId="6" xfId="0" applyNumberFormat="1" applyFont="1" applyFill="1" applyBorder="1"/>
    <xf numFmtId="0" fontId="4" fillId="2" borderId="12" xfId="0" applyFont="1" applyFill="1" applyBorder="1" applyAlignment="1">
      <alignment vertical="top"/>
    </xf>
    <xf numFmtId="3" fontId="4" fillId="4" borderId="12" xfId="0" applyNumberFormat="1" applyFont="1" applyFill="1" applyBorder="1"/>
    <xf numFmtId="3" fontId="4" fillId="2" borderId="12" xfId="0" applyNumberFormat="1" applyFont="1" applyFill="1" applyBorder="1"/>
    <xf numFmtId="184" fontId="4" fillId="4" borderId="12" xfId="0" applyNumberFormat="1" applyFont="1" applyFill="1" applyBorder="1"/>
    <xf numFmtId="184" fontId="4" fillId="2" borderId="12" xfId="0" applyNumberFormat="1" applyFont="1" applyFill="1" applyBorder="1"/>
    <xf numFmtId="0" fontId="4" fillId="2" borderId="0" xfId="0" applyFont="1" applyFill="1" applyBorder="1" applyAlignment="1">
      <alignment vertical="center"/>
    </xf>
    <xf numFmtId="184" fontId="6" fillId="4" borderId="6" xfId="0" applyNumberFormat="1" applyFont="1" applyFill="1" applyBorder="1" applyAlignment="1">
      <alignment vertical="center"/>
    </xf>
    <xf numFmtId="184" fontId="6" fillId="2" borderId="6" xfId="0" applyNumberFormat="1" applyFont="1" applyFill="1" applyBorder="1" applyAlignment="1">
      <alignment vertical="center"/>
    </xf>
    <xf numFmtId="3" fontId="6" fillId="4" borderId="1" xfId="0" applyNumberFormat="1" applyFont="1" applyFill="1" applyBorder="1" applyAlignment="1">
      <alignment horizontal="right"/>
    </xf>
    <xf numFmtId="0" fontId="4" fillId="2" borderId="2" xfId="0" applyFont="1" applyFill="1" applyBorder="1" applyAlignment="1">
      <alignment horizontal="left"/>
    </xf>
    <xf numFmtId="3" fontId="6" fillId="4" borderId="3" xfId="0" applyNumberFormat="1" applyFont="1" applyFill="1" applyBorder="1" applyAlignment="1">
      <alignment horizontal="right"/>
    </xf>
    <xf numFmtId="3" fontId="4" fillId="4" borderId="4" xfId="0" applyNumberFormat="1" applyFont="1" applyFill="1" applyBorder="1" applyAlignment="1">
      <alignment horizontal="right" vertical="center"/>
    </xf>
    <xf numFmtId="3" fontId="4" fillId="2" borderId="4" xfId="0" applyNumberFormat="1" applyFont="1" applyFill="1" applyBorder="1" applyAlignment="1">
      <alignment horizontal="right" vertical="center"/>
    </xf>
    <xf numFmtId="0" fontId="4" fillId="2" borderId="14" xfId="0" applyFont="1" applyFill="1" applyBorder="1" applyAlignment="1">
      <alignment horizontal="left" vertical="center"/>
    </xf>
    <xf numFmtId="3" fontId="4" fillId="4" borderId="14" xfId="0" applyNumberFormat="1" applyFont="1" applyFill="1" applyBorder="1" applyAlignment="1">
      <alignment horizontal="right" vertical="center"/>
    </xf>
    <xf numFmtId="3" fontId="4" fillId="2" borderId="14" xfId="0" applyNumberFormat="1" applyFont="1" applyFill="1" applyBorder="1" applyAlignment="1">
      <alignment horizontal="right" vertical="center"/>
    </xf>
    <xf numFmtId="3" fontId="6" fillId="4" borderId="14" xfId="0" applyNumberFormat="1" applyFont="1" applyFill="1" applyBorder="1" applyAlignment="1">
      <alignment horizontal="right" vertical="center"/>
    </xf>
    <xf numFmtId="0" fontId="22" fillId="3" borderId="0" xfId="0" applyFont="1" applyFill="1" applyBorder="1" applyProtection="1"/>
    <xf numFmtId="0" fontId="33" fillId="3" borderId="0" xfId="0" applyFont="1" applyFill="1" applyBorder="1"/>
    <xf numFmtId="0" fontId="3" fillId="0" borderId="0" xfId="0" applyFont="1" applyAlignment="1">
      <alignment horizontal="center"/>
    </xf>
    <xf numFmtId="0" fontId="6" fillId="4" borderId="0" xfId="0" applyFont="1" applyFill="1" applyBorder="1" applyAlignment="1">
      <alignment horizontal="right"/>
    </xf>
    <xf numFmtId="0" fontId="6" fillId="2" borderId="0" xfId="0" applyFont="1" applyFill="1" applyBorder="1" applyAlignment="1">
      <alignment horizontal="right"/>
    </xf>
    <xf numFmtId="0" fontId="6" fillId="2" borderId="0" xfId="0" applyFont="1" applyFill="1" applyBorder="1" applyAlignment="1">
      <alignment horizontal="center"/>
    </xf>
    <xf numFmtId="0" fontId="6" fillId="4" borderId="2" xfId="0" applyFont="1" applyFill="1" applyBorder="1" applyAlignment="1">
      <alignment horizontal="right" vertical="top"/>
    </xf>
    <xf numFmtId="0" fontId="6" fillId="2" borderId="2" xfId="0" applyFont="1" applyFill="1" applyBorder="1" applyAlignment="1">
      <alignment horizontal="center" vertical="top"/>
    </xf>
    <xf numFmtId="0" fontId="4" fillId="2" borderId="6" xfId="0" applyFont="1" applyFill="1" applyBorder="1" applyAlignment="1">
      <alignment horizontal="left"/>
    </xf>
    <xf numFmtId="184" fontId="6" fillId="4" borderId="3" xfId="0" applyNumberFormat="1" applyFont="1" applyFill="1" applyBorder="1" applyAlignment="1">
      <alignment horizontal="right"/>
    </xf>
    <xf numFmtId="184" fontId="6" fillId="2" borderId="3" xfId="0" applyNumberFormat="1" applyFont="1" applyFill="1" applyBorder="1" applyAlignment="1">
      <alignment horizontal="right"/>
    </xf>
    <xf numFmtId="0" fontId="6" fillId="2" borderId="7" xfId="0" applyFont="1" applyFill="1" applyBorder="1" applyAlignment="1">
      <alignment horizontal="left" vertical="center"/>
    </xf>
    <xf numFmtId="184" fontId="6" fillId="4" borderId="3" xfId="0" applyNumberFormat="1" applyFont="1" applyFill="1" applyBorder="1" applyAlignment="1">
      <alignment horizontal="right" vertical="center"/>
    </xf>
    <xf numFmtId="0" fontId="9" fillId="0" borderId="5" xfId="0" applyFont="1" applyBorder="1"/>
    <xf numFmtId="0" fontId="9" fillId="0" borderId="5" xfId="0" applyFont="1" applyBorder="1" applyAlignment="1">
      <alignment horizontal="center"/>
    </xf>
    <xf numFmtId="0" fontId="9" fillId="0" borderId="0" xfId="0" applyFont="1" applyAlignment="1">
      <alignment horizontal="center"/>
    </xf>
    <xf numFmtId="0" fontId="9" fillId="0" borderId="0" xfId="0" applyFont="1" applyBorder="1"/>
    <xf numFmtId="0" fontId="3" fillId="3" borderId="0" xfId="0" applyFont="1" applyFill="1"/>
    <xf numFmtId="0" fontId="3" fillId="3" borderId="0" xfId="0" applyFont="1" applyFill="1" applyAlignment="1">
      <alignment horizontal="center"/>
    </xf>
    <xf numFmtId="0" fontId="3" fillId="3" borderId="2" xfId="0" applyFont="1" applyFill="1" applyBorder="1"/>
    <xf numFmtId="0" fontId="3" fillId="3" borderId="2" xfId="0" applyFont="1" applyFill="1" applyBorder="1" applyAlignment="1">
      <alignment horizontal="center"/>
    </xf>
    <xf numFmtId="184" fontId="4" fillId="4" borderId="7" xfId="0" applyNumberFormat="1" applyFont="1" applyFill="1" applyBorder="1" applyAlignment="1">
      <alignment horizontal="right" vertical="center"/>
    </xf>
    <xf numFmtId="0" fontId="9" fillId="3" borderId="5" xfId="0" applyFont="1" applyFill="1" applyBorder="1"/>
    <xf numFmtId="0" fontId="5" fillId="3" borderId="5" xfId="0" applyFont="1" applyFill="1" applyBorder="1"/>
    <xf numFmtId="0" fontId="9" fillId="3" borderId="5" xfId="0" applyFont="1" applyFill="1" applyBorder="1" applyAlignment="1">
      <alignment horizontal="center"/>
    </xf>
    <xf numFmtId="0" fontId="9" fillId="3" borderId="0" xfId="0" applyFont="1" applyFill="1"/>
    <xf numFmtId="0" fontId="9" fillId="3" borderId="0" xfId="0" applyFont="1" applyFill="1" applyAlignment="1">
      <alignment horizontal="center"/>
    </xf>
    <xf numFmtId="184" fontId="2" fillId="0" borderId="0" xfId="0" applyNumberFormat="1" applyFont="1"/>
    <xf numFmtId="184" fontId="4" fillId="4" borderId="1" xfId="0" applyNumberFormat="1" applyFont="1" applyFill="1" applyBorder="1" applyAlignment="1">
      <alignment horizontal="right"/>
    </xf>
    <xf numFmtId="184" fontId="4" fillId="4" borderId="0" xfId="0" applyNumberFormat="1" applyFont="1" applyFill="1" applyBorder="1" applyAlignment="1">
      <alignment horizontal="right"/>
    </xf>
    <xf numFmtId="184" fontId="4" fillId="4" borderId="2" xfId="0" applyNumberFormat="1" applyFont="1" applyFill="1" applyBorder="1" applyAlignment="1">
      <alignment horizontal="right" vertical="top"/>
    </xf>
    <xf numFmtId="183" fontId="4" fillId="4" borderId="3" xfId="0" quotePrefix="1" applyNumberFormat="1" applyFont="1" applyFill="1" applyBorder="1" applyAlignment="1">
      <alignment horizontal="right"/>
    </xf>
    <xf numFmtId="183" fontId="4" fillId="2" borderId="3" xfId="0" applyNumberFormat="1" applyFont="1" applyFill="1" applyBorder="1" applyAlignment="1">
      <alignment horizontal="right"/>
    </xf>
    <xf numFmtId="183" fontId="4" fillId="4" borderId="3" xfId="0" applyNumberFormat="1" applyFont="1" applyFill="1" applyBorder="1" applyAlignment="1">
      <alignment horizontal="right"/>
    </xf>
    <xf numFmtId="183" fontId="4" fillId="4" borderId="4" xfId="0" quotePrefix="1" applyNumberFormat="1" applyFont="1" applyFill="1" applyBorder="1" applyAlignment="1">
      <alignment horizontal="right"/>
    </xf>
    <xf numFmtId="183" fontId="6" fillId="4" borderId="4" xfId="0" quotePrefix="1" applyNumberFormat="1" applyFont="1" applyFill="1" applyBorder="1" applyAlignment="1">
      <alignment horizontal="right"/>
    </xf>
    <xf numFmtId="184" fontId="6" fillId="4" borderId="4" xfId="0" applyNumberFormat="1" applyFont="1" applyFill="1" applyBorder="1" applyAlignment="1">
      <alignment horizontal="right"/>
    </xf>
    <xf numFmtId="183" fontId="6" fillId="2" borderId="4" xfId="0" applyNumberFormat="1" applyFont="1" applyFill="1" applyBorder="1" applyAlignment="1">
      <alignment horizontal="right"/>
    </xf>
    <xf numFmtId="0" fontId="4" fillId="2" borderId="0" xfId="0" quotePrefix="1" applyFont="1" applyFill="1" applyBorder="1" applyAlignment="1">
      <alignment horizontal="left" vertical="center"/>
    </xf>
    <xf numFmtId="183" fontId="4" fillId="4" borderId="0" xfId="0" quotePrefix="1" applyNumberFormat="1" applyFont="1" applyFill="1" applyBorder="1" applyAlignment="1">
      <alignment horizontal="right" vertical="center"/>
    </xf>
    <xf numFmtId="184" fontId="4" fillId="2" borderId="4" xfId="0" applyNumberFormat="1" applyFont="1" applyFill="1" applyBorder="1" applyAlignment="1">
      <alignment horizontal="right" vertical="center"/>
    </xf>
    <xf numFmtId="184" fontId="4" fillId="4" borderId="0" xfId="0" applyNumberFormat="1" applyFont="1" applyFill="1" applyBorder="1" applyAlignment="1">
      <alignment horizontal="right" vertical="center"/>
    </xf>
    <xf numFmtId="183" fontId="4" fillId="2" borderId="0" xfId="0" applyNumberFormat="1" applyFont="1" applyFill="1" applyBorder="1" applyAlignment="1">
      <alignment horizontal="right" vertical="center"/>
    </xf>
    <xf numFmtId="184" fontId="4" fillId="4" borderId="0" xfId="15" applyNumberFormat="1" applyFont="1" applyFill="1" applyBorder="1" applyAlignment="1">
      <alignment horizontal="right" vertical="center"/>
    </xf>
    <xf numFmtId="182" fontId="5" fillId="0" borderId="5" xfId="0" applyNumberFormat="1" applyFont="1" applyBorder="1"/>
    <xf numFmtId="184" fontId="5" fillId="0" borderId="5" xfId="0" applyNumberFormat="1" applyFont="1" applyBorder="1"/>
    <xf numFmtId="184" fontId="5" fillId="0" borderId="0" xfId="0" applyNumberFormat="1" applyFont="1" applyBorder="1"/>
    <xf numFmtId="184" fontId="5" fillId="0" borderId="0" xfId="0" applyNumberFormat="1" applyFont="1"/>
    <xf numFmtId="3" fontId="4" fillId="2" borderId="3" xfId="0" applyNumberFormat="1" applyFont="1" applyFill="1" applyBorder="1" applyAlignment="1">
      <alignment horizontal="center"/>
    </xf>
    <xf numFmtId="3" fontId="6" fillId="2" borderId="3" xfId="0" applyNumberFormat="1" applyFont="1" applyFill="1" applyBorder="1" applyAlignment="1">
      <alignment horizontal="center" vertical="center"/>
    </xf>
    <xf numFmtId="0" fontId="30" fillId="0" borderId="0" xfId="0" applyFont="1"/>
    <xf numFmtId="0" fontId="29" fillId="0" borderId="0" xfId="0" applyFont="1"/>
    <xf numFmtId="0" fontId="4" fillId="2" borderId="1" xfId="0" applyFont="1" applyFill="1" applyBorder="1" applyAlignment="1">
      <alignment horizontal="left" vertical="top" wrapText="1"/>
    </xf>
    <xf numFmtId="0" fontId="4" fillId="4" borderId="1" xfId="0" applyFont="1" applyFill="1" applyBorder="1" applyAlignment="1">
      <alignment horizontal="right" vertical="top" wrapText="1"/>
    </xf>
    <xf numFmtId="0" fontId="4" fillId="2" borderId="1" xfId="0" applyFont="1" applyFill="1" applyBorder="1" applyAlignment="1">
      <alignment horizontal="right" vertical="top" wrapText="1"/>
    </xf>
    <xf numFmtId="0" fontId="5" fillId="0" borderId="0" xfId="0" applyFont="1" applyAlignment="1">
      <alignment vertical="top" wrapText="1"/>
    </xf>
    <xf numFmtId="0" fontId="4" fillId="2" borderId="0" xfId="0" applyFont="1" applyFill="1" applyBorder="1" applyAlignment="1">
      <alignment horizontal="left" vertical="top"/>
    </xf>
    <xf numFmtId="0" fontId="4" fillId="4" borderId="0" xfId="0" applyFont="1" applyFill="1" applyBorder="1" applyAlignment="1">
      <alignment horizontal="right" vertical="top"/>
    </xf>
    <xf numFmtId="0" fontId="4" fillId="2" borderId="0" xfId="0" applyFont="1" applyFill="1" applyBorder="1" applyAlignment="1">
      <alignment horizontal="right" vertical="top"/>
    </xf>
    <xf numFmtId="0" fontId="4" fillId="2" borderId="0" xfId="0" applyFont="1" applyFill="1" applyBorder="1" applyAlignment="1">
      <alignment horizontal="right" vertical="top" wrapText="1"/>
    </xf>
    <xf numFmtId="183" fontId="4" fillId="4" borderId="4" xfId="0" applyNumberFormat="1" applyFont="1" applyFill="1" applyBorder="1" applyAlignment="1">
      <alignment horizontal="right"/>
    </xf>
    <xf numFmtId="1" fontId="6" fillId="2" borderId="0" xfId="0" applyNumberFormat="1" applyFont="1" applyFill="1" applyBorder="1" applyAlignment="1">
      <alignment horizontal="left" vertical="center"/>
    </xf>
    <xf numFmtId="183" fontId="6" fillId="4" borderId="0" xfId="0" applyNumberFormat="1" applyFont="1" applyFill="1" applyBorder="1" applyAlignment="1">
      <alignment horizontal="right" vertical="center"/>
    </xf>
    <xf numFmtId="183" fontId="6" fillId="2" borderId="0" xfId="0" applyNumberFormat="1" applyFont="1" applyFill="1" applyBorder="1" applyAlignment="1">
      <alignment horizontal="right" vertical="center"/>
    </xf>
    <xf numFmtId="1" fontId="5" fillId="3" borderId="5" xfId="0" applyNumberFormat="1" applyFont="1" applyFill="1" applyBorder="1" applyAlignment="1">
      <alignment horizontal="left"/>
    </xf>
    <xf numFmtId="183" fontId="4" fillId="3" borderId="5" xfId="0" applyNumberFormat="1" applyFont="1" applyFill="1" applyBorder="1" applyAlignment="1">
      <alignment horizontal="right"/>
    </xf>
    <xf numFmtId="1" fontId="5" fillId="3" borderId="0" xfId="0" applyNumberFormat="1" applyFont="1" applyFill="1" applyBorder="1" applyAlignment="1">
      <alignment horizontal="left"/>
    </xf>
    <xf numFmtId="183" fontId="4" fillId="3" borderId="0" xfId="0" applyNumberFormat="1" applyFont="1" applyFill="1" applyBorder="1" applyAlignment="1">
      <alignment horizontal="right"/>
    </xf>
    <xf numFmtId="0" fontId="36" fillId="0" borderId="0" xfId="0" applyFont="1"/>
    <xf numFmtId="0" fontId="5" fillId="3" borderId="0" xfId="0" applyFont="1" applyFill="1" applyAlignment="1">
      <alignment horizontal="right"/>
    </xf>
    <xf numFmtId="0" fontId="37" fillId="0" borderId="0" xfId="0" quotePrefix="1" applyFont="1"/>
    <xf numFmtId="0" fontId="37" fillId="0" borderId="0" xfId="0" applyFont="1"/>
    <xf numFmtId="1" fontId="4" fillId="2" borderId="15" xfId="0" applyNumberFormat="1" applyFont="1" applyFill="1" applyBorder="1" applyAlignment="1">
      <alignment horizontal="left"/>
    </xf>
    <xf numFmtId="184" fontId="4" fillId="4" borderId="15" xfId="0" applyNumberFormat="1" applyFont="1" applyFill="1" applyBorder="1" applyAlignment="1">
      <alignment horizontal="right"/>
    </xf>
    <xf numFmtId="184" fontId="4" fillId="2" borderId="15" xfId="0" applyNumberFormat="1" applyFont="1" applyFill="1" applyBorder="1" applyAlignment="1">
      <alignment horizontal="right"/>
    </xf>
    <xf numFmtId="184" fontId="6" fillId="4" borderId="0" xfId="0" applyNumberFormat="1" applyFont="1" applyFill="1" applyBorder="1" applyAlignment="1">
      <alignment horizontal="right" vertical="center"/>
    </xf>
    <xf numFmtId="184" fontId="6" fillId="2" borderId="0" xfId="0" applyNumberFormat="1" applyFont="1" applyFill="1" applyBorder="1" applyAlignment="1">
      <alignment horizontal="right" vertical="center"/>
    </xf>
    <xf numFmtId="1" fontId="22" fillId="0" borderId="5" xfId="0" applyNumberFormat="1" applyFont="1" applyFill="1" applyBorder="1" applyAlignment="1">
      <alignment horizontal="left"/>
    </xf>
    <xf numFmtId="183" fontId="4" fillId="0" borderId="5" xfId="0" applyNumberFormat="1" applyFont="1" applyFill="1" applyBorder="1" applyAlignment="1">
      <alignment horizontal="right"/>
    </xf>
    <xf numFmtId="1" fontId="22" fillId="0" borderId="0" xfId="0" applyNumberFormat="1" applyFont="1" applyFill="1" applyBorder="1" applyAlignment="1">
      <alignment horizontal="left"/>
    </xf>
    <xf numFmtId="0" fontId="22" fillId="0" borderId="0" xfId="0" applyFont="1" applyFill="1"/>
    <xf numFmtId="0" fontId="5" fillId="0" borderId="0" xfId="0" applyFont="1" applyFill="1" applyAlignment="1">
      <alignment horizontal="right"/>
    </xf>
    <xf numFmtId="1" fontId="4" fillId="3" borderId="0" xfId="0" applyNumberFormat="1" applyFont="1" applyFill="1" applyBorder="1" applyAlignment="1">
      <alignment horizontal="left"/>
    </xf>
    <xf numFmtId="0" fontId="0" fillId="0" borderId="0" xfId="0" applyFill="1"/>
    <xf numFmtId="0" fontId="0" fillId="0" borderId="2" xfId="0" applyBorder="1" applyAlignment="1">
      <alignment wrapText="1"/>
    </xf>
    <xf numFmtId="0" fontId="0" fillId="0" borderId="0" xfId="0" applyAlignment="1">
      <alignment wrapText="1"/>
    </xf>
    <xf numFmtId="9" fontId="39" fillId="0" borderId="0" xfId="0" applyNumberFormat="1" applyFont="1" applyFill="1" applyAlignment="1">
      <alignment horizontal="right"/>
    </xf>
    <xf numFmtId="0" fontId="3" fillId="0" borderId="0" xfId="8" applyFont="1"/>
    <xf numFmtId="0" fontId="21" fillId="0" borderId="0" xfId="8"/>
    <xf numFmtId="2" fontId="22" fillId="0" borderId="0" xfId="8" applyNumberFormat="1" applyFont="1"/>
    <xf numFmtId="0" fontId="22" fillId="0" borderId="0" xfId="8" applyFont="1" applyAlignment="1"/>
    <xf numFmtId="0" fontId="22" fillId="0" borderId="0" xfId="8" applyFont="1"/>
    <xf numFmtId="0" fontId="22" fillId="0" borderId="0" xfId="8" applyFont="1" applyFill="1" applyBorder="1"/>
    <xf numFmtId="3" fontId="2" fillId="0" borderId="0" xfId="0" applyNumberFormat="1" applyFont="1" applyAlignment="1">
      <alignment horizontal="center"/>
    </xf>
    <xf numFmtId="3" fontId="4" fillId="2" borderId="1" xfId="0" applyNumberFormat="1" applyFont="1" applyFill="1" applyBorder="1" applyAlignment="1">
      <alignment horizontal="center"/>
    </xf>
    <xf numFmtId="184" fontId="4" fillId="2" borderId="6" xfId="0" applyNumberFormat="1" applyFont="1" applyFill="1" applyBorder="1" applyAlignment="1">
      <alignment horizontal="center"/>
    </xf>
    <xf numFmtId="0" fontId="4" fillId="2" borderId="4" xfId="0" applyFont="1" applyFill="1" applyBorder="1" applyAlignment="1">
      <alignment horizontal="left" vertical="center" wrapText="1"/>
    </xf>
    <xf numFmtId="3" fontId="4" fillId="4" borderId="6" xfId="0" applyNumberFormat="1" applyFont="1" applyFill="1" applyBorder="1" applyAlignment="1">
      <alignment horizontal="right" vertical="center"/>
    </xf>
    <xf numFmtId="184" fontId="4" fillId="2" borderId="6" xfId="0" applyNumberFormat="1" applyFont="1" applyFill="1" applyBorder="1" applyAlignment="1">
      <alignment horizontal="center" vertical="center"/>
    </xf>
    <xf numFmtId="0" fontId="6" fillId="2" borderId="4" xfId="0" applyFont="1" applyFill="1" applyBorder="1" applyAlignment="1">
      <alignment horizontal="left" vertical="center"/>
    </xf>
    <xf numFmtId="3" fontId="6" fillId="4" borderId="6" xfId="0" applyNumberFormat="1" applyFont="1" applyFill="1" applyBorder="1" applyAlignment="1">
      <alignment horizontal="right"/>
    </xf>
    <xf numFmtId="184" fontId="6" fillId="2" borderId="6" xfId="0" applyNumberFormat="1" applyFont="1" applyFill="1" applyBorder="1" applyAlignment="1">
      <alignment horizontal="center"/>
    </xf>
    <xf numFmtId="183" fontId="4" fillId="2" borderId="4" xfId="0" applyNumberFormat="1" applyFont="1" applyFill="1" applyBorder="1" applyAlignment="1">
      <alignment horizontal="center" vertical="center"/>
    </xf>
    <xf numFmtId="0" fontId="4" fillId="2" borderId="0" xfId="0" applyFont="1" applyFill="1" applyBorder="1" applyAlignment="1">
      <alignment horizontal="left" vertical="center"/>
    </xf>
    <xf numFmtId="183" fontId="4" fillId="2" borderId="0" xfId="0" applyNumberFormat="1" applyFont="1" applyFill="1" applyBorder="1" applyAlignment="1">
      <alignment horizontal="center" vertical="center"/>
    </xf>
    <xf numFmtId="3" fontId="5" fillId="0" borderId="5" xfId="0" applyNumberFormat="1" applyFont="1" applyBorder="1" applyAlignment="1">
      <alignment horizontal="center"/>
    </xf>
    <xf numFmtId="3" fontId="5" fillId="0" borderId="0" xfId="0" applyNumberFormat="1" applyFont="1" applyBorder="1" applyAlignment="1">
      <alignment horizontal="center"/>
    </xf>
    <xf numFmtId="3" fontId="5" fillId="0" borderId="0" xfId="0" applyNumberFormat="1" applyFont="1" applyAlignment="1">
      <alignment horizontal="center"/>
    </xf>
    <xf numFmtId="184" fontId="2" fillId="0" borderId="0" xfId="0" applyNumberFormat="1" applyFont="1" applyAlignment="1">
      <alignment horizontal="center"/>
    </xf>
    <xf numFmtId="184" fontId="4" fillId="2" borderId="1" xfId="0" applyNumberFormat="1" applyFont="1" applyFill="1" applyBorder="1" applyAlignment="1">
      <alignment horizontal="center"/>
    </xf>
    <xf numFmtId="184" fontId="4" fillId="2" borderId="2" xfId="0" applyNumberFormat="1" applyFont="1" applyFill="1" applyBorder="1" applyAlignment="1">
      <alignment horizontal="center" vertical="top"/>
    </xf>
    <xf numFmtId="184" fontId="6" fillId="2" borderId="4" xfId="0" applyNumberFormat="1" applyFont="1" applyFill="1" applyBorder="1" applyAlignment="1">
      <alignment horizontal="center"/>
    </xf>
    <xf numFmtId="184" fontId="4" fillId="2" borderId="4" xfId="0" applyNumberFormat="1" applyFont="1" applyFill="1" applyBorder="1" applyAlignment="1">
      <alignment horizontal="center" vertical="center"/>
    </xf>
    <xf numFmtId="0" fontId="5" fillId="0" borderId="0" xfId="0" applyFont="1" applyAlignment="1">
      <alignment vertical="center"/>
    </xf>
    <xf numFmtId="184" fontId="5" fillId="0" borderId="5" xfId="0" applyNumberFormat="1" applyFont="1" applyBorder="1" applyAlignment="1">
      <alignment horizontal="center"/>
    </xf>
    <xf numFmtId="184" fontId="5" fillId="0" borderId="0" xfId="0" applyNumberFormat="1" applyFont="1" applyBorder="1" applyAlignment="1">
      <alignment horizontal="center"/>
    </xf>
    <xf numFmtId="184" fontId="5" fillId="0" borderId="0" xfId="0" applyNumberFormat="1" applyFont="1" applyAlignment="1">
      <alignment horizontal="center"/>
    </xf>
    <xf numFmtId="0" fontId="6" fillId="2" borderId="3" xfId="0" applyFont="1" applyFill="1" applyBorder="1" applyAlignment="1">
      <alignment horizontal="left"/>
    </xf>
    <xf numFmtId="0" fontId="40" fillId="2" borderId="4" xfId="0" applyFont="1" applyFill="1" applyBorder="1" applyAlignment="1">
      <alignment horizontal="left"/>
    </xf>
    <xf numFmtId="3" fontId="40" fillId="4" borderId="6" xfId="0" applyNumberFormat="1" applyFont="1" applyFill="1" applyBorder="1" applyAlignment="1">
      <alignment horizontal="right"/>
    </xf>
    <xf numFmtId="0" fontId="4" fillId="2" borderId="4" xfId="0" applyFont="1" applyFill="1" applyBorder="1" applyAlignment="1">
      <alignment horizontal="left" wrapText="1"/>
    </xf>
    <xf numFmtId="0" fontId="6" fillId="2" borderId="4" xfId="0" applyFont="1" applyFill="1" applyBorder="1" applyAlignment="1">
      <alignment horizontal="left"/>
    </xf>
    <xf numFmtId="0" fontId="40" fillId="2" borderId="4" xfId="0" applyFont="1" applyFill="1" applyBorder="1" applyAlignment="1">
      <alignment horizontal="left" vertical="center"/>
    </xf>
    <xf numFmtId="184" fontId="6" fillId="2" borderId="4" xfId="0" applyNumberFormat="1" applyFont="1" applyFill="1" applyBorder="1" applyAlignment="1">
      <alignment horizontal="center" vertical="center"/>
    </xf>
    <xf numFmtId="0" fontId="5" fillId="0" borderId="0" xfId="0" applyFont="1" applyAlignment="1">
      <alignment wrapText="1"/>
    </xf>
    <xf numFmtId="0" fontId="40" fillId="2" borderId="4" xfId="0" applyFont="1" applyFill="1" applyBorder="1" applyAlignment="1">
      <alignment horizontal="center" wrapText="1"/>
    </xf>
    <xf numFmtId="0" fontId="40" fillId="2" borderId="4" xfId="0" applyFont="1" applyFill="1" applyBorder="1" applyAlignment="1">
      <alignment horizontal="left" wrapText="1"/>
    </xf>
    <xf numFmtId="0" fontId="40" fillId="2" borderId="4" xfId="0" applyFont="1" applyFill="1" applyBorder="1" applyAlignment="1">
      <alignment horizontal="center"/>
    </xf>
    <xf numFmtId="184" fontId="6" fillId="2" borderId="6" xfId="0" applyNumberFormat="1" applyFont="1" applyFill="1" applyBorder="1" applyAlignment="1">
      <alignment horizontal="center" vertical="center"/>
    </xf>
    <xf numFmtId="0" fontId="41" fillId="2" borderId="3" xfId="0" applyFont="1" applyFill="1" applyBorder="1" applyAlignment="1">
      <alignment horizontal="left"/>
    </xf>
    <xf numFmtId="0" fontId="41" fillId="2" borderId="3" xfId="0" applyFont="1" applyFill="1" applyBorder="1" applyAlignment="1">
      <alignment horizontal="left" wrapText="1"/>
    </xf>
    <xf numFmtId="3" fontId="6" fillId="4" borderId="3" xfId="0" applyNumberFormat="1" applyFont="1" applyFill="1" applyBorder="1" applyAlignment="1">
      <alignment horizontal="left"/>
    </xf>
    <xf numFmtId="184" fontId="6" fillId="2" borderId="3" xfId="0" applyNumberFormat="1" applyFont="1" applyFill="1" applyBorder="1" applyAlignment="1">
      <alignment horizontal="center"/>
    </xf>
    <xf numFmtId="0" fontId="4" fillId="2" borderId="4" xfId="0" applyFont="1" applyFill="1" applyBorder="1" applyAlignment="1">
      <alignment horizontal="center"/>
    </xf>
    <xf numFmtId="0" fontId="4" fillId="2" borderId="4" xfId="0" applyFont="1" applyFill="1" applyBorder="1" applyAlignment="1">
      <alignment horizontal="center" wrapText="1"/>
    </xf>
    <xf numFmtId="3" fontId="4" fillId="4" borderId="4" xfId="0" applyNumberFormat="1" applyFont="1" applyFill="1" applyBorder="1" applyAlignment="1">
      <alignment horizontal="right" wrapText="1"/>
    </xf>
    <xf numFmtId="0" fontId="41" fillId="2" borderId="4" xfId="0" applyFont="1" applyFill="1" applyBorder="1" applyAlignment="1">
      <alignment horizontal="left"/>
    </xf>
    <xf numFmtId="0" fontId="41" fillId="2" borderId="4" xfId="0" applyFont="1" applyFill="1" applyBorder="1" applyAlignment="1">
      <alignment horizontal="left" wrapText="1"/>
    </xf>
    <xf numFmtId="0" fontId="6" fillId="2" borderId="4" xfId="0" applyFont="1" applyFill="1" applyBorder="1" applyAlignment="1">
      <alignment horizontal="left" vertical="center" wrapText="1"/>
    </xf>
    <xf numFmtId="3" fontId="31" fillId="4" borderId="4" xfId="0" applyNumberFormat="1" applyFont="1" applyFill="1" applyBorder="1" applyAlignment="1">
      <alignment horizontal="center" wrapText="1"/>
    </xf>
    <xf numFmtId="184" fontId="31" fillId="2" borderId="3" xfId="0" applyNumberFormat="1" applyFont="1" applyFill="1" applyBorder="1" applyAlignment="1">
      <alignment horizontal="center" wrapText="1"/>
    </xf>
    <xf numFmtId="0" fontId="6" fillId="2" borderId="4" xfId="0" applyFont="1" applyFill="1" applyBorder="1" applyAlignment="1">
      <alignment horizontal="center"/>
    </xf>
    <xf numFmtId="3" fontId="6" fillId="2" borderId="3" xfId="0" applyNumberFormat="1" applyFont="1" applyFill="1" applyBorder="1" applyAlignment="1">
      <alignment horizontal="right"/>
    </xf>
    <xf numFmtId="184" fontId="4" fillId="4" borderId="4" xfId="0" applyNumberFormat="1" applyFont="1" applyFill="1" applyBorder="1"/>
    <xf numFmtId="3" fontId="4" fillId="4" borderId="4" xfId="0" applyNumberFormat="1" applyFont="1" applyFill="1" applyBorder="1" applyAlignment="1">
      <alignment vertical="center"/>
    </xf>
    <xf numFmtId="3" fontId="4" fillId="2" borderId="4" xfId="0" applyNumberFormat="1" applyFont="1" applyFill="1" applyBorder="1" applyAlignment="1">
      <alignment vertical="center"/>
    </xf>
    <xf numFmtId="184" fontId="4" fillId="4" borderId="4" xfId="0" applyNumberFormat="1" applyFont="1" applyFill="1" applyBorder="1" applyAlignment="1">
      <alignment vertical="center"/>
    </xf>
    <xf numFmtId="0" fontId="4" fillId="2" borderId="6" xfId="0" applyFont="1" applyFill="1" applyBorder="1" applyAlignment="1">
      <alignment horizontal="left" vertical="center"/>
    </xf>
    <xf numFmtId="184" fontId="4" fillId="4" borderId="4" xfId="0" applyNumberFormat="1" applyFont="1" applyFill="1" applyBorder="1" applyAlignment="1">
      <alignment horizontal="right" vertical="center"/>
    </xf>
    <xf numFmtId="3" fontId="6" fillId="4" borderId="7" xfId="0" applyNumberFormat="1" applyFont="1" applyFill="1" applyBorder="1" applyAlignment="1">
      <alignment horizontal="right" vertical="center"/>
    </xf>
    <xf numFmtId="3" fontId="6" fillId="2" borderId="7" xfId="0" applyNumberFormat="1" applyFont="1" applyFill="1" applyBorder="1" applyAlignment="1">
      <alignment horizontal="right" vertical="center"/>
    </xf>
    <xf numFmtId="3" fontId="6" fillId="2" borderId="7" xfId="0" applyNumberFormat="1" applyFont="1" applyFill="1" applyBorder="1" applyAlignment="1">
      <alignment vertical="center"/>
    </xf>
    <xf numFmtId="0" fontId="4" fillId="2" borderId="1" xfId="0" applyFont="1" applyFill="1" applyBorder="1" applyAlignment="1">
      <alignment horizontal="left" vertical="center"/>
    </xf>
    <xf numFmtId="0" fontId="4" fillId="4" borderId="1" xfId="0" applyFont="1" applyFill="1" applyBorder="1" applyAlignment="1">
      <alignment horizontal="right" vertical="center"/>
    </xf>
    <xf numFmtId="0" fontId="4" fillId="2" borderId="1" xfId="0" applyFont="1" applyFill="1" applyBorder="1" applyAlignment="1">
      <alignment horizontal="right" vertical="center"/>
    </xf>
    <xf numFmtId="0" fontId="4" fillId="4" borderId="0" xfId="0" applyFont="1" applyFill="1" applyBorder="1" applyAlignment="1">
      <alignment horizontal="right" vertical="center"/>
    </xf>
    <xf numFmtId="0" fontId="4" fillId="2" borderId="0" xfId="0" applyFont="1" applyFill="1" applyBorder="1" applyAlignment="1">
      <alignment horizontal="right" vertical="center"/>
    </xf>
    <xf numFmtId="16" fontId="4" fillId="2" borderId="4" xfId="0" applyNumberFormat="1" applyFont="1" applyFill="1" applyBorder="1" applyAlignment="1">
      <alignment horizontal="left"/>
    </xf>
    <xf numFmtId="184" fontId="4" fillId="2" borderId="3" xfId="0" applyNumberFormat="1" applyFont="1" applyFill="1" applyBorder="1" applyAlignment="1">
      <alignment vertical="center"/>
    </xf>
    <xf numFmtId="0" fontId="6" fillId="2" borderId="14" xfId="0" applyFont="1" applyFill="1" applyBorder="1" applyAlignment="1">
      <alignment horizontal="left" vertical="center"/>
    </xf>
    <xf numFmtId="3" fontId="6" fillId="4" borderId="7" xfId="0" applyNumberFormat="1" applyFont="1" applyFill="1" applyBorder="1" applyAlignment="1">
      <alignment vertical="center"/>
    </xf>
    <xf numFmtId="184" fontId="6" fillId="2" borderId="7" xfId="0" applyNumberFormat="1" applyFont="1" applyFill="1" applyBorder="1" applyAlignment="1">
      <alignment vertical="center"/>
    </xf>
    <xf numFmtId="0" fontId="4" fillId="2" borderId="1" xfId="0" applyFont="1" applyFill="1" applyBorder="1"/>
    <xf numFmtId="0" fontId="4" fillId="2" borderId="0" xfId="0" applyFont="1" applyFill="1" applyBorder="1"/>
    <xf numFmtId="0" fontId="4" fillId="2" borderId="2" xfId="0" applyFont="1" applyFill="1" applyBorder="1"/>
    <xf numFmtId="3" fontId="4" fillId="4" borderId="2" xfId="0" applyNumberFormat="1" applyFont="1" applyFill="1" applyBorder="1" applyAlignment="1">
      <alignment horizontal="right"/>
    </xf>
    <xf numFmtId="3" fontId="4" fillId="2" borderId="2" xfId="0" applyNumberFormat="1" applyFont="1" applyFill="1" applyBorder="1" applyAlignment="1">
      <alignment horizontal="right"/>
    </xf>
    <xf numFmtId="0" fontId="4" fillId="2" borderId="3" xfId="0" applyFont="1" applyFill="1" applyBorder="1"/>
    <xf numFmtId="0" fontId="4" fillId="2" borderId="4" xfId="0" applyFont="1" applyFill="1" applyBorder="1"/>
    <xf numFmtId="183" fontId="6" fillId="4" borderId="4" xfId="0" applyNumberFormat="1" applyFont="1" applyFill="1" applyBorder="1" applyAlignment="1">
      <alignment horizontal="right"/>
    </xf>
    <xf numFmtId="0" fontId="5" fillId="2" borderId="4" xfId="0" applyFont="1" applyFill="1" applyBorder="1"/>
    <xf numFmtId="182" fontId="4" fillId="4" borderId="4" xfId="0" applyNumberFormat="1" applyFont="1" applyFill="1" applyBorder="1" applyAlignment="1">
      <alignment horizontal="right"/>
    </xf>
    <xf numFmtId="183" fontId="4" fillId="4" borderId="0" xfId="0" applyNumberFormat="1" applyFont="1" applyFill="1" applyBorder="1" applyAlignment="1">
      <alignment horizontal="right" vertical="center"/>
    </xf>
    <xf numFmtId="0" fontId="28" fillId="0" borderId="2" xfId="0" applyFont="1" applyBorder="1" applyAlignment="1"/>
    <xf numFmtId="0" fontId="0" fillId="0" borderId="0" xfId="0" applyBorder="1" applyAlignment="1">
      <alignment wrapText="1"/>
    </xf>
    <xf numFmtId="0" fontId="6" fillId="2" borderId="1" xfId="0" applyFont="1" applyFill="1" applyBorder="1" applyAlignment="1">
      <alignment horizontal="left"/>
    </xf>
    <xf numFmtId="184" fontId="4" fillId="2" borderId="1" xfId="0" applyNumberFormat="1" applyFont="1" applyFill="1" applyBorder="1" applyAlignment="1">
      <alignment horizontal="right"/>
    </xf>
    <xf numFmtId="184" fontId="4" fillId="2" borderId="0" xfId="0" applyNumberFormat="1" applyFont="1" applyFill="1" applyBorder="1" applyAlignment="1">
      <alignment horizontal="right"/>
    </xf>
    <xf numFmtId="184" fontId="4" fillId="2" borderId="2" xfId="0" applyNumberFormat="1" applyFont="1" applyFill="1" applyBorder="1" applyAlignment="1">
      <alignment horizontal="right" vertical="top"/>
    </xf>
    <xf numFmtId="0" fontId="4" fillId="2" borderId="6" xfId="0" applyFont="1" applyFill="1" applyBorder="1" applyAlignment="1">
      <alignment vertical="center" wrapText="1"/>
    </xf>
    <xf numFmtId="3" fontId="4" fillId="4" borderId="6" xfId="0" applyNumberFormat="1" applyFont="1" applyFill="1" applyBorder="1" applyAlignment="1">
      <alignment vertical="center"/>
    </xf>
    <xf numFmtId="3" fontId="4" fillId="2" borderId="6" xfId="0" applyNumberFormat="1" applyFont="1" applyFill="1" applyBorder="1" applyAlignment="1">
      <alignment vertical="center"/>
    </xf>
    <xf numFmtId="184" fontId="4" fillId="2" borderId="6" xfId="0" applyNumberFormat="1" applyFont="1" applyFill="1" applyBorder="1" applyAlignment="1">
      <alignment vertical="center"/>
    </xf>
    <xf numFmtId="184" fontId="4" fillId="4" borderId="6" xfId="0" applyNumberFormat="1" applyFont="1" applyFill="1" applyBorder="1" applyAlignment="1">
      <alignment vertical="center"/>
    </xf>
    <xf numFmtId="0" fontId="6" fillId="2" borderId="7" xfId="0" applyFont="1" applyFill="1" applyBorder="1" applyAlignment="1">
      <alignment vertical="center"/>
    </xf>
    <xf numFmtId="184" fontId="6" fillId="2" borderId="0" xfId="0" applyNumberFormat="1" applyFont="1" applyFill="1" applyBorder="1" applyAlignment="1">
      <alignment vertical="center"/>
    </xf>
    <xf numFmtId="184" fontId="6" fillId="4" borderId="7" xfId="0" applyNumberFormat="1" applyFont="1" applyFill="1" applyBorder="1" applyAlignment="1">
      <alignment vertical="center"/>
    </xf>
    <xf numFmtId="0" fontId="40" fillId="2" borderId="16" xfId="0" applyFont="1" applyFill="1" applyBorder="1" applyAlignment="1">
      <alignment vertical="center"/>
    </xf>
    <xf numFmtId="3" fontId="40" fillId="4" borderId="16" xfId="0" applyNumberFormat="1" applyFont="1" applyFill="1" applyBorder="1" applyAlignment="1">
      <alignment vertical="center"/>
    </xf>
    <xf numFmtId="3" fontId="40" fillId="2" borderId="16" xfId="0" applyNumberFormat="1" applyFont="1" applyFill="1" applyBorder="1" applyAlignment="1">
      <alignment vertical="center"/>
    </xf>
    <xf numFmtId="184" fontId="40" fillId="2" borderId="16" xfId="0" applyNumberFormat="1" applyFont="1" applyFill="1" applyBorder="1" applyAlignment="1">
      <alignment vertical="center"/>
    </xf>
    <xf numFmtId="184" fontId="40" fillId="4" borderId="16" xfId="0" applyNumberFormat="1" applyFont="1" applyFill="1" applyBorder="1" applyAlignment="1">
      <alignment vertical="center"/>
    </xf>
    <xf numFmtId="0" fontId="39" fillId="0" borderId="0" xfId="0" applyFont="1"/>
    <xf numFmtId="0" fontId="3" fillId="0" borderId="0" xfId="0" applyFont="1" applyBorder="1" applyAlignment="1">
      <alignment vertical="top" wrapText="1"/>
    </xf>
    <xf numFmtId="0" fontId="0" fillId="0" borderId="0" xfId="0" applyAlignment="1"/>
    <xf numFmtId="0" fontId="0" fillId="0" borderId="0" xfId="0" applyBorder="1"/>
    <xf numFmtId="0" fontId="3" fillId="0" borderId="0" xfId="0" applyFont="1" applyAlignment="1">
      <alignment wrapText="1"/>
    </xf>
    <xf numFmtId="0" fontId="6" fillId="2" borderId="1" xfId="0" applyFont="1" applyFill="1" applyBorder="1" applyAlignment="1">
      <alignment horizontal="left" vertical="center"/>
    </xf>
    <xf numFmtId="0" fontId="6" fillId="4" borderId="1" xfId="0" applyFont="1" applyFill="1" applyBorder="1" applyAlignment="1">
      <alignment horizontal="right" vertical="center"/>
    </xf>
    <xf numFmtId="0" fontId="6" fillId="2" borderId="1" xfId="0" applyFont="1" applyFill="1" applyBorder="1" applyAlignment="1">
      <alignment horizontal="right" vertical="center"/>
    </xf>
    <xf numFmtId="0" fontId="6" fillId="2" borderId="16" xfId="0" applyFont="1" applyFill="1" applyBorder="1" applyAlignment="1">
      <alignment vertical="center"/>
    </xf>
    <xf numFmtId="3" fontId="4" fillId="4" borderId="16" xfId="0" applyNumberFormat="1" applyFont="1" applyFill="1" applyBorder="1" applyAlignment="1">
      <alignment vertical="center"/>
    </xf>
    <xf numFmtId="3" fontId="4" fillId="2" borderId="16" xfId="0" applyNumberFormat="1" applyFont="1" applyFill="1" applyBorder="1" applyAlignment="1">
      <alignment vertical="center"/>
    </xf>
    <xf numFmtId="3" fontId="6" fillId="2" borderId="16" xfId="0" applyNumberFormat="1" applyFont="1" applyFill="1" applyBorder="1" applyAlignment="1">
      <alignment vertical="center"/>
    </xf>
    <xf numFmtId="2" fontId="5" fillId="7" borderId="0" xfId="0" applyNumberFormat="1" applyFont="1" applyFill="1" applyAlignment="1">
      <alignment horizontal="left"/>
    </xf>
    <xf numFmtId="0" fontId="11" fillId="0" borderId="0" xfId="0" applyFont="1" applyFill="1" applyAlignment="1">
      <alignment horizontal="center"/>
    </xf>
    <xf numFmtId="0" fontId="28" fillId="5" borderId="0" xfId="0" applyFont="1" applyFill="1"/>
    <xf numFmtId="0" fontId="38" fillId="5" borderId="0" xfId="0" applyFont="1" applyFill="1"/>
    <xf numFmtId="0" fontId="6" fillId="2" borderId="4" xfId="0" quotePrefix="1" applyFont="1" applyFill="1" applyBorder="1" applyAlignment="1">
      <alignment horizontal="left" vertical="center"/>
    </xf>
    <xf numFmtId="3" fontId="4" fillId="4" borderId="4" xfId="0" applyNumberFormat="1" applyFont="1" applyFill="1" applyBorder="1" applyAlignment="1"/>
    <xf numFmtId="0" fontId="43" fillId="5" borderId="0" xfId="0" applyFont="1" applyFill="1"/>
    <xf numFmtId="0" fontId="44" fillId="5" borderId="0" xfId="0" applyFont="1" applyFill="1"/>
    <xf numFmtId="0" fontId="45" fillId="5" borderId="0" xfId="0" applyFont="1" applyFill="1"/>
    <xf numFmtId="0" fontId="46" fillId="5" borderId="0" xfId="0" applyFont="1" applyFill="1"/>
    <xf numFmtId="0" fontId="46" fillId="0" borderId="0" xfId="0" applyFont="1" applyFill="1"/>
    <xf numFmtId="0" fontId="45" fillId="0" borderId="0" xfId="0" applyFont="1" applyFill="1"/>
    <xf numFmtId="0" fontId="13" fillId="0" borderId="0" xfId="0" applyFont="1" applyFill="1"/>
    <xf numFmtId="0" fontId="14" fillId="0" borderId="0" xfId="0" applyFont="1" applyFill="1"/>
    <xf numFmtId="0" fontId="47" fillId="5" borderId="0" xfId="0" applyFont="1" applyFill="1"/>
    <xf numFmtId="3" fontId="4" fillId="2" borderId="4" xfId="0" applyNumberFormat="1" applyFont="1" applyFill="1" applyBorder="1" applyAlignment="1"/>
    <xf numFmtId="184" fontId="4" fillId="2" borderId="0" xfId="0" applyNumberFormat="1" applyFont="1" applyFill="1" applyBorder="1" applyAlignment="1">
      <alignment horizontal="center"/>
    </xf>
    <xf numFmtId="0" fontId="4" fillId="0" borderId="0" xfId="0" applyFont="1" applyAlignment="1">
      <alignment horizontal="right"/>
    </xf>
    <xf numFmtId="0" fontId="6" fillId="2" borderId="3" xfId="0" quotePrefix="1" applyFont="1" applyFill="1" applyBorder="1" applyAlignment="1"/>
    <xf numFmtId="0" fontId="4" fillId="2" borderId="4" xfId="0" quotePrefix="1" applyFont="1" applyFill="1" applyBorder="1" applyAlignment="1"/>
    <xf numFmtId="0" fontId="6" fillId="2" borderId="4" xfId="0" quotePrefix="1" applyFont="1" applyFill="1" applyBorder="1" applyAlignment="1"/>
    <xf numFmtId="0" fontId="4" fillId="2" borderId="0" xfId="0" quotePrefix="1" applyFont="1" applyFill="1" applyBorder="1" applyAlignment="1">
      <alignment vertical="center"/>
    </xf>
    <xf numFmtId="3" fontId="4" fillId="4" borderId="0" xfId="0" applyNumberFormat="1" applyFont="1" applyFill="1" applyBorder="1" applyAlignment="1">
      <alignment horizontal="right" vertical="center"/>
    </xf>
    <xf numFmtId="3" fontId="3" fillId="0" borderId="0" xfId="0" applyNumberFormat="1" applyFont="1"/>
    <xf numFmtId="3" fontId="9" fillId="0" borderId="5" xfId="0" applyNumberFormat="1" applyFont="1" applyBorder="1"/>
    <xf numFmtId="3" fontId="9" fillId="0" borderId="0" xfId="0" applyNumberFormat="1" applyFont="1"/>
    <xf numFmtId="0" fontId="4" fillId="2" borderId="3" xfId="0" applyFont="1" applyFill="1" applyBorder="1" applyAlignment="1">
      <alignment horizontal="left" vertical="center"/>
    </xf>
    <xf numFmtId="3" fontId="4" fillId="2" borderId="6" xfId="0" applyNumberFormat="1" applyFont="1" applyFill="1" applyBorder="1" applyAlignment="1">
      <alignment horizontal="right" vertical="center"/>
    </xf>
    <xf numFmtId="3" fontId="9" fillId="0" borderId="0" xfId="0" applyNumberFormat="1" applyFont="1" applyBorder="1"/>
    <xf numFmtId="0" fontId="28" fillId="0" borderId="0" xfId="6" applyFont="1"/>
    <xf numFmtId="0" fontId="21" fillId="0" borderId="0" xfId="6"/>
    <xf numFmtId="0" fontId="3" fillId="0" borderId="0" xfId="6" applyFont="1"/>
    <xf numFmtId="0" fontId="5" fillId="0" borderId="0" xfId="6" applyFont="1" applyAlignment="1"/>
    <xf numFmtId="0" fontId="22" fillId="0" borderId="0" xfId="6" applyFont="1"/>
    <xf numFmtId="0" fontId="4" fillId="2" borderId="6" xfId="0" quotePrefix="1" applyFont="1" applyFill="1" applyBorder="1" applyAlignment="1">
      <alignment horizontal="left"/>
    </xf>
    <xf numFmtId="0" fontId="18" fillId="2" borderId="0" xfId="0" applyFont="1" applyFill="1" applyBorder="1" applyAlignment="1">
      <alignment horizontal="right"/>
    </xf>
    <xf numFmtId="0" fontId="4" fillId="2" borderId="3" xfId="0" quotePrefix="1" applyFont="1" applyFill="1" applyBorder="1" applyAlignment="1">
      <alignment horizontal="left" vertical="center"/>
    </xf>
    <xf numFmtId="184" fontId="4" fillId="2" borderId="6" xfId="0" applyNumberFormat="1" applyFont="1" applyFill="1" applyBorder="1" applyAlignment="1">
      <alignment horizontal="right" vertical="center"/>
    </xf>
    <xf numFmtId="3" fontId="5" fillId="0" borderId="0" xfId="0" applyNumberFormat="1" applyFont="1" applyFill="1" applyAlignment="1">
      <alignment horizontal="center"/>
    </xf>
    <xf numFmtId="3" fontId="5" fillId="0" borderId="0" xfId="0" applyNumberFormat="1" applyFont="1" applyFill="1"/>
    <xf numFmtId="0" fontId="5" fillId="0" borderId="0" xfId="0" quotePrefix="1" applyFont="1" applyFill="1" applyAlignment="1">
      <alignment horizontal="center"/>
    </xf>
    <xf numFmtId="0" fontId="22" fillId="3" borderId="0" xfId="0" applyFont="1" applyFill="1" applyBorder="1"/>
    <xf numFmtId="0" fontId="28" fillId="0" borderId="0" xfId="7" applyFont="1"/>
    <xf numFmtId="0" fontId="21" fillId="0" borderId="0" xfId="7"/>
    <xf numFmtId="0" fontId="3" fillId="0" borderId="0" xfId="7" applyFont="1"/>
    <xf numFmtId="0" fontId="22" fillId="0" borderId="0" xfId="7" applyFont="1"/>
    <xf numFmtId="2" fontId="16" fillId="5" borderId="0" xfId="0" applyNumberFormat="1" applyFont="1" applyFill="1" applyAlignment="1">
      <alignment horizontal="center"/>
    </xf>
    <xf numFmtId="0" fontId="16" fillId="5" borderId="0" xfId="0" applyNumberFormat="1" applyFont="1" applyFill="1" applyAlignment="1">
      <alignment horizontal="center"/>
    </xf>
    <xf numFmtId="9" fontId="6" fillId="4" borderId="1" xfId="0" applyNumberFormat="1" applyFont="1" applyFill="1" applyBorder="1" applyAlignment="1">
      <alignment horizontal="right" wrapText="1"/>
    </xf>
    <xf numFmtId="9" fontId="6" fillId="2" borderId="1" xfId="0" applyNumberFormat="1" applyFont="1" applyFill="1" applyBorder="1" applyAlignment="1">
      <alignment horizontal="right" wrapText="1"/>
    </xf>
    <xf numFmtId="9" fontId="4" fillId="4" borderId="0" xfId="0" applyNumberFormat="1" applyFont="1" applyFill="1" applyBorder="1" applyAlignment="1">
      <alignment horizontal="right" wrapText="1"/>
    </xf>
    <xf numFmtId="9" fontId="4" fillId="2" borderId="0" xfId="0" applyNumberFormat="1" applyFont="1" applyFill="1" applyBorder="1" applyAlignment="1">
      <alignment horizontal="right" wrapText="1"/>
    </xf>
    <xf numFmtId="3" fontId="4" fillId="3" borderId="5" xfId="0" applyNumberFormat="1" applyFont="1" applyFill="1" applyBorder="1" applyAlignment="1">
      <alignment horizontal="right" vertical="top"/>
    </xf>
    <xf numFmtId="3" fontId="4" fillId="3" borderId="0" xfId="0" applyNumberFormat="1" applyFont="1" applyFill="1" applyBorder="1" applyAlignment="1">
      <alignment horizontal="right" vertical="top"/>
    </xf>
    <xf numFmtId="182" fontId="4" fillId="0" borderId="5" xfId="0" applyNumberFormat="1" applyFont="1" applyBorder="1" applyAlignment="1">
      <alignment horizontal="right" vertical="top"/>
    </xf>
    <xf numFmtId="182" fontId="4" fillId="0" borderId="0" xfId="0" applyNumberFormat="1" applyFont="1" applyBorder="1" applyAlignment="1">
      <alignment horizontal="right" vertical="top"/>
    </xf>
    <xf numFmtId="0" fontId="18" fillId="4" borderId="0" xfId="0" applyFont="1" applyFill="1" applyBorder="1" applyAlignment="1">
      <alignment horizontal="center"/>
    </xf>
    <xf numFmtId="0" fontId="18" fillId="2" borderId="2" xfId="0" applyFont="1" applyFill="1" applyBorder="1" applyAlignment="1">
      <alignment horizontal="center" vertical="top"/>
    </xf>
    <xf numFmtId="182" fontId="4" fillId="4" borderId="3" xfId="0" applyNumberFormat="1" applyFont="1" applyFill="1" applyBorder="1" applyAlignment="1">
      <alignment horizontal="right"/>
    </xf>
    <xf numFmtId="184" fontId="4" fillId="4" borderId="6" xfId="0" applyNumberFormat="1" applyFont="1" applyFill="1" applyBorder="1" applyAlignment="1">
      <alignment horizontal="center"/>
    </xf>
    <xf numFmtId="182" fontId="6" fillId="4" borderId="0" xfId="0" applyNumberFormat="1" applyFont="1" applyFill="1" applyBorder="1" applyAlignment="1">
      <alignment horizontal="right" vertical="center"/>
    </xf>
    <xf numFmtId="184" fontId="6" fillId="4" borderId="4" xfId="0" applyNumberFormat="1" applyFont="1" applyFill="1" applyBorder="1" applyAlignment="1">
      <alignment horizontal="center" vertical="center"/>
    </xf>
    <xf numFmtId="182" fontId="4" fillId="0" borderId="5" xfId="0" applyNumberFormat="1" applyFont="1" applyBorder="1" applyAlignment="1">
      <alignment horizontal="center" vertical="top"/>
    </xf>
    <xf numFmtId="182" fontId="4" fillId="0" borderId="0" xfId="0" applyNumberFormat="1" applyFont="1" applyBorder="1" applyAlignment="1">
      <alignment horizontal="center" vertical="top"/>
    </xf>
    <xf numFmtId="182" fontId="0" fillId="0" borderId="0" xfId="0" applyNumberFormat="1"/>
    <xf numFmtId="0" fontId="18" fillId="4" borderId="0" xfId="0" applyFont="1" applyFill="1" applyBorder="1" applyAlignment="1">
      <alignment horizontal="right"/>
    </xf>
    <xf numFmtId="1" fontId="4" fillId="4" borderId="6" xfId="0" applyNumberFormat="1" applyFont="1" applyFill="1" applyBorder="1" applyAlignment="1">
      <alignment horizontal="right"/>
    </xf>
    <xf numFmtId="1" fontId="4" fillId="2" borderId="6" xfId="0" applyNumberFormat="1" applyFont="1" applyFill="1" applyBorder="1" applyAlignment="1">
      <alignment horizontal="right"/>
    </xf>
    <xf numFmtId="1" fontId="4" fillId="2" borderId="3" xfId="0" applyNumberFormat="1" applyFont="1" applyFill="1" applyBorder="1" applyAlignment="1">
      <alignment horizontal="right"/>
    </xf>
    <xf numFmtId="1" fontId="4" fillId="4" borderId="4" xfId="0" applyNumberFormat="1" applyFont="1" applyFill="1" applyBorder="1" applyAlignment="1">
      <alignment horizontal="right"/>
    </xf>
    <xf numFmtId="1" fontId="4" fillId="2" borderId="4" xfId="0" applyNumberFormat="1" applyFont="1" applyFill="1" applyBorder="1" applyAlignment="1">
      <alignment horizontal="right"/>
    </xf>
    <xf numFmtId="1" fontId="6" fillId="4" borderId="4" xfId="0" applyNumberFormat="1" applyFont="1" applyFill="1" applyBorder="1" applyAlignment="1">
      <alignment horizontal="right" vertical="center"/>
    </xf>
    <xf numFmtId="1" fontId="6" fillId="2" borderId="4" xfId="0" applyNumberFormat="1" applyFont="1" applyFill="1" applyBorder="1" applyAlignment="1">
      <alignment horizontal="right" vertical="center"/>
    </xf>
    <xf numFmtId="1" fontId="6" fillId="2" borderId="0" xfId="0" applyNumberFormat="1" applyFont="1" applyFill="1" applyBorder="1" applyAlignment="1">
      <alignment horizontal="right" vertical="center"/>
    </xf>
    <xf numFmtId="1" fontId="6" fillId="2" borderId="7" xfId="0" applyNumberFormat="1" applyFont="1" applyFill="1" applyBorder="1" applyAlignment="1">
      <alignment horizontal="right" vertical="center"/>
    </xf>
    <xf numFmtId="182" fontId="50" fillId="0" borderId="0" xfId="0" applyNumberFormat="1" applyFont="1"/>
    <xf numFmtId="0" fontId="2" fillId="0" borderId="2" xfId="0" applyFont="1" applyBorder="1" applyAlignment="1">
      <alignment horizontal="center"/>
    </xf>
    <xf numFmtId="0" fontId="2" fillId="0" borderId="2" xfId="0" applyFont="1" applyBorder="1"/>
    <xf numFmtId="0" fontId="4" fillId="2" borderId="0" xfId="0" applyFont="1" applyFill="1" applyBorder="1" applyAlignment="1"/>
    <xf numFmtId="3" fontId="18" fillId="4" borderId="0" xfId="0" applyNumberFormat="1" applyFont="1" applyFill="1" applyBorder="1" applyAlignment="1">
      <alignment horizontal="center"/>
    </xf>
    <xf numFmtId="184" fontId="6" fillId="4" borderId="6" xfId="0" applyNumberFormat="1" applyFont="1" applyFill="1" applyBorder="1" applyAlignment="1">
      <alignment horizontal="center" vertical="center"/>
    </xf>
    <xf numFmtId="0" fontId="3" fillId="0" borderId="0" xfId="3" applyFont="1"/>
    <xf numFmtId="0" fontId="21" fillId="0" borderId="0" xfId="3"/>
    <xf numFmtId="0" fontId="5" fillId="0" borderId="0" xfId="3" applyFont="1"/>
    <xf numFmtId="0" fontId="5" fillId="0" borderId="0" xfId="3" applyFont="1" applyAlignment="1"/>
    <xf numFmtId="0" fontId="5" fillId="0" borderId="0" xfId="3" quotePrefix="1" applyFont="1" applyAlignment="1">
      <alignment horizontal="right"/>
    </xf>
    <xf numFmtId="0" fontId="22" fillId="0" borderId="0" xfId="3" applyFont="1"/>
    <xf numFmtId="0" fontId="4" fillId="2" borderId="4" xfId="0" quotePrefix="1" applyFont="1" applyFill="1" applyBorder="1" applyAlignment="1">
      <alignment horizontal="left" vertical="center"/>
    </xf>
    <xf numFmtId="0" fontId="6" fillId="2" borderId="0" xfId="0" quotePrefix="1" applyFont="1" applyFill="1" applyBorder="1" applyAlignment="1">
      <alignment horizontal="left" vertical="center"/>
    </xf>
    <xf numFmtId="184" fontId="6" fillId="4" borderId="6" xfId="0" applyNumberFormat="1" applyFont="1" applyFill="1" applyBorder="1" applyAlignment="1">
      <alignment horizontal="right" vertical="center"/>
    </xf>
    <xf numFmtId="0" fontId="2" fillId="0" borderId="0" xfId="0" applyFont="1" applyAlignment="1"/>
    <xf numFmtId="184" fontId="4" fillId="4" borderId="1" xfId="0" applyNumberFormat="1" applyFont="1" applyFill="1" applyBorder="1" applyAlignment="1">
      <alignment horizontal="center"/>
    </xf>
    <xf numFmtId="184" fontId="4" fillId="4" borderId="0" xfId="0" applyNumberFormat="1" applyFont="1" applyFill="1" applyBorder="1" applyAlignment="1">
      <alignment horizontal="center"/>
    </xf>
    <xf numFmtId="184" fontId="4" fillId="4" borderId="2" xfId="0" applyNumberFormat="1" applyFont="1" applyFill="1" applyBorder="1" applyAlignment="1">
      <alignment horizontal="center" vertical="top"/>
    </xf>
    <xf numFmtId="3" fontId="5" fillId="0" borderId="0" xfId="0" applyNumberFormat="1" applyFont="1" applyAlignment="1">
      <alignment vertical="center"/>
    </xf>
    <xf numFmtId="0" fontId="4" fillId="4" borderId="2" xfId="0" applyFont="1" applyFill="1" applyBorder="1" applyAlignment="1">
      <alignment horizontal="left" vertical="top"/>
    </xf>
    <xf numFmtId="3" fontId="4" fillId="4" borderId="6" xfId="0" quotePrefix="1" applyNumberFormat="1" applyFont="1" applyFill="1" applyBorder="1" applyAlignment="1">
      <alignment horizontal="right"/>
    </xf>
    <xf numFmtId="3" fontId="4" fillId="4" borderId="4" xfId="0" quotePrefix="1" applyNumberFormat="1" applyFont="1" applyFill="1" applyBorder="1" applyAlignment="1">
      <alignment horizontal="right"/>
    </xf>
    <xf numFmtId="3" fontId="6" fillId="4" borderId="4" xfId="0" quotePrefix="1" applyNumberFormat="1" applyFont="1" applyFill="1" applyBorder="1" applyAlignment="1">
      <alignment horizontal="right" vertical="center"/>
    </xf>
    <xf numFmtId="0" fontId="4" fillId="4" borderId="1" xfId="0" applyFont="1" applyFill="1" applyBorder="1" applyAlignment="1">
      <alignment horizontal="center" wrapText="1"/>
    </xf>
    <xf numFmtId="0" fontId="4" fillId="4" borderId="0" xfId="0" applyFont="1" applyFill="1" applyBorder="1" applyAlignment="1">
      <alignment horizontal="center" vertical="top"/>
    </xf>
    <xf numFmtId="0" fontId="4" fillId="2" borderId="17" xfId="0" applyFont="1" applyFill="1" applyBorder="1" applyAlignment="1">
      <alignment horizontal="left" vertical="center"/>
    </xf>
    <xf numFmtId="3" fontId="4" fillId="4" borderId="17" xfId="0" applyNumberFormat="1" applyFont="1" applyFill="1" applyBorder="1" applyAlignment="1">
      <alignment horizontal="right" vertical="center"/>
    </xf>
    <xf numFmtId="184" fontId="4" fillId="2" borderId="17" xfId="0" applyNumberFormat="1" applyFont="1" applyFill="1" applyBorder="1" applyAlignment="1">
      <alignment horizontal="right" vertical="center"/>
    </xf>
    <xf numFmtId="0" fontId="6" fillId="2" borderId="6" xfId="0" applyFont="1" applyFill="1" applyBorder="1" applyAlignment="1">
      <alignment horizontal="left" vertical="center"/>
    </xf>
    <xf numFmtId="3" fontId="4" fillId="4" borderId="3" xfId="0" applyNumberFormat="1" applyFont="1" applyFill="1" applyBorder="1" applyAlignment="1">
      <alignment horizontal="right" vertical="center"/>
    </xf>
    <xf numFmtId="3" fontId="4" fillId="2" borderId="3" xfId="0" quotePrefix="1" applyNumberFormat="1" applyFont="1" applyFill="1" applyBorder="1" applyAlignment="1">
      <alignment horizontal="right" vertical="center"/>
    </xf>
    <xf numFmtId="3" fontId="4" fillId="4" borderId="3" xfId="0" quotePrefix="1" applyNumberFormat="1" applyFont="1" applyFill="1" applyBorder="1" applyAlignment="1">
      <alignment horizontal="right" vertical="center"/>
    </xf>
    <xf numFmtId="0" fontId="4" fillId="2" borderId="17" xfId="0" applyFont="1" applyFill="1" applyBorder="1" applyAlignment="1">
      <alignment horizontal="left"/>
    </xf>
    <xf numFmtId="3" fontId="4" fillId="2" borderId="17" xfId="0" applyNumberFormat="1" applyFont="1" applyFill="1" applyBorder="1" applyAlignment="1">
      <alignment horizontal="right" vertical="center"/>
    </xf>
    <xf numFmtId="3" fontId="4" fillId="2" borderId="17" xfId="0" quotePrefix="1" applyNumberFormat="1" applyFont="1" applyFill="1" applyBorder="1" applyAlignment="1">
      <alignment horizontal="right" vertical="center"/>
    </xf>
    <xf numFmtId="3" fontId="4" fillId="4" borderId="17" xfId="0" quotePrefix="1" applyNumberFormat="1" applyFont="1" applyFill="1" applyBorder="1" applyAlignment="1">
      <alignment horizontal="right" vertical="center"/>
    </xf>
    <xf numFmtId="3" fontId="4" fillId="2" borderId="6" xfId="0" quotePrefix="1" applyNumberFormat="1" applyFont="1" applyFill="1" applyBorder="1" applyAlignment="1">
      <alignment horizontal="right" vertical="center"/>
    </xf>
    <xf numFmtId="3" fontId="4" fillId="4" borderId="6" xfId="0" quotePrefix="1" applyNumberFormat="1" applyFont="1" applyFill="1" applyBorder="1" applyAlignment="1">
      <alignment horizontal="right" vertical="center"/>
    </xf>
    <xf numFmtId="0" fontId="4" fillId="8" borderId="1" xfId="0" applyFont="1" applyFill="1" applyBorder="1" applyAlignment="1">
      <alignment horizontal="left"/>
    </xf>
    <xf numFmtId="0" fontId="4" fillId="9" borderId="1" xfId="0" applyFont="1" applyFill="1" applyBorder="1" applyAlignment="1">
      <alignment horizontal="right"/>
    </xf>
    <xf numFmtId="0" fontId="4" fillId="8" borderId="1" xfId="0" applyFont="1" applyFill="1" applyBorder="1" applyAlignment="1">
      <alignment horizontal="right"/>
    </xf>
    <xf numFmtId="0" fontId="4" fillId="8" borderId="0" xfId="0" applyFont="1" applyFill="1" applyBorder="1" applyAlignment="1">
      <alignment horizontal="left"/>
    </xf>
    <xf numFmtId="0" fontId="4" fillId="9" borderId="0" xfId="0" applyFont="1" applyFill="1" applyBorder="1" applyAlignment="1">
      <alignment horizontal="right"/>
    </xf>
    <xf numFmtId="3" fontId="4" fillId="8" borderId="0" xfId="0" applyNumberFormat="1" applyFont="1" applyFill="1" applyBorder="1" applyAlignment="1">
      <alignment horizontal="right"/>
    </xf>
    <xf numFmtId="0" fontId="4" fillId="8" borderId="0" xfId="0" applyFont="1" applyFill="1" applyBorder="1" applyAlignment="1">
      <alignment horizontal="right"/>
    </xf>
    <xf numFmtId="0" fontId="4" fillId="8" borderId="2" xfId="0" applyFont="1" applyFill="1" applyBorder="1" applyAlignment="1">
      <alignment horizontal="left" vertical="top"/>
    </xf>
    <xf numFmtId="0" fontId="4" fillId="9" borderId="2" xfId="0" applyFont="1" applyFill="1" applyBorder="1" applyAlignment="1">
      <alignment horizontal="right" vertical="top"/>
    </xf>
    <xf numFmtId="0" fontId="4" fillId="8" borderId="2" xfId="0" applyFont="1" applyFill="1" applyBorder="1" applyAlignment="1">
      <alignment horizontal="right" vertical="top"/>
    </xf>
    <xf numFmtId="0" fontId="4" fillId="8" borderId="3" xfId="0" quotePrefix="1" applyFont="1" applyFill="1" applyBorder="1" applyAlignment="1">
      <alignment horizontal="left"/>
    </xf>
    <xf numFmtId="3" fontId="4" fillId="9" borderId="3" xfId="0" applyNumberFormat="1" applyFont="1" applyFill="1" applyBorder="1" applyAlignment="1">
      <alignment horizontal="right"/>
    </xf>
    <xf numFmtId="0" fontId="4" fillId="8" borderId="3" xfId="0" quotePrefix="1" applyFont="1" applyFill="1" applyBorder="1" applyAlignment="1">
      <alignment horizontal="right"/>
    </xf>
    <xf numFmtId="184" fontId="4" fillId="8" borderId="3" xfId="0" quotePrefix="1" applyNumberFormat="1" applyFont="1" applyFill="1" applyBorder="1" applyAlignment="1">
      <alignment horizontal="right"/>
    </xf>
    <xf numFmtId="0" fontId="4" fillId="8" borderId="4" xfId="0" quotePrefix="1" applyFont="1" applyFill="1" applyBorder="1" applyAlignment="1">
      <alignment horizontal="left"/>
    </xf>
    <xf numFmtId="3" fontId="4" fillId="9" borderId="4" xfId="0" applyNumberFormat="1" applyFont="1" applyFill="1" applyBorder="1" applyAlignment="1">
      <alignment horizontal="right"/>
    </xf>
    <xf numFmtId="0" fontId="4" fillId="8" borderId="4" xfId="0" quotePrefix="1" applyFont="1" applyFill="1" applyBorder="1" applyAlignment="1">
      <alignment horizontal="right"/>
    </xf>
    <xf numFmtId="184" fontId="4" fillId="8" borderId="4" xfId="0" quotePrefix="1" applyNumberFormat="1" applyFont="1" applyFill="1" applyBorder="1" applyAlignment="1">
      <alignment horizontal="right"/>
    </xf>
    <xf numFmtId="0" fontId="6" fillId="8" borderId="0" xfId="0" quotePrefix="1" applyFont="1" applyFill="1" applyBorder="1" applyAlignment="1">
      <alignment horizontal="left" vertical="center"/>
    </xf>
    <xf numFmtId="3" fontId="6" fillId="9" borderId="0" xfId="0" applyNumberFormat="1" applyFont="1" applyFill="1" applyBorder="1" applyAlignment="1">
      <alignment horizontal="right" vertical="center"/>
    </xf>
    <xf numFmtId="0" fontId="6" fillId="8" borderId="0" xfId="0" quotePrefix="1" applyFont="1" applyFill="1" applyBorder="1" applyAlignment="1">
      <alignment horizontal="right" vertical="center"/>
    </xf>
    <xf numFmtId="184" fontId="6" fillId="8" borderId="4" xfId="0" quotePrefix="1" applyNumberFormat="1" applyFont="1" applyFill="1" applyBorder="1" applyAlignment="1">
      <alignment horizontal="right" vertical="center"/>
    </xf>
    <xf numFmtId="182" fontId="5" fillId="0" borderId="0" xfId="0" applyNumberFormat="1" applyFont="1" applyFill="1"/>
    <xf numFmtId="0" fontId="6" fillId="2" borderId="0" xfId="0" applyFont="1" applyFill="1" applyBorder="1" applyAlignment="1">
      <alignment vertical="center"/>
    </xf>
    <xf numFmtId="3" fontId="4" fillId="2" borderId="0" xfId="0" applyNumberFormat="1" applyFont="1" applyFill="1" applyBorder="1"/>
    <xf numFmtId="184" fontId="6" fillId="4" borderId="0" xfId="0" applyNumberFormat="1" applyFont="1" applyFill="1" applyBorder="1" applyAlignment="1">
      <alignment vertical="center"/>
    </xf>
    <xf numFmtId="3" fontId="4" fillId="2" borderId="0" xfId="0" applyNumberFormat="1" applyFont="1" applyFill="1" applyBorder="1" applyAlignment="1">
      <alignment vertical="center"/>
    </xf>
    <xf numFmtId="0" fontId="6" fillId="2" borderId="12" xfId="0" quotePrefix="1" applyFont="1" applyFill="1" applyBorder="1" applyAlignment="1">
      <alignment horizontal="left" vertical="center"/>
    </xf>
    <xf numFmtId="3" fontId="6" fillId="4" borderId="12" xfId="0" applyNumberFormat="1" applyFont="1" applyFill="1" applyBorder="1" applyAlignment="1">
      <alignment horizontal="right" vertical="center"/>
    </xf>
    <xf numFmtId="3" fontId="6" fillId="2" borderId="12" xfId="0" applyNumberFormat="1" applyFont="1" applyFill="1" applyBorder="1" applyAlignment="1">
      <alignment horizontal="right" vertical="center"/>
    </xf>
    <xf numFmtId="0" fontId="46" fillId="0" borderId="0" xfId="0" applyFont="1"/>
    <xf numFmtId="182" fontId="4" fillId="2" borderId="3" xfId="0" applyNumberFormat="1" applyFont="1" applyFill="1" applyBorder="1" applyAlignment="1">
      <alignment horizontal="right"/>
    </xf>
    <xf numFmtId="0" fontId="0" fillId="0" borderId="2" xfId="0" applyBorder="1" applyAlignment="1"/>
    <xf numFmtId="184" fontId="4" fillId="4" borderId="3" xfId="0" applyNumberFormat="1" applyFont="1" applyFill="1" applyBorder="1" applyAlignment="1">
      <alignment horizontal="right" vertical="center"/>
    </xf>
    <xf numFmtId="0" fontId="40" fillId="2" borderId="0" xfId="0" quotePrefix="1" applyFont="1" applyFill="1" applyBorder="1" applyAlignment="1">
      <alignment horizontal="left" vertical="top"/>
    </xf>
    <xf numFmtId="3" fontId="40" fillId="4" borderId="0" xfId="0" applyNumberFormat="1" applyFont="1" applyFill="1" applyBorder="1" applyAlignment="1">
      <alignment horizontal="right" vertical="top"/>
    </xf>
    <xf numFmtId="3" fontId="40" fillId="2" borderId="0" xfId="0" applyNumberFormat="1" applyFont="1" applyFill="1" applyBorder="1" applyAlignment="1">
      <alignment horizontal="right" vertical="top"/>
    </xf>
    <xf numFmtId="3" fontId="41" fillId="2" borderId="0" xfId="0" applyNumberFormat="1" applyFont="1" applyFill="1" applyBorder="1" applyAlignment="1">
      <alignment horizontal="right" vertical="top"/>
    </xf>
    <xf numFmtId="3" fontId="4" fillId="2" borderId="7" xfId="0" applyNumberFormat="1" applyFont="1" applyFill="1" applyBorder="1" applyAlignment="1">
      <alignment horizontal="right" vertical="top"/>
    </xf>
    <xf numFmtId="3" fontId="4" fillId="4" borderId="7" xfId="0" applyNumberFormat="1" applyFont="1" applyFill="1" applyBorder="1" applyAlignment="1">
      <alignment horizontal="right" vertical="top"/>
    </xf>
    <xf numFmtId="184" fontId="2" fillId="3" borderId="0" xfId="0" applyNumberFormat="1" applyFont="1" applyFill="1"/>
    <xf numFmtId="0" fontId="33" fillId="0" borderId="0" xfId="0" applyFont="1" applyAlignment="1">
      <alignment horizontal="left" wrapText="1"/>
    </xf>
    <xf numFmtId="0" fontId="39" fillId="4" borderId="0" xfId="0" applyFont="1" applyFill="1" applyBorder="1" applyAlignment="1">
      <alignment horizontal="right"/>
    </xf>
    <xf numFmtId="184" fontId="39" fillId="2" borderId="0" xfId="0" applyNumberFormat="1" applyFont="1" applyFill="1" applyBorder="1" applyAlignment="1">
      <alignment horizontal="right"/>
    </xf>
    <xf numFmtId="184" fontId="4" fillId="2" borderId="0" xfId="0" applyNumberFormat="1" applyFont="1" applyFill="1" applyBorder="1" applyAlignment="1">
      <alignment horizontal="right" vertical="top"/>
    </xf>
    <xf numFmtId="0" fontId="39" fillId="4" borderId="0" xfId="0" applyFont="1" applyFill="1" applyBorder="1" applyAlignment="1">
      <alignment horizontal="right" vertical="top"/>
    </xf>
    <xf numFmtId="184" fontId="39" fillId="2" borderId="0" xfId="0" applyNumberFormat="1" applyFont="1" applyFill="1" applyBorder="1" applyAlignment="1">
      <alignment horizontal="right" vertical="top"/>
    </xf>
    <xf numFmtId="184" fontId="6" fillId="2" borderId="12" xfId="0" applyNumberFormat="1" applyFont="1" applyFill="1" applyBorder="1" applyAlignment="1">
      <alignment horizontal="right" vertical="center"/>
    </xf>
    <xf numFmtId="0" fontId="5" fillId="0" borderId="0" xfId="0" applyFont="1" applyFill="1" applyAlignment="1">
      <alignment vertical="center"/>
    </xf>
    <xf numFmtId="0" fontId="9" fillId="0" borderId="0" xfId="0" applyFont="1" applyFill="1" applyAlignment="1">
      <alignment vertical="center"/>
    </xf>
    <xf numFmtId="3" fontId="4" fillId="0" borderId="0" xfId="0" applyNumberFormat="1" applyFont="1" applyFill="1" applyBorder="1" applyAlignment="1">
      <alignment horizontal="right" vertical="top"/>
    </xf>
    <xf numFmtId="184" fontId="4" fillId="0" borderId="0" xfId="0" applyNumberFormat="1" applyFont="1" applyFill="1" applyBorder="1" applyAlignment="1">
      <alignment horizontal="right" vertical="top"/>
    </xf>
    <xf numFmtId="3" fontId="40" fillId="4" borderId="4" xfId="0" applyNumberFormat="1" applyFont="1" applyFill="1" applyBorder="1" applyAlignment="1">
      <alignment horizontal="right"/>
    </xf>
    <xf numFmtId="184" fontId="40" fillId="2" borderId="4" xfId="0" applyNumberFormat="1" applyFont="1" applyFill="1" applyBorder="1" applyAlignment="1">
      <alignment horizontal="right"/>
    </xf>
    <xf numFmtId="3" fontId="40" fillId="2" borderId="4" xfId="0" applyNumberFormat="1" applyFont="1" applyFill="1" applyBorder="1" applyAlignment="1">
      <alignment horizontal="right"/>
    </xf>
    <xf numFmtId="0" fontId="40" fillId="2" borderId="7" xfId="0" applyFont="1" applyFill="1" applyBorder="1" applyAlignment="1">
      <alignment horizontal="left" vertical="center"/>
    </xf>
    <xf numFmtId="3" fontId="40" fillId="4" borderId="14" xfId="0" applyNumberFormat="1" applyFont="1" applyFill="1" applyBorder="1" applyAlignment="1">
      <alignment horizontal="right" vertical="center"/>
    </xf>
    <xf numFmtId="184" fontId="40" fillId="2" borderId="7" xfId="0" applyNumberFormat="1" applyFont="1" applyFill="1" applyBorder="1" applyAlignment="1">
      <alignment horizontal="right" vertical="center"/>
    </xf>
    <xf numFmtId="3" fontId="40" fillId="2" borderId="7" xfId="0" applyNumberFormat="1" applyFont="1" applyFill="1" applyBorder="1" applyAlignment="1">
      <alignment horizontal="right" vertical="center"/>
    </xf>
    <xf numFmtId="3" fontId="40" fillId="4" borderId="7" xfId="0" applyNumberFormat="1" applyFont="1" applyFill="1" applyBorder="1" applyAlignment="1">
      <alignment horizontal="right" vertical="center"/>
    </xf>
    <xf numFmtId="3" fontId="4" fillId="0" borderId="2" xfId="0" applyNumberFormat="1" applyFont="1" applyFill="1" applyBorder="1" applyAlignment="1">
      <alignment horizontal="right" vertical="top"/>
    </xf>
    <xf numFmtId="0" fontId="39" fillId="4" borderId="0" xfId="0" applyFont="1" applyFill="1" applyBorder="1" applyAlignment="1">
      <alignment horizontal="right" vertical="center"/>
    </xf>
    <xf numFmtId="184" fontId="39" fillId="2" borderId="0" xfId="0" applyNumberFormat="1" applyFont="1" applyFill="1" applyBorder="1" applyAlignment="1">
      <alignment horizontal="right" vertical="center"/>
    </xf>
    <xf numFmtId="0" fontId="51" fillId="4" borderId="0" xfId="0" applyFont="1" applyFill="1" applyBorder="1" applyAlignment="1">
      <alignment horizontal="right" vertical="top"/>
    </xf>
    <xf numFmtId="184" fontId="51" fillId="2" borderId="0" xfId="0" applyNumberFormat="1" applyFont="1" applyFill="1" applyBorder="1" applyAlignment="1">
      <alignment horizontal="right" vertical="top"/>
    </xf>
    <xf numFmtId="0" fontId="38" fillId="0" borderId="0" xfId="0" applyFont="1"/>
    <xf numFmtId="0" fontId="40" fillId="2" borderId="0" xfId="0" applyFont="1" applyFill="1" applyBorder="1" applyAlignment="1">
      <alignment horizontal="left" vertical="center"/>
    </xf>
    <xf numFmtId="184" fontId="5" fillId="0" borderId="0" xfId="0" applyNumberFormat="1" applyFont="1" applyFill="1"/>
    <xf numFmtId="0" fontId="52" fillId="0" borderId="0" xfId="0" applyFont="1"/>
    <xf numFmtId="0" fontId="40" fillId="2" borderId="0" xfId="0" quotePrefix="1" applyFont="1" applyFill="1" applyBorder="1" applyAlignment="1">
      <alignment horizontal="left" vertical="top" wrapText="1"/>
    </xf>
    <xf numFmtId="184" fontId="40" fillId="4" borderId="0" xfId="0" applyNumberFormat="1" applyFont="1" applyFill="1" applyBorder="1" applyAlignment="1">
      <alignment horizontal="right" vertical="top"/>
    </xf>
    <xf numFmtId="3" fontId="40" fillId="2" borderId="7" xfId="0" applyNumberFormat="1" applyFont="1" applyFill="1" applyBorder="1" applyAlignment="1">
      <alignment horizontal="right" vertical="top"/>
    </xf>
    <xf numFmtId="184" fontId="40" fillId="4" borderId="7" xfId="0" applyNumberFormat="1" applyFont="1" applyFill="1" applyBorder="1" applyAlignment="1">
      <alignment horizontal="right" vertical="top"/>
    </xf>
    <xf numFmtId="0" fontId="4" fillId="0" borderId="0" xfId="0" applyFont="1" applyFill="1" applyBorder="1" applyAlignment="1">
      <alignment horizontal="left"/>
    </xf>
    <xf numFmtId="0" fontId="4" fillId="4" borderId="0" xfId="0" applyFont="1" applyFill="1" applyBorder="1" applyAlignment="1">
      <alignment horizontal="right" wrapText="1"/>
    </xf>
    <xf numFmtId="0" fontId="4" fillId="2" borderId="0" xfId="0" applyFont="1" applyFill="1" applyBorder="1" applyAlignment="1">
      <alignment horizontal="right" wrapText="1"/>
    </xf>
    <xf numFmtId="3" fontId="0" fillId="0" borderId="0" xfId="0" applyNumberFormat="1"/>
    <xf numFmtId="0" fontId="6" fillId="0" borderId="0" xfId="0" applyFont="1" applyFill="1"/>
    <xf numFmtId="3" fontId="6" fillId="0" borderId="0" xfId="0" applyNumberFormat="1" applyFont="1" applyFill="1"/>
    <xf numFmtId="184" fontId="4" fillId="2" borderId="4" xfId="0" applyNumberFormat="1" applyFont="1" applyFill="1" applyBorder="1"/>
    <xf numFmtId="0" fontId="5" fillId="0" borderId="0" xfId="0" applyFont="1" applyAlignment="1">
      <alignment vertical="top"/>
    </xf>
    <xf numFmtId="0" fontId="54" fillId="3" borderId="0" xfId="0" applyFont="1" applyFill="1" applyAlignment="1">
      <alignment vertical="top"/>
    </xf>
    <xf numFmtId="0" fontId="22" fillId="3" borderId="0" xfId="0" applyFont="1" applyFill="1"/>
    <xf numFmtId="0" fontId="54" fillId="3" borderId="2" xfId="0" applyFont="1" applyFill="1" applyBorder="1" applyAlignment="1">
      <alignment vertical="top"/>
    </xf>
    <xf numFmtId="0" fontId="22" fillId="3" borderId="2" xfId="0" applyFont="1" applyFill="1" applyBorder="1" applyAlignment="1">
      <alignment vertical="center"/>
    </xf>
    <xf numFmtId="0" fontId="5" fillId="3" borderId="2" xfId="0" applyFont="1" applyFill="1" applyBorder="1" applyAlignment="1">
      <alignment vertical="center"/>
    </xf>
    <xf numFmtId="0" fontId="9" fillId="3" borderId="2" xfId="0" applyFont="1" applyFill="1" applyBorder="1" applyAlignment="1">
      <alignment vertical="center"/>
    </xf>
    <xf numFmtId="0" fontId="5" fillId="0" borderId="2" xfId="0" applyFont="1" applyBorder="1"/>
    <xf numFmtId="0" fontId="6" fillId="4" borderId="0" xfId="0" applyFont="1" applyFill="1" applyBorder="1"/>
    <xf numFmtId="0" fontId="6" fillId="2" borderId="0" xfId="0" applyFont="1" applyFill="1" applyBorder="1"/>
    <xf numFmtId="0" fontId="6" fillId="0" borderId="0" xfId="0" applyFont="1" applyFill="1" applyBorder="1" applyAlignment="1">
      <alignment horizontal="right"/>
    </xf>
    <xf numFmtId="0" fontId="22" fillId="4" borderId="0" xfId="0" applyFont="1" applyFill="1" applyBorder="1" applyAlignment="1">
      <alignment horizontal="right" wrapText="1"/>
    </xf>
    <xf numFmtId="0" fontId="22" fillId="2" borderId="0" xfId="0" applyFont="1" applyFill="1" applyBorder="1" applyAlignment="1">
      <alignment horizontal="right" wrapText="1"/>
    </xf>
    <xf numFmtId="0" fontId="22" fillId="0" borderId="0" xfId="0" applyFont="1" applyFill="1" applyBorder="1" applyAlignment="1">
      <alignment horizontal="right" wrapText="1"/>
    </xf>
    <xf numFmtId="0" fontId="56" fillId="2" borderId="0" xfId="0" applyFont="1" applyFill="1" applyBorder="1" applyAlignment="1">
      <alignment horizontal="right" wrapText="1"/>
    </xf>
    <xf numFmtId="0" fontId="56" fillId="4" borderId="0" xfId="0" applyFont="1" applyFill="1" applyBorder="1" applyAlignment="1">
      <alignment horizontal="right" wrapText="1"/>
    </xf>
    <xf numFmtId="0" fontId="57" fillId="2" borderId="0" xfId="0" applyFont="1" applyFill="1" applyBorder="1"/>
    <xf numFmtId="0" fontId="6" fillId="0" borderId="0" xfId="0" applyFont="1" applyFill="1" applyBorder="1"/>
    <xf numFmtId="0" fontId="6" fillId="4" borderId="2" xfId="0" applyFont="1" applyFill="1" applyBorder="1" applyAlignment="1">
      <alignment vertical="top"/>
    </xf>
    <xf numFmtId="0" fontId="6" fillId="2" borderId="2" xfId="0" applyFont="1" applyFill="1" applyBorder="1" applyAlignment="1">
      <alignment vertical="top"/>
    </xf>
    <xf numFmtId="0" fontId="6" fillId="2" borderId="2" xfId="0" applyFont="1" applyFill="1" applyBorder="1"/>
    <xf numFmtId="0" fontId="6" fillId="0" borderId="2" xfId="0" applyFont="1" applyFill="1" applyBorder="1" applyAlignment="1">
      <alignment horizontal="right" vertical="top"/>
    </xf>
    <xf numFmtId="0" fontId="6" fillId="4" borderId="2" xfId="0" applyFont="1" applyFill="1" applyBorder="1"/>
    <xf numFmtId="0" fontId="6" fillId="0" borderId="2" xfId="0" applyFont="1" applyFill="1" applyBorder="1"/>
    <xf numFmtId="0" fontId="4" fillId="4" borderId="6" xfId="0" applyFont="1" applyFill="1" applyBorder="1" applyAlignment="1"/>
    <xf numFmtId="3" fontId="4" fillId="2" borderId="6" xfId="0" applyNumberFormat="1" applyFont="1" applyFill="1" applyBorder="1" applyAlignment="1"/>
    <xf numFmtId="3" fontId="4" fillId="4" borderId="6" xfId="0" applyNumberFormat="1" applyFont="1" applyFill="1" applyBorder="1" applyAlignment="1"/>
    <xf numFmtId="3" fontId="6" fillId="4" borderId="6" xfId="0" applyNumberFormat="1" applyFont="1" applyFill="1" applyBorder="1" applyAlignment="1"/>
    <xf numFmtId="3" fontId="4" fillId="0" borderId="6" xfId="0" applyNumberFormat="1" applyFont="1" applyFill="1" applyBorder="1" applyAlignment="1"/>
    <xf numFmtId="184" fontId="5" fillId="4" borderId="6" xfId="0" applyNumberFormat="1" applyFont="1" applyFill="1" applyBorder="1" applyAlignment="1">
      <alignment horizontal="center"/>
    </xf>
    <xf numFmtId="184" fontId="5" fillId="2" borderId="6" xfId="0" applyNumberFormat="1" applyFont="1" applyFill="1" applyBorder="1" applyAlignment="1">
      <alignment horizontal="center"/>
    </xf>
    <xf numFmtId="184" fontId="5" fillId="0" borderId="6" xfId="0" applyNumberFormat="1" applyFont="1" applyFill="1" applyBorder="1" applyAlignment="1">
      <alignment horizontal="center"/>
    </xf>
    <xf numFmtId="3" fontId="40" fillId="2" borderId="6" xfId="0" applyNumberFormat="1" applyFont="1" applyFill="1" applyBorder="1" applyAlignment="1">
      <alignment horizontal="right"/>
    </xf>
    <xf numFmtId="0" fontId="4" fillId="4" borderId="4" xfId="0" applyFont="1" applyFill="1" applyBorder="1" applyAlignment="1"/>
    <xf numFmtId="3" fontId="6" fillId="4" borderId="4" xfId="0" applyNumberFormat="1" applyFont="1" applyFill="1" applyBorder="1" applyAlignment="1"/>
    <xf numFmtId="3" fontId="40" fillId="2" borderId="4" xfId="0" applyNumberFormat="1" applyFont="1" applyFill="1" applyBorder="1" applyAlignment="1"/>
    <xf numFmtId="3" fontId="40" fillId="4" borderId="4" xfId="0" applyNumberFormat="1" applyFont="1" applyFill="1" applyBorder="1" applyAlignment="1"/>
    <xf numFmtId="183" fontId="4" fillId="2" borderId="4" xfId="0" applyNumberFormat="1" applyFont="1" applyFill="1" applyBorder="1" applyAlignment="1"/>
    <xf numFmtId="183" fontId="4" fillId="4" borderId="4" xfId="0" applyNumberFormat="1" applyFont="1" applyFill="1" applyBorder="1" applyAlignment="1"/>
    <xf numFmtId="182" fontId="4" fillId="2" borderId="4" xfId="0" applyNumberFormat="1" applyFont="1" applyFill="1" applyBorder="1" applyAlignment="1">
      <alignment horizontal="right"/>
    </xf>
    <xf numFmtId="183" fontId="6" fillId="4" borderId="4" xfId="0" applyNumberFormat="1" applyFont="1" applyFill="1" applyBorder="1" applyAlignment="1"/>
    <xf numFmtId="183" fontId="4" fillId="0" borderId="6" xfId="0" applyNumberFormat="1" applyFont="1" applyFill="1" applyBorder="1" applyAlignment="1"/>
    <xf numFmtId="182" fontId="40" fillId="2" borderId="4" xfId="0" applyNumberFormat="1" applyFont="1" applyFill="1" applyBorder="1" applyAlignment="1">
      <alignment horizontal="right"/>
    </xf>
    <xf numFmtId="183" fontId="40" fillId="4" borderId="4" xfId="0" applyNumberFormat="1" applyFont="1" applyFill="1" applyBorder="1" applyAlignment="1">
      <alignment horizontal="right"/>
    </xf>
    <xf numFmtId="0" fontId="4" fillId="4" borderId="7" xfId="0" applyFont="1" applyFill="1" applyBorder="1" applyAlignment="1"/>
    <xf numFmtId="184" fontId="4" fillId="2" borderId="7" xfId="0" applyNumberFormat="1" applyFont="1" applyFill="1" applyBorder="1" applyAlignment="1"/>
    <xf numFmtId="184" fontId="4" fillId="4" borderId="7" xfId="0" applyNumberFormat="1" applyFont="1" applyFill="1" applyBorder="1" applyAlignment="1"/>
    <xf numFmtId="184" fontId="6" fillId="4" borderId="7" xfId="0" applyNumberFormat="1" applyFont="1" applyFill="1" applyBorder="1" applyAlignment="1"/>
    <xf numFmtId="184" fontId="4" fillId="0" borderId="7" xfId="0" applyNumberFormat="1" applyFont="1" applyFill="1" applyBorder="1" applyAlignment="1"/>
    <xf numFmtId="184" fontId="5" fillId="4" borderId="7" xfId="0" applyNumberFormat="1" applyFont="1" applyFill="1" applyBorder="1" applyAlignment="1">
      <alignment horizontal="center"/>
    </xf>
    <xf numFmtId="184" fontId="5" fillId="2" borderId="7" xfId="0" applyNumberFormat="1" applyFont="1" applyFill="1" applyBorder="1" applyAlignment="1">
      <alignment horizontal="center"/>
    </xf>
    <xf numFmtId="184" fontId="5" fillId="0" borderId="7" xfId="0" applyNumberFormat="1" applyFont="1" applyFill="1" applyBorder="1" applyAlignment="1">
      <alignment horizontal="center"/>
    </xf>
    <xf numFmtId="184" fontId="40" fillId="2" borderId="7" xfId="0" applyNumberFormat="1" applyFont="1" applyFill="1" applyBorder="1" applyAlignment="1"/>
    <xf numFmtId="184" fontId="40" fillId="4" borderId="7" xfId="0" applyNumberFormat="1" applyFont="1" applyFill="1" applyBorder="1" applyAlignment="1"/>
    <xf numFmtId="0" fontId="5" fillId="0" borderId="5" xfId="0" applyFont="1" applyFill="1" applyBorder="1" applyAlignment="1"/>
    <xf numFmtId="184" fontId="4" fillId="0" borderId="5" xfId="0" applyNumberFormat="1" applyFont="1" applyFill="1" applyBorder="1" applyAlignment="1"/>
    <xf numFmtId="184" fontId="6" fillId="0" borderId="5" xfId="0" applyNumberFormat="1" applyFont="1" applyFill="1" applyBorder="1" applyAlignment="1"/>
    <xf numFmtId="184" fontId="6" fillId="0" borderId="0" xfId="0" applyNumberFormat="1" applyFont="1" applyFill="1" applyBorder="1" applyAlignment="1"/>
    <xf numFmtId="0" fontId="4" fillId="0" borderId="0" xfId="0" applyFont="1" applyFill="1" applyBorder="1"/>
    <xf numFmtId="3" fontId="2" fillId="0" borderId="0" xfId="0" applyNumberFormat="1" applyFont="1" applyFill="1" applyBorder="1"/>
    <xf numFmtId="0" fontId="3" fillId="0" borderId="0" xfId="0" applyFont="1" applyBorder="1"/>
    <xf numFmtId="0" fontId="4" fillId="0" borderId="18" xfId="0" applyFont="1" applyBorder="1" applyAlignment="1">
      <alignment horizontal="center"/>
    </xf>
    <xf numFmtId="0" fontId="5" fillId="0" borderId="18" xfId="0" applyFont="1" applyBorder="1"/>
    <xf numFmtId="0" fontId="22" fillId="0" borderId="18" xfId="0" applyFont="1" applyFill="1" applyBorder="1"/>
    <xf numFmtId="0" fontId="22" fillId="0" borderId="18" xfId="0" applyFont="1" applyBorder="1"/>
    <xf numFmtId="0" fontId="9" fillId="0" borderId="18" xfId="0" applyFont="1" applyBorder="1"/>
    <xf numFmtId="0" fontId="22" fillId="0" borderId="18" xfId="0" applyFont="1" applyBorder="1" applyAlignment="1">
      <alignment horizontal="center"/>
    </xf>
    <xf numFmtId="0" fontId="5" fillId="0" borderId="18" xfId="0" quotePrefix="1" applyFont="1" applyBorder="1"/>
    <xf numFmtId="0" fontId="22" fillId="0" borderId="18" xfId="0" quotePrefix="1" applyFont="1" applyBorder="1"/>
    <xf numFmtId="0" fontId="22" fillId="0" borderId="0" xfId="0" applyFont="1"/>
    <xf numFmtId="0" fontId="5" fillId="0" borderId="0" xfId="0" applyFont="1" applyBorder="1" applyAlignment="1"/>
    <xf numFmtId="0" fontId="3" fillId="3" borderId="2" xfId="0" applyFont="1" applyFill="1" applyBorder="1" applyAlignment="1">
      <alignment vertical="top"/>
    </xf>
    <xf numFmtId="1" fontId="5" fillId="0" borderId="0" xfId="0" applyNumberFormat="1" applyFont="1" applyFill="1" applyBorder="1" applyAlignment="1">
      <alignment horizontal="left"/>
    </xf>
    <xf numFmtId="1" fontId="40" fillId="2" borderId="6" xfId="0" applyNumberFormat="1" applyFont="1" applyFill="1" applyBorder="1" applyAlignment="1">
      <alignment horizontal="left"/>
    </xf>
    <xf numFmtId="184" fontId="40" fillId="2" borderId="6" xfId="0" applyNumberFormat="1" applyFont="1" applyFill="1" applyBorder="1" applyAlignment="1">
      <alignment horizontal="right"/>
    </xf>
    <xf numFmtId="1" fontId="40" fillId="2" borderId="7" xfId="0" applyNumberFormat="1" applyFont="1" applyFill="1" applyBorder="1" applyAlignment="1">
      <alignment horizontal="left"/>
    </xf>
    <xf numFmtId="3" fontId="40" fillId="4" borderId="7" xfId="0" applyNumberFormat="1" applyFont="1" applyFill="1" applyBorder="1" applyAlignment="1">
      <alignment horizontal="right"/>
    </xf>
    <xf numFmtId="184" fontId="40" fillId="2" borderId="7" xfId="0" applyNumberFormat="1" applyFont="1" applyFill="1" applyBorder="1" applyAlignment="1">
      <alignment horizontal="right"/>
    </xf>
    <xf numFmtId="9" fontId="4" fillId="2" borderId="3" xfId="0" applyNumberFormat="1" applyFont="1" applyFill="1" applyBorder="1" applyAlignment="1">
      <alignment horizontal="center"/>
    </xf>
    <xf numFmtId="0" fontId="4" fillId="4" borderId="0" xfId="0" applyFont="1" applyFill="1" applyAlignment="1">
      <alignment horizontal="center"/>
    </xf>
    <xf numFmtId="0" fontId="4" fillId="2" borderId="0" xfId="0" applyFont="1" applyFill="1" applyAlignment="1">
      <alignment horizontal="center"/>
    </xf>
    <xf numFmtId="1" fontId="4" fillId="4" borderId="0" xfId="0" applyNumberFormat="1" applyFont="1" applyFill="1" applyBorder="1" applyAlignment="1">
      <alignment horizontal="center"/>
    </xf>
    <xf numFmtId="9" fontId="6" fillId="2" borderId="7" xfId="0" applyNumberFormat="1" applyFont="1" applyFill="1" applyBorder="1" applyAlignment="1">
      <alignment horizontal="center" vertical="center"/>
    </xf>
    <xf numFmtId="0" fontId="5" fillId="0" borderId="0" xfId="0" quotePrefix="1" applyFont="1"/>
    <xf numFmtId="0" fontId="3" fillId="0" borderId="2" xfId="0" applyFont="1" applyBorder="1" applyAlignment="1">
      <alignment vertical="top" wrapText="1"/>
    </xf>
    <xf numFmtId="0" fontId="4" fillId="0" borderId="0" xfId="0" applyFont="1" applyAlignment="1">
      <alignment horizontal="center"/>
    </xf>
    <xf numFmtId="0" fontId="3" fillId="0" borderId="0" xfId="10" applyFont="1" applyAlignment="1">
      <alignment horizontal="left"/>
    </xf>
    <xf numFmtId="0" fontId="58" fillId="0" borderId="0" xfId="10" applyFont="1" applyAlignment="1">
      <alignment horizontal="center"/>
    </xf>
    <xf numFmtId="0" fontId="58" fillId="0" borderId="0" xfId="10" applyFont="1"/>
    <xf numFmtId="0" fontId="59" fillId="0" borderId="0" xfId="10" applyFont="1" applyAlignment="1">
      <alignment horizontal="center"/>
    </xf>
    <xf numFmtId="0" fontId="60" fillId="0" borderId="0" xfId="10" applyFont="1" applyFill="1" applyAlignment="1">
      <alignment horizontal="center"/>
    </xf>
    <xf numFmtId="0" fontId="60" fillId="0" borderId="0" xfId="10" applyFont="1" applyAlignment="1">
      <alignment horizontal="center"/>
    </xf>
    <xf numFmtId="0" fontId="61" fillId="7" borderId="0" xfId="10" applyFont="1" applyFill="1" applyAlignment="1">
      <alignment horizontal="center" wrapText="1" shrinkToFit="1"/>
    </xf>
    <xf numFmtId="0" fontId="33" fillId="0" borderId="0" xfId="10" applyFont="1"/>
    <xf numFmtId="0" fontId="61" fillId="0" borderId="0" xfId="10" applyFont="1" applyFill="1" applyAlignment="1">
      <alignment horizontal="left" wrapText="1" shrinkToFit="1"/>
    </xf>
    <xf numFmtId="0" fontId="61" fillId="0" borderId="0" xfId="10" applyFont="1" applyFill="1" applyAlignment="1">
      <alignment horizontal="center" wrapText="1" shrinkToFit="1"/>
    </xf>
    <xf numFmtId="0" fontId="58" fillId="0" borderId="2" xfId="10" applyFont="1" applyBorder="1"/>
    <xf numFmtId="0" fontId="59" fillId="0" borderId="2" xfId="10" applyFont="1" applyBorder="1" applyAlignment="1">
      <alignment horizontal="center" wrapText="1" shrinkToFit="1"/>
    </xf>
    <xf numFmtId="2" fontId="58" fillId="0" borderId="2" xfId="10" applyNumberFormat="1" applyFont="1" applyFill="1" applyBorder="1" applyAlignment="1">
      <alignment horizontal="center"/>
    </xf>
    <xf numFmtId="2" fontId="58" fillId="0" borderId="2" xfId="10" applyNumberFormat="1" applyFont="1" applyBorder="1" applyAlignment="1">
      <alignment horizontal="center"/>
    </xf>
    <xf numFmtId="0" fontId="58" fillId="0" borderId="2" xfId="10" quotePrefix="1" applyFont="1" applyBorder="1" applyAlignment="1">
      <alignment horizontal="center"/>
    </xf>
    <xf numFmtId="0" fontId="58" fillId="0" borderId="2" xfId="10" applyFont="1" applyBorder="1" applyAlignment="1">
      <alignment horizontal="center"/>
    </xf>
    <xf numFmtId="2" fontId="58" fillId="0" borderId="13" xfId="10" applyNumberFormat="1" applyFont="1" applyFill="1" applyBorder="1" applyAlignment="1">
      <alignment horizontal="center"/>
    </xf>
    <xf numFmtId="2" fontId="58" fillId="0" borderId="13" xfId="10" applyNumberFormat="1" applyFont="1" applyBorder="1" applyAlignment="1">
      <alignment horizontal="center"/>
    </xf>
    <xf numFmtId="0" fontId="58" fillId="0" borderId="13" xfId="10" applyFont="1" applyBorder="1" applyAlignment="1">
      <alignment horizontal="center"/>
    </xf>
    <xf numFmtId="0" fontId="58" fillId="0" borderId="13" xfId="10" quotePrefix="1" applyFont="1" applyBorder="1" applyAlignment="1">
      <alignment horizontal="center"/>
    </xf>
    <xf numFmtId="0" fontId="58" fillId="0" borderId="13" xfId="10" applyFont="1" applyFill="1" applyBorder="1" applyAlignment="1">
      <alignment horizontal="center"/>
    </xf>
    <xf numFmtId="2" fontId="58" fillId="0" borderId="13" xfId="10" quotePrefix="1" applyNumberFormat="1" applyFont="1" applyFill="1" applyBorder="1" applyAlignment="1">
      <alignment horizontal="center"/>
    </xf>
    <xf numFmtId="0" fontId="58" fillId="0" borderId="2" xfId="10" quotePrefix="1" applyFont="1" applyFill="1" applyBorder="1" applyAlignment="1">
      <alignment horizontal="center"/>
    </xf>
    <xf numFmtId="0" fontId="58" fillId="0" borderId="2" xfId="10" applyFont="1" applyFill="1" applyBorder="1" applyAlignment="1">
      <alignment horizontal="center"/>
    </xf>
    <xf numFmtId="2" fontId="58" fillId="0" borderId="13" xfId="10" quotePrefix="1" applyNumberFormat="1" applyFont="1" applyBorder="1" applyAlignment="1">
      <alignment horizontal="center"/>
    </xf>
    <xf numFmtId="0" fontId="21" fillId="0" borderId="0" xfId="10"/>
    <xf numFmtId="0" fontId="58" fillId="0" borderId="13" xfId="10" quotePrefix="1" applyFont="1" applyFill="1" applyBorder="1" applyAlignment="1">
      <alignment horizontal="center"/>
    </xf>
    <xf numFmtId="0" fontId="58" fillId="0" borderId="0" xfId="10" applyFont="1" applyAlignment="1">
      <alignment horizontal="left"/>
    </xf>
    <xf numFmtId="0" fontId="6" fillId="2" borderId="0" xfId="0" applyFont="1" applyFill="1" applyBorder="1" applyAlignment="1">
      <alignment horizontal="left"/>
    </xf>
    <xf numFmtId="0" fontId="6" fillId="2" borderId="7" xfId="0" quotePrefix="1" applyFont="1" applyFill="1" applyBorder="1" applyAlignment="1">
      <alignment horizontal="left" vertical="center"/>
    </xf>
    <xf numFmtId="184" fontId="4" fillId="4" borderId="6" xfId="0" applyNumberFormat="1" applyFont="1" applyFill="1" applyBorder="1" applyAlignment="1">
      <alignment horizontal="right"/>
    </xf>
    <xf numFmtId="184" fontId="6" fillId="4" borderId="6" xfId="0" applyNumberFormat="1" applyFont="1" applyFill="1" applyBorder="1" applyAlignment="1">
      <alignment horizontal="right"/>
    </xf>
    <xf numFmtId="0" fontId="4" fillId="0" borderId="4" xfId="0" quotePrefix="1" applyFont="1" applyFill="1" applyBorder="1" applyAlignment="1">
      <alignment horizontal="left"/>
    </xf>
    <xf numFmtId="184" fontId="4" fillId="0" borderId="4" xfId="0" applyNumberFormat="1" applyFont="1" applyFill="1" applyBorder="1" applyAlignment="1">
      <alignment horizontal="right"/>
    </xf>
    <xf numFmtId="184" fontId="6" fillId="0" borderId="4" xfId="0" applyNumberFormat="1" applyFont="1" applyFill="1" applyBorder="1" applyAlignment="1">
      <alignment horizontal="right"/>
    </xf>
    <xf numFmtId="0" fontId="40" fillId="2" borderId="6" xfId="0" applyFont="1" applyFill="1" applyBorder="1" applyAlignment="1">
      <alignment horizontal="left"/>
    </xf>
    <xf numFmtId="184" fontId="40" fillId="4" borderId="6" xfId="0" applyNumberFormat="1" applyFont="1" applyFill="1" applyBorder="1" applyAlignment="1">
      <alignment horizontal="right"/>
    </xf>
    <xf numFmtId="184" fontId="41" fillId="4" borderId="6" xfId="0" applyNumberFormat="1" applyFont="1" applyFill="1" applyBorder="1" applyAlignment="1">
      <alignment horizontal="right"/>
    </xf>
    <xf numFmtId="3" fontId="40" fillId="4" borderId="0" xfId="0" applyNumberFormat="1" applyFont="1" applyFill="1" applyBorder="1" applyAlignment="1">
      <alignment horizontal="right" vertical="center"/>
    </xf>
    <xf numFmtId="3" fontId="40" fillId="2" borderId="0" xfId="0" applyNumberFormat="1" applyFont="1" applyFill="1" applyBorder="1" applyAlignment="1">
      <alignment horizontal="right" vertical="center"/>
    </xf>
    <xf numFmtId="184" fontId="41" fillId="4" borderId="0" xfId="0" applyNumberFormat="1" applyFont="1" applyFill="1" applyBorder="1" applyAlignment="1">
      <alignment horizontal="right" vertical="center"/>
    </xf>
    <xf numFmtId="184" fontId="6" fillId="4" borderId="7" xfId="0" applyNumberFormat="1" applyFont="1" applyFill="1" applyBorder="1" applyAlignment="1">
      <alignment horizontal="right"/>
    </xf>
    <xf numFmtId="184" fontId="6" fillId="2" borderId="7" xfId="0" applyNumberFormat="1" applyFont="1" applyFill="1" applyBorder="1" applyAlignment="1">
      <alignment horizontal="right"/>
    </xf>
    <xf numFmtId="0" fontId="2" fillId="3" borderId="2" xfId="0" applyFont="1" applyFill="1" applyBorder="1" applyAlignment="1">
      <alignment horizontal="right"/>
    </xf>
    <xf numFmtId="0" fontId="6" fillId="4" borderId="0" xfId="0" applyFont="1" applyFill="1" applyBorder="1" applyAlignment="1">
      <alignment horizontal="left"/>
    </xf>
    <xf numFmtId="0" fontId="6" fillId="4" borderId="19" xfId="0" applyFont="1" applyFill="1" applyBorder="1" applyAlignment="1">
      <alignment horizontal="left"/>
    </xf>
    <xf numFmtId="0" fontId="6" fillId="4" borderId="2" xfId="0" applyFont="1" applyFill="1" applyBorder="1" applyAlignment="1">
      <alignment horizontal="left"/>
    </xf>
    <xf numFmtId="0" fontId="6" fillId="2" borderId="2" xfId="0" applyFont="1" applyFill="1" applyBorder="1" applyAlignment="1">
      <alignment horizontal="right"/>
    </xf>
    <xf numFmtId="0" fontId="62" fillId="5" borderId="0" xfId="0" applyFont="1" applyFill="1"/>
    <xf numFmtId="0" fontId="50" fillId="5" borderId="0" xfId="0" applyFont="1" applyFill="1"/>
    <xf numFmtId="0" fontId="22" fillId="5" borderId="0" xfId="0" applyFont="1" applyFill="1"/>
    <xf numFmtId="0" fontId="63" fillId="0" borderId="0" xfId="0" applyFont="1" applyFill="1"/>
    <xf numFmtId="0" fontId="64" fillId="0" borderId="0" xfId="0" applyFont="1" applyFill="1"/>
    <xf numFmtId="0" fontId="65" fillId="0" borderId="0" xfId="0" applyFont="1" applyFill="1"/>
    <xf numFmtId="0" fontId="6" fillId="4" borderId="0" xfId="0" applyFont="1" applyFill="1" applyBorder="1" applyAlignment="1">
      <alignment horizontal="right" wrapText="1"/>
    </xf>
    <xf numFmtId="0" fontId="6" fillId="2" borderId="0" xfId="0" applyFont="1" applyFill="1" applyBorder="1" applyAlignment="1">
      <alignment horizontal="right" wrapText="1"/>
    </xf>
    <xf numFmtId="0" fontId="6" fillId="4" borderId="20" xfId="0" applyFont="1" applyFill="1" applyBorder="1" applyAlignment="1">
      <alignment horizontal="left"/>
    </xf>
    <xf numFmtId="0" fontId="6" fillId="2" borderId="2" xfId="0" applyFont="1" applyFill="1" applyBorder="1" applyAlignment="1">
      <alignment horizontal="left"/>
    </xf>
    <xf numFmtId="0" fontId="5" fillId="4" borderId="0" xfId="0" applyFont="1" applyFill="1" applyBorder="1" applyAlignment="1">
      <alignment horizontal="right" vertical="top"/>
    </xf>
    <xf numFmtId="0" fontId="5" fillId="4" borderId="19" xfId="0" applyFont="1" applyFill="1" applyBorder="1" applyAlignment="1">
      <alignment horizontal="right" vertical="top"/>
    </xf>
    <xf numFmtId="0" fontId="4" fillId="4" borderId="20" xfId="0" applyFont="1" applyFill="1" applyBorder="1" applyAlignment="1">
      <alignment horizontal="right" vertical="top"/>
    </xf>
    <xf numFmtId="1" fontId="4" fillId="2" borderId="6" xfId="0" applyNumberFormat="1" applyFont="1" applyFill="1" applyBorder="1" applyAlignment="1">
      <alignment horizontal="left"/>
    </xf>
    <xf numFmtId="183" fontId="4" fillId="4" borderId="6" xfId="0" quotePrefix="1" applyNumberFormat="1" applyFont="1" applyFill="1" applyBorder="1" applyAlignment="1">
      <alignment horizontal="right"/>
    </xf>
    <xf numFmtId="183" fontId="4" fillId="2" borderId="6" xfId="0" quotePrefix="1" applyNumberFormat="1" applyFont="1" applyFill="1" applyBorder="1" applyAlignment="1">
      <alignment horizontal="right"/>
    </xf>
    <xf numFmtId="183" fontId="4" fillId="2" borderId="6" xfId="0" applyNumberFormat="1" applyFont="1" applyFill="1" applyBorder="1" applyAlignment="1">
      <alignment horizontal="right"/>
    </xf>
    <xf numFmtId="183" fontId="4" fillId="4" borderId="21" xfId="0" quotePrefix="1" applyNumberFormat="1" applyFont="1" applyFill="1" applyBorder="1" applyAlignment="1">
      <alignment horizontal="right"/>
    </xf>
    <xf numFmtId="183" fontId="40" fillId="2" borderId="3" xfId="0" quotePrefix="1" applyNumberFormat="1" applyFont="1" applyFill="1" applyBorder="1" applyAlignment="1">
      <alignment horizontal="right"/>
    </xf>
    <xf numFmtId="183" fontId="40" fillId="4" borderId="3" xfId="0" quotePrefix="1" applyNumberFormat="1" applyFont="1" applyFill="1" applyBorder="1" applyAlignment="1">
      <alignment horizontal="right"/>
    </xf>
    <xf numFmtId="183" fontId="40" fillId="2" borderId="6" xfId="0" applyNumberFormat="1" applyFont="1" applyFill="1" applyBorder="1" applyAlignment="1">
      <alignment horizontal="right"/>
    </xf>
    <xf numFmtId="183" fontId="4" fillId="4" borderId="22" xfId="0" quotePrefix="1" applyNumberFormat="1" applyFont="1" applyFill="1" applyBorder="1" applyAlignment="1">
      <alignment horizontal="right"/>
    </xf>
    <xf numFmtId="183" fontId="4" fillId="4" borderId="23" xfId="0" applyNumberFormat="1" applyFont="1" applyFill="1" applyBorder="1" applyAlignment="1">
      <alignment horizontal="right"/>
    </xf>
    <xf numFmtId="183" fontId="6" fillId="4" borderId="24" xfId="0" applyNumberFormat="1" applyFont="1" applyFill="1" applyBorder="1" applyAlignment="1">
      <alignment horizontal="right" vertical="center"/>
    </xf>
    <xf numFmtId="0" fontId="6" fillId="2" borderId="25" xfId="0" applyFont="1" applyFill="1" applyBorder="1" applyAlignment="1">
      <alignment horizontal="left"/>
    </xf>
    <xf numFmtId="0" fontId="6" fillId="4" borderId="2" xfId="0" applyFont="1" applyFill="1" applyBorder="1" applyAlignment="1">
      <alignment horizontal="right"/>
    </xf>
    <xf numFmtId="0" fontId="6" fillId="2" borderId="20" xfId="0" applyFont="1" applyFill="1" applyBorder="1" applyAlignment="1">
      <alignment horizontal="left"/>
    </xf>
    <xf numFmtId="0" fontId="4" fillId="2" borderId="19" xfId="0" applyFont="1" applyFill="1" applyBorder="1" applyAlignment="1">
      <alignment horizontal="right"/>
    </xf>
    <xf numFmtId="0" fontId="4" fillId="2" borderId="19" xfId="0" applyFont="1" applyFill="1" applyBorder="1" applyAlignment="1">
      <alignment horizontal="right" vertical="top"/>
    </xf>
    <xf numFmtId="0" fontId="4" fillId="2" borderId="20" xfId="0" applyFont="1" applyFill="1" applyBorder="1" applyAlignment="1">
      <alignment horizontal="right" vertical="top"/>
    </xf>
    <xf numFmtId="183" fontId="4" fillId="2" borderId="21" xfId="0" quotePrefix="1" applyNumberFormat="1" applyFont="1" applyFill="1" applyBorder="1" applyAlignment="1">
      <alignment horizontal="right"/>
    </xf>
    <xf numFmtId="183" fontId="4" fillId="4" borderId="6" xfId="0" applyNumberFormat="1" applyFont="1" applyFill="1" applyBorder="1" applyAlignment="1">
      <alignment horizontal="right"/>
    </xf>
    <xf numFmtId="183" fontId="40" fillId="4" borderId="6" xfId="0" quotePrefix="1" applyNumberFormat="1" applyFont="1" applyFill="1" applyBorder="1" applyAlignment="1">
      <alignment horizontal="right"/>
    </xf>
    <xf numFmtId="183" fontId="4" fillId="2" borderId="22" xfId="0" quotePrefix="1" applyNumberFormat="1" applyFont="1" applyFill="1" applyBorder="1" applyAlignment="1">
      <alignment horizontal="right"/>
    </xf>
    <xf numFmtId="183" fontId="40" fillId="2" borderId="6" xfId="0" quotePrefix="1" applyNumberFormat="1" applyFont="1" applyFill="1" applyBorder="1" applyAlignment="1">
      <alignment horizontal="right"/>
    </xf>
    <xf numFmtId="183" fontId="6" fillId="4" borderId="3" xfId="0" quotePrefix="1" applyNumberFormat="1" applyFont="1" applyFill="1" applyBorder="1" applyAlignment="1">
      <alignment horizontal="right" vertical="center"/>
    </xf>
    <xf numFmtId="183" fontId="6" fillId="4" borderId="6" xfId="0" quotePrefix="1" applyNumberFormat="1" applyFont="1" applyFill="1" applyBorder="1" applyAlignment="1">
      <alignment horizontal="right" vertical="center"/>
    </xf>
    <xf numFmtId="183" fontId="6" fillId="2" borderId="26" xfId="0" quotePrefix="1" applyNumberFormat="1" applyFont="1" applyFill="1" applyBorder="1" applyAlignment="1">
      <alignment horizontal="right" vertical="center"/>
    </xf>
    <xf numFmtId="183" fontId="6" fillId="2" borderId="6" xfId="0" quotePrefix="1" applyNumberFormat="1" applyFont="1" applyFill="1" applyBorder="1" applyAlignment="1">
      <alignment horizontal="right" vertical="center"/>
    </xf>
    <xf numFmtId="183" fontId="6" fillId="2" borderId="6" xfId="0" applyNumberFormat="1" applyFont="1" applyFill="1" applyBorder="1" applyAlignment="1">
      <alignment horizontal="right" vertical="center"/>
    </xf>
    <xf numFmtId="0" fontId="14" fillId="0" borderId="0" xfId="0" applyFont="1" applyAlignment="1">
      <alignment vertical="center"/>
    </xf>
    <xf numFmtId="0" fontId="6" fillId="4" borderId="25" xfId="0" applyFont="1" applyFill="1" applyBorder="1" applyAlignment="1">
      <alignment horizontal="left"/>
    </xf>
    <xf numFmtId="0" fontId="4" fillId="4" borderId="19" xfId="0" applyFont="1" applyFill="1" applyBorder="1" applyAlignment="1">
      <alignment horizontal="right"/>
    </xf>
    <xf numFmtId="183" fontId="4" fillId="4" borderId="22" xfId="0" applyNumberFormat="1" applyFont="1" applyFill="1" applyBorder="1" applyAlignment="1">
      <alignment horizontal="right"/>
    </xf>
    <xf numFmtId="0" fontId="6" fillId="4" borderId="1" xfId="0" applyFont="1" applyFill="1" applyBorder="1" applyAlignment="1">
      <alignment horizontal="left"/>
    </xf>
    <xf numFmtId="0" fontId="4" fillId="2" borderId="1" xfId="0" applyFont="1" applyFill="1" applyBorder="1" applyAlignment="1"/>
    <xf numFmtId="0" fontId="5" fillId="4" borderId="0" xfId="0" applyFont="1" applyFill="1"/>
    <xf numFmtId="0" fontId="4" fillId="4" borderId="19" xfId="0" applyFont="1" applyFill="1" applyBorder="1" applyAlignment="1">
      <alignment horizontal="center"/>
    </xf>
    <xf numFmtId="0" fontId="4" fillId="4" borderId="19" xfId="0" applyFont="1" applyFill="1" applyBorder="1" applyAlignment="1">
      <alignment horizontal="right" vertical="top"/>
    </xf>
    <xf numFmtId="1" fontId="4" fillId="2" borderId="12" xfId="0" applyNumberFormat="1" applyFont="1" applyFill="1" applyBorder="1" applyAlignment="1">
      <alignment horizontal="left"/>
    </xf>
    <xf numFmtId="183" fontId="4" fillId="2" borderId="12" xfId="0" applyNumberFormat="1" applyFont="1" applyFill="1" applyBorder="1" applyAlignment="1">
      <alignment horizontal="right"/>
    </xf>
    <xf numFmtId="183" fontId="4" fillId="4" borderId="12" xfId="0" applyNumberFormat="1" applyFont="1" applyFill="1" applyBorder="1" applyAlignment="1">
      <alignment horizontal="right"/>
    </xf>
    <xf numFmtId="183" fontId="4" fillId="4" borderId="21" xfId="0" applyNumberFormat="1" applyFont="1" applyFill="1" applyBorder="1" applyAlignment="1">
      <alignment horizontal="right"/>
    </xf>
    <xf numFmtId="183" fontId="4" fillId="4" borderId="27" xfId="0" applyNumberFormat="1" applyFont="1" applyFill="1" applyBorder="1" applyAlignment="1">
      <alignment horizontal="right"/>
    </xf>
    <xf numFmtId="1" fontId="40" fillId="2" borderId="12" xfId="0" applyNumberFormat="1" applyFont="1" applyFill="1" applyBorder="1" applyAlignment="1">
      <alignment horizontal="left"/>
    </xf>
    <xf numFmtId="183" fontId="40" fillId="4" borderId="12" xfId="0" applyNumberFormat="1" applyFont="1" applyFill="1" applyBorder="1" applyAlignment="1">
      <alignment horizontal="right"/>
    </xf>
    <xf numFmtId="183" fontId="40" fillId="4" borderId="7" xfId="0" applyNumberFormat="1" applyFont="1" applyFill="1" applyBorder="1" applyAlignment="1">
      <alignment horizontal="right"/>
    </xf>
    <xf numFmtId="183" fontId="4" fillId="2" borderId="7" xfId="0" applyNumberFormat="1" applyFont="1" applyFill="1" applyBorder="1" applyAlignment="1">
      <alignment horizontal="right"/>
    </xf>
    <xf numFmtId="183" fontId="4" fillId="4" borderId="7" xfId="0" applyNumberFormat="1" applyFont="1" applyFill="1" applyBorder="1" applyAlignment="1">
      <alignment horizontal="right"/>
    </xf>
    <xf numFmtId="183" fontId="4" fillId="4" borderId="28" xfId="0" applyNumberFormat="1" applyFont="1" applyFill="1" applyBorder="1" applyAlignment="1">
      <alignment horizontal="right"/>
    </xf>
    <xf numFmtId="184" fontId="4" fillId="0" borderId="0" xfId="0" applyNumberFormat="1" applyFont="1" applyFill="1" applyBorder="1" applyAlignment="1">
      <alignment horizontal="right"/>
    </xf>
    <xf numFmtId="1" fontId="3" fillId="0" borderId="0" xfId="0" applyNumberFormat="1" applyFont="1" applyFill="1" applyBorder="1" applyAlignment="1">
      <alignment horizontal="left"/>
    </xf>
    <xf numFmtId="1" fontId="4" fillId="0" borderId="2" xfId="0" applyNumberFormat="1" applyFont="1" applyFill="1" applyBorder="1" applyAlignment="1">
      <alignment horizontal="left"/>
    </xf>
    <xf numFmtId="183" fontId="4" fillId="0" borderId="2" xfId="0" applyNumberFormat="1" applyFont="1" applyFill="1" applyBorder="1" applyAlignment="1">
      <alignment horizontal="right"/>
    </xf>
    <xf numFmtId="184" fontId="4" fillId="0" borderId="2" xfId="0" applyNumberFormat="1" applyFont="1" applyFill="1" applyBorder="1" applyAlignment="1">
      <alignment horizontal="right"/>
    </xf>
    <xf numFmtId="184" fontId="4" fillId="4" borderId="21" xfId="0" applyNumberFormat="1" applyFont="1" applyFill="1" applyBorder="1" applyAlignment="1">
      <alignment horizontal="right"/>
    </xf>
    <xf numFmtId="184" fontId="4" fillId="4" borderId="23" xfId="0" applyNumberFormat="1" applyFont="1" applyFill="1" applyBorder="1" applyAlignment="1">
      <alignment horizontal="right"/>
    </xf>
    <xf numFmtId="184" fontId="4" fillId="4" borderId="7" xfId="0" applyNumberFormat="1" applyFont="1" applyFill="1" applyBorder="1" applyAlignment="1">
      <alignment horizontal="right"/>
    </xf>
    <xf numFmtId="1" fontId="5" fillId="0" borderId="5" xfId="0" applyNumberFormat="1" applyFont="1" applyFill="1" applyBorder="1" applyAlignment="1">
      <alignment horizontal="left"/>
    </xf>
    <xf numFmtId="182" fontId="0" fillId="0" borderId="0" xfId="0" applyNumberFormat="1" applyFill="1"/>
    <xf numFmtId="0" fontId="2" fillId="0" borderId="2" xfId="0" applyFont="1" applyFill="1" applyBorder="1"/>
    <xf numFmtId="0" fontId="6" fillId="2" borderId="19" xfId="0" applyFont="1" applyFill="1" applyBorder="1" applyAlignment="1">
      <alignment horizontal="left" vertical="top"/>
    </xf>
    <xf numFmtId="0" fontId="4" fillId="2" borderId="19" xfId="0" applyFont="1" applyFill="1" applyBorder="1" applyAlignment="1">
      <alignment horizontal="right" vertical="center"/>
    </xf>
    <xf numFmtId="0" fontId="4" fillId="4" borderId="0" xfId="0" quotePrefix="1" applyFont="1" applyFill="1" applyBorder="1" applyAlignment="1">
      <alignment horizontal="right" vertical="center"/>
    </xf>
    <xf numFmtId="3" fontId="4" fillId="4" borderId="15" xfId="0" applyNumberFormat="1" applyFont="1" applyFill="1" applyBorder="1" applyAlignment="1">
      <alignment horizontal="right"/>
    </xf>
    <xf numFmtId="184" fontId="4" fillId="2" borderId="29" xfId="0" applyNumberFormat="1" applyFont="1" applyFill="1" applyBorder="1" applyAlignment="1">
      <alignment horizontal="right"/>
    </xf>
    <xf numFmtId="184" fontId="6" fillId="2" borderId="30" xfId="0" applyNumberFormat="1" applyFont="1" applyFill="1" applyBorder="1" applyAlignment="1">
      <alignment horizontal="right" vertical="center"/>
    </xf>
    <xf numFmtId="184" fontId="6" fillId="4" borderId="15" xfId="0" applyNumberFormat="1" applyFont="1" applyFill="1" applyBorder="1" applyAlignment="1">
      <alignment horizontal="right" vertical="center"/>
    </xf>
    <xf numFmtId="184" fontId="6" fillId="2" borderId="15" xfId="0" applyNumberFormat="1" applyFont="1" applyFill="1" applyBorder="1" applyAlignment="1">
      <alignment horizontal="right" vertical="center"/>
    </xf>
    <xf numFmtId="3" fontId="6" fillId="4" borderId="15" xfId="0" applyNumberFormat="1" applyFont="1" applyFill="1" applyBorder="1" applyAlignment="1">
      <alignment horizontal="right" vertical="center"/>
    </xf>
    <xf numFmtId="184" fontId="6" fillId="2" borderId="28" xfId="0" applyNumberFormat="1" applyFont="1" applyFill="1" applyBorder="1" applyAlignment="1">
      <alignment horizontal="right" vertical="center"/>
    </xf>
    <xf numFmtId="184" fontId="4" fillId="2" borderId="3" xfId="0" quotePrefix="1" applyNumberFormat="1" applyFont="1" applyFill="1" applyBorder="1" applyAlignment="1">
      <alignment horizontal="right"/>
    </xf>
    <xf numFmtId="4" fontId="4" fillId="2" borderId="3" xfId="0" applyNumberFormat="1" applyFont="1" applyFill="1" applyBorder="1" applyAlignment="1">
      <alignment horizontal="right"/>
    </xf>
    <xf numFmtId="4" fontId="4" fillId="4" borderId="3" xfId="0" quotePrefix="1" applyNumberFormat="1" applyFont="1" applyFill="1" applyBorder="1" applyAlignment="1">
      <alignment horizontal="right"/>
    </xf>
    <xf numFmtId="4" fontId="4" fillId="4" borderId="3" xfId="0" applyNumberFormat="1" applyFont="1" applyFill="1" applyBorder="1" applyAlignment="1">
      <alignment horizontal="right"/>
    </xf>
    <xf numFmtId="4" fontId="4" fillId="2" borderId="4" xfId="0" applyNumberFormat="1" applyFont="1" applyFill="1" applyBorder="1" applyAlignment="1">
      <alignment horizontal="right"/>
    </xf>
    <xf numFmtId="2" fontId="6" fillId="2" borderId="0" xfId="0" applyNumberFormat="1" applyFont="1" applyFill="1" applyBorder="1" applyAlignment="1">
      <alignment horizontal="right" vertical="center"/>
    </xf>
    <xf numFmtId="2" fontId="6" fillId="4" borderId="0" xfId="0" applyNumberFormat="1" applyFont="1" applyFill="1" applyBorder="1" applyAlignment="1">
      <alignment horizontal="right" vertical="center"/>
    </xf>
    <xf numFmtId="0" fontId="3" fillId="0" borderId="0" xfId="0" applyFont="1" applyFill="1" applyAlignment="1">
      <alignment vertical="center"/>
    </xf>
    <xf numFmtId="4" fontId="6" fillId="4" borderId="3" xfId="0" applyNumberFormat="1" applyFont="1" applyFill="1" applyBorder="1" applyAlignment="1">
      <alignment horizontal="right" vertical="center"/>
    </xf>
    <xf numFmtId="4" fontId="6" fillId="2" borderId="3" xfId="0" applyNumberFormat="1" applyFont="1" applyFill="1" applyBorder="1" applyAlignment="1">
      <alignment horizontal="right" vertical="center"/>
    </xf>
    <xf numFmtId="1" fontId="4" fillId="2" borderId="0" xfId="0" applyNumberFormat="1" applyFont="1" applyFill="1" applyBorder="1" applyAlignment="1">
      <alignment horizontal="left" vertical="center"/>
    </xf>
    <xf numFmtId="3" fontId="4" fillId="2" borderId="0" xfId="0" applyNumberFormat="1" applyFont="1" applyFill="1" applyBorder="1" applyAlignment="1">
      <alignment horizontal="right" vertical="center"/>
    </xf>
    <xf numFmtId="1" fontId="5" fillId="0" borderId="5" xfId="0" applyNumberFormat="1" applyFont="1" applyBorder="1" applyAlignment="1">
      <alignment horizontal="left"/>
    </xf>
    <xf numFmtId="183" fontId="4" fillId="0" borderId="5" xfId="0" applyNumberFormat="1" applyFont="1" applyBorder="1" applyAlignment="1">
      <alignment horizontal="right"/>
    </xf>
    <xf numFmtId="183" fontId="4" fillId="0" borderId="0" xfId="0" applyNumberFormat="1" applyFont="1" applyBorder="1" applyAlignment="1">
      <alignment horizontal="right"/>
    </xf>
    <xf numFmtId="0" fontId="67" fillId="0" borderId="0" xfId="14"/>
    <xf numFmtId="0" fontId="69" fillId="0" borderId="0" xfId="14" applyFont="1"/>
    <xf numFmtId="0" fontId="67" fillId="0" borderId="14" xfId="14" applyBorder="1"/>
    <xf numFmtId="3" fontId="67" fillId="0" borderId="14" xfId="14" applyNumberFormat="1" applyBorder="1"/>
    <xf numFmtId="0" fontId="67" fillId="4" borderId="5" xfId="14" applyFill="1" applyBorder="1" applyAlignment="1">
      <alignment horizontal="right"/>
    </xf>
    <xf numFmtId="0" fontId="67" fillId="2" borderId="5" xfId="14" applyFill="1" applyBorder="1" applyAlignment="1">
      <alignment horizontal="right"/>
    </xf>
    <xf numFmtId="184" fontId="33" fillId="4" borderId="0" xfId="14" applyNumberFormat="1" applyFont="1" applyFill="1" applyBorder="1" applyAlignment="1">
      <alignment horizontal="center"/>
    </xf>
    <xf numFmtId="184" fontId="33" fillId="2" borderId="0" xfId="14" applyNumberFormat="1" applyFont="1" applyFill="1" applyBorder="1" applyAlignment="1">
      <alignment horizontal="center"/>
    </xf>
    <xf numFmtId="184" fontId="33" fillId="0" borderId="0" xfId="14" applyNumberFormat="1" applyFont="1" applyFill="1" applyBorder="1" applyAlignment="1">
      <alignment horizontal="center"/>
    </xf>
    <xf numFmtId="0" fontId="33" fillId="4" borderId="5" xfId="14" applyFont="1" applyFill="1" applyBorder="1" applyAlignment="1">
      <alignment horizontal="center"/>
    </xf>
    <xf numFmtId="0" fontId="33" fillId="0" borderId="5" xfId="14" applyFont="1" applyFill="1" applyBorder="1" applyAlignment="1">
      <alignment horizontal="center"/>
    </xf>
    <xf numFmtId="0" fontId="70" fillId="2" borderId="5" xfId="14" applyFont="1" applyFill="1" applyBorder="1" applyAlignment="1">
      <alignment horizontal="center"/>
    </xf>
    <xf numFmtId="0" fontId="70" fillId="4" borderId="5" xfId="14" applyFont="1" applyFill="1" applyBorder="1" applyAlignment="1">
      <alignment horizontal="center"/>
    </xf>
    <xf numFmtId="0" fontId="70" fillId="4" borderId="0" xfId="14" applyFont="1" applyFill="1" applyBorder="1" applyAlignment="1">
      <alignment horizontal="left"/>
    </xf>
    <xf numFmtId="0" fontId="67" fillId="4" borderId="0" xfId="14" applyFill="1" applyBorder="1" applyAlignment="1">
      <alignment horizontal="right"/>
    </xf>
    <xf numFmtId="0" fontId="72" fillId="2" borderId="0" xfId="14" applyFont="1" applyFill="1" applyBorder="1" applyAlignment="1">
      <alignment horizontal="center"/>
    </xf>
    <xf numFmtId="0" fontId="72" fillId="4" borderId="0" xfId="14" applyFont="1" applyFill="1" applyBorder="1" applyAlignment="1">
      <alignment horizontal="center"/>
    </xf>
    <xf numFmtId="0" fontId="72" fillId="0" borderId="0" xfId="14" applyFont="1" applyFill="1" applyBorder="1" applyAlignment="1">
      <alignment horizontal="center"/>
    </xf>
    <xf numFmtId="0" fontId="33" fillId="4" borderId="0" xfId="14" applyFont="1" applyFill="1" applyBorder="1" applyAlignment="1">
      <alignment horizontal="center"/>
    </xf>
    <xf numFmtId="0" fontId="33" fillId="0" borderId="0" xfId="14" applyFont="1" applyFill="1" applyBorder="1" applyAlignment="1">
      <alignment horizontal="center"/>
    </xf>
    <xf numFmtId="0" fontId="70" fillId="2" borderId="0" xfId="14" applyFont="1" applyFill="1" applyBorder="1" applyAlignment="1">
      <alignment horizontal="center"/>
    </xf>
    <xf numFmtId="0" fontId="70" fillId="4" borderId="0" xfId="14" applyFont="1" applyFill="1" applyBorder="1" applyAlignment="1">
      <alignment horizontal="center"/>
    </xf>
    <xf numFmtId="0" fontId="67" fillId="2" borderId="0" xfId="14" applyFill="1" applyBorder="1" applyAlignment="1">
      <alignment horizontal="center"/>
    </xf>
    <xf numFmtId="0" fontId="67" fillId="4" borderId="0" xfId="14" applyFill="1" applyBorder="1" applyAlignment="1">
      <alignment horizontal="center"/>
    </xf>
    <xf numFmtId="184" fontId="33" fillId="4" borderId="0" xfId="14" applyNumberFormat="1" applyFont="1" applyFill="1" applyBorder="1" applyAlignment="1">
      <alignment horizontal="center" vertical="top"/>
    </xf>
    <xf numFmtId="184" fontId="33" fillId="2" borderId="0" xfId="14" applyNumberFormat="1" applyFont="1" applyFill="1" applyBorder="1" applyAlignment="1">
      <alignment horizontal="center" vertical="top"/>
    </xf>
    <xf numFmtId="184" fontId="33" fillId="0" borderId="0" xfId="14" applyNumberFormat="1" applyFont="1" applyFill="1" applyBorder="1" applyAlignment="1">
      <alignment horizontal="center" vertical="top"/>
    </xf>
    <xf numFmtId="0" fontId="70" fillId="4" borderId="2" xfId="14" applyFont="1" applyFill="1" applyBorder="1" applyAlignment="1">
      <alignment horizontal="left"/>
    </xf>
    <xf numFmtId="0" fontId="67" fillId="4" borderId="2" xfId="14" applyFill="1" applyBorder="1"/>
    <xf numFmtId="0" fontId="67" fillId="2" borderId="2" xfId="14" applyFill="1" applyBorder="1" applyAlignment="1">
      <alignment horizontal="center"/>
    </xf>
    <xf numFmtId="0" fontId="67" fillId="4" borderId="2" xfId="14" applyFill="1" applyBorder="1" applyAlignment="1">
      <alignment horizontal="center"/>
    </xf>
    <xf numFmtId="184" fontId="33" fillId="4" borderId="2" xfId="14" applyNumberFormat="1" applyFont="1" applyFill="1" applyBorder="1" applyAlignment="1">
      <alignment horizontal="center" vertical="top"/>
    </xf>
    <xf numFmtId="184" fontId="33" fillId="2" borderId="2" xfId="14" applyNumberFormat="1" applyFont="1" applyFill="1" applyBorder="1" applyAlignment="1">
      <alignment horizontal="center" vertical="top"/>
    </xf>
    <xf numFmtId="184" fontId="33" fillId="0" borderId="2" xfId="14" applyNumberFormat="1" applyFont="1" applyFill="1" applyBorder="1" applyAlignment="1">
      <alignment horizontal="center" vertical="top"/>
    </xf>
    <xf numFmtId="0" fontId="33" fillId="4" borderId="2" xfId="14" applyFont="1" applyFill="1" applyBorder="1" applyAlignment="1">
      <alignment horizontal="center"/>
    </xf>
    <xf numFmtId="0" fontId="33" fillId="0" borderId="2" xfId="14" applyFont="1" applyFill="1" applyBorder="1" applyAlignment="1">
      <alignment horizontal="center"/>
    </xf>
    <xf numFmtId="0" fontId="67" fillId="4" borderId="6" xfId="14" applyFont="1" applyFill="1" applyBorder="1"/>
    <xf numFmtId="0" fontId="67" fillId="4" borderId="6" xfId="14" applyFill="1" applyBorder="1"/>
    <xf numFmtId="183" fontId="67" fillId="2" borderId="6" xfId="14" applyNumberFormat="1" applyFont="1" applyFill="1" applyBorder="1" applyAlignment="1">
      <alignment horizontal="center"/>
    </xf>
    <xf numFmtId="183" fontId="67" fillId="4" borderId="6" xfId="14" applyNumberFormat="1" applyFont="1" applyFill="1" applyBorder="1" applyAlignment="1">
      <alignment horizontal="center"/>
    </xf>
    <xf numFmtId="183" fontId="67" fillId="0" borderId="6" xfId="14" applyNumberFormat="1" applyFont="1" applyFill="1" applyBorder="1" applyAlignment="1">
      <alignment horizontal="center"/>
    </xf>
    <xf numFmtId="184" fontId="67" fillId="2" borderId="6" xfId="14" applyNumberFormat="1" applyFont="1" applyFill="1" applyBorder="1" applyAlignment="1">
      <alignment horizontal="center"/>
    </xf>
    <xf numFmtId="184" fontId="67" fillId="4" borderId="6" xfId="14" applyNumberFormat="1" applyFont="1" applyFill="1" applyBorder="1" applyAlignment="1">
      <alignment horizontal="center"/>
    </xf>
    <xf numFmtId="184" fontId="67" fillId="0" borderId="6" xfId="14" applyNumberFormat="1" applyFont="1" applyFill="1" applyBorder="1" applyAlignment="1">
      <alignment horizontal="center"/>
    </xf>
    <xf numFmtId="3" fontId="73" fillId="4" borderId="6" xfId="14" applyNumberFormat="1" applyFont="1" applyFill="1" applyBorder="1" applyAlignment="1">
      <alignment horizontal="center"/>
    </xf>
    <xf numFmtId="3" fontId="73" fillId="2" borderId="6" xfId="14" applyNumberFormat="1" applyFont="1" applyFill="1" applyBorder="1" applyAlignment="1">
      <alignment horizontal="center"/>
    </xf>
    <xf numFmtId="0" fontId="67" fillId="4" borderId="4" xfId="14" applyFill="1" applyBorder="1"/>
    <xf numFmtId="0" fontId="68" fillId="4" borderId="4" xfId="14" applyFont="1" applyFill="1" applyBorder="1"/>
    <xf numFmtId="183" fontId="68" fillId="2" borderId="4" xfId="14" applyNumberFormat="1" applyFont="1" applyFill="1" applyBorder="1" applyAlignment="1">
      <alignment horizontal="right"/>
    </xf>
    <xf numFmtId="183" fontId="68" fillId="4" borderId="4" xfId="14" applyNumberFormat="1" applyFont="1" applyFill="1" applyBorder="1" applyAlignment="1">
      <alignment horizontal="right"/>
    </xf>
    <xf numFmtId="183" fontId="68" fillId="0" borderId="4" xfId="14" applyNumberFormat="1" applyFont="1" applyFill="1" applyBorder="1" applyAlignment="1">
      <alignment horizontal="right"/>
    </xf>
    <xf numFmtId="184" fontId="68" fillId="2" borderId="4" xfId="14" applyNumberFormat="1" applyFont="1" applyFill="1" applyBorder="1" applyAlignment="1">
      <alignment horizontal="right"/>
    </xf>
    <xf numFmtId="184" fontId="68" fillId="4" borderId="4" xfId="14" applyNumberFormat="1" applyFont="1" applyFill="1" applyBorder="1" applyAlignment="1">
      <alignment horizontal="right"/>
    </xf>
    <xf numFmtId="184" fontId="68" fillId="0" borderId="4" xfId="14" applyNumberFormat="1" applyFont="1" applyFill="1" applyBorder="1" applyAlignment="1">
      <alignment horizontal="right"/>
    </xf>
    <xf numFmtId="3" fontId="74" fillId="4" borderId="4" xfId="14" applyNumberFormat="1" applyFont="1" applyFill="1" applyBorder="1" applyAlignment="1">
      <alignment horizontal="right"/>
    </xf>
    <xf numFmtId="3" fontId="74" fillId="2" borderId="4" xfId="14" applyNumberFormat="1" applyFont="1" applyFill="1" applyBorder="1" applyAlignment="1">
      <alignment horizontal="right"/>
    </xf>
    <xf numFmtId="183" fontId="67" fillId="2" borderId="4" xfId="14" applyNumberFormat="1" applyFont="1" applyFill="1" applyBorder="1"/>
    <xf numFmtId="183" fontId="67" fillId="4" borderId="4" xfId="14" applyNumberFormat="1" applyFont="1" applyFill="1" applyBorder="1"/>
    <xf numFmtId="183" fontId="67" fillId="0" borderId="4" xfId="14" applyNumberFormat="1" applyFont="1" applyFill="1" applyBorder="1"/>
    <xf numFmtId="184" fontId="67" fillId="2" borderId="4" xfId="14" applyNumberFormat="1" applyFont="1" applyFill="1" applyBorder="1"/>
    <xf numFmtId="184" fontId="67" fillId="4" borderId="4" xfId="14" applyNumberFormat="1" applyFont="1" applyFill="1" applyBorder="1"/>
    <xf numFmtId="184" fontId="67" fillId="0" borderId="4" xfId="14" applyNumberFormat="1" applyFont="1" applyFill="1" applyBorder="1"/>
    <xf numFmtId="3" fontId="73" fillId="2" borderId="4" xfId="14" applyNumberFormat="1" applyFont="1" applyFill="1" applyBorder="1"/>
    <xf numFmtId="3" fontId="73" fillId="4" borderId="4" xfId="14" applyNumberFormat="1" applyFont="1" applyFill="1" applyBorder="1"/>
    <xf numFmtId="0" fontId="67" fillId="4" borderId="4" xfId="14" applyFont="1" applyFill="1" applyBorder="1"/>
    <xf numFmtId="183" fontId="67" fillId="2" borderId="4" xfId="14" applyNumberFormat="1" applyFont="1" applyFill="1" applyBorder="1" applyAlignment="1">
      <alignment horizontal="center"/>
    </xf>
    <xf numFmtId="183" fontId="67" fillId="4" borderId="4" xfId="14" applyNumberFormat="1" applyFont="1" applyFill="1" applyBorder="1" applyAlignment="1">
      <alignment horizontal="center"/>
    </xf>
    <xf numFmtId="183" fontId="67" fillId="0" borderId="4" xfId="14" applyNumberFormat="1" applyFont="1" applyFill="1" applyBorder="1" applyAlignment="1">
      <alignment horizontal="center"/>
    </xf>
    <xf numFmtId="184" fontId="67" fillId="2" borderId="4" xfId="14" applyNumberFormat="1" applyFont="1" applyFill="1" applyBorder="1" applyAlignment="1">
      <alignment horizontal="center"/>
    </xf>
    <xf numFmtId="184" fontId="67" fillId="4" borderId="4" xfId="14" applyNumberFormat="1" applyFont="1" applyFill="1" applyBorder="1" applyAlignment="1">
      <alignment horizontal="center"/>
    </xf>
    <xf numFmtId="184" fontId="67" fillId="0" borderId="4" xfId="14" applyNumberFormat="1" applyFont="1" applyFill="1" applyBorder="1" applyAlignment="1">
      <alignment horizontal="center"/>
    </xf>
    <xf numFmtId="3" fontId="73" fillId="2" borderId="4" xfId="14" applyNumberFormat="1" applyFont="1" applyFill="1" applyBorder="1" applyAlignment="1">
      <alignment horizontal="center"/>
    </xf>
    <xf numFmtId="3" fontId="73" fillId="4" borderId="4" xfId="14" applyNumberFormat="1" applyFont="1" applyFill="1" applyBorder="1" applyAlignment="1">
      <alignment horizontal="center"/>
    </xf>
    <xf numFmtId="183" fontId="68" fillId="2" borderId="4" xfId="14" applyNumberFormat="1" applyFont="1" applyFill="1" applyBorder="1"/>
    <xf numFmtId="183" fontId="68" fillId="4" borderId="4" xfId="14" applyNumberFormat="1" applyFont="1" applyFill="1" applyBorder="1"/>
    <xf numFmtId="183" fontId="68" fillId="0" borderId="4" xfId="14" applyNumberFormat="1" applyFont="1" applyFill="1" applyBorder="1"/>
    <xf numFmtId="184" fontId="68" fillId="2" borderId="4" xfId="14" applyNumberFormat="1" applyFont="1" applyFill="1" applyBorder="1"/>
    <xf numFmtId="184" fontId="68" fillId="4" borderId="4" xfId="14" applyNumberFormat="1" applyFont="1" applyFill="1" applyBorder="1"/>
    <xf numFmtId="184" fontId="68" fillId="0" borderId="4" xfId="14" applyNumberFormat="1" applyFont="1" applyFill="1" applyBorder="1"/>
    <xf numFmtId="3" fontId="74" fillId="2" borderId="4" xfId="14" applyNumberFormat="1" applyFont="1" applyFill="1" applyBorder="1"/>
    <xf numFmtId="3" fontId="74" fillId="4" borderId="4" xfId="14" applyNumberFormat="1" applyFont="1" applyFill="1" applyBorder="1"/>
    <xf numFmtId="0" fontId="67" fillId="5" borderId="0" xfId="14" applyFill="1"/>
    <xf numFmtId="0" fontId="67" fillId="2" borderId="4" xfId="14" applyFont="1" applyFill="1" applyBorder="1"/>
    <xf numFmtId="0" fontId="67" fillId="0" borderId="4" xfId="14" applyFont="1" applyFill="1" applyBorder="1"/>
    <xf numFmtId="0" fontId="72" fillId="4" borderId="4" xfId="14" applyFont="1" applyFill="1" applyBorder="1"/>
    <xf numFmtId="183" fontId="72" fillId="2" borderId="4" xfId="14" applyNumberFormat="1" applyFont="1" applyFill="1" applyBorder="1"/>
    <xf numFmtId="183" fontId="72" fillId="4" borderId="4" xfId="14" applyNumberFormat="1" applyFont="1" applyFill="1" applyBorder="1"/>
    <xf numFmtId="183" fontId="72" fillId="0" borderId="4" xfId="14" applyNumberFormat="1" applyFont="1" applyFill="1" applyBorder="1"/>
    <xf numFmtId="184" fontId="72" fillId="2" borderId="4" xfId="14" applyNumberFormat="1" applyFont="1" applyFill="1" applyBorder="1"/>
    <xf numFmtId="184" fontId="72" fillId="4" borderId="4" xfId="14" applyNumberFormat="1" applyFont="1" applyFill="1" applyBorder="1"/>
    <xf numFmtId="184" fontId="72" fillId="0" borderId="4" xfId="14" applyNumberFormat="1" applyFont="1" applyFill="1" applyBorder="1"/>
    <xf numFmtId="3" fontId="70" fillId="2" borderId="4" xfId="14" applyNumberFormat="1" applyFont="1" applyFill="1" applyBorder="1"/>
    <xf numFmtId="3" fontId="70" fillId="4" borderId="4" xfId="14" applyNumberFormat="1" applyFont="1" applyFill="1" applyBorder="1"/>
    <xf numFmtId="183" fontId="72" fillId="2" borderId="4" xfId="14" applyNumberFormat="1" applyFont="1" applyFill="1" applyBorder="1" applyAlignment="1">
      <alignment horizontal="left"/>
    </xf>
    <xf numFmtId="183" fontId="72" fillId="4" borderId="4" xfId="14" applyNumberFormat="1" applyFont="1" applyFill="1" applyBorder="1" applyAlignment="1">
      <alignment horizontal="left"/>
    </xf>
    <xf numFmtId="183" fontId="72" fillId="0" borderId="4" xfId="14" applyNumberFormat="1" applyFont="1" applyFill="1" applyBorder="1" applyAlignment="1">
      <alignment horizontal="left"/>
    </xf>
    <xf numFmtId="184" fontId="72" fillId="2" borderId="4" xfId="14" applyNumberFormat="1" applyFont="1" applyFill="1" applyBorder="1" applyAlignment="1">
      <alignment horizontal="left"/>
    </xf>
    <xf numFmtId="184" fontId="72" fillId="4" borderId="4" xfId="14" applyNumberFormat="1" applyFont="1" applyFill="1" applyBorder="1" applyAlignment="1">
      <alignment horizontal="left"/>
    </xf>
    <xf numFmtId="184" fontId="72" fillId="0" borderId="4" xfId="14" applyNumberFormat="1" applyFont="1" applyFill="1" applyBorder="1" applyAlignment="1">
      <alignment horizontal="left"/>
    </xf>
    <xf numFmtId="3" fontId="70" fillId="2" borderId="4" xfId="14" applyNumberFormat="1" applyFont="1" applyFill="1" applyBorder="1" applyAlignment="1">
      <alignment horizontal="left"/>
    </xf>
    <xf numFmtId="3" fontId="70" fillId="4" borderId="4" xfId="14" applyNumberFormat="1" applyFont="1" applyFill="1" applyBorder="1" applyAlignment="1">
      <alignment horizontal="left"/>
    </xf>
    <xf numFmtId="183" fontId="76" fillId="2" borderId="4" xfId="14" applyNumberFormat="1" applyFont="1" applyFill="1" applyBorder="1" applyAlignment="1">
      <alignment horizontal="center"/>
    </xf>
    <xf numFmtId="183" fontId="76" fillId="4" borderId="4" xfId="14" applyNumberFormat="1" applyFont="1" applyFill="1" applyBorder="1" applyAlignment="1">
      <alignment horizontal="center"/>
    </xf>
    <xf numFmtId="183" fontId="76" fillId="0" borderId="4" xfId="14" applyNumberFormat="1" applyFont="1" applyFill="1" applyBorder="1" applyAlignment="1">
      <alignment horizontal="center"/>
    </xf>
    <xf numFmtId="184" fontId="76" fillId="2" borderId="4" xfId="14" applyNumberFormat="1" applyFont="1" applyFill="1" applyBorder="1" applyAlignment="1">
      <alignment horizontal="center"/>
    </xf>
    <xf numFmtId="184" fontId="76" fillId="4" borderId="4" xfId="14" applyNumberFormat="1" applyFont="1" applyFill="1" applyBorder="1" applyAlignment="1">
      <alignment horizontal="center"/>
    </xf>
    <xf numFmtId="184" fontId="76" fillId="0" borderId="4" xfId="14" applyNumberFormat="1" applyFont="1" applyFill="1" applyBorder="1" applyAlignment="1">
      <alignment horizontal="center"/>
    </xf>
    <xf numFmtId="3" fontId="77" fillId="2" borderId="4" xfId="14" applyNumberFormat="1" applyFont="1" applyFill="1" applyBorder="1" applyAlignment="1">
      <alignment horizontal="center"/>
    </xf>
    <xf numFmtId="3" fontId="77" fillId="4" borderId="4" xfId="14" applyNumberFormat="1" applyFont="1" applyFill="1" applyBorder="1" applyAlignment="1">
      <alignment horizontal="center"/>
    </xf>
    <xf numFmtId="0" fontId="67" fillId="4" borderId="12" xfId="14" applyFill="1" applyBorder="1"/>
    <xf numFmtId="0" fontId="68" fillId="4" borderId="12" xfId="14" applyFont="1" applyFill="1" applyBorder="1"/>
    <xf numFmtId="183" fontId="76" fillId="2" borderId="12" xfId="14" applyNumberFormat="1" applyFont="1" applyFill="1" applyBorder="1" applyAlignment="1">
      <alignment horizontal="center"/>
    </xf>
    <xf numFmtId="183" fontId="76" fillId="4" borderId="12" xfId="14" applyNumberFormat="1" applyFont="1" applyFill="1" applyBorder="1" applyAlignment="1">
      <alignment horizontal="center"/>
    </xf>
    <xf numFmtId="183" fontId="76" fillId="0" borderId="12" xfId="14" applyNumberFormat="1" applyFont="1" applyFill="1" applyBorder="1" applyAlignment="1">
      <alignment horizontal="center"/>
    </xf>
    <xf numFmtId="184" fontId="76" fillId="2" borderId="12" xfId="14" applyNumberFormat="1" applyFont="1" applyFill="1" applyBorder="1" applyAlignment="1">
      <alignment horizontal="center"/>
    </xf>
    <xf numFmtId="184" fontId="76" fillId="4" borderId="12" xfId="14" applyNumberFormat="1" applyFont="1" applyFill="1" applyBorder="1" applyAlignment="1">
      <alignment horizontal="center"/>
    </xf>
    <xf numFmtId="184" fontId="76" fillId="0" borderId="12" xfId="14" applyNumberFormat="1" applyFont="1" applyFill="1" applyBorder="1" applyAlignment="1">
      <alignment horizontal="center"/>
    </xf>
    <xf numFmtId="3" fontId="77" fillId="2" borderId="12" xfId="14" applyNumberFormat="1" applyFont="1" applyFill="1" applyBorder="1" applyAlignment="1">
      <alignment horizontal="center"/>
    </xf>
    <xf numFmtId="3" fontId="77" fillId="4" borderId="12" xfId="14" applyNumberFormat="1" applyFont="1" applyFill="1" applyBorder="1" applyAlignment="1">
      <alignment horizontal="center"/>
    </xf>
    <xf numFmtId="0" fontId="67" fillId="0" borderId="2" xfId="14" applyBorder="1"/>
    <xf numFmtId="0" fontId="68" fillId="0" borderId="2" xfId="14" applyFont="1" applyBorder="1"/>
    <xf numFmtId="183" fontId="68" fillId="0" borderId="2" xfId="14" applyNumberFormat="1" applyFont="1" applyBorder="1" applyAlignment="1">
      <alignment horizontal="right"/>
    </xf>
    <xf numFmtId="183" fontId="68" fillId="0" borderId="2" xfId="14" applyNumberFormat="1" applyFont="1" applyFill="1" applyBorder="1" applyAlignment="1">
      <alignment horizontal="right"/>
    </xf>
    <xf numFmtId="184" fontId="68" fillId="0" borderId="2" xfId="14" applyNumberFormat="1" applyFont="1" applyFill="1" applyBorder="1" applyAlignment="1">
      <alignment horizontal="right"/>
    </xf>
    <xf numFmtId="184" fontId="68" fillId="0" borderId="2" xfId="14" applyNumberFormat="1" applyFont="1" applyBorder="1" applyAlignment="1">
      <alignment horizontal="right"/>
    </xf>
    <xf numFmtId="3" fontId="74" fillId="0" borderId="2" xfId="14" applyNumberFormat="1" applyFont="1" applyBorder="1" applyAlignment="1">
      <alignment horizontal="right"/>
    </xf>
    <xf numFmtId="0" fontId="67" fillId="0" borderId="0" xfId="14" applyBorder="1"/>
    <xf numFmtId="0" fontId="68" fillId="0" borderId="0" xfId="14" applyFont="1" applyBorder="1"/>
    <xf numFmtId="183" fontId="68" fillId="0" borderId="0" xfId="14" applyNumberFormat="1" applyFont="1" applyBorder="1" applyAlignment="1">
      <alignment horizontal="right"/>
    </xf>
    <xf numFmtId="183" fontId="68" fillId="0" borderId="0" xfId="14" applyNumberFormat="1" applyFont="1" applyFill="1" applyBorder="1" applyAlignment="1">
      <alignment horizontal="right"/>
    </xf>
    <xf numFmtId="184" fontId="68" fillId="0" borderId="0" xfId="14" applyNumberFormat="1" applyFont="1" applyFill="1" applyBorder="1" applyAlignment="1">
      <alignment horizontal="right"/>
    </xf>
    <xf numFmtId="184" fontId="68" fillId="0" borderId="0" xfId="14" applyNumberFormat="1" applyFont="1" applyBorder="1" applyAlignment="1">
      <alignment horizontal="right"/>
    </xf>
    <xf numFmtId="3" fontId="74" fillId="0" borderId="0" xfId="14" applyNumberFormat="1" applyFont="1" applyBorder="1" applyAlignment="1">
      <alignment horizontal="right"/>
    </xf>
    <xf numFmtId="0" fontId="72" fillId="4" borderId="6" xfId="14" applyFont="1" applyFill="1" applyBorder="1"/>
    <xf numFmtId="3" fontId="68" fillId="2" borderId="4" xfId="14" applyNumberFormat="1" applyFont="1" applyFill="1" applyBorder="1" applyAlignment="1">
      <alignment horizontal="right"/>
    </xf>
    <xf numFmtId="0" fontId="67" fillId="7" borderId="0" xfId="14" applyFill="1"/>
    <xf numFmtId="3" fontId="67" fillId="2" borderId="4" xfId="14" applyNumberFormat="1" applyFont="1" applyFill="1" applyBorder="1"/>
    <xf numFmtId="183" fontId="67" fillId="2" borderId="4" xfId="14" applyNumberFormat="1" applyFont="1" applyFill="1" applyBorder="1" applyAlignment="1">
      <alignment horizontal="left"/>
    </xf>
    <xf numFmtId="183" fontId="68" fillId="2" borderId="4" xfId="14" applyNumberFormat="1" applyFont="1" applyFill="1" applyBorder="1" applyAlignment="1">
      <alignment horizontal="center"/>
    </xf>
    <xf numFmtId="183" fontId="68" fillId="2" borderId="12" xfId="14" applyNumberFormat="1" applyFont="1" applyFill="1" applyBorder="1" applyAlignment="1">
      <alignment horizontal="center"/>
    </xf>
    <xf numFmtId="0" fontId="67" fillId="0" borderId="0" xfId="14" applyFill="1"/>
    <xf numFmtId="3" fontId="74" fillId="0" borderId="2" xfId="14" applyNumberFormat="1" applyFont="1" applyFill="1" applyBorder="1" applyAlignment="1">
      <alignment horizontal="right"/>
    </xf>
    <xf numFmtId="183" fontId="67" fillId="0" borderId="0" xfId="14" applyNumberFormat="1" applyFont="1" applyBorder="1"/>
    <xf numFmtId="183" fontId="67" fillId="0" borderId="0" xfId="14" applyNumberFormat="1" applyFont="1" applyFill="1" applyBorder="1"/>
    <xf numFmtId="184" fontId="67" fillId="0" borderId="0" xfId="14" applyNumberFormat="1" applyFont="1" applyFill="1" applyBorder="1"/>
    <xf numFmtId="184" fontId="67" fillId="0" borderId="0" xfId="14" applyNumberFormat="1" applyFont="1" applyBorder="1"/>
    <xf numFmtId="3" fontId="73" fillId="0" borderId="0" xfId="14" applyNumberFormat="1" applyFont="1" applyBorder="1"/>
    <xf numFmtId="183" fontId="72" fillId="2" borderId="6" xfId="14" applyNumberFormat="1" applyFont="1" applyFill="1" applyBorder="1" applyAlignment="1">
      <alignment horizontal="left"/>
    </xf>
    <xf numFmtId="183" fontId="72" fillId="4" borderId="6" xfId="14" applyNumberFormat="1" applyFont="1" applyFill="1" applyBorder="1" applyAlignment="1">
      <alignment horizontal="left"/>
    </xf>
    <xf numFmtId="183" fontId="72" fillId="0" borderId="6" xfId="14" applyNumberFormat="1" applyFont="1" applyFill="1" applyBorder="1" applyAlignment="1">
      <alignment horizontal="left"/>
    </xf>
    <xf numFmtId="184" fontId="72" fillId="2" borderId="6" xfId="14" applyNumberFormat="1" applyFont="1" applyFill="1" applyBorder="1" applyAlignment="1">
      <alignment horizontal="left"/>
    </xf>
    <xf numFmtId="184" fontId="72" fillId="4" borderId="6" xfId="14" applyNumberFormat="1" applyFont="1" applyFill="1" applyBorder="1" applyAlignment="1">
      <alignment horizontal="left"/>
    </xf>
    <xf numFmtId="184" fontId="72" fillId="0" borderId="6" xfId="14" applyNumberFormat="1" applyFont="1" applyFill="1" applyBorder="1" applyAlignment="1">
      <alignment horizontal="left"/>
    </xf>
    <xf numFmtId="3" fontId="70" fillId="2" borderId="6" xfId="14" applyNumberFormat="1" applyFont="1" applyFill="1" applyBorder="1" applyAlignment="1">
      <alignment horizontal="left"/>
    </xf>
    <xf numFmtId="3" fontId="70" fillId="4" borderId="6" xfId="14" applyNumberFormat="1" applyFont="1" applyFill="1" applyBorder="1" applyAlignment="1">
      <alignment horizontal="left"/>
    </xf>
    <xf numFmtId="183" fontId="67" fillId="2" borderId="12" xfId="14" applyNumberFormat="1" applyFont="1" applyFill="1" applyBorder="1" applyAlignment="1">
      <alignment horizontal="center"/>
    </xf>
    <xf numFmtId="183" fontId="67" fillId="4" borderId="12" xfId="14" applyNumberFormat="1" applyFont="1" applyFill="1" applyBorder="1" applyAlignment="1">
      <alignment horizontal="center"/>
    </xf>
    <xf numFmtId="183" fontId="67" fillId="0" borderId="12" xfId="14" applyNumberFormat="1" applyFont="1" applyFill="1" applyBorder="1" applyAlignment="1">
      <alignment horizontal="center"/>
    </xf>
    <xf numFmtId="184" fontId="67" fillId="2" borderId="12" xfId="14" applyNumberFormat="1" applyFont="1" applyFill="1" applyBorder="1" applyAlignment="1">
      <alignment horizontal="center"/>
    </xf>
    <xf numFmtId="184" fontId="67" fillId="4" borderId="12" xfId="14" applyNumberFormat="1" applyFont="1" applyFill="1" applyBorder="1" applyAlignment="1">
      <alignment horizontal="center"/>
    </xf>
    <xf numFmtId="184" fontId="67" fillId="0" borderId="12" xfId="14" applyNumberFormat="1" applyFont="1" applyFill="1" applyBorder="1" applyAlignment="1">
      <alignment horizontal="center"/>
    </xf>
    <xf numFmtId="3" fontId="73" fillId="2" borderId="12" xfId="14" applyNumberFormat="1" applyFont="1" applyFill="1" applyBorder="1" applyAlignment="1">
      <alignment horizontal="center"/>
    </xf>
    <xf numFmtId="3" fontId="73" fillId="4" borderId="12" xfId="14" applyNumberFormat="1" applyFont="1" applyFill="1" applyBorder="1" applyAlignment="1">
      <alignment horizontal="center"/>
    </xf>
    <xf numFmtId="183" fontId="67" fillId="0" borderId="14" xfId="14" applyNumberFormat="1" applyBorder="1"/>
    <xf numFmtId="183" fontId="67" fillId="0" borderId="14" xfId="14" applyNumberFormat="1" applyFill="1" applyBorder="1"/>
    <xf numFmtId="0" fontId="78" fillId="0" borderId="0" xfId="14" applyFont="1" applyBorder="1"/>
    <xf numFmtId="0" fontId="72" fillId="0" borderId="0" xfId="14" applyFont="1"/>
    <xf numFmtId="0" fontId="37" fillId="0" borderId="0" xfId="14" applyFont="1"/>
    <xf numFmtId="49" fontId="37" fillId="0" borderId="0" xfId="14" applyNumberFormat="1" applyFont="1" applyBorder="1"/>
    <xf numFmtId="0" fontId="79" fillId="0" borderId="0" xfId="14" applyFont="1"/>
    <xf numFmtId="0" fontId="80" fillId="0" borderId="0" xfId="14" applyFont="1" applyFill="1"/>
    <xf numFmtId="0" fontId="81" fillId="0" borderId="0" xfId="14" applyFont="1"/>
    <xf numFmtId="0" fontId="82" fillId="0" borderId="0" xfId="14" applyFont="1"/>
    <xf numFmtId="0" fontId="69" fillId="0" borderId="0" xfId="13" applyFont="1"/>
    <xf numFmtId="0" fontId="67" fillId="0" borderId="0" xfId="13" applyFont="1"/>
    <xf numFmtId="0" fontId="73" fillId="0" borderId="0" xfId="13" applyFont="1"/>
    <xf numFmtId="0" fontId="67" fillId="0" borderId="0" xfId="13" applyFill="1"/>
    <xf numFmtId="0" fontId="72" fillId="0" borderId="0" xfId="13" applyFont="1"/>
    <xf numFmtId="0" fontId="67" fillId="0" borderId="0" xfId="13"/>
    <xf numFmtId="0" fontId="67" fillId="0" borderId="14" xfId="13" applyFont="1" applyBorder="1"/>
    <xf numFmtId="0" fontId="73" fillId="0" borderId="14" xfId="13" applyFont="1" applyBorder="1"/>
    <xf numFmtId="0" fontId="67" fillId="4" borderId="0" xfId="13" applyFont="1" applyFill="1" applyAlignment="1">
      <alignment horizontal="right"/>
    </xf>
    <xf numFmtId="0" fontId="67" fillId="2" borderId="0" xfId="13" applyFont="1" applyFill="1" applyAlignment="1">
      <alignment horizontal="right"/>
    </xf>
    <xf numFmtId="0" fontId="73" fillId="2" borderId="0" xfId="13" applyFont="1" applyFill="1" applyAlignment="1">
      <alignment horizontal="right"/>
    </xf>
    <xf numFmtId="0" fontId="67" fillId="0" borderId="0" xfId="13" applyAlignment="1">
      <alignment horizontal="right"/>
    </xf>
    <xf numFmtId="2" fontId="67" fillId="0" borderId="0" xfId="13" applyNumberFormat="1"/>
    <xf numFmtId="183" fontId="67" fillId="0" borderId="0" xfId="13" applyNumberFormat="1" applyAlignment="1">
      <alignment horizontal="right"/>
    </xf>
    <xf numFmtId="2" fontId="67" fillId="0" borderId="0" xfId="13" applyNumberFormat="1" applyAlignment="1">
      <alignment horizontal="right"/>
    </xf>
    <xf numFmtId="0" fontId="70" fillId="4" borderId="0" xfId="13" applyFont="1" applyFill="1" applyBorder="1" applyAlignment="1">
      <alignment horizontal="left"/>
    </xf>
    <xf numFmtId="0" fontId="67" fillId="4" borderId="0" xfId="13" applyFont="1" applyFill="1" applyBorder="1" applyAlignment="1">
      <alignment horizontal="right"/>
    </xf>
    <xf numFmtId="0" fontId="67" fillId="2" borderId="0" xfId="13" applyFont="1" applyFill="1" applyAlignment="1">
      <alignment horizontal="center"/>
    </xf>
    <xf numFmtId="0" fontId="67" fillId="4" borderId="0" xfId="13" applyFont="1" applyFill="1" applyAlignment="1">
      <alignment horizontal="center"/>
    </xf>
    <xf numFmtId="0" fontId="73" fillId="2" borderId="0" xfId="13" applyFont="1" applyFill="1" applyAlignment="1">
      <alignment horizontal="center"/>
    </xf>
    <xf numFmtId="183" fontId="67" fillId="0" borderId="0" xfId="13" applyNumberFormat="1"/>
    <xf numFmtId="0" fontId="67" fillId="4" borderId="0" xfId="13" applyFont="1" applyFill="1" applyBorder="1"/>
    <xf numFmtId="0" fontId="72" fillId="4" borderId="0" xfId="13" applyFont="1" applyFill="1" applyBorder="1"/>
    <xf numFmtId="0" fontId="67" fillId="2" borderId="0" xfId="13" applyFont="1" applyFill="1" applyBorder="1" applyAlignment="1">
      <alignment horizontal="center"/>
    </xf>
    <xf numFmtId="0" fontId="67" fillId="4" borderId="0" xfId="13" applyFont="1" applyFill="1" applyBorder="1" applyAlignment="1">
      <alignment horizontal="center"/>
    </xf>
    <xf numFmtId="0" fontId="73" fillId="2" borderId="0" xfId="13" applyFont="1" applyFill="1" applyBorder="1" applyAlignment="1">
      <alignment horizontal="center"/>
    </xf>
    <xf numFmtId="183" fontId="72" fillId="0" borderId="0" xfId="13" applyNumberFormat="1" applyFont="1"/>
    <xf numFmtId="0" fontId="72" fillId="4" borderId="2" xfId="13" applyFont="1" applyFill="1" applyBorder="1"/>
    <xf numFmtId="0" fontId="67" fillId="4" borderId="2" xfId="13" applyFont="1" applyFill="1" applyBorder="1"/>
    <xf numFmtId="0" fontId="67" fillId="2" borderId="2" xfId="13" applyFont="1" applyFill="1" applyBorder="1"/>
    <xf numFmtId="0" fontId="73" fillId="2" borderId="2" xfId="13" applyFont="1" applyFill="1" applyBorder="1"/>
    <xf numFmtId="0" fontId="72" fillId="4" borderId="3" xfId="13" applyFont="1" applyFill="1" applyBorder="1"/>
    <xf numFmtId="0" fontId="67" fillId="4" borderId="3" xfId="13" applyFill="1" applyBorder="1"/>
    <xf numFmtId="184" fontId="72" fillId="2" borderId="3" xfId="13" applyNumberFormat="1" applyFont="1" applyFill="1" applyBorder="1" applyAlignment="1">
      <alignment horizontal="left"/>
    </xf>
    <xf numFmtId="184" fontId="72" fillId="4" borderId="3" xfId="13" applyNumberFormat="1" applyFont="1" applyFill="1" applyBorder="1" applyAlignment="1">
      <alignment horizontal="left"/>
    </xf>
    <xf numFmtId="184" fontId="70" fillId="2" borderId="3" xfId="13" applyNumberFormat="1" applyFont="1" applyFill="1" applyBorder="1" applyAlignment="1">
      <alignment horizontal="left"/>
    </xf>
    <xf numFmtId="0" fontId="72" fillId="4" borderId="4" xfId="13" applyFont="1" applyFill="1" applyBorder="1"/>
    <xf numFmtId="0" fontId="67" fillId="4" borderId="4" xfId="13" applyFont="1" applyFill="1" applyBorder="1"/>
    <xf numFmtId="184" fontId="68" fillId="2" borderId="4" xfId="13" applyNumberFormat="1" applyFont="1" applyFill="1" applyBorder="1"/>
    <xf numFmtId="184" fontId="68" fillId="4" borderId="4" xfId="13" applyNumberFormat="1" applyFont="1" applyFill="1" applyBorder="1"/>
    <xf numFmtId="184" fontId="74" fillId="2" borderId="4" xfId="13" applyNumberFormat="1" applyFont="1" applyFill="1" applyBorder="1"/>
    <xf numFmtId="0" fontId="67" fillId="4" borderId="4" xfId="13" applyFill="1" applyBorder="1"/>
    <xf numFmtId="0" fontId="85" fillId="4" borderId="4" xfId="13" applyFont="1" applyFill="1" applyBorder="1"/>
    <xf numFmtId="184" fontId="67" fillId="2" borderId="4" xfId="13" applyNumberFormat="1" applyFont="1" applyFill="1" applyBorder="1"/>
    <xf numFmtId="184" fontId="67" fillId="4" borderId="4" xfId="13" applyNumberFormat="1" applyFont="1" applyFill="1" applyBorder="1"/>
    <xf numFmtId="184" fontId="73" fillId="2" borderId="4" xfId="13" applyNumberFormat="1" applyFont="1" applyFill="1" applyBorder="1"/>
    <xf numFmtId="2" fontId="68" fillId="0" borderId="0" xfId="13" applyNumberFormat="1" applyFont="1"/>
    <xf numFmtId="0" fontId="68" fillId="0" borderId="0" xfId="13" applyFont="1"/>
    <xf numFmtId="184" fontId="72" fillId="2" borderId="4" xfId="13" applyNumberFormat="1" applyFont="1" applyFill="1" applyBorder="1" applyAlignment="1">
      <alignment horizontal="left"/>
    </xf>
    <xf numFmtId="184" fontId="72" fillId="4" borderId="4" xfId="13" applyNumberFormat="1" applyFont="1" applyFill="1" applyBorder="1" applyAlignment="1">
      <alignment horizontal="left"/>
    </xf>
    <xf numFmtId="184" fontId="70" fillId="2" borderId="4" xfId="13" applyNumberFormat="1" applyFont="1" applyFill="1" applyBorder="1" applyAlignment="1">
      <alignment horizontal="left"/>
    </xf>
    <xf numFmtId="184" fontId="68" fillId="2" borderId="4" xfId="13" applyNumberFormat="1" applyFont="1" applyFill="1" applyBorder="1" applyAlignment="1">
      <alignment horizontal="right"/>
    </xf>
    <xf numFmtId="184" fontId="68" fillId="4" borderId="4" xfId="13" applyNumberFormat="1" applyFont="1" applyFill="1" applyBorder="1" applyAlignment="1">
      <alignment horizontal="right"/>
    </xf>
    <xf numFmtId="184" fontId="74" fillId="2" borderId="4" xfId="13" applyNumberFormat="1" applyFont="1" applyFill="1" applyBorder="1" applyAlignment="1">
      <alignment horizontal="right"/>
    </xf>
    <xf numFmtId="0" fontId="68" fillId="4" borderId="4" xfId="13" applyFont="1" applyFill="1" applyBorder="1"/>
    <xf numFmtId="184" fontId="67" fillId="2" borderId="4" xfId="13" applyNumberFormat="1" applyFont="1" applyFill="1" applyBorder="1" applyAlignment="1"/>
    <xf numFmtId="184" fontId="67" fillId="4" borderId="4" xfId="13" applyNumberFormat="1" applyFont="1" applyFill="1" applyBorder="1" applyAlignment="1"/>
    <xf numFmtId="184" fontId="73" fillId="2" borderId="4" xfId="13" applyNumberFormat="1" applyFont="1" applyFill="1" applyBorder="1" applyAlignment="1"/>
    <xf numFmtId="184" fontId="67" fillId="2" borderId="4" xfId="13" applyNumberFormat="1" applyFont="1" applyFill="1" applyBorder="1" applyAlignment="1">
      <alignment horizontal="center"/>
    </xf>
    <xf numFmtId="184" fontId="67" fillId="4" borderId="4" xfId="13" applyNumberFormat="1" applyFont="1" applyFill="1" applyBorder="1" applyAlignment="1">
      <alignment horizontal="center"/>
    </xf>
    <xf numFmtId="184" fontId="73" fillId="2" borderId="4" xfId="13" applyNumberFormat="1" applyFont="1" applyFill="1" applyBorder="1" applyAlignment="1">
      <alignment horizontal="center"/>
    </xf>
    <xf numFmtId="183" fontId="68" fillId="0" borderId="0" xfId="13" applyNumberFormat="1" applyFont="1"/>
    <xf numFmtId="0" fontId="72" fillId="4" borderId="7" xfId="13" applyFont="1" applyFill="1" applyBorder="1"/>
    <xf numFmtId="0" fontId="68" fillId="4" borderId="7" xfId="13" applyFont="1" applyFill="1" applyBorder="1"/>
    <xf numFmtId="184" fontId="72" fillId="2" borderId="7" xfId="13" applyNumberFormat="1" applyFont="1" applyFill="1" applyBorder="1" applyAlignment="1">
      <alignment horizontal="left"/>
    </xf>
    <xf numFmtId="184" fontId="72" fillId="4" borderId="7" xfId="13" applyNumberFormat="1" applyFont="1" applyFill="1" applyBorder="1" applyAlignment="1">
      <alignment horizontal="left"/>
    </xf>
    <xf numFmtId="184" fontId="70" fillId="2" borderId="7" xfId="13" applyNumberFormat="1" applyFont="1" applyFill="1" applyBorder="1" applyAlignment="1">
      <alignment horizontal="left"/>
    </xf>
    <xf numFmtId="0" fontId="78" fillId="0" borderId="0" xfId="13" applyFont="1" applyBorder="1"/>
    <xf numFmtId="0" fontId="67" fillId="0" borderId="0" xfId="13" applyFont="1" applyBorder="1"/>
    <xf numFmtId="0" fontId="78" fillId="0" borderId="0" xfId="13" applyFont="1"/>
    <xf numFmtId="0" fontId="37" fillId="0" borderId="0" xfId="13" applyFont="1" applyBorder="1"/>
    <xf numFmtId="10" fontId="67" fillId="0" borderId="0" xfId="13" applyNumberFormat="1"/>
    <xf numFmtId="0" fontId="87" fillId="0" borderId="0" xfId="13" applyFont="1" applyBorder="1"/>
    <xf numFmtId="0" fontId="87" fillId="0" borderId="0" xfId="13" applyFont="1"/>
    <xf numFmtId="49" fontId="37" fillId="0" borderId="0" xfId="13" applyNumberFormat="1" applyFont="1" applyBorder="1"/>
    <xf numFmtId="0" fontId="37" fillId="0" borderId="0" xfId="13" applyNumberFormat="1" applyFont="1" applyBorder="1"/>
    <xf numFmtId="0" fontId="37" fillId="0" borderId="0" xfId="13" applyFont="1"/>
    <xf numFmtId="0" fontId="37" fillId="0" borderId="0" xfId="13" applyFont="1" applyFill="1" applyBorder="1"/>
    <xf numFmtId="0" fontId="67" fillId="0" borderId="0" xfId="13" applyBorder="1"/>
    <xf numFmtId="0" fontId="88" fillId="0" borderId="0" xfId="13" applyFont="1" applyBorder="1"/>
    <xf numFmtId="0" fontId="80" fillId="0" borderId="0" xfId="13" applyFont="1" applyBorder="1"/>
    <xf numFmtId="0" fontId="89" fillId="0" borderId="0" xfId="13" applyFont="1" applyBorder="1"/>
    <xf numFmtId="0" fontId="90" fillId="0" borderId="0" xfId="13" applyFont="1" applyBorder="1"/>
    <xf numFmtId="0" fontId="91" fillId="0" borderId="0" xfId="13" applyFont="1" applyBorder="1"/>
    <xf numFmtId="0" fontId="69" fillId="0" borderId="0" xfId="12" applyFont="1"/>
    <xf numFmtId="0" fontId="67" fillId="0" borderId="0" xfId="12"/>
    <xf numFmtId="0" fontId="67" fillId="0" borderId="0" xfId="12" applyFill="1"/>
    <xf numFmtId="0" fontId="72" fillId="0" borderId="0" xfId="12" applyFont="1"/>
    <xf numFmtId="0" fontId="67" fillId="0" borderId="14" xfId="12" applyBorder="1"/>
    <xf numFmtId="0" fontId="67" fillId="4" borderId="0" xfId="12" applyFill="1" applyAlignment="1">
      <alignment horizontal="right"/>
    </xf>
    <xf numFmtId="0" fontId="67" fillId="2" borderId="0" xfId="12" applyFill="1" applyAlignment="1">
      <alignment horizontal="right"/>
    </xf>
    <xf numFmtId="0" fontId="67" fillId="0" borderId="0" xfId="12" applyFill="1" applyAlignment="1">
      <alignment horizontal="right"/>
    </xf>
    <xf numFmtId="184" fontId="33" fillId="2" borderId="0" xfId="12" applyNumberFormat="1" applyFont="1" applyFill="1" applyBorder="1" applyAlignment="1">
      <alignment horizontal="center"/>
    </xf>
    <xf numFmtId="184" fontId="33" fillId="4" borderId="0" xfId="12" applyNumberFormat="1" applyFont="1" applyFill="1" applyBorder="1" applyAlignment="1">
      <alignment horizontal="center"/>
    </xf>
    <xf numFmtId="184" fontId="33" fillId="0" borderId="0" xfId="12" applyNumberFormat="1" applyFont="1" applyFill="1" applyBorder="1" applyAlignment="1">
      <alignment horizontal="center"/>
    </xf>
    <xf numFmtId="0" fontId="67" fillId="0" borderId="0" xfId="12" applyAlignment="1">
      <alignment horizontal="right"/>
    </xf>
    <xf numFmtId="2" fontId="67" fillId="0" borderId="0" xfId="12" applyNumberFormat="1"/>
    <xf numFmtId="183" fontId="67" fillId="0" borderId="0" xfId="12" applyNumberFormat="1" applyAlignment="1">
      <alignment horizontal="right"/>
    </xf>
    <xf numFmtId="2" fontId="67" fillId="0" borderId="0" xfId="12" applyNumberFormat="1" applyAlignment="1">
      <alignment horizontal="right"/>
    </xf>
    <xf numFmtId="0" fontId="70" fillId="4" borderId="0" xfId="12" applyFont="1" applyFill="1" applyBorder="1" applyAlignment="1">
      <alignment horizontal="left"/>
    </xf>
    <xf numFmtId="0" fontId="67" fillId="4" borderId="0" xfId="12" applyFill="1" applyBorder="1" applyAlignment="1">
      <alignment horizontal="right"/>
    </xf>
    <xf numFmtId="0" fontId="72" fillId="2" borderId="0" xfId="12" applyFont="1" applyFill="1" applyAlignment="1">
      <alignment horizontal="center"/>
    </xf>
    <xf numFmtId="0" fontId="72" fillId="4" borderId="0" xfId="12" applyFont="1" applyFill="1" applyAlignment="1">
      <alignment horizontal="center"/>
    </xf>
    <xf numFmtId="0" fontId="70" fillId="2" borderId="0" xfId="12" applyFont="1" applyFill="1" applyAlignment="1">
      <alignment horizontal="center"/>
    </xf>
    <xf numFmtId="0" fontId="72" fillId="0" borderId="0" xfId="12" applyFont="1" applyFill="1" applyAlignment="1">
      <alignment horizontal="center"/>
    </xf>
    <xf numFmtId="0" fontId="70" fillId="4" borderId="0" xfId="12" applyFont="1" applyFill="1" applyAlignment="1">
      <alignment horizontal="center"/>
    </xf>
    <xf numFmtId="183" fontId="67" fillId="0" borderId="0" xfId="12" applyNumberFormat="1"/>
    <xf numFmtId="0" fontId="67" fillId="4" borderId="0" xfId="12" applyFill="1" applyBorder="1"/>
    <xf numFmtId="0" fontId="67" fillId="2" borderId="0" xfId="12" applyFill="1" applyAlignment="1">
      <alignment horizontal="center"/>
    </xf>
    <xf numFmtId="0" fontId="67" fillId="4" borderId="0" xfId="12" applyFill="1" applyAlignment="1">
      <alignment horizontal="center"/>
    </xf>
    <xf numFmtId="0" fontId="67" fillId="0" borderId="0" xfId="12" applyFill="1" applyAlignment="1">
      <alignment horizontal="center"/>
    </xf>
    <xf numFmtId="0" fontId="72" fillId="4" borderId="0" xfId="12" applyFont="1" applyFill="1" applyBorder="1"/>
    <xf numFmtId="0" fontId="67" fillId="2" borderId="0" xfId="12" applyFill="1" applyBorder="1" applyAlignment="1">
      <alignment horizontal="center"/>
    </xf>
    <xf numFmtId="0" fontId="67" fillId="4" borderId="0" xfId="12" applyFill="1" applyBorder="1" applyAlignment="1">
      <alignment horizontal="center"/>
    </xf>
    <xf numFmtId="0" fontId="67" fillId="0" borderId="0" xfId="12" applyFill="1" applyBorder="1" applyAlignment="1">
      <alignment horizontal="center"/>
    </xf>
    <xf numFmtId="184" fontId="33" fillId="2" borderId="0" xfId="12" applyNumberFormat="1" applyFont="1" applyFill="1" applyBorder="1" applyAlignment="1">
      <alignment horizontal="center" vertical="top"/>
    </xf>
    <xf numFmtId="184" fontId="33" fillId="4" borderId="0" xfId="12" applyNumberFormat="1" applyFont="1" applyFill="1" applyBorder="1" applyAlignment="1">
      <alignment horizontal="center" vertical="top"/>
    </xf>
    <xf numFmtId="184" fontId="33" fillId="0" borderId="0" xfId="12" applyNumberFormat="1" applyFont="1" applyFill="1" applyBorder="1" applyAlignment="1">
      <alignment horizontal="center" vertical="top"/>
    </xf>
    <xf numFmtId="183" fontId="72" fillId="0" borderId="0" xfId="12" applyNumberFormat="1" applyFont="1"/>
    <xf numFmtId="0" fontId="72" fillId="4" borderId="2" xfId="12" applyFont="1" applyFill="1" applyBorder="1"/>
    <xf numFmtId="0" fontId="67" fillId="4" borderId="2" xfId="12" applyFill="1" applyBorder="1"/>
    <xf numFmtId="0" fontId="67" fillId="2" borderId="2" xfId="12" applyFill="1" applyBorder="1"/>
    <xf numFmtId="0" fontId="67" fillId="0" borderId="2" xfId="12" applyFill="1" applyBorder="1"/>
    <xf numFmtId="0" fontId="33" fillId="4" borderId="2" xfId="12" applyFont="1" applyFill="1" applyBorder="1" applyAlignment="1">
      <alignment horizontal="center"/>
    </xf>
    <xf numFmtId="0" fontId="33" fillId="0" borderId="2" xfId="12" applyFont="1" applyFill="1" applyBorder="1" applyAlignment="1">
      <alignment horizontal="center"/>
    </xf>
    <xf numFmtId="0" fontId="72" fillId="4" borderId="3" xfId="12" applyFont="1" applyFill="1" applyBorder="1"/>
    <xf numFmtId="0" fontId="67" fillId="4" borderId="3" xfId="12" applyFill="1" applyBorder="1"/>
    <xf numFmtId="183" fontId="72" fillId="2" borderId="3" xfId="12" applyNumberFormat="1" applyFont="1" applyFill="1" applyBorder="1" applyAlignment="1">
      <alignment horizontal="left"/>
    </xf>
    <xf numFmtId="183" fontId="72" fillId="4" borderId="3" xfId="12" applyNumberFormat="1" applyFont="1" applyFill="1" applyBorder="1" applyAlignment="1">
      <alignment horizontal="left"/>
    </xf>
    <xf numFmtId="3" fontId="70" fillId="2" borderId="3" xfId="12" applyNumberFormat="1" applyFont="1" applyFill="1" applyBorder="1" applyAlignment="1">
      <alignment horizontal="left"/>
    </xf>
    <xf numFmtId="183" fontId="72" fillId="0" borderId="3" xfId="12" applyNumberFormat="1" applyFont="1" applyFill="1" applyBorder="1" applyAlignment="1">
      <alignment horizontal="left"/>
    </xf>
    <xf numFmtId="184" fontId="72" fillId="2" borderId="3" xfId="12" applyNumberFormat="1" applyFont="1" applyFill="1" applyBorder="1" applyAlignment="1">
      <alignment horizontal="left"/>
    </xf>
    <xf numFmtId="184" fontId="72" fillId="4" borderId="3" xfId="12" applyNumberFormat="1" applyFont="1" applyFill="1" applyBorder="1" applyAlignment="1">
      <alignment horizontal="left"/>
    </xf>
    <xf numFmtId="184" fontId="72" fillId="0" borderId="3" xfId="12" applyNumberFormat="1" applyFont="1" applyFill="1" applyBorder="1" applyAlignment="1">
      <alignment horizontal="left"/>
    </xf>
    <xf numFmtId="3" fontId="70" fillId="4" borderId="3" xfId="12" applyNumberFormat="1" applyFont="1" applyFill="1" applyBorder="1" applyAlignment="1">
      <alignment horizontal="left"/>
    </xf>
    <xf numFmtId="0" fontId="72" fillId="4" borderId="4" xfId="12" applyFont="1" applyFill="1" applyBorder="1"/>
    <xf numFmtId="0" fontId="67" fillId="4" borderId="4" xfId="12" applyFont="1" applyFill="1" applyBorder="1"/>
    <xf numFmtId="183" fontId="68" fillId="2" borderId="4" xfId="12" applyNumberFormat="1" applyFont="1" applyFill="1" applyBorder="1"/>
    <xf numFmtId="183" fontId="68" fillId="4" borderId="4" xfId="12" applyNumberFormat="1" applyFont="1" applyFill="1" applyBorder="1"/>
    <xf numFmtId="3" fontId="74" fillId="2" borderId="4" xfId="12" applyNumberFormat="1" applyFont="1" applyFill="1" applyBorder="1"/>
    <xf numFmtId="183" fontId="68" fillId="0" borderId="4" xfId="12" applyNumberFormat="1" applyFont="1" applyFill="1" applyBorder="1"/>
    <xf numFmtId="184" fontId="68" fillId="2" borderId="4" xfId="12" applyNumberFormat="1" applyFont="1" applyFill="1" applyBorder="1" applyAlignment="1">
      <alignment horizontal="right"/>
    </xf>
    <xf numFmtId="184" fontId="68" fillId="4" borderId="4" xfId="12" applyNumberFormat="1" applyFont="1" applyFill="1" applyBorder="1" applyAlignment="1">
      <alignment horizontal="right"/>
    </xf>
    <xf numFmtId="184" fontId="68" fillId="0" borderId="4" xfId="12" applyNumberFormat="1" applyFont="1" applyFill="1" applyBorder="1" applyAlignment="1">
      <alignment horizontal="right"/>
    </xf>
    <xf numFmtId="3" fontId="74" fillId="4" borderId="4" xfId="12" applyNumberFormat="1" applyFont="1" applyFill="1" applyBorder="1"/>
    <xf numFmtId="0" fontId="67" fillId="4" borderId="4" xfId="12" applyFill="1" applyBorder="1"/>
    <xf numFmtId="184" fontId="68" fillId="2" borderId="4" xfId="12" applyNumberFormat="1" applyFont="1" applyFill="1" applyBorder="1"/>
    <xf numFmtId="184" fontId="68" fillId="4" borderId="4" xfId="12" applyNumberFormat="1" applyFont="1" applyFill="1" applyBorder="1"/>
    <xf numFmtId="184" fontId="68" fillId="0" borderId="4" xfId="12" applyNumberFormat="1" applyFont="1" applyFill="1" applyBorder="1"/>
    <xf numFmtId="0" fontId="85" fillId="4" borderId="4" xfId="12" applyFont="1" applyFill="1" applyBorder="1"/>
    <xf numFmtId="183" fontId="67" fillId="2" borderId="4" xfId="12" applyNumberFormat="1" applyFont="1" applyFill="1" applyBorder="1"/>
    <xf numFmtId="183" fontId="67" fillId="4" borderId="4" xfId="12" applyNumberFormat="1" applyFont="1" applyFill="1" applyBorder="1"/>
    <xf numFmtId="3" fontId="73" fillId="2" borderId="4" xfId="12" applyNumberFormat="1" applyFont="1" applyFill="1" applyBorder="1"/>
    <xf numFmtId="183" fontId="67" fillId="0" borderId="4" xfId="12" applyNumberFormat="1" applyFont="1" applyFill="1" applyBorder="1"/>
    <xf numFmtId="184" fontId="67" fillId="2" borderId="4" xfId="12" applyNumberFormat="1" applyFont="1" applyFill="1" applyBorder="1"/>
    <xf numFmtId="184" fontId="67" fillId="4" borderId="4" xfId="12" applyNumberFormat="1" applyFont="1" applyFill="1" applyBorder="1"/>
    <xf numFmtId="184" fontId="67" fillId="0" borderId="4" xfId="12" applyNumberFormat="1" applyFont="1" applyFill="1" applyBorder="1"/>
    <xf numFmtId="3" fontId="73" fillId="4" borderId="4" xfId="12" applyNumberFormat="1" applyFont="1" applyFill="1" applyBorder="1"/>
    <xf numFmtId="2" fontId="68" fillId="0" borderId="0" xfId="12" applyNumberFormat="1" applyFont="1"/>
    <xf numFmtId="0" fontId="68" fillId="0" borderId="0" xfId="12" applyFont="1"/>
    <xf numFmtId="183" fontId="72" fillId="2" borderId="4" xfId="12" applyNumberFormat="1" applyFont="1" applyFill="1" applyBorder="1" applyAlignment="1">
      <alignment horizontal="left"/>
    </xf>
    <xf numFmtId="183" fontId="72" fillId="4" borderId="4" xfId="12" applyNumberFormat="1" applyFont="1" applyFill="1" applyBorder="1" applyAlignment="1">
      <alignment horizontal="left"/>
    </xf>
    <xf numFmtId="3" fontId="70" fillId="2" borderId="4" xfId="12" applyNumberFormat="1" applyFont="1" applyFill="1" applyBorder="1" applyAlignment="1">
      <alignment horizontal="left"/>
    </xf>
    <xf numFmtId="183" fontId="72" fillId="0" borderId="4" xfId="12" applyNumberFormat="1" applyFont="1" applyFill="1" applyBorder="1" applyAlignment="1">
      <alignment horizontal="left"/>
    </xf>
    <xf numFmtId="184" fontId="72" fillId="2" borderId="4" xfId="12" applyNumberFormat="1" applyFont="1" applyFill="1" applyBorder="1" applyAlignment="1">
      <alignment horizontal="left"/>
    </xf>
    <xf numFmtId="184" fontId="72" fillId="4" borderId="4" xfId="12" applyNumberFormat="1" applyFont="1" applyFill="1" applyBorder="1" applyAlignment="1">
      <alignment horizontal="left"/>
    </xf>
    <xf numFmtId="184" fontId="72" fillId="0" borderId="4" xfId="12" applyNumberFormat="1" applyFont="1" applyFill="1" applyBorder="1" applyAlignment="1">
      <alignment horizontal="left"/>
    </xf>
    <xf numFmtId="3" fontId="70" fillId="4" borderId="4" xfId="12" applyNumberFormat="1" applyFont="1" applyFill="1" applyBorder="1" applyAlignment="1">
      <alignment horizontal="left"/>
    </xf>
    <xf numFmtId="183" fontId="68" fillId="2" borderId="4" xfId="12" applyNumberFormat="1" applyFont="1" applyFill="1" applyBorder="1" applyAlignment="1">
      <alignment horizontal="right"/>
    </xf>
    <xf numFmtId="183" fontId="68" fillId="4" borderId="4" xfId="12" applyNumberFormat="1" applyFont="1" applyFill="1" applyBorder="1" applyAlignment="1">
      <alignment horizontal="right"/>
    </xf>
    <xf numFmtId="3" fontId="74" fillId="2" borderId="4" xfId="12" applyNumberFormat="1" applyFont="1" applyFill="1" applyBorder="1" applyAlignment="1">
      <alignment horizontal="right"/>
    </xf>
    <xf numFmtId="183" fontId="68" fillId="0" borderId="4" xfId="12" applyNumberFormat="1" applyFont="1" applyFill="1" applyBorder="1" applyAlignment="1">
      <alignment horizontal="right"/>
    </xf>
    <xf numFmtId="3" fontId="74" fillId="4" borderId="4" xfId="12" applyNumberFormat="1" applyFont="1" applyFill="1" applyBorder="1" applyAlignment="1">
      <alignment horizontal="right"/>
    </xf>
    <xf numFmtId="0" fontId="68" fillId="4" borderId="4" xfId="12" applyFont="1" applyFill="1" applyBorder="1"/>
    <xf numFmtId="183" fontId="67" fillId="2" borderId="4" xfId="12" applyNumberFormat="1" applyFont="1" applyFill="1" applyBorder="1" applyAlignment="1"/>
    <xf numFmtId="183" fontId="67" fillId="4" borderId="4" xfId="12" applyNumberFormat="1" applyFont="1" applyFill="1" applyBorder="1" applyAlignment="1"/>
    <xf numFmtId="183" fontId="67" fillId="0" borderId="4" xfId="12" applyNumberFormat="1" applyFont="1" applyFill="1" applyBorder="1" applyAlignment="1"/>
    <xf numFmtId="184" fontId="67" fillId="2" borderId="4" xfId="12" applyNumberFormat="1" applyFont="1" applyFill="1" applyBorder="1" applyAlignment="1"/>
    <xf numFmtId="184" fontId="67" fillId="4" borderId="4" xfId="12" applyNumberFormat="1" applyFont="1" applyFill="1" applyBorder="1" applyAlignment="1"/>
    <xf numFmtId="184" fontId="67" fillId="0" borderId="4" xfId="12" applyNumberFormat="1" applyFont="1" applyFill="1" applyBorder="1" applyAlignment="1"/>
    <xf numFmtId="3" fontId="73" fillId="2" borderId="4" xfId="12" applyNumberFormat="1" applyFont="1" applyFill="1" applyBorder="1" applyAlignment="1"/>
    <xf numFmtId="183" fontId="67" fillId="2" borderId="4" xfId="12" applyNumberFormat="1" applyFont="1" applyFill="1" applyBorder="1" applyAlignment="1">
      <alignment horizontal="center"/>
    </xf>
    <xf numFmtId="183" fontId="67" fillId="4" borderId="4" xfId="12" applyNumberFormat="1" applyFont="1" applyFill="1" applyBorder="1" applyAlignment="1">
      <alignment horizontal="center"/>
    </xf>
    <xf numFmtId="3" fontId="73" fillId="2" borderId="4" xfId="12" applyNumberFormat="1" applyFont="1" applyFill="1" applyBorder="1" applyAlignment="1">
      <alignment horizontal="center"/>
    </xf>
    <xf numFmtId="183" fontId="67" fillId="0" borderId="4" xfId="12" applyNumberFormat="1" applyFont="1" applyFill="1" applyBorder="1" applyAlignment="1">
      <alignment horizontal="center"/>
    </xf>
    <xf numFmtId="184" fontId="67" fillId="2" borderId="4" xfId="12" applyNumberFormat="1" applyFont="1" applyFill="1" applyBorder="1" applyAlignment="1">
      <alignment horizontal="center"/>
    </xf>
    <xf numFmtId="184" fontId="67" fillId="4" borderId="4" xfId="12" applyNumberFormat="1" applyFont="1" applyFill="1" applyBorder="1" applyAlignment="1">
      <alignment horizontal="center"/>
    </xf>
    <xf numFmtId="184" fontId="67" fillId="0" borderId="4" xfId="12" applyNumberFormat="1" applyFont="1" applyFill="1" applyBorder="1" applyAlignment="1">
      <alignment horizontal="center"/>
    </xf>
    <xf numFmtId="3" fontId="73" fillId="4" borderId="4" xfId="12" applyNumberFormat="1" applyFont="1" applyFill="1" applyBorder="1" applyAlignment="1">
      <alignment horizontal="center"/>
    </xf>
    <xf numFmtId="0" fontId="67" fillId="4" borderId="17" xfId="12" applyFill="1" applyBorder="1"/>
    <xf numFmtId="0" fontId="68" fillId="4" borderId="17" xfId="12" applyFont="1" applyFill="1" applyBorder="1"/>
    <xf numFmtId="183" fontId="68" fillId="2" borderId="17" xfId="12" applyNumberFormat="1" applyFont="1" applyFill="1" applyBorder="1" applyAlignment="1">
      <alignment horizontal="right"/>
    </xf>
    <xf numFmtId="183" fontId="68" fillId="4" borderId="17" xfId="12" applyNumberFormat="1" applyFont="1" applyFill="1" applyBorder="1" applyAlignment="1">
      <alignment horizontal="right"/>
    </xf>
    <xf numFmtId="3" fontId="74" fillId="2" borderId="17" xfId="12" applyNumberFormat="1" applyFont="1" applyFill="1" applyBorder="1" applyAlignment="1">
      <alignment horizontal="right"/>
    </xf>
    <xf numFmtId="183" fontId="68" fillId="0" borderId="17" xfId="12" applyNumberFormat="1" applyFont="1" applyFill="1" applyBorder="1" applyAlignment="1">
      <alignment horizontal="right"/>
    </xf>
    <xf numFmtId="184" fontId="68" fillId="2" borderId="17" xfId="12" applyNumberFormat="1" applyFont="1" applyFill="1" applyBorder="1" applyAlignment="1">
      <alignment horizontal="right"/>
    </xf>
    <xf numFmtId="184" fontId="68" fillId="4" borderId="17" xfId="12" applyNumberFormat="1" applyFont="1" applyFill="1" applyBorder="1" applyAlignment="1">
      <alignment horizontal="right"/>
    </xf>
    <xf numFmtId="184" fontId="68" fillId="0" borderId="17" xfId="12" applyNumberFormat="1" applyFont="1" applyFill="1" applyBorder="1" applyAlignment="1">
      <alignment horizontal="right"/>
    </xf>
    <xf numFmtId="3" fontId="74" fillId="4" borderId="17" xfId="12" applyNumberFormat="1" applyFont="1" applyFill="1" applyBorder="1" applyAlignment="1">
      <alignment horizontal="right"/>
    </xf>
    <xf numFmtId="183" fontId="68" fillId="0" borderId="0" xfId="12" applyNumberFormat="1" applyFont="1"/>
    <xf numFmtId="0" fontId="67" fillId="4" borderId="6" xfId="12" applyFill="1" applyBorder="1"/>
    <xf numFmtId="183" fontId="67" fillId="2" borderId="6" xfId="12" applyNumberFormat="1" applyFont="1" applyFill="1" applyBorder="1"/>
    <xf numFmtId="183" fontId="67" fillId="4" borderId="6" xfId="12" applyNumberFormat="1" applyFont="1" applyFill="1" applyBorder="1"/>
    <xf numFmtId="183" fontId="67" fillId="0" borderId="6" xfId="12" applyNumberFormat="1" applyFont="1" applyFill="1" applyBorder="1"/>
    <xf numFmtId="184" fontId="67" fillId="2" borderId="6" xfId="12" applyNumberFormat="1" applyFont="1" applyFill="1" applyBorder="1"/>
    <xf numFmtId="184" fontId="67" fillId="4" borderId="6" xfId="12" applyNumberFormat="1" applyFont="1" applyFill="1" applyBorder="1"/>
    <xf numFmtId="184" fontId="67" fillId="0" borderId="6" xfId="12" applyNumberFormat="1" applyFont="1" applyFill="1" applyBorder="1"/>
    <xf numFmtId="3" fontId="73" fillId="2" borderId="6" xfId="12" applyNumberFormat="1" applyFont="1" applyFill="1" applyBorder="1"/>
    <xf numFmtId="3" fontId="73" fillId="4" borderId="6" xfId="12" applyNumberFormat="1" applyFont="1" applyFill="1" applyBorder="1"/>
    <xf numFmtId="183" fontId="72" fillId="2" borderId="4" xfId="12" applyNumberFormat="1" applyFont="1" applyFill="1" applyBorder="1"/>
    <xf numFmtId="183" fontId="72" fillId="4" borderId="4" xfId="12" applyNumberFormat="1" applyFont="1" applyFill="1" applyBorder="1"/>
    <xf numFmtId="3" fontId="70" fillId="2" borderId="4" xfId="12" applyNumberFormat="1" applyFont="1" applyFill="1" applyBorder="1"/>
    <xf numFmtId="0" fontId="72" fillId="4" borderId="7" xfId="12" applyFont="1" applyFill="1" applyBorder="1"/>
    <xf numFmtId="0" fontId="68" fillId="4" borderId="7" xfId="12" applyFont="1" applyFill="1" applyBorder="1"/>
    <xf numFmtId="183" fontId="72" fillId="2" borderId="7" xfId="12" applyNumberFormat="1" applyFont="1" applyFill="1" applyBorder="1" applyAlignment="1">
      <alignment horizontal="left"/>
    </xf>
    <xf numFmtId="183" fontId="72" fillId="4" borderId="7" xfId="12" applyNumberFormat="1" applyFont="1" applyFill="1" applyBorder="1" applyAlignment="1">
      <alignment horizontal="left"/>
    </xf>
    <xf numFmtId="3" fontId="70" fillId="2" borderId="7" xfId="12" applyNumberFormat="1" applyFont="1" applyFill="1" applyBorder="1" applyAlignment="1">
      <alignment horizontal="left"/>
    </xf>
    <xf numFmtId="183" fontId="72" fillId="0" borderId="7" xfId="12" applyNumberFormat="1" applyFont="1" applyFill="1" applyBorder="1" applyAlignment="1">
      <alignment horizontal="left"/>
    </xf>
    <xf numFmtId="184" fontId="72" fillId="2" borderId="7" xfId="12" applyNumberFormat="1" applyFont="1" applyFill="1" applyBorder="1" applyAlignment="1">
      <alignment horizontal="left"/>
    </xf>
    <xf numFmtId="184" fontId="72" fillId="4" borderId="7" xfId="12" applyNumberFormat="1" applyFont="1" applyFill="1" applyBorder="1" applyAlignment="1">
      <alignment horizontal="left"/>
    </xf>
    <xf numFmtId="184" fontId="72" fillId="0" borderId="7" xfId="12" applyNumberFormat="1" applyFont="1" applyFill="1" applyBorder="1" applyAlignment="1">
      <alignment horizontal="left"/>
    </xf>
    <xf numFmtId="3" fontId="70" fillId="4" borderId="7" xfId="12" applyNumberFormat="1" applyFont="1" applyFill="1" applyBorder="1" applyAlignment="1">
      <alignment horizontal="left"/>
    </xf>
    <xf numFmtId="0" fontId="78" fillId="0" borderId="0" xfId="12" applyFont="1" applyBorder="1"/>
    <xf numFmtId="0" fontId="67" fillId="0" borderId="0" xfId="12" applyBorder="1"/>
    <xf numFmtId="0" fontId="37" fillId="0" borderId="0" xfId="12" applyFont="1"/>
    <xf numFmtId="0" fontId="37" fillId="0" borderId="0" xfId="12" applyFont="1" applyBorder="1"/>
    <xf numFmtId="10" fontId="67" fillId="0" borderId="0" xfId="12" applyNumberFormat="1"/>
    <xf numFmtId="0" fontId="93" fillId="0" borderId="0" xfId="12" applyFont="1"/>
    <xf numFmtId="49" fontId="37" fillId="0" borderId="0" xfId="12" applyNumberFormat="1" applyFont="1" applyBorder="1"/>
    <xf numFmtId="0" fontId="78" fillId="0" borderId="0" xfId="12" applyFont="1"/>
    <xf numFmtId="0" fontId="37" fillId="0" borderId="0" xfId="12" applyFont="1" applyFill="1" applyBorder="1"/>
    <xf numFmtId="1" fontId="37" fillId="0" borderId="0" xfId="12" applyNumberFormat="1" applyFont="1" applyFill="1" applyBorder="1" applyAlignment="1">
      <alignment horizontal="left"/>
    </xf>
    <xf numFmtId="0" fontId="4" fillId="0" borderId="0" xfId="0" applyFont="1" applyFill="1" applyBorder="1" applyAlignment="1">
      <alignment horizontal="right" vertical="top"/>
    </xf>
    <xf numFmtId="1" fontId="41" fillId="2" borderId="0" xfId="0" applyNumberFormat="1" applyFont="1" applyFill="1" applyBorder="1" applyAlignment="1">
      <alignment horizontal="left" vertical="center"/>
    </xf>
    <xf numFmtId="183" fontId="41" fillId="4" borderId="4" xfId="0" applyNumberFormat="1" applyFont="1" applyFill="1" applyBorder="1" applyAlignment="1">
      <alignment horizontal="right" vertical="center"/>
    </xf>
    <xf numFmtId="183" fontId="41" fillId="2" borderId="4" xfId="0" applyNumberFormat="1" applyFont="1" applyFill="1" applyBorder="1" applyAlignment="1">
      <alignment horizontal="right" vertical="center"/>
    </xf>
    <xf numFmtId="184" fontId="41" fillId="4" borderId="4" xfId="0" applyNumberFormat="1" applyFont="1" applyFill="1" applyBorder="1" applyAlignment="1">
      <alignment horizontal="right" vertical="center"/>
    </xf>
    <xf numFmtId="0" fontId="56" fillId="0" borderId="0" xfId="0" applyFont="1" applyAlignment="1">
      <alignment vertical="center"/>
    </xf>
    <xf numFmtId="0" fontId="4" fillId="2" borderId="6" xfId="0" applyNumberFormat="1" applyFont="1" applyFill="1" applyBorder="1" applyAlignment="1">
      <alignment horizontal="left"/>
    </xf>
    <xf numFmtId="0" fontId="4" fillId="2" borderId="4" xfId="0" applyNumberFormat="1" applyFont="1" applyFill="1" applyBorder="1" applyAlignment="1">
      <alignment horizontal="left"/>
    </xf>
    <xf numFmtId="0" fontId="4" fillId="2" borderId="3" xfId="0" applyNumberFormat="1" applyFont="1" applyFill="1" applyBorder="1" applyAlignment="1">
      <alignment horizontal="left"/>
    </xf>
    <xf numFmtId="183" fontId="41" fillId="4" borderId="0" xfId="0" applyNumberFormat="1" applyFont="1" applyFill="1" applyBorder="1" applyAlignment="1">
      <alignment horizontal="right" vertical="center"/>
    </xf>
    <xf numFmtId="183" fontId="41" fillId="2" borderId="0" xfId="0" applyNumberFormat="1" applyFont="1" applyFill="1" applyBorder="1" applyAlignment="1">
      <alignment horizontal="right" vertical="center"/>
    </xf>
    <xf numFmtId="0" fontId="3" fillId="0" borderId="0" xfId="11" applyFont="1"/>
    <xf numFmtId="0" fontId="21" fillId="0" borderId="0" xfId="11"/>
    <xf numFmtId="2" fontId="33" fillId="0" borderId="0" xfId="11" applyNumberFormat="1" applyFont="1"/>
    <xf numFmtId="0" fontId="33" fillId="0" borderId="0" xfId="11" applyFont="1" applyAlignment="1"/>
    <xf numFmtId="0" fontId="33" fillId="0" borderId="0" xfId="11" applyFont="1"/>
    <xf numFmtId="0" fontId="33" fillId="0" borderId="0" xfId="11" quotePrefix="1" applyFont="1" applyAlignment="1">
      <alignment horizontal="right"/>
    </xf>
    <xf numFmtId="2" fontId="33" fillId="0" borderId="0" xfId="11" quotePrefix="1" applyNumberFormat="1" applyFont="1"/>
    <xf numFmtId="0" fontId="22" fillId="0" borderId="0" xfId="11" applyFont="1"/>
    <xf numFmtId="2" fontId="33" fillId="7" borderId="0" xfId="0" applyNumberFormat="1" applyFont="1" applyFill="1" applyAlignment="1">
      <alignment horizontal="left"/>
    </xf>
    <xf numFmtId="3" fontId="96" fillId="2" borderId="0" xfId="0" applyNumberFormat="1" applyFont="1" applyFill="1" applyBorder="1" applyAlignment="1">
      <alignment vertical="center"/>
    </xf>
    <xf numFmtId="3" fontId="96" fillId="4" borderId="0" xfId="0" applyNumberFormat="1" applyFont="1" applyFill="1" applyBorder="1" applyAlignment="1">
      <alignment horizontal="center" vertical="center"/>
    </xf>
    <xf numFmtId="2" fontId="97" fillId="0" borderId="5" xfId="0" applyNumberFormat="1" applyFont="1" applyBorder="1"/>
    <xf numFmtId="2" fontId="58" fillId="7" borderId="0" xfId="0" applyNumberFormat="1" applyFont="1" applyFill="1" applyAlignment="1">
      <alignment horizontal="left"/>
    </xf>
    <xf numFmtId="184" fontId="98" fillId="2" borderId="6" xfId="0" applyNumberFormat="1" applyFont="1" applyFill="1" applyBorder="1" applyAlignment="1">
      <alignment horizontal="center"/>
    </xf>
    <xf numFmtId="184" fontId="99" fillId="2" borderId="7" xfId="0" applyNumberFormat="1" applyFont="1" applyFill="1" applyBorder="1" applyAlignment="1">
      <alignment horizontal="center" vertical="center"/>
    </xf>
    <xf numFmtId="184" fontId="98" fillId="2" borderId="4" xfId="0" applyNumberFormat="1" applyFont="1" applyFill="1" applyBorder="1" applyAlignment="1">
      <alignment horizontal="center"/>
    </xf>
    <xf numFmtId="0" fontId="3" fillId="0" borderId="2" xfId="0" applyFont="1" applyBorder="1" applyAlignment="1">
      <alignment vertical="top" wrapText="1"/>
    </xf>
    <xf numFmtId="0" fontId="0" fillId="0" borderId="2" xfId="0" applyBorder="1" applyAlignment="1">
      <alignment wrapText="1"/>
    </xf>
    <xf numFmtId="0" fontId="2" fillId="0" borderId="2" xfId="0" applyFont="1" applyBorder="1" applyAlignment="1">
      <alignment wrapText="1"/>
    </xf>
    <xf numFmtId="0" fontId="4" fillId="2" borderId="1" xfId="0" applyFont="1" applyFill="1" applyBorder="1" applyAlignment="1">
      <alignment horizontal="center"/>
    </xf>
    <xf numFmtId="0" fontId="0" fillId="0" borderId="1" xfId="0" applyBorder="1" applyAlignment="1">
      <alignment horizontal="center"/>
    </xf>
    <xf numFmtId="0" fontId="6" fillId="2" borderId="1" xfId="0" applyFont="1" applyFill="1" applyBorder="1" applyAlignment="1">
      <alignment horizontal="center"/>
    </xf>
    <xf numFmtId="0" fontId="14" fillId="0" borderId="1" xfId="0" applyFont="1" applyBorder="1" applyAlignment="1">
      <alignment horizontal="center"/>
    </xf>
    <xf numFmtId="0" fontId="28" fillId="0" borderId="0" xfId="0" applyFont="1" applyBorder="1" applyAlignment="1">
      <alignment vertical="top" wrapText="1"/>
    </xf>
    <xf numFmtId="0" fontId="0" fillId="0" borderId="0" xfId="0" applyAlignment="1">
      <alignment vertical="top" wrapText="1"/>
    </xf>
    <xf numFmtId="0" fontId="3" fillId="0" borderId="0" xfId="0" applyFont="1" applyAlignment="1">
      <alignment wrapText="1"/>
    </xf>
    <xf numFmtId="0" fontId="0" fillId="0" borderId="0" xfId="0" applyAlignment="1">
      <alignment wrapText="1"/>
    </xf>
    <xf numFmtId="0" fontId="3" fillId="0" borderId="0" xfId="0" applyFont="1" applyBorder="1" applyAlignment="1">
      <alignment vertical="top" wrapText="1"/>
    </xf>
    <xf numFmtId="0" fontId="28" fillId="0" borderId="0" xfId="0" applyFont="1" applyBorder="1" applyAlignment="1">
      <alignment wrapText="1"/>
    </xf>
    <xf numFmtId="3" fontId="3" fillId="0" borderId="2" xfId="0" applyNumberFormat="1" applyFont="1" applyBorder="1" applyAlignment="1">
      <alignment horizontal="left" vertical="top" wrapText="1"/>
    </xf>
    <xf numFmtId="0" fontId="0" fillId="0" borderId="2" xfId="0" applyBorder="1" applyAlignment="1">
      <alignment vertical="top" wrapText="1"/>
    </xf>
    <xf numFmtId="3" fontId="3" fillId="3" borderId="2" xfId="0" applyNumberFormat="1" applyFont="1" applyFill="1" applyBorder="1" applyAlignment="1">
      <alignment horizontal="left" vertical="top" wrapText="1"/>
    </xf>
    <xf numFmtId="0" fontId="4" fillId="4" borderId="1" xfId="0" applyFont="1" applyFill="1" applyBorder="1" applyAlignment="1">
      <alignment horizontal="center"/>
    </xf>
    <xf numFmtId="0" fontId="30" fillId="0" borderId="0" xfId="0" applyFont="1" applyAlignment="1">
      <alignment wrapText="1"/>
    </xf>
    <xf numFmtId="0" fontId="27" fillId="0" borderId="0" xfId="0" applyFont="1" applyAlignment="1">
      <alignment horizontal="left" vertical="top" wrapText="1"/>
    </xf>
    <xf numFmtId="0" fontId="3" fillId="3" borderId="2" xfId="0" applyFont="1" applyFill="1" applyBorder="1" applyAlignment="1">
      <alignment vertical="top" wrapText="1"/>
    </xf>
    <xf numFmtId="0" fontId="72" fillId="5" borderId="0" xfId="14" applyFont="1" applyFill="1" applyAlignment="1">
      <alignment horizontal="center" textRotation="180" wrapText="1"/>
    </xf>
    <xf numFmtId="0" fontId="67" fillId="5" borderId="0" xfId="14" applyFill="1" applyAlignment="1">
      <alignment horizontal="center"/>
    </xf>
    <xf numFmtId="0" fontId="72" fillId="7" borderId="0" xfId="14" applyFont="1" applyFill="1" applyAlignment="1">
      <alignment horizontal="center" textRotation="180" wrapText="1"/>
    </xf>
    <xf numFmtId="0" fontId="67" fillId="7" borderId="0" xfId="14" applyFill="1" applyAlignment="1">
      <alignment horizontal="center"/>
    </xf>
    <xf numFmtId="0" fontId="3" fillId="0" borderId="2" xfId="0" applyFont="1" applyFill="1" applyBorder="1" applyAlignment="1">
      <alignment vertical="top" wrapText="1"/>
    </xf>
  </cellXfs>
  <cellStyles count="16">
    <cellStyle name="Normal_KV_liste T1" xfId="1" xr:uid="{2D3876B5-26BB-4B46-879A-AD3F364FCE04}"/>
    <cellStyle name="Normal_KV_liste T2" xfId="2" xr:uid="{FE47D969-769C-564C-B9F8-29AB41434532}"/>
    <cellStyle name="Normal_KV_liste T3" xfId="3" xr:uid="{900BFA57-3853-A044-BCA9-EC53B54AF909}"/>
    <cellStyle name="Normal_KV_liste T4" xfId="4" xr:uid="{6EB41A73-6860-F648-ACAC-62AF21D2CD1E}"/>
    <cellStyle name="Normal_KV_liste T5" xfId="5" xr:uid="{DFDF2A07-2A15-BA4E-A67C-07F5C1394983}"/>
    <cellStyle name="Normal_KV_liste T6" xfId="6" xr:uid="{99CD5132-AAD9-7243-B1AF-9FD9903B69D3}"/>
    <cellStyle name="Normal_KV_liste T7" xfId="7" xr:uid="{71A96C7B-53A1-6B4E-8FD8-0C83E7579A39}"/>
    <cellStyle name="Normal_KV_liste T8" xfId="8" xr:uid="{EF54572B-8369-7246-9D64-F36774272C17}"/>
    <cellStyle name="Normal_KV_liste T9" xfId="9" xr:uid="{43487980-D44A-9A45-8815-80438A4CEC6A}"/>
    <cellStyle name="Normal_KV0_7 annexe F_fd" xfId="10" xr:uid="{DED16C4F-881C-8B4B-9DA3-9A9A7BDD6C11}"/>
    <cellStyle name="Normal_KV0_7 annexe H_index T_fd" xfId="11" xr:uid="{EE01576E-3CE9-474D-BB32-2B5F13E98519}"/>
    <cellStyle name="Normal_KV906" xfId="12" xr:uid="{E54B8E6B-7C7A-B249-84CE-FAD606871856}"/>
    <cellStyle name="Normal_KV907" xfId="13" xr:uid="{111FADBA-6BB8-384F-9B1E-139CFBBF5B60}"/>
    <cellStyle name="Normal_KV908" xfId="14" xr:uid="{9346D39B-E2D1-1F4D-9CCD-000E08FDA64C}"/>
    <cellStyle name="Prozent" xfId="15" builtinId="5"/>
    <cellStyle name="Standard"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000000"/>
                </a:solidFill>
                <a:latin typeface="Arial"/>
                <a:ea typeface="Arial"/>
                <a:cs typeface="Arial"/>
              </a:defRPr>
            </a:pPr>
            <a:r>
              <a:rPr lang="de-DE"/>
              <a:t> G 13 Evolution des primes et 
des prestations dans 
l'assurance-maladie (LAMal + LCA)
en milliards de frs</a:t>
            </a:r>
          </a:p>
        </c:rich>
      </c:tx>
      <c:layout>
        <c:manualLayout>
          <c:xMode val="edge"/>
          <c:yMode val="edge"/>
          <c:x val="0.21305013551223265"/>
          <c:y val="3.3223719797344231E-2"/>
        </c:manualLayout>
      </c:layout>
      <c:overlay val="0"/>
      <c:spPr>
        <a:noFill/>
        <a:ln w="25400">
          <a:noFill/>
        </a:ln>
      </c:spPr>
    </c:title>
    <c:autoTitleDeleted val="0"/>
    <c:plotArea>
      <c:layout>
        <c:manualLayout>
          <c:layoutTarget val="inner"/>
          <c:xMode val="edge"/>
          <c:yMode val="edge"/>
          <c:x val="0.13478682042610637"/>
          <c:y val="0.18273045888539327"/>
          <c:w val="0.76958926501357505"/>
          <c:h val="0.53490188873724209"/>
        </c:manualLayout>
      </c:layout>
      <c:lineChart>
        <c:grouping val="standard"/>
        <c:varyColors val="0"/>
        <c:ser>
          <c:idx val="0"/>
          <c:order val="0"/>
          <c:tx>
            <c:strRef>
              <c:f>'907d'!$K$4</c:f>
              <c:strCache>
                <c:ptCount val="1"/>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numRef>
              <c:f>'907d'!$L$2:$O$2</c:f>
              <c:numCache>
                <c:formatCode>General</c:formatCode>
                <c:ptCount val="4"/>
              </c:numCache>
            </c:numRef>
          </c:cat>
          <c:val>
            <c:numRef>
              <c:f>'907d'!$L$4:$O$4</c:f>
              <c:numCache>
                <c:formatCode>0.00</c:formatCode>
                <c:ptCount val="4"/>
              </c:numCache>
            </c:numRef>
          </c:val>
          <c:smooth val="0"/>
          <c:extLst>
            <c:ext xmlns:c16="http://schemas.microsoft.com/office/drawing/2014/chart" uri="{C3380CC4-5D6E-409C-BE32-E72D297353CC}">
              <c16:uniqueId val="{00000000-BCD4-F541-84CB-71C44D11B874}"/>
            </c:ext>
          </c:extLst>
        </c:ser>
        <c:ser>
          <c:idx val="3"/>
          <c:order val="1"/>
          <c:tx>
            <c:strRef>
              <c:f>'907d'!$K$7</c:f>
              <c:strCache>
                <c:ptCount val="1"/>
              </c:strCache>
            </c:strRef>
          </c:tx>
          <c:spPr>
            <a:ln w="12700">
              <a:solidFill>
                <a:srgbClr val="DD0806"/>
              </a:solidFill>
              <a:prstDash val="solid"/>
            </a:ln>
          </c:spPr>
          <c:marker>
            <c:symbol val="triangle"/>
            <c:size val="5"/>
            <c:spPr>
              <a:solidFill>
                <a:srgbClr val="DD0806"/>
              </a:solidFill>
              <a:ln>
                <a:solidFill>
                  <a:srgbClr val="DD0806"/>
                </a:solidFill>
                <a:prstDash val="solid"/>
              </a:ln>
            </c:spPr>
          </c:marker>
          <c:val>
            <c:numRef>
              <c:f>'907d'!$L$7:$O$7</c:f>
              <c:numCache>
                <c:formatCode>0.00</c:formatCode>
                <c:ptCount val="4"/>
              </c:numCache>
            </c:numRef>
          </c:val>
          <c:smooth val="0"/>
          <c:extLst>
            <c:ext xmlns:c16="http://schemas.microsoft.com/office/drawing/2014/chart" uri="{C3380CC4-5D6E-409C-BE32-E72D297353CC}">
              <c16:uniqueId val="{00000001-BCD4-F541-84CB-71C44D11B874}"/>
            </c:ext>
          </c:extLst>
        </c:ser>
        <c:dLbls>
          <c:showLegendKey val="0"/>
          <c:showVal val="0"/>
          <c:showCatName val="0"/>
          <c:showSerName val="0"/>
          <c:showPercent val="0"/>
          <c:showBubbleSize val="0"/>
        </c:dLbls>
        <c:marker val="1"/>
        <c:smooth val="0"/>
        <c:axId val="1624454368"/>
        <c:axId val="1"/>
      </c:lineChart>
      <c:catAx>
        <c:axId val="162445436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1"/>
        <c:crosses val="autoZero"/>
        <c:auto val="0"/>
        <c:lblAlgn val="ctr"/>
        <c:lblOffset val="100"/>
        <c:tickLblSkip val="1"/>
        <c:tickMarkSkip val="1"/>
        <c:noMultiLvlLbl val="0"/>
      </c:catAx>
      <c:valAx>
        <c:axId val="1"/>
        <c:scaling>
          <c:orientation val="minMax"/>
          <c:max val="18"/>
          <c:min val="15.5"/>
        </c:scaling>
        <c:delete val="0"/>
        <c:axPos val="l"/>
        <c:majorGridlines>
          <c:spPr>
            <a:ln w="3175">
              <a:solidFill>
                <a:srgbClr val="000000"/>
              </a:solidFill>
              <a:prstDash val="solid"/>
            </a:ln>
          </c:spPr>
        </c:majorGridlines>
        <c:numFmt formatCode="#,##0.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de-DE"/>
          </a:p>
        </c:txPr>
        <c:crossAx val="1624454368"/>
        <c:crosses val="autoZero"/>
        <c:crossBetween val="between"/>
        <c:majorUnit val="0.5"/>
      </c:valAx>
      <c:spPr>
        <a:solidFill>
          <a:srgbClr val="FFFFFF"/>
        </a:solidFill>
        <a:ln w="12700">
          <a:solidFill>
            <a:srgbClr val="808080"/>
          </a:solidFill>
          <a:prstDash val="solid"/>
        </a:ln>
      </c:spPr>
    </c:plotArea>
    <c:legend>
      <c:legendPos val="b"/>
      <c:layout>
        <c:manualLayout>
          <c:xMode val="edge"/>
          <c:yMode val="edge"/>
          <c:x val="0.38696861348140216"/>
          <c:y val="0.93026415432563847"/>
          <c:w val="0.24348586915683731"/>
          <c:h val="4.9835579696016347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4921259845" footer="0.492125984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de-DE"/>
              <a:t>Anzahl Ärzte mit Praxistätigkeit und Apotheken 1985 – 2000 (Daten 1999)</a:t>
            </a:r>
          </a:p>
        </c:rich>
      </c:tx>
      <c:overlay val="0"/>
      <c:spPr>
        <a:noFill/>
        <a:ln w="25400">
          <a:noFill/>
        </a:ln>
      </c:spPr>
    </c:title>
    <c:autoTitleDeleted val="0"/>
    <c:plotArea>
      <c:layout/>
      <c:lineChart>
        <c:grouping val="standard"/>
        <c:varyColors val="0"/>
        <c:ser>
          <c:idx val="1"/>
          <c:order val="0"/>
          <c:tx>
            <c:strRef>
              <c:f>'909d'!$D$5</c:f>
              <c:strCache>
                <c:ptCount val="1"/>
              </c:strCache>
            </c:strRef>
          </c:tx>
          <c:spPr>
            <a:ln w="12700">
              <a:solidFill>
                <a:srgbClr val="000000"/>
              </a:solidFill>
              <a:prstDash val="solid"/>
            </a:ln>
          </c:spPr>
          <c:marker>
            <c:symbol val="circle"/>
            <c:size val="6"/>
            <c:spPr>
              <a:solidFill>
                <a:srgbClr val="FFFFFF"/>
              </a:solidFill>
              <a:ln>
                <a:solidFill>
                  <a:srgbClr val="000000"/>
                </a:solidFill>
                <a:prstDash val="solid"/>
              </a:ln>
            </c:spPr>
          </c:marker>
          <c:cat>
            <c:strRef>
              <c:f>'909d'!$A$8:$A$34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'909d'!$D$8:$D$34</c:f>
              <c:numCache>
                <c:formatCode>#,##0</c:formatCode>
                <c:ptCount val="27"/>
                <c:pt idx="0">
                  <c:v>2007</c:v>
                </c:pt>
                <c:pt idx="1">
                  <c:v>1369</c:v>
                </c:pt>
                <c:pt idx="2">
                  <c:v>312</c:v>
                </c:pt>
                <c:pt idx="3">
                  <c:v>25</c:v>
                </c:pt>
                <c:pt idx="4">
                  <c:v>93</c:v>
                </c:pt>
                <c:pt idx="5">
                  <c:v>15</c:v>
                </c:pt>
                <c:pt idx="6">
                  <c:v>30</c:v>
                </c:pt>
                <c:pt idx="7">
                  <c:v>26</c:v>
                </c:pt>
                <c:pt idx="8">
                  <c:v>119</c:v>
                </c:pt>
                <c:pt idx="9">
                  <c:v>252</c:v>
                </c:pt>
                <c:pt idx="10">
                  <c:v>237</c:v>
                </c:pt>
                <c:pt idx="11">
                  <c:v>567</c:v>
                </c:pt>
                <c:pt idx="12">
                  <c:v>347</c:v>
                </c:pt>
                <c:pt idx="13">
                  <c:v>85</c:v>
                </c:pt>
                <c:pt idx="14">
                  <c:v>47</c:v>
                </c:pt>
                <c:pt idx="15">
                  <c:v>11</c:v>
                </c:pt>
                <c:pt idx="16">
                  <c:v>449</c:v>
                </c:pt>
                <c:pt idx="17">
                  <c:v>193</c:v>
                </c:pt>
                <c:pt idx="18">
                  <c:v>545</c:v>
                </c:pt>
                <c:pt idx="19">
                  <c:v>170</c:v>
                </c:pt>
                <c:pt idx="20">
                  <c:v>466</c:v>
                </c:pt>
                <c:pt idx="21">
                  <c:v>1133</c:v>
                </c:pt>
                <c:pt idx="22">
                  <c:v>324</c:v>
                </c:pt>
                <c:pt idx="23">
                  <c:v>242</c:v>
                </c:pt>
                <c:pt idx="24">
                  <c:v>1168</c:v>
                </c:pt>
                <c:pt idx="25">
                  <c:v>72</c:v>
                </c:pt>
                <c:pt idx="26">
                  <c:v>10304</c:v>
                </c:pt>
              </c:numCache>
            </c:numRef>
          </c:val>
          <c:smooth val="0"/>
          <c:extLst>
            <c:ext xmlns:c16="http://schemas.microsoft.com/office/drawing/2014/chart" uri="{C3380CC4-5D6E-409C-BE32-E72D297353CC}">
              <c16:uniqueId val="{00000000-A33B-0B40-8277-3B95FFD7E6E7}"/>
            </c:ext>
          </c:extLst>
        </c:ser>
        <c:dLbls>
          <c:showLegendKey val="0"/>
          <c:showVal val="0"/>
          <c:showCatName val="0"/>
          <c:showSerName val="0"/>
          <c:showPercent val="0"/>
          <c:showBubbleSize val="0"/>
        </c:dLbls>
        <c:marker val="1"/>
        <c:smooth val="0"/>
        <c:axId val="1993408592"/>
        <c:axId val="1"/>
      </c:lineChart>
      <c:lineChart>
        <c:grouping val="standard"/>
        <c:varyColors val="0"/>
        <c:ser>
          <c:idx val="0"/>
          <c:order val="1"/>
          <c:tx>
            <c:strRef>
              <c:f>'909d'!$H$5</c:f>
              <c:strCache>
                <c:ptCount val="1"/>
                <c:pt idx="0">
                  <c:v>Anzahl Apotheken (rechte Skala)</c:v>
                </c:pt>
              </c:strCache>
            </c:strRef>
          </c:tx>
          <c:spPr>
            <a:ln w="12700">
              <a:solidFill>
                <a:srgbClr val="000000"/>
              </a:solidFill>
              <a:prstDash val="solid"/>
            </a:ln>
          </c:spPr>
          <c:marker>
            <c:symbol val="diamond"/>
            <c:size val="6"/>
            <c:spPr>
              <a:solidFill>
                <a:srgbClr val="000000"/>
              </a:solidFill>
              <a:ln>
                <a:solidFill>
                  <a:srgbClr val="000000"/>
                </a:solidFill>
                <a:prstDash val="solid"/>
              </a:ln>
            </c:spPr>
          </c:marker>
          <c:cat>
            <c:strRef>
              <c:f>'909d'!$A$8:$A$34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'909d'!$H$8:$H$34</c:f>
              <c:numCache>
                <c:formatCode>#,##0</c:formatCode>
                <c:ptCount val="27"/>
                <c:pt idx="0">
                  <c:v>219</c:v>
                </c:pt>
                <c:pt idx="1">
                  <c:v>175</c:v>
                </c:pt>
                <c:pt idx="2">
                  <c:v>33</c:v>
                </c:pt>
                <c:pt idx="3">
                  <c:v>2</c:v>
                </c:pt>
                <c:pt idx="4">
                  <c:v>11</c:v>
                </c:pt>
                <c:pt idx="5">
                  <c:v>3</c:v>
                </c:pt>
                <c:pt idx="6">
                  <c:v>2</c:v>
                </c:pt>
                <c:pt idx="7">
                  <c:v>2</c:v>
                </c:pt>
                <c:pt idx="8">
                  <c:v>12</c:v>
                </c:pt>
                <c:pt idx="9">
                  <c:v>67</c:v>
                </c:pt>
                <c:pt idx="10">
                  <c:v>26</c:v>
                </c:pt>
                <c:pt idx="11">
                  <c:v>69</c:v>
                </c:pt>
                <c:pt idx="12">
                  <c:v>36</c:v>
                </c:pt>
                <c:pt idx="13">
                  <c:v>13</c:v>
                </c:pt>
                <c:pt idx="14">
                  <c:v>5</c:v>
                </c:pt>
                <c:pt idx="15">
                  <c:v>1</c:v>
                </c:pt>
                <c:pt idx="16">
                  <c:v>48</c:v>
                </c:pt>
                <c:pt idx="17">
                  <c:v>36</c:v>
                </c:pt>
                <c:pt idx="18">
                  <c:v>108</c:v>
                </c:pt>
                <c:pt idx="19">
                  <c:v>21</c:v>
                </c:pt>
                <c:pt idx="20">
                  <c:v>172</c:v>
                </c:pt>
                <c:pt idx="21">
                  <c:v>242</c:v>
                </c:pt>
                <c:pt idx="22">
                  <c:v>107</c:v>
                </c:pt>
                <c:pt idx="23">
                  <c:v>55</c:v>
                </c:pt>
                <c:pt idx="24">
                  <c:v>169</c:v>
                </c:pt>
                <c:pt idx="25">
                  <c:v>19</c:v>
                </c:pt>
                <c:pt idx="26">
                  <c:v>1653</c:v>
                </c:pt>
              </c:numCache>
            </c:numRef>
          </c:val>
          <c:smooth val="0"/>
          <c:extLst>
            <c:ext xmlns:c16="http://schemas.microsoft.com/office/drawing/2014/chart" uri="{C3380CC4-5D6E-409C-BE32-E72D297353CC}">
              <c16:uniqueId val="{00000001-A33B-0B40-8277-3B95FFD7E6E7}"/>
            </c:ext>
          </c:extLst>
        </c:ser>
        <c:dLbls>
          <c:showLegendKey val="0"/>
          <c:showVal val="0"/>
          <c:showCatName val="0"/>
          <c:showSerName val="0"/>
          <c:showPercent val="0"/>
          <c:showBubbleSize val="0"/>
        </c:dLbls>
        <c:marker val="1"/>
        <c:smooth val="0"/>
        <c:axId val="3"/>
        <c:axId val="4"/>
      </c:lineChart>
      <c:catAx>
        <c:axId val="1993408592"/>
        <c:scaling>
          <c:orientation val="minMax"/>
        </c:scaling>
        <c:delete val="0"/>
        <c:axPos val="b"/>
        <c:numFmt formatCode="General" sourceLinked="1"/>
        <c:majorTickMark val="cross"/>
        <c:minorTickMark val="none"/>
        <c:tickLblPos val="nextTo"/>
        <c:spPr>
          <a:ln w="3175">
            <a:solidFill>
              <a:srgbClr val="000000"/>
            </a:solidFill>
            <a:prstDash val="solid"/>
          </a:ln>
        </c:spPr>
        <c:txPr>
          <a:bodyPr rot="-2700000" vert="horz"/>
          <a:lstStyle/>
          <a:p>
            <a:pPr>
              <a:defRPr sz="1000" b="0" i="0" u="none" strike="noStrike" baseline="0">
                <a:solidFill>
                  <a:srgbClr val="000000"/>
                </a:solidFill>
                <a:latin typeface="55 Helvetica Roman"/>
                <a:ea typeface="55 Helvetica Roman"/>
                <a:cs typeface="55 Helvetica Roman"/>
              </a:defRPr>
            </a:pPr>
            <a:endParaRPr lang="de-DE"/>
          </a:p>
        </c:txPr>
        <c:crossAx val="1"/>
        <c:crosses val="autoZero"/>
        <c:auto val="0"/>
        <c:lblAlgn val="ctr"/>
        <c:lblOffset val="100"/>
        <c:tickLblSkip val="2"/>
        <c:tickMarkSkip val="1"/>
        <c:noMultiLvlLbl val="0"/>
      </c:catAx>
      <c:valAx>
        <c:axId val="1"/>
        <c:scaling>
          <c:orientation val="minMax"/>
          <c:max val="18000"/>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1993408592"/>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in val="0"/>
        </c:scaling>
        <c:delete val="0"/>
        <c:axPos val="r"/>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3"/>
        <c:crosses val="max"/>
        <c:crossBetween val="between"/>
      </c:valAx>
      <c:spPr>
        <a:solidFill>
          <a:srgbClr val="FFFFFF"/>
        </a:solidFill>
        <a:ln w="12700">
          <a:solidFill>
            <a:srgbClr val="000000"/>
          </a:solidFill>
          <a:prstDash val="solid"/>
        </a:ln>
      </c:spPr>
    </c:plotArea>
    <c:legend>
      <c:legendPos val="r"/>
      <c:overlay val="0"/>
      <c:spPr>
        <a:solidFill>
          <a:srgbClr val="FFFFFF"/>
        </a:solidFill>
        <a:ln w="12700">
          <a:solidFill>
            <a:srgbClr val="000000"/>
          </a:solidFill>
          <a:prstDash val="solid"/>
        </a:ln>
      </c:spPr>
      <c:txPr>
        <a:bodyPr/>
        <a:lstStyle/>
        <a:p>
          <a:pPr>
            <a:defRPr sz="920" b="0" i="0" u="none" strike="noStrike" baseline="0">
              <a:solidFill>
                <a:srgbClr val="000000"/>
              </a:solidFill>
              <a:latin typeface="55 Helvetica Roman"/>
              <a:ea typeface="55 Helvetica Roman"/>
              <a:cs typeface="55 Helvetica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de-DE"/>
              <a:t>Anzahl Ärzte mit Praxistätigkeit und Apotheken 1985 – 2000 (Daten 1999)</a:t>
            </a:r>
          </a:p>
        </c:rich>
      </c:tx>
      <c:overlay val="0"/>
      <c:spPr>
        <a:noFill/>
        <a:ln w="25400">
          <a:noFill/>
        </a:ln>
      </c:spPr>
    </c:title>
    <c:autoTitleDeleted val="0"/>
    <c:plotArea>
      <c:layout/>
      <c:lineChart>
        <c:grouping val="standard"/>
        <c:varyColors val="0"/>
        <c:ser>
          <c:idx val="1"/>
          <c:order val="0"/>
          <c:tx>
            <c:strRef>
              <c:f>'909d'!$D$5</c:f>
              <c:strCache>
                <c:ptCount val="1"/>
              </c:strCache>
            </c:strRef>
          </c:tx>
          <c:spPr>
            <a:ln w="12700">
              <a:solidFill>
                <a:srgbClr val="000000"/>
              </a:solidFill>
              <a:prstDash val="solid"/>
            </a:ln>
          </c:spPr>
          <c:marker>
            <c:symbol val="circle"/>
            <c:size val="6"/>
            <c:spPr>
              <a:solidFill>
                <a:srgbClr val="FFFFFF"/>
              </a:solidFill>
              <a:ln>
                <a:solidFill>
                  <a:srgbClr val="000000"/>
                </a:solidFill>
                <a:prstDash val="solid"/>
              </a:ln>
            </c:spPr>
          </c:marker>
          <c:cat>
            <c:strRef>
              <c:f>'909d'!$A$8:$A$34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'909d'!$D$8:$D$34</c:f>
              <c:numCache>
                <c:formatCode>#,##0</c:formatCode>
                <c:ptCount val="27"/>
                <c:pt idx="0">
                  <c:v>2007</c:v>
                </c:pt>
                <c:pt idx="1">
                  <c:v>1369</c:v>
                </c:pt>
                <c:pt idx="2">
                  <c:v>312</c:v>
                </c:pt>
                <c:pt idx="3">
                  <c:v>25</c:v>
                </c:pt>
                <c:pt idx="4">
                  <c:v>93</c:v>
                </c:pt>
                <c:pt idx="5">
                  <c:v>15</c:v>
                </c:pt>
                <c:pt idx="6">
                  <c:v>30</c:v>
                </c:pt>
                <c:pt idx="7">
                  <c:v>26</c:v>
                </c:pt>
                <c:pt idx="8">
                  <c:v>119</c:v>
                </c:pt>
                <c:pt idx="9">
                  <c:v>252</c:v>
                </c:pt>
                <c:pt idx="10">
                  <c:v>237</c:v>
                </c:pt>
                <c:pt idx="11">
                  <c:v>567</c:v>
                </c:pt>
                <c:pt idx="12">
                  <c:v>347</c:v>
                </c:pt>
                <c:pt idx="13">
                  <c:v>85</c:v>
                </c:pt>
                <c:pt idx="14">
                  <c:v>47</c:v>
                </c:pt>
                <c:pt idx="15">
                  <c:v>11</c:v>
                </c:pt>
                <c:pt idx="16">
                  <c:v>449</c:v>
                </c:pt>
                <c:pt idx="17">
                  <c:v>193</c:v>
                </c:pt>
                <c:pt idx="18">
                  <c:v>545</c:v>
                </c:pt>
                <c:pt idx="19">
                  <c:v>170</c:v>
                </c:pt>
                <c:pt idx="20">
                  <c:v>466</c:v>
                </c:pt>
                <c:pt idx="21">
                  <c:v>1133</c:v>
                </c:pt>
                <c:pt idx="22">
                  <c:v>324</c:v>
                </c:pt>
                <c:pt idx="23">
                  <c:v>242</c:v>
                </c:pt>
                <c:pt idx="24">
                  <c:v>1168</c:v>
                </c:pt>
                <c:pt idx="25">
                  <c:v>72</c:v>
                </c:pt>
                <c:pt idx="26">
                  <c:v>10304</c:v>
                </c:pt>
              </c:numCache>
            </c:numRef>
          </c:val>
          <c:smooth val="0"/>
          <c:extLst>
            <c:ext xmlns:c16="http://schemas.microsoft.com/office/drawing/2014/chart" uri="{C3380CC4-5D6E-409C-BE32-E72D297353CC}">
              <c16:uniqueId val="{00000000-3D17-F648-A0FA-F05BBD6D94FA}"/>
            </c:ext>
          </c:extLst>
        </c:ser>
        <c:dLbls>
          <c:showLegendKey val="0"/>
          <c:showVal val="0"/>
          <c:showCatName val="0"/>
          <c:showSerName val="0"/>
          <c:showPercent val="0"/>
          <c:showBubbleSize val="0"/>
        </c:dLbls>
        <c:marker val="1"/>
        <c:smooth val="0"/>
        <c:axId val="1987206208"/>
        <c:axId val="1"/>
      </c:lineChart>
      <c:lineChart>
        <c:grouping val="standard"/>
        <c:varyColors val="0"/>
        <c:ser>
          <c:idx val="0"/>
          <c:order val="1"/>
          <c:tx>
            <c:strRef>
              <c:f>'909d'!$H$5</c:f>
              <c:strCache>
                <c:ptCount val="1"/>
                <c:pt idx="0">
                  <c:v>Anzahl Apotheken (rechte Skala)</c:v>
                </c:pt>
              </c:strCache>
            </c:strRef>
          </c:tx>
          <c:spPr>
            <a:ln w="12700">
              <a:solidFill>
                <a:srgbClr val="000000"/>
              </a:solidFill>
              <a:prstDash val="solid"/>
            </a:ln>
          </c:spPr>
          <c:marker>
            <c:symbol val="diamond"/>
            <c:size val="6"/>
            <c:spPr>
              <a:solidFill>
                <a:srgbClr val="000000"/>
              </a:solidFill>
              <a:ln>
                <a:solidFill>
                  <a:srgbClr val="000000"/>
                </a:solidFill>
                <a:prstDash val="solid"/>
              </a:ln>
            </c:spPr>
          </c:marker>
          <c:cat>
            <c:strRef>
              <c:f>'909d'!$A$8:$A$34</c:f>
              <c:strCache>
                <c:ptCount val="27"/>
                <c:pt idx="0">
                  <c:v>ZH</c:v>
                </c:pt>
                <c:pt idx="1">
                  <c:v>BE</c:v>
                </c:pt>
                <c:pt idx="2">
                  <c:v>LU</c:v>
                </c:pt>
                <c:pt idx="3">
                  <c:v>UR</c:v>
                </c:pt>
                <c:pt idx="4">
                  <c:v>SZ</c:v>
                </c:pt>
                <c:pt idx="5">
                  <c:v>OW</c:v>
                </c:pt>
                <c:pt idx="6">
                  <c:v>NW</c:v>
                </c:pt>
                <c:pt idx="7">
                  <c:v>GL</c:v>
                </c:pt>
                <c:pt idx="8">
                  <c:v>ZG</c:v>
                </c:pt>
                <c:pt idx="9">
                  <c:v>FR</c:v>
                </c:pt>
                <c:pt idx="10">
                  <c:v>SO</c:v>
                </c:pt>
                <c:pt idx="11">
                  <c:v>BS</c:v>
                </c:pt>
                <c:pt idx="12">
                  <c:v>BL</c:v>
                </c:pt>
                <c:pt idx="13">
                  <c:v>SH</c:v>
                </c:pt>
                <c:pt idx="14">
                  <c:v>AR</c:v>
                </c:pt>
                <c:pt idx="15">
                  <c:v>AI</c:v>
                </c:pt>
                <c:pt idx="16">
                  <c:v>SG</c:v>
                </c:pt>
                <c:pt idx="17">
                  <c:v>GR</c:v>
                </c:pt>
                <c:pt idx="18">
                  <c:v>AG</c:v>
                </c:pt>
                <c:pt idx="19">
                  <c:v>TG</c:v>
                </c:pt>
                <c:pt idx="20">
                  <c:v>TI</c:v>
                </c:pt>
                <c:pt idx="21">
                  <c:v>VD</c:v>
                </c:pt>
                <c:pt idx="22">
                  <c:v>VS</c:v>
                </c:pt>
                <c:pt idx="23">
                  <c:v>NE</c:v>
                </c:pt>
                <c:pt idx="24">
                  <c:v>GE</c:v>
                </c:pt>
                <c:pt idx="25">
                  <c:v>JU</c:v>
                </c:pt>
                <c:pt idx="26">
                  <c:v>CH</c:v>
                </c:pt>
              </c:strCache>
            </c:strRef>
          </c:cat>
          <c:val>
            <c:numRef>
              <c:f>'909d'!$H$8:$H$34</c:f>
              <c:numCache>
                <c:formatCode>#,##0</c:formatCode>
                <c:ptCount val="27"/>
                <c:pt idx="0">
                  <c:v>219</c:v>
                </c:pt>
                <c:pt idx="1">
                  <c:v>175</c:v>
                </c:pt>
                <c:pt idx="2">
                  <c:v>33</c:v>
                </c:pt>
                <c:pt idx="3">
                  <c:v>2</c:v>
                </c:pt>
                <c:pt idx="4">
                  <c:v>11</c:v>
                </c:pt>
                <c:pt idx="5">
                  <c:v>3</c:v>
                </c:pt>
                <c:pt idx="6">
                  <c:v>2</c:v>
                </c:pt>
                <c:pt idx="7">
                  <c:v>2</c:v>
                </c:pt>
                <c:pt idx="8">
                  <c:v>12</c:v>
                </c:pt>
                <c:pt idx="9">
                  <c:v>67</c:v>
                </c:pt>
                <c:pt idx="10">
                  <c:v>26</c:v>
                </c:pt>
                <c:pt idx="11">
                  <c:v>69</c:v>
                </c:pt>
                <c:pt idx="12">
                  <c:v>36</c:v>
                </c:pt>
                <c:pt idx="13">
                  <c:v>13</c:v>
                </c:pt>
                <c:pt idx="14">
                  <c:v>5</c:v>
                </c:pt>
                <c:pt idx="15">
                  <c:v>1</c:v>
                </c:pt>
                <c:pt idx="16">
                  <c:v>48</c:v>
                </c:pt>
                <c:pt idx="17">
                  <c:v>36</c:v>
                </c:pt>
                <c:pt idx="18">
                  <c:v>108</c:v>
                </c:pt>
                <c:pt idx="19">
                  <c:v>21</c:v>
                </c:pt>
                <c:pt idx="20">
                  <c:v>172</c:v>
                </c:pt>
                <c:pt idx="21">
                  <c:v>242</c:v>
                </c:pt>
                <c:pt idx="22">
                  <c:v>107</c:v>
                </c:pt>
                <c:pt idx="23">
                  <c:v>55</c:v>
                </c:pt>
                <c:pt idx="24">
                  <c:v>169</c:v>
                </c:pt>
                <c:pt idx="25">
                  <c:v>19</c:v>
                </c:pt>
                <c:pt idx="26">
                  <c:v>1653</c:v>
                </c:pt>
              </c:numCache>
            </c:numRef>
          </c:val>
          <c:smooth val="0"/>
          <c:extLst>
            <c:ext xmlns:c16="http://schemas.microsoft.com/office/drawing/2014/chart" uri="{C3380CC4-5D6E-409C-BE32-E72D297353CC}">
              <c16:uniqueId val="{00000001-3D17-F648-A0FA-F05BBD6D94FA}"/>
            </c:ext>
          </c:extLst>
        </c:ser>
        <c:dLbls>
          <c:showLegendKey val="0"/>
          <c:showVal val="0"/>
          <c:showCatName val="0"/>
          <c:showSerName val="0"/>
          <c:showPercent val="0"/>
          <c:showBubbleSize val="0"/>
        </c:dLbls>
        <c:marker val="1"/>
        <c:smooth val="0"/>
        <c:axId val="3"/>
        <c:axId val="4"/>
      </c:lineChart>
      <c:catAx>
        <c:axId val="1987206208"/>
        <c:scaling>
          <c:orientation val="minMax"/>
        </c:scaling>
        <c:delete val="0"/>
        <c:axPos val="b"/>
        <c:numFmt formatCode="General" sourceLinked="1"/>
        <c:majorTickMark val="cross"/>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55 Helvetica Roman"/>
                <a:ea typeface="55 Helvetica Roman"/>
                <a:cs typeface="55 Helvetica Roman"/>
              </a:defRPr>
            </a:pPr>
            <a:endParaRPr lang="de-DE"/>
          </a:p>
        </c:txPr>
        <c:crossAx val="1"/>
        <c:crosses val="autoZero"/>
        <c:auto val="0"/>
        <c:lblAlgn val="ctr"/>
        <c:lblOffset val="100"/>
        <c:tickLblSkip val="25"/>
        <c:tickMarkSkip val="1"/>
        <c:noMultiLvlLbl val="0"/>
      </c:catAx>
      <c:valAx>
        <c:axId val="1"/>
        <c:scaling>
          <c:orientation val="minMax"/>
          <c:max val="18000"/>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1987206208"/>
        <c:crosses val="autoZero"/>
        <c:crossBetween val="between"/>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in val="0"/>
        </c:scaling>
        <c:delete val="0"/>
        <c:axPos val="r"/>
        <c:numFmt formatCode="#,##0" sourceLinked="1"/>
        <c:majorTickMark val="cross"/>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55 Helvetica Roman"/>
                <a:ea typeface="55 Helvetica Roman"/>
                <a:cs typeface="55 Helvetica Roman"/>
              </a:defRPr>
            </a:pPr>
            <a:endParaRPr lang="de-DE"/>
          </a:p>
        </c:txPr>
        <c:crossAx val="3"/>
        <c:crosses val="max"/>
        <c:crossBetween val="between"/>
      </c:valAx>
      <c:spPr>
        <a:solidFill>
          <a:srgbClr val="FFFFFF"/>
        </a:solidFill>
        <a:ln w="12700">
          <a:solidFill>
            <a:srgbClr val="000000"/>
          </a:solidFill>
          <a:prstDash val="solid"/>
        </a:ln>
      </c:spPr>
    </c:plotArea>
    <c:legend>
      <c:legendPos val="r"/>
      <c:overlay val="0"/>
      <c:spPr>
        <a:solidFill>
          <a:srgbClr val="FFFFFF"/>
        </a:solidFill>
        <a:ln w="12700">
          <a:solidFill>
            <a:srgbClr val="000000"/>
          </a:solidFill>
          <a:prstDash val="solid"/>
        </a:ln>
      </c:spPr>
      <c:txPr>
        <a:bodyPr/>
        <a:lstStyle/>
        <a:p>
          <a:pPr>
            <a:defRPr sz="920" b="0" i="0" u="none" strike="noStrike" baseline="0">
              <a:solidFill>
                <a:srgbClr val="000000"/>
              </a:solidFill>
              <a:latin typeface="55 Helvetica Roman"/>
              <a:ea typeface="55 Helvetica Roman"/>
              <a:cs typeface="55 Helvetica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4921259845" footer="0.492125984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27</xdr:col>
      <xdr:colOff>393700</xdr:colOff>
      <xdr:row>19</xdr:row>
      <xdr:rowOff>152400</xdr:rowOff>
    </xdr:from>
    <xdr:to>
      <xdr:col>32</xdr:col>
      <xdr:colOff>76200</xdr:colOff>
      <xdr:row>40</xdr:row>
      <xdr:rowOff>139700</xdr:rowOff>
    </xdr:to>
    <xdr:graphicFrame macro="">
      <xdr:nvGraphicFramePr>
        <xdr:cNvPr id="4097" name="Diagramm 1">
          <a:extLst>
            <a:ext uri="{FF2B5EF4-FFF2-40B4-BE49-F238E27FC236}">
              <a16:creationId xmlns:a16="http://schemas.microsoft.com/office/drawing/2014/main" id="{6A39D6D6-D9F6-762B-0DAB-D3DA7BC3C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50</xdr:row>
      <xdr:rowOff>0</xdr:rowOff>
    </xdr:from>
    <xdr:to>
      <xdr:col>10</xdr:col>
      <xdr:colOff>0</xdr:colOff>
      <xdr:row>50</xdr:row>
      <xdr:rowOff>0</xdr:rowOff>
    </xdr:to>
    <xdr:graphicFrame macro="">
      <xdr:nvGraphicFramePr>
        <xdr:cNvPr id="2049" name="Diagramm 1">
          <a:extLst>
            <a:ext uri="{FF2B5EF4-FFF2-40B4-BE49-F238E27FC236}">
              <a16:creationId xmlns:a16="http://schemas.microsoft.com/office/drawing/2014/main" id="{C0FEA999-A8AF-154A-6293-4B5B2F776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12700</xdr:colOff>
      <xdr:row>50</xdr:row>
      <xdr:rowOff>0</xdr:rowOff>
    </xdr:from>
    <xdr:to>
      <xdr:col>21</xdr:col>
      <xdr:colOff>0</xdr:colOff>
      <xdr:row>50</xdr:row>
      <xdr:rowOff>0</xdr:rowOff>
    </xdr:to>
    <xdr:graphicFrame macro="">
      <xdr:nvGraphicFramePr>
        <xdr:cNvPr id="2050" name="Diagramm 2">
          <a:extLst>
            <a:ext uri="{FF2B5EF4-FFF2-40B4-BE49-F238E27FC236}">
              <a16:creationId xmlns:a16="http://schemas.microsoft.com/office/drawing/2014/main" id="{17CA2835-9618-65BC-5FCC-9214F3A98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0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F3876-C2B2-1144-80DC-CC9C7FA9D3B0}">
  <sheetPr>
    <pageSetUpPr fitToPage="1"/>
  </sheetPr>
  <dimension ref="A1:M65"/>
  <sheetViews>
    <sheetView tabSelected="1" zoomScale="75" workbookViewId="0">
      <selection activeCell="G6" sqref="G6"/>
    </sheetView>
  </sheetViews>
  <sheetFormatPr baseColWidth="10" defaultColWidth="11.3984375" defaultRowHeight="13"/>
  <cols>
    <col min="1" max="1" width="12.796875" style="3" customWidth="1"/>
    <col min="2" max="9" width="11.796875" style="3" customWidth="1"/>
    <col min="10" max="10" width="9.796875" style="3" customWidth="1"/>
    <col min="11" max="16384" width="11.3984375" style="3"/>
  </cols>
  <sheetData>
    <row r="1" spans="1:13" s="1" customFormat="1" ht="18" customHeight="1">
      <c r="A1"/>
      <c r="B1"/>
      <c r="C1"/>
      <c r="D1"/>
      <c r="E1"/>
      <c r="F1"/>
      <c r="G1"/>
      <c r="H1"/>
      <c r="I1"/>
    </row>
    <row r="2" spans="1:13" ht="30.75" customHeight="1">
      <c r="A2" s="39" t="s">
        <v>371</v>
      </c>
      <c r="B2"/>
      <c r="C2"/>
      <c r="D2"/>
      <c r="E2"/>
      <c r="F2"/>
      <c r="G2"/>
      <c r="H2"/>
      <c r="I2"/>
    </row>
    <row r="3" spans="1:13" ht="27" customHeight="1">
      <c r="A3" s="40"/>
      <c r="B3"/>
      <c r="C3"/>
      <c r="D3"/>
      <c r="E3"/>
      <c r="F3"/>
      <c r="G3"/>
      <c r="H3"/>
      <c r="I3"/>
    </row>
    <row r="4" spans="1:13" ht="15" customHeight="1">
      <c r="A4" s="41" t="s">
        <v>49</v>
      </c>
      <c r="B4"/>
      <c r="C4"/>
      <c r="D4"/>
      <c r="E4"/>
      <c r="F4"/>
      <c r="G4"/>
      <c r="H4"/>
      <c r="I4"/>
    </row>
    <row r="5" spans="1:13" ht="17.25" customHeight="1">
      <c r="A5"/>
      <c r="B5"/>
      <c r="C5"/>
      <c r="D5"/>
      <c r="E5"/>
      <c r="F5"/>
      <c r="G5"/>
      <c r="H5"/>
      <c r="I5"/>
    </row>
    <row r="6" spans="1:13" ht="15.75" customHeight="1">
      <c r="B6"/>
      <c r="C6"/>
      <c r="D6"/>
      <c r="E6"/>
      <c r="F6"/>
      <c r="G6"/>
      <c r="H6"/>
      <c r="I6"/>
      <c r="J6" s="42"/>
    </row>
    <row r="7" spans="1:13" ht="9.75" customHeight="1">
      <c r="A7"/>
      <c r="B7"/>
      <c r="C7"/>
      <c r="D7"/>
      <c r="E7"/>
      <c r="F7"/>
      <c r="G7"/>
      <c r="H7"/>
      <c r="I7"/>
      <c r="J7" s="42"/>
    </row>
    <row r="8" spans="1:13" ht="31.5" customHeight="1">
      <c r="A8" s="185" t="s">
        <v>1007</v>
      </c>
      <c r="B8"/>
      <c r="C8"/>
      <c r="D8"/>
      <c r="E8"/>
      <c r="F8"/>
      <c r="G8"/>
      <c r="H8"/>
      <c r="I8"/>
    </row>
    <row r="9" spans="1:13" ht="11.25" customHeight="1">
      <c r="B9"/>
      <c r="C9"/>
      <c r="D9"/>
      <c r="E9"/>
      <c r="F9"/>
      <c r="G9"/>
      <c r="H9"/>
      <c r="I9"/>
      <c r="K9" s="43"/>
      <c r="L9" s="43"/>
      <c r="M9" s="43"/>
    </row>
    <row r="10" spans="1:13" ht="20" customHeight="1">
      <c r="A10"/>
      <c r="B10"/>
      <c r="C10"/>
      <c r="D10"/>
      <c r="E10"/>
      <c r="F10"/>
      <c r="G10"/>
      <c r="H10"/>
      <c r="I10"/>
    </row>
    <row r="11" spans="1:13" ht="20" customHeight="1">
      <c r="A11" s="41" t="s">
        <v>2057</v>
      </c>
      <c r="B11"/>
      <c r="C11"/>
      <c r="D11"/>
      <c r="E11"/>
      <c r="F11"/>
      <c r="G11" s="123" t="s">
        <v>2060</v>
      </c>
      <c r="H11" s="122"/>
      <c r="I11"/>
    </row>
    <row r="12" spans="1:13" ht="20" customHeight="1">
      <c r="A12"/>
      <c r="B12"/>
      <c r="C12"/>
      <c r="D12"/>
      <c r="E12"/>
      <c r="F12"/>
      <c r="G12"/>
      <c r="H12"/>
      <c r="I12"/>
    </row>
    <row r="13" spans="1:13" ht="20.25" customHeight="1">
      <c r="A13"/>
      <c r="B13"/>
      <c r="C13"/>
      <c r="D13"/>
      <c r="E13"/>
      <c r="I13"/>
    </row>
    <row r="14" spans="1:13" ht="26.25" customHeight="1">
      <c r="A14" s="44" t="s">
        <v>2061</v>
      </c>
      <c r="B14" s="45"/>
      <c r="C14" s="45"/>
      <c r="D14" s="46"/>
      <c r="E14" s="46"/>
      <c r="G14" s="47" t="s">
        <v>490</v>
      </c>
      <c r="H14" s="45"/>
      <c r="I14"/>
    </row>
    <row r="15" spans="1:13" s="38" customFormat="1" ht="8.25" customHeight="1">
      <c r="A15" s="629"/>
      <c r="B15" s="496"/>
      <c r="C15" s="496"/>
      <c r="G15" s="630"/>
      <c r="H15" s="496"/>
      <c r="I15" s="496"/>
    </row>
    <row r="16" spans="1:13" ht="15" customHeight="1">
      <c r="A16" s="631" t="s">
        <v>1365</v>
      </c>
      <c r="B16"/>
      <c r="C16"/>
      <c r="D16"/>
      <c r="E16"/>
      <c r="F16"/>
      <c r="G16"/>
      <c r="H16"/>
      <c r="I16"/>
    </row>
    <row r="17" spans="1:13" s="38" customFormat="1" ht="5.25" customHeight="1">
      <c r="A17" s="496"/>
      <c r="B17" s="496"/>
      <c r="C17" s="496"/>
      <c r="D17" s="496"/>
      <c r="E17" s="496"/>
      <c r="F17" s="496"/>
      <c r="G17" s="496"/>
      <c r="H17" s="496"/>
      <c r="I17" s="496"/>
    </row>
    <row r="18" spans="1:13" ht="17.25" customHeight="1">
      <c r="A18" s="623" t="s">
        <v>1378</v>
      </c>
      <c r="B18" s="624"/>
      <c r="C18" s="625"/>
      <c r="D18" s="628"/>
      <c r="E18" s="945" t="s">
        <v>1366</v>
      </c>
      <c r="F18" s="946"/>
      <c r="G18" s="946"/>
      <c r="H18" s="38"/>
      <c r="I18" s="623" t="s">
        <v>565</v>
      </c>
      <c r="J18" s="46"/>
      <c r="K18" s="46"/>
    </row>
    <row r="19" spans="1:13" ht="15" customHeight="1">
      <c r="A19" s="623" t="s">
        <v>1367</v>
      </c>
      <c r="B19" s="626"/>
      <c r="C19" s="626"/>
      <c r="D19" s="627"/>
      <c r="E19" s="945" t="s">
        <v>1368</v>
      </c>
      <c r="F19" s="946"/>
      <c r="G19" s="946"/>
      <c r="H19" s="38"/>
      <c r="I19" s="623" t="s">
        <v>2130</v>
      </c>
      <c r="J19" s="46"/>
      <c r="K19" s="46"/>
    </row>
    <row r="20" spans="1:13" ht="15" customHeight="1">
      <c r="A20" s="623" t="s">
        <v>1369</v>
      </c>
      <c r="B20" s="46"/>
      <c r="C20" s="46"/>
      <c r="D20" s="38"/>
      <c r="E20" s="945" t="s">
        <v>1370</v>
      </c>
      <c r="F20" s="946"/>
      <c r="G20" s="946"/>
      <c r="H20" s="38"/>
      <c r="I20" s="623" t="s">
        <v>1911</v>
      </c>
      <c r="J20" s="46"/>
      <c r="K20" s="46"/>
    </row>
    <row r="21" spans="1:13">
      <c r="A21" s="623" t="s">
        <v>1371</v>
      </c>
      <c r="B21" s="626"/>
      <c r="C21" s="46"/>
      <c r="D21" s="38"/>
      <c r="E21" s="945" t="s">
        <v>1798</v>
      </c>
      <c r="F21" s="947"/>
      <c r="G21" s="947"/>
      <c r="H21" s="38"/>
      <c r="I21" s="623" t="s">
        <v>2131</v>
      </c>
      <c r="J21" s="46"/>
      <c r="K21" s="46"/>
    </row>
    <row r="22" spans="1:13">
      <c r="A22" s="623" t="s">
        <v>1372</v>
      </c>
      <c r="B22" s="626"/>
      <c r="C22" s="46"/>
      <c r="D22" s="38"/>
      <c r="E22" s="945" t="s">
        <v>279</v>
      </c>
      <c r="F22" s="947"/>
      <c r="G22" s="947"/>
      <c r="H22" s="38"/>
    </row>
    <row r="23" spans="1:13">
      <c r="A23" s="623" t="s">
        <v>1373</v>
      </c>
      <c r="B23" s="626"/>
      <c r="C23" s="46"/>
      <c r="D23" s="38"/>
      <c r="E23" s="945" t="s">
        <v>566</v>
      </c>
      <c r="F23" s="947"/>
      <c r="G23" s="947"/>
      <c r="H23" s="38"/>
    </row>
    <row r="24" spans="1:13">
      <c r="A24" s="623" t="s">
        <v>1374</v>
      </c>
      <c r="B24" s="626"/>
      <c r="C24" s="46"/>
      <c r="D24" s="38"/>
      <c r="E24" s="945" t="s">
        <v>630</v>
      </c>
      <c r="F24" s="947"/>
      <c r="G24" s="947"/>
      <c r="H24" s="38"/>
    </row>
    <row r="25" spans="1:13">
      <c r="A25" s="623" t="s">
        <v>1375</v>
      </c>
      <c r="B25" s="626"/>
      <c r="C25" s="46"/>
      <c r="D25" s="38"/>
      <c r="E25" s="945" t="s">
        <v>631</v>
      </c>
      <c r="F25" s="947"/>
      <c r="G25" s="947"/>
      <c r="H25" s="38"/>
    </row>
    <row r="26" spans="1:13">
      <c r="A26" s="623" t="s">
        <v>1376</v>
      </c>
      <c r="B26" s="626"/>
      <c r="C26" s="46"/>
      <c r="D26" s="38"/>
      <c r="E26" s="945" t="s">
        <v>173</v>
      </c>
      <c r="F26" s="947"/>
      <c r="G26" s="947"/>
      <c r="H26" s="38"/>
    </row>
    <row r="27" spans="1:13">
      <c r="A27" s="623" t="s">
        <v>1377</v>
      </c>
      <c r="B27" s="626"/>
      <c r="C27" s="46"/>
      <c r="D27" s="38"/>
      <c r="E27" s="945" t="s">
        <v>1310</v>
      </c>
      <c r="F27" s="947"/>
      <c r="G27" s="947"/>
      <c r="H27" s="38"/>
    </row>
    <row r="28" spans="1:13" ht="16">
      <c r="A28" s="49"/>
      <c r="B28" s="188"/>
      <c r="C28" s="48"/>
      <c r="I28" s="121" t="s">
        <v>2129</v>
      </c>
      <c r="J28" s="46"/>
      <c r="K28" s="46"/>
    </row>
    <row r="29" spans="1:13" ht="16">
      <c r="A29" s="49"/>
      <c r="I29" s="948" t="s">
        <v>373</v>
      </c>
      <c r="J29" s="949"/>
      <c r="K29" s="950"/>
      <c r="L29" s="38"/>
      <c r="M29" s="38"/>
    </row>
    <row r="30" spans="1:13" ht="16">
      <c r="A30" s="49"/>
      <c r="B30" s="48"/>
      <c r="C30" s="48"/>
      <c r="F30" s="38"/>
    </row>
    <row r="31" spans="1:13" ht="16">
      <c r="A31" s="49"/>
    </row>
    <row r="32" spans="1:13" ht="15">
      <c r="A32" s="186" t="s">
        <v>1014</v>
      </c>
      <c r="B32" s="187"/>
      <c r="C32" s="38"/>
      <c r="D32" s="38"/>
      <c r="E32" s="38"/>
      <c r="F32" s="38"/>
      <c r="G32" s="38"/>
    </row>
    <row r="33" spans="1:11">
      <c r="A33" s="617">
        <v>5.04</v>
      </c>
      <c r="B33" s="189">
        <v>38198</v>
      </c>
      <c r="D33" s="617" t="s">
        <v>1447</v>
      </c>
      <c r="E33" s="189">
        <v>38266</v>
      </c>
      <c r="G33" s="1465" t="s">
        <v>1444</v>
      </c>
      <c r="H33" s="189">
        <v>38359</v>
      </c>
      <c r="J33" s="1465" t="s">
        <v>326</v>
      </c>
      <c r="K33" s="189">
        <v>38411</v>
      </c>
    </row>
    <row r="34" spans="1:11">
      <c r="A34" s="617">
        <v>5.0199999999999996</v>
      </c>
      <c r="B34" s="189">
        <v>38237</v>
      </c>
      <c r="D34" s="617" t="s">
        <v>1448</v>
      </c>
      <c r="E34" s="189">
        <v>38278</v>
      </c>
      <c r="G34" s="617" t="s">
        <v>1445</v>
      </c>
      <c r="H34" s="189">
        <v>38359</v>
      </c>
      <c r="J34" s="1469" t="s">
        <v>491</v>
      </c>
      <c r="K34" s="189">
        <v>38616</v>
      </c>
    </row>
    <row r="35" spans="1:11">
      <c r="A35" s="617">
        <v>9.1999999999999993</v>
      </c>
      <c r="B35" s="189">
        <v>38244</v>
      </c>
      <c r="D35" s="617" t="s">
        <v>1446</v>
      </c>
      <c r="E35" s="189">
        <v>38359</v>
      </c>
      <c r="G35" s="617">
        <v>4.09</v>
      </c>
      <c r="H35" s="189">
        <v>38383</v>
      </c>
    </row>
    <row r="36" spans="1:11" ht="16">
      <c r="A36" s="49"/>
    </row>
    <row r="37" spans="1:11" ht="16">
      <c r="A37" s="49"/>
      <c r="B37" s="619" t="s">
        <v>50</v>
      </c>
      <c r="C37" s="620" t="s">
        <v>655</v>
      </c>
      <c r="J37" s="499"/>
    </row>
    <row r="38" spans="1:11" ht="16">
      <c r="A38" s="50"/>
      <c r="B38" s="48"/>
      <c r="C38" s="48"/>
    </row>
    <row r="39" spans="1:11" ht="14">
      <c r="A39" s="896" t="s">
        <v>1912</v>
      </c>
      <c r="B39" s="120" t="s">
        <v>1913</v>
      </c>
      <c r="C39" s="46"/>
      <c r="D39" s="46"/>
      <c r="E39" s="46"/>
      <c r="F39" s="46"/>
      <c r="G39" s="46"/>
      <c r="H39" s="46"/>
      <c r="I39" s="46"/>
      <c r="J39" s="46"/>
    </row>
    <row r="40" spans="1:11" ht="16">
      <c r="A40" s="51" t="s">
        <v>51</v>
      </c>
      <c r="B40" s="663" t="s">
        <v>1361</v>
      </c>
      <c r="C40" s="52" t="s">
        <v>52</v>
      </c>
      <c r="D40" s="46"/>
      <c r="E40" s="46"/>
      <c r="F40" s="46"/>
      <c r="G40" s="46"/>
      <c r="H40" s="46"/>
      <c r="I40" s="46"/>
      <c r="J40" s="46"/>
    </row>
    <row r="41" spans="1:11" ht="16">
      <c r="A41" s="618" t="s">
        <v>53</v>
      </c>
      <c r="B41" s="663" t="s">
        <v>372</v>
      </c>
      <c r="C41" s="52" t="s">
        <v>54</v>
      </c>
      <c r="D41" s="46"/>
      <c r="E41" s="46"/>
      <c r="F41" s="46"/>
      <c r="G41" s="46"/>
      <c r="H41" s="46"/>
      <c r="I41" s="46"/>
      <c r="J41" s="46"/>
    </row>
    <row r="42" spans="1:11" ht="16">
      <c r="A42" s="618" t="s">
        <v>55</v>
      </c>
      <c r="B42" s="663" t="s">
        <v>376</v>
      </c>
      <c r="C42" s="52" t="s">
        <v>56</v>
      </c>
      <c r="D42" s="46"/>
      <c r="E42" s="46"/>
      <c r="F42" s="46"/>
      <c r="G42" s="46"/>
      <c r="H42" s="46"/>
      <c r="I42" s="46"/>
      <c r="J42" s="46"/>
    </row>
    <row r="43" spans="1:11" ht="16">
      <c r="A43" s="618" t="s">
        <v>57</v>
      </c>
      <c r="B43" s="663" t="s">
        <v>377</v>
      </c>
      <c r="C43" s="52" t="s">
        <v>58</v>
      </c>
      <c r="D43" s="46"/>
      <c r="E43" s="46"/>
      <c r="F43" s="46"/>
      <c r="G43" s="46"/>
      <c r="H43" s="46"/>
      <c r="I43" s="46"/>
      <c r="J43" s="46"/>
    </row>
    <row r="44" spans="1:11" ht="16">
      <c r="A44" s="618" t="s">
        <v>59</v>
      </c>
      <c r="B44" s="664" t="s">
        <v>374</v>
      </c>
      <c r="C44" s="52" t="s">
        <v>60</v>
      </c>
      <c r="D44" s="46"/>
      <c r="E44" s="46"/>
      <c r="F44" s="46"/>
      <c r="G44" s="46"/>
      <c r="H44" s="46"/>
      <c r="I44" s="46"/>
      <c r="J44" s="46"/>
    </row>
    <row r="45" spans="1:11" ht="16">
      <c r="A45" s="51" t="s">
        <v>61</v>
      </c>
      <c r="B45" s="663" t="s">
        <v>62</v>
      </c>
      <c r="C45" s="52" t="s">
        <v>63</v>
      </c>
      <c r="D45" s="46"/>
      <c r="E45" s="46"/>
      <c r="F45" s="46"/>
      <c r="G45" s="46"/>
      <c r="H45" s="46"/>
      <c r="I45" s="46"/>
      <c r="J45" s="46"/>
    </row>
    <row r="46" spans="1:11" ht="16">
      <c r="A46" s="51" t="s">
        <v>64</v>
      </c>
      <c r="B46" s="663" t="s">
        <v>375</v>
      </c>
      <c r="C46" s="52" t="s">
        <v>1799</v>
      </c>
      <c r="D46" s="46"/>
      <c r="E46" s="46"/>
      <c r="F46" s="46"/>
      <c r="G46" s="46"/>
      <c r="H46" s="46"/>
      <c r="I46" s="46"/>
      <c r="J46" s="46"/>
    </row>
    <row r="47" spans="1:11" ht="16">
      <c r="A47" s="51" t="s">
        <v>65</v>
      </c>
      <c r="B47" s="663" t="s">
        <v>654</v>
      </c>
      <c r="C47" s="52" t="s">
        <v>661</v>
      </c>
      <c r="D47" s="46"/>
      <c r="E47" s="46"/>
      <c r="F47" s="46"/>
      <c r="G47" s="46"/>
      <c r="H47" s="46"/>
      <c r="I47" s="46"/>
      <c r="J47" s="46"/>
    </row>
    <row r="48" spans="1:11" ht="16">
      <c r="A48" s="51" t="s">
        <v>66</v>
      </c>
      <c r="B48" s="663" t="s">
        <v>1360</v>
      </c>
      <c r="C48" s="52" t="s">
        <v>67</v>
      </c>
      <c r="D48" s="46"/>
      <c r="E48" s="46"/>
      <c r="F48" s="46"/>
      <c r="G48" s="46"/>
      <c r="H48" s="46"/>
      <c r="I48" s="46"/>
      <c r="J48" s="46"/>
    </row>
    <row r="49" spans="1:10" ht="14">
      <c r="A49" s="896" t="s">
        <v>1062</v>
      </c>
      <c r="B49" s="120" t="s">
        <v>1065</v>
      </c>
      <c r="C49" s="46"/>
      <c r="D49" s="46"/>
      <c r="E49" s="46"/>
      <c r="F49" s="46"/>
      <c r="G49" s="46"/>
      <c r="H49" s="46"/>
      <c r="I49" s="46"/>
      <c r="J49" s="46"/>
    </row>
    <row r="50" spans="1:10" ht="14">
      <c r="A50" s="896" t="s">
        <v>1063</v>
      </c>
      <c r="B50" s="120" t="s">
        <v>1064</v>
      </c>
      <c r="C50" s="46"/>
      <c r="D50" s="46"/>
      <c r="E50" s="46"/>
      <c r="F50" s="46"/>
      <c r="G50" s="46"/>
      <c r="H50" s="46"/>
      <c r="I50" s="46"/>
      <c r="J50" s="46"/>
    </row>
    <row r="53" spans="1:10">
      <c r="A53" s="53"/>
      <c r="B53" s="53"/>
      <c r="C53" s="53"/>
      <c r="D53" s="53"/>
      <c r="E53" s="53"/>
      <c r="F53" s="53"/>
      <c r="G53" s="53"/>
      <c r="H53" s="53"/>
      <c r="I53" s="53"/>
      <c r="J53" s="53"/>
    </row>
    <row r="55" spans="1:10" ht="14.25" customHeight="1">
      <c r="A55" s="48" t="s">
        <v>68</v>
      </c>
      <c r="B55"/>
      <c r="C55"/>
      <c r="D55"/>
      <c r="E55"/>
      <c r="F55"/>
      <c r="G55"/>
      <c r="H55"/>
      <c r="I55"/>
    </row>
    <row r="56" spans="1:10" ht="14.25" customHeight="1">
      <c r="A56" s="48"/>
      <c r="B56"/>
      <c r="C56"/>
      <c r="D56"/>
      <c r="E56"/>
      <c r="F56"/>
      <c r="G56"/>
      <c r="H56"/>
      <c r="I56"/>
    </row>
    <row r="57" spans="1:10" ht="18" customHeight="1">
      <c r="A57" s="1" t="s">
        <v>2062</v>
      </c>
      <c r="B57"/>
      <c r="C57"/>
      <c r="D57"/>
      <c r="E57"/>
      <c r="F57"/>
      <c r="G57"/>
      <c r="H57"/>
      <c r="I57"/>
    </row>
    <row r="58" spans="1:10" ht="12.75" customHeight="1">
      <c r="A58" s="1"/>
      <c r="B58"/>
      <c r="C58"/>
      <c r="D58"/>
      <c r="E58"/>
      <c r="F58"/>
      <c r="G58"/>
      <c r="H58"/>
      <c r="I58"/>
    </row>
    <row r="59" spans="1:10">
      <c r="A59" s="53"/>
      <c r="B59" s="53"/>
      <c r="C59" s="53"/>
      <c r="D59" s="53"/>
      <c r="E59" s="53"/>
      <c r="F59" s="53"/>
      <c r="G59" s="53"/>
      <c r="H59" s="53"/>
      <c r="I59" s="53"/>
      <c r="J59" s="53"/>
    </row>
    <row r="62" spans="1:10" ht="16">
      <c r="A62" s="58" t="s">
        <v>2058</v>
      </c>
    </row>
    <row r="63" spans="1:10" ht="16">
      <c r="A63" s="58" t="s">
        <v>2059</v>
      </c>
    </row>
    <row r="64" spans="1:10" ht="16">
      <c r="A64" s="58" t="s">
        <v>1327</v>
      </c>
    </row>
    <row r="65" spans="1:1" ht="16">
      <c r="A65" s="58" t="s">
        <v>1328</v>
      </c>
    </row>
  </sheetData>
  <phoneticPr fontId="0" type="noConversion"/>
  <pageMargins left="0.46" right="0.47" top="0.42" bottom="0.49" header="0.35" footer="0.4921259845"/>
  <pageSetup paperSize="9" scale="74" orientation="portrait" horizontalDpi="1200" verticalDpi="12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88DF9-68ED-B744-ABD3-0C9AEFEF861C}">
  <dimension ref="A1:B141"/>
  <sheetViews>
    <sheetView topLeftCell="A6" workbookViewId="0">
      <selection activeCell="B28" sqref="B28"/>
    </sheetView>
  </sheetViews>
  <sheetFormatPr baseColWidth="10" defaultColWidth="11.3984375" defaultRowHeight="13"/>
  <cols>
    <col min="1" max="1" width="5.59765625" style="1458" customWidth="1"/>
    <col min="2" max="16384" width="11.3984375" style="1458"/>
  </cols>
  <sheetData>
    <row r="1" spans="1:2" ht="16">
      <c r="A1" s="1457" t="s">
        <v>1914</v>
      </c>
    </row>
    <row r="3" spans="1:2">
      <c r="A3" s="1459">
        <v>8.07</v>
      </c>
      <c r="B3" s="1460" t="s">
        <v>664</v>
      </c>
    </row>
    <row r="4" spans="1:2">
      <c r="A4" s="1461">
        <v>4.03</v>
      </c>
      <c r="B4" s="1460" t="s">
        <v>2055</v>
      </c>
    </row>
    <row r="5" spans="1:2">
      <c r="A5" s="1461">
        <v>4.0199999999999996</v>
      </c>
      <c r="B5" s="1460" t="s">
        <v>2054</v>
      </c>
    </row>
    <row r="6" spans="1:2">
      <c r="A6" s="1461">
        <v>4.01</v>
      </c>
      <c r="B6" s="1460" t="s">
        <v>2053</v>
      </c>
    </row>
    <row r="7" spans="1:2">
      <c r="A7" s="1461">
        <v>4.05</v>
      </c>
      <c r="B7" s="1460" t="s">
        <v>1435</v>
      </c>
    </row>
    <row r="8" spans="1:2">
      <c r="A8" s="1461">
        <v>4.04</v>
      </c>
      <c r="B8" s="1460" t="s">
        <v>2056</v>
      </c>
    </row>
    <row r="9" spans="1:2">
      <c r="A9" s="1459">
        <v>8.01</v>
      </c>
      <c r="B9" s="1460" t="s">
        <v>657</v>
      </c>
    </row>
    <row r="10" spans="1:2">
      <c r="A10" s="1459">
        <v>1.01</v>
      </c>
      <c r="B10" s="1461" t="s">
        <v>629</v>
      </c>
    </row>
    <row r="11" spans="1:2">
      <c r="A11" s="1461">
        <v>5.01</v>
      </c>
      <c r="B11" s="1461" t="s">
        <v>274</v>
      </c>
    </row>
    <row r="12" spans="1:2">
      <c r="A12" s="1459">
        <v>8.11</v>
      </c>
      <c r="B12" s="1461" t="s">
        <v>668</v>
      </c>
    </row>
    <row r="13" spans="1:2">
      <c r="A13" s="1459">
        <v>1.34</v>
      </c>
      <c r="B13" s="1461" t="s">
        <v>1661</v>
      </c>
    </row>
    <row r="14" spans="1:2">
      <c r="A14" s="1459">
        <v>9.11</v>
      </c>
      <c r="B14" s="1460" t="s">
        <v>1687</v>
      </c>
    </row>
    <row r="15" spans="1:2">
      <c r="A15" s="1459">
        <v>4.0999999999999996</v>
      </c>
      <c r="B15" s="1460" t="s">
        <v>1440</v>
      </c>
    </row>
    <row r="16" spans="1:2">
      <c r="A16" s="1459">
        <v>4.12</v>
      </c>
      <c r="B16" s="1461" t="s">
        <v>2090</v>
      </c>
    </row>
    <row r="17" spans="1:2">
      <c r="A17" s="1461">
        <v>4.1100000000000003</v>
      </c>
      <c r="B17" s="1461" t="s">
        <v>2089</v>
      </c>
    </row>
    <row r="18" spans="1:2">
      <c r="A18" s="1459">
        <v>1.3</v>
      </c>
      <c r="B18" s="1461" t="s">
        <v>1657</v>
      </c>
    </row>
    <row r="19" spans="1:2">
      <c r="A19" s="1461">
        <v>6.04</v>
      </c>
      <c r="B19" s="1460" t="s">
        <v>1427</v>
      </c>
    </row>
    <row r="20" spans="1:2">
      <c r="A20" s="1461">
        <v>6.05</v>
      </c>
      <c r="B20" s="1460" t="s">
        <v>1428</v>
      </c>
    </row>
    <row r="21" spans="1:2">
      <c r="A21" s="1461">
        <v>6.06</v>
      </c>
      <c r="B21" s="1460" t="s">
        <v>1429</v>
      </c>
    </row>
    <row r="22" spans="1:2">
      <c r="A22" s="1461">
        <v>7.04</v>
      </c>
      <c r="B22" s="1460" t="s">
        <v>1797</v>
      </c>
    </row>
    <row r="23" spans="1:2">
      <c r="A23" s="1461">
        <v>7.06</v>
      </c>
      <c r="B23" s="1460" t="s">
        <v>1449</v>
      </c>
    </row>
    <row r="24" spans="1:2">
      <c r="A24" s="1461">
        <v>7.05</v>
      </c>
      <c r="B24" s="1460" t="s">
        <v>0</v>
      </c>
    </row>
    <row r="25" spans="1:2">
      <c r="A25" s="1459">
        <v>1.27</v>
      </c>
      <c r="B25" s="1461" t="s">
        <v>1654</v>
      </c>
    </row>
    <row r="26" spans="1:2">
      <c r="A26" s="1459">
        <v>1.28</v>
      </c>
      <c r="B26" s="1461" t="s">
        <v>1655</v>
      </c>
    </row>
    <row r="27" spans="1:2">
      <c r="A27" s="1459">
        <v>1.31</v>
      </c>
      <c r="B27" s="1461" t="s">
        <v>1658</v>
      </c>
    </row>
    <row r="28" spans="1:2">
      <c r="A28" s="1459">
        <v>1.29</v>
      </c>
      <c r="B28" s="1461" t="s">
        <v>1656</v>
      </c>
    </row>
    <row r="29" spans="1:2">
      <c r="A29" s="1461">
        <v>7.03</v>
      </c>
      <c r="B29" s="1460" t="s">
        <v>1</v>
      </c>
    </row>
    <row r="30" spans="1:2">
      <c r="A30" s="1459">
        <v>1.22</v>
      </c>
      <c r="B30" s="1461" t="s">
        <v>652</v>
      </c>
    </row>
    <row r="31" spans="1:2">
      <c r="A31" s="1459">
        <v>1.21</v>
      </c>
      <c r="B31" s="1461" t="s">
        <v>651</v>
      </c>
    </row>
    <row r="32" spans="1:2">
      <c r="A32" s="1461">
        <v>4.13</v>
      </c>
      <c r="B32" s="1461" t="s">
        <v>1441</v>
      </c>
    </row>
    <row r="33" spans="1:2">
      <c r="A33" s="1459">
        <v>8.09</v>
      </c>
      <c r="B33" s="1460" t="s">
        <v>666</v>
      </c>
    </row>
    <row r="34" spans="1:2">
      <c r="A34" s="1459">
        <v>8.1</v>
      </c>
      <c r="B34" s="1460" t="s">
        <v>667</v>
      </c>
    </row>
    <row r="35" spans="1:2">
      <c r="A35" s="1460">
        <v>2.04</v>
      </c>
      <c r="B35" s="1460" t="s">
        <v>263</v>
      </c>
    </row>
    <row r="36" spans="1:2">
      <c r="A36" s="1460">
        <v>2.06</v>
      </c>
      <c r="B36" s="1460" t="s">
        <v>265</v>
      </c>
    </row>
    <row r="37" spans="1:2">
      <c r="A37" s="1460">
        <v>2.0499999999999998</v>
      </c>
      <c r="B37" s="1460" t="s">
        <v>264</v>
      </c>
    </row>
    <row r="38" spans="1:2">
      <c r="A38" s="1459">
        <v>9.08</v>
      </c>
      <c r="B38" s="1460" t="s">
        <v>1684</v>
      </c>
    </row>
    <row r="39" spans="1:2">
      <c r="A39" s="1459">
        <v>1.47</v>
      </c>
      <c r="B39" s="1461" t="s">
        <v>1673</v>
      </c>
    </row>
    <row r="40" spans="1:2">
      <c r="A40" s="1460">
        <v>2.12</v>
      </c>
      <c r="B40" s="1460" t="s">
        <v>271</v>
      </c>
    </row>
    <row r="41" spans="1:2">
      <c r="A41" s="1460">
        <v>2.0299999999999998</v>
      </c>
      <c r="B41" s="1460" t="s">
        <v>262</v>
      </c>
    </row>
    <row r="42" spans="1:2">
      <c r="A42" s="1460">
        <v>2.0699999999999998</v>
      </c>
      <c r="B42" s="1460" t="s">
        <v>266</v>
      </c>
    </row>
    <row r="43" spans="1:2">
      <c r="A43" s="1460">
        <v>2.09</v>
      </c>
      <c r="B43" s="1460" t="s">
        <v>268</v>
      </c>
    </row>
    <row r="44" spans="1:2">
      <c r="A44" s="1460">
        <v>2.08</v>
      </c>
      <c r="B44" s="1460" t="s">
        <v>267</v>
      </c>
    </row>
    <row r="45" spans="1:2">
      <c r="A45" s="1459">
        <v>8.08</v>
      </c>
      <c r="B45" s="1460" t="s">
        <v>665</v>
      </c>
    </row>
    <row r="46" spans="1:2">
      <c r="A46" s="1459">
        <v>9.14</v>
      </c>
      <c r="B46" s="1460" t="s">
        <v>1690</v>
      </c>
    </row>
    <row r="47" spans="1:2">
      <c r="A47" s="1459">
        <v>9.1199999999999992</v>
      </c>
      <c r="B47" s="1460" t="s">
        <v>1688</v>
      </c>
    </row>
    <row r="48" spans="1:2">
      <c r="A48" s="1459">
        <v>9.1</v>
      </c>
      <c r="B48" s="1460" t="s">
        <v>1686</v>
      </c>
    </row>
    <row r="49" spans="1:2">
      <c r="A49" s="1459">
        <v>8.1199999999999992</v>
      </c>
      <c r="B49" s="1461" t="s">
        <v>669</v>
      </c>
    </row>
    <row r="50" spans="1:2">
      <c r="A50" s="1461">
        <v>5.0199999999999996</v>
      </c>
      <c r="B50" s="1461" t="s">
        <v>275</v>
      </c>
    </row>
    <row r="51" spans="1:2">
      <c r="A51" s="1459">
        <v>1.07</v>
      </c>
      <c r="B51" s="1461" t="s">
        <v>637</v>
      </c>
    </row>
    <row r="52" spans="1:2">
      <c r="A52" s="1459">
        <v>1.08</v>
      </c>
      <c r="B52" s="1461" t="s">
        <v>638</v>
      </c>
    </row>
    <row r="53" spans="1:2">
      <c r="A53" s="1461">
        <v>6.02</v>
      </c>
      <c r="B53" s="1460" t="s">
        <v>1425</v>
      </c>
    </row>
    <row r="54" spans="1:2">
      <c r="A54" s="1461">
        <v>7.01</v>
      </c>
      <c r="B54" s="1460" t="s">
        <v>1795</v>
      </c>
    </row>
    <row r="55" spans="1:2">
      <c r="A55" s="1459">
        <v>8.0399999999999991</v>
      </c>
      <c r="B55" s="1460" t="s">
        <v>660</v>
      </c>
    </row>
    <row r="56" spans="1:2">
      <c r="A56" s="1459">
        <v>9.07</v>
      </c>
      <c r="B56" s="1460" t="s">
        <v>1683</v>
      </c>
    </row>
    <row r="57" spans="1:2">
      <c r="A57" s="1459">
        <v>9.06</v>
      </c>
      <c r="B57" s="1460" t="s">
        <v>1682</v>
      </c>
    </row>
    <row r="58" spans="1:2">
      <c r="A58" s="1459">
        <v>1.26</v>
      </c>
      <c r="B58" s="1461" t="s">
        <v>1653</v>
      </c>
    </row>
    <row r="59" spans="1:2">
      <c r="A59" s="1459">
        <v>1.25</v>
      </c>
      <c r="B59" s="1461" t="s">
        <v>1652</v>
      </c>
    </row>
    <row r="60" spans="1:2">
      <c r="A60" s="1459">
        <v>8.06</v>
      </c>
      <c r="B60" s="1460" t="s">
        <v>663</v>
      </c>
    </row>
    <row r="61" spans="1:2">
      <c r="A61" s="1459">
        <v>8.0500000000000007</v>
      </c>
      <c r="B61" s="1460" t="s">
        <v>662</v>
      </c>
    </row>
    <row r="62" spans="1:2">
      <c r="A62" s="1459">
        <v>9.19</v>
      </c>
      <c r="B62" s="1460" t="s">
        <v>1677</v>
      </c>
    </row>
    <row r="63" spans="1:2">
      <c r="A63" s="1459">
        <v>9.15</v>
      </c>
      <c r="B63" s="1460" t="s">
        <v>2132</v>
      </c>
    </row>
    <row r="64" spans="1:2">
      <c r="A64" s="1461">
        <v>7.02</v>
      </c>
      <c r="B64" s="1460" t="s">
        <v>1796</v>
      </c>
    </row>
    <row r="65" spans="1:2">
      <c r="A65" s="1462" t="s">
        <v>947</v>
      </c>
      <c r="B65" s="1461" t="s">
        <v>948</v>
      </c>
    </row>
    <row r="66" spans="1:2">
      <c r="A66" s="1461">
        <v>3.01</v>
      </c>
      <c r="B66" s="1460" t="s">
        <v>1754</v>
      </c>
    </row>
    <row r="67" spans="1:2">
      <c r="A67" s="1461">
        <v>3.11</v>
      </c>
      <c r="B67" s="1460" t="s">
        <v>949</v>
      </c>
    </row>
    <row r="68" spans="1:2">
      <c r="A68" s="1461">
        <v>3.02</v>
      </c>
      <c r="B68" s="1460" t="s">
        <v>1755</v>
      </c>
    </row>
    <row r="69" spans="1:2">
      <c r="A69" s="1461">
        <v>3.03</v>
      </c>
      <c r="B69" s="1460" t="s">
        <v>1756</v>
      </c>
    </row>
    <row r="70" spans="1:2">
      <c r="A70" s="1461">
        <v>3.12</v>
      </c>
      <c r="B70" s="1460" t="s">
        <v>950</v>
      </c>
    </row>
    <row r="71" spans="1:2">
      <c r="A71" s="1461">
        <v>3.04</v>
      </c>
      <c r="B71" s="1460" t="s">
        <v>941</v>
      </c>
    </row>
    <row r="72" spans="1:2">
      <c r="A72" s="1461">
        <v>3.05</v>
      </c>
      <c r="B72" s="1460" t="s">
        <v>942</v>
      </c>
    </row>
    <row r="73" spans="1:2">
      <c r="A73" s="1461">
        <v>3.13</v>
      </c>
      <c r="B73" s="1460" t="s">
        <v>951</v>
      </c>
    </row>
    <row r="74" spans="1:2">
      <c r="A74" s="1461">
        <v>3.06</v>
      </c>
      <c r="B74" s="1460" t="s">
        <v>943</v>
      </c>
    </row>
    <row r="75" spans="1:2">
      <c r="A75" s="1461">
        <v>4.0599999999999996</v>
      </c>
      <c r="B75" s="1460" t="s">
        <v>1436</v>
      </c>
    </row>
    <row r="76" spans="1:2">
      <c r="A76" s="1459">
        <v>9.01</v>
      </c>
      <c r="B76" s="1460" t="s">
        <v>2133</v>
      </c>
    </row>
    <row r="77" spans="1:2">
      <c r="A77" s="1459">
        <v>9.0500000000000007</v>
      </c>
      <c r="B77" s="1460" t="s">
        <v>1681</v>
      </c>
    </row>
    <row r="78" spans="1:2">
      <c r="A78" s="1459">
        <v>9.02</v>
      </c>
      <c r="B78" s="1460" t="s">
        <v>1678</v>
      </c>
    </row>
    <row r="79" spans="1:2">
      <c r="A79" s="1459">
        <v>9.0399999999999991</v>
      </c>
      <c r="B79" s="1460" t="s">
        <v>1680</v>
      </c>
    </row>
    <row r="80" spans="1:2">
      <c r="A80" s="1459">
        <v>9.0299999999999994</v>
      </c>
      <c r="B80" s="1460" t="s">
        <v>1679</v>
      </c>
    </row>
    <row r="81" spans="1:2">
      <c r="A81" s="1459">
        <v>1.19</v>
      </c>
      <c r="B81" s="1461" t="s">
        <v>649</v>
      </c>
    </row>
    <row r="82" spans="1:2">
      <c r="A82" s="1459">
        <v>1.2</v>
      </c>
      <c r="B82" s="1461" t="s">
        <v>650</v>
      </c>
    </row>
    <row r="83" spans="1:2">
      <c r="A83" s="1459">
        <v>1.45</v>
      </c>
      <c r="B83" s="1461" t="s">
        <v>1671</v>
      </c>
    </row>
    <row r="84" spans="1:2">
      <c r="A84" s="1463">
        <v>2.11</v>
      </c>
      <c r="B84" s="1461" t="s">
        <v>270</v>
      </c>
    </row>
    <row r="85" spans="1:2">
      <c r="A85" s="1463">
        <v>2.1</v>
      </c>
      <c r="B85" s="1461" t="s">
        <v>269</v>
      </c>
    </row>
    <row r="86" spans="1:2">
      <c r="A86" s="1459">
        <v>9.18</v>
      </c>
      <c r="B86" s="1460" t="s">
        <v>1693</v>
      </c>
    </row>
    <row r="87" spans="1:2">
      <c r="A87" s="1459">
        <v>9.16</v>
      </c>
      <c r="B87" s="1460" t="s">
        <v>1691</v>
      </c>
    </row>
    <row r="88" spans="1:2">
      <c r="A88" s="1461">
        <v>5.03</v>
      </c>
      <c r="B88" s="1461" t="s">
        <v>276</v>
      </c>
    </row>
    <row r="89" spans="1:2">
      <c r="A89" s="1461">
        <v>4.08</v>
      </c>
      <c r="B89" s="1460" t="s">
        <v>1438</v>
      </c>
    </row>
    <row r="90" spans="1:2">
      <c r="A90" s="1459">
        <v>1.18</v>
      </c>
      <c r="B90" s="1461" t="s">
        <v>648</v>
      </c>
    </row>
    <row r="91" spans="1:2">
      <c r="A91" s="1459">
        <v>1.1399999999999999</v>
      </c>
      <c r="B91" s="1461" t="s">
        <v>644</v>
      </c>
    </row>
    <row r="92" spans="1:2">
      <c r="A92" s="1459">
        <v>1.1499999999999999</v>
      </c>
      <c r="B92" s="1461" t="s">
        <v>645</v>
      </c>
    </row>
    <row r="93" spans="1:2">
      <c r="A93" s="1459">
        <v>1.1299999999999999</v>
      </c>
      <c r="B93" s="1461" t="s">
        <v>643</v>
      </c>
    </row>
    <row r="94" spans="1:2">
      <c r="A94" s="1459">
        <v>1.4</v>
      </c>
      <c r="B94" s="1461" t="s">
        <v>1667</v>
      </c>
    </row>
    <row r="95" spans="1:2">
      <c r="A95" s="1459">
        <v>1.39</v>
      </c>
      <c r="B95" s="1461" t="s">
        <v>1666</v>
      </c>
    </row>
    <row r="96" spans="1:2">
      <c r="A96" s="1459">
        <v>1.17</v>
      </c>
      <c r="B96" s="1461" t="s">
        <v>647</v>
      </c>
    </row>
    <row r="97" spans="1:2">
      <c r="A97" s="1459">
        <v>1.1599999999999999</v>
      </c>
      <c r="B97" s="1461" t="s">
        <v>646</v>
      </c>
    </row>
    <row r="98" spans="1:2">
      <c r="A98" s="1461">
        <v>4.07</v>
      </c>
      <c r="B98" s="1460" t="s">
        <v>1437</v>
      </c>
    </row>
    <row r="99" spans="1:2">
      <c r="A99" s="1461">
        <v>5.04</v>
      </c>
      <c r="B99" s="1461" t="s">
        <v>277</v>
      </c>
    </row>
    <row r="100" spans="1:2">
      <c r="A100" s="1459">
        <v>1.43</v>
      </c>
      <c r="B100" s="1461" t="s">
        <v>1669</v>
      </c>
    </row>
    <row r="101" spans="1:2">
      <c r="A101" s="1461">
        <v>6.01</v>
      </c>
      <c r="B101" s="1460" t="s">
        <v>1424</v>
      </c>
    </row>
    <row r="102" spans="1:2">
      <c r="A102" s="1459">
        <v>1.1000000000000001</v>
      </c>
      <c r="B102" s="1461" t="s">
        <v>640</v>
      </c>
    </row>
    <row r="103" spans="1:2">
      <c r="A103" s="1459">
        <v>1.44</v>
      </c>
      <c r="B103" s="1461" t="s">
        <v>1670</v>
      </c>
    </row>
    <row r="104" spans="1:2">
      <c r="A104" s="1459">
        <v>1.1200000000000001</v>
      </c>
      <c r="B104" s="1461" t="s">
        <v>642</v>
      </c>
    </row>
    <row r="105" spans="1:2">
      <c r="A105" s="1459">
        <v>1.0900000000000001</v>
      </c>
      <c r="B105" s="1461" t="s">
        <v>639</v>
      </c>
    </row>
    <row r="106" spans="1:2">
      <c r="A106" s="1459">
        <v>1.1100000000000001</v>
      </c>
      <c r="B106" s="1461" t="s">
        <v>641</v>
      </c>
    </row>
    <row r="107" spans="1:2">
      <c r="A107" s="1459">
        <v>1.41</v>
      </c>
      <c r="B107" s="1461" t="s">
        <v>2088</v>
      </c>
    </row>
    <row r="108" spans="1:2">
      <c r="A108" s="1461">
        <v>4.09</v>
      </c>
      <c r="B108" s="1460" t="s">
        <v>1439</v>
      </c>
    </row>
    <row r="109" spans="1:2">
      <c r="A109" s="1460">
        <v>2.13</v>
      </c>
      <c r="B109" s="1460" t="s">
        <v>272</v>
      </c>
    </row>
    <row r="110" spans="1:2">
      <c r="A110" s="1460">
        <v>2.02</v>
      </c>
      <c r="B110" s="1460" t="s">
        <v>261</v>
      </c>
    </row>
    <row r="111" spans="1:2">
      <c r="A111" s="1460">
        <v>2.0099999999999998</v>
      </c>
      <c r="B111" s="1460" t="s">
        <v>260</v>
      </c>
    </row>
    <row r="112" spans="1:2">
      <c r="A112" s="1459">
        <v>9.1999999999999993</v>
      </c>
      <c r="B112" s="1460" t="s">
        <v>1362</v>
      </c>
    </row>
    <row r="113" spans="1:2">
      <c r="A113" s="1459">
        <v>1.32</v>
      </c>
      <c r="B113" s="1461" t="s">
        <v>1659</v>
      </c>
    </row>
    <row r="114" spans="1:2">
      <c r="A114" s="1459">
        <v>1.33</v>
      </c>
      <c r="B114" s="1461" t="s">
        <v>1660</v>
      </c>
    </row>
    <row r="115" spans="1:2">
      <c r="A115" s="1459">
        <v>8.0299999999999994</v>
      </c>
      <c r="B115" s="1460" t="s">
        <v>659</v>
      </c>
    </row>
    <row r="116" spans="1:2">
      <c r="A116" s="1459">
        <v>9.17</v>
      </c>
      <c r="B116" s="1460" t="s">
        <v>1692</v>
      </c>
    </row>
    <row r="117" spans="1:2">
      <c r="A117" s="1459">
        <v>1.46</v>
      </c>
      <c r="B117" s="1461" t="s">
        <v>1672</v>
      </c>
    </row>
    <row r="118" spans="1:2">
      <c r="A118" s="1461">
        <v>6.03</v>
      </c>
      <c r="B118" s="1460" t="s">
        <v>1426</v>
      </c>
    </row>
    <row r="119" spans="1:2">
      <c r="A119" s="1459">
        <v>1.48</v>
      </c>
      <c r="B119" s="1461" t="s">
        <v>1674</v>
      </c>
    </row>
    <row r="120" spans="1:2">
      <c r="A120" s="1459">
        <v>1.04</v>
      </c>
      <c r="B120" s="1461" t="s">
        <v>634</v>
      </c>
    </row>
    <row r="121" spans="1:2">
      <c r="A121" s="1459">
        <v>1.42</v>
      </c>
      <c r="B121" s="1461" t="s">
        <v>1668</v>
      </c>
    </row>
    <row r="122" spans="1:2">
      <c r="A122" s="1459">
        <v>1.06</v>
      </c>
      <c r="B122" s="1461" t="s">
        <v>636</v>
      </c>
    </row>
    <row r="123" spans="1:2">
      <c r="A123" s="1459">
        <v>1.03</v>
      </c>
      <c r="B123" s="1461" t="s">
        <v>633</v>
      </c>
    </row>
    <row r="124" spans="1:2">
      <c r="A124" s="1459">
        <v>1.02</v>
      </c>
      <c r="B124" s="1461" t="s">
        <v>632</v>
      </c>
    </row>
    <row r="125" spans="1:2">
      <c r="A125" s="1459">
        <v>1.05</v>
      </c>
      <c r="B125" s="1461" t="s">
        <v>635</v>
      </c>
    </row>
    <row r="126" spans="1:2">
      <c r="A126" s="1459">
        <v>8.02</v>
      </c>
      <c r="B126" s="1460" t="s">
        <v>658</v>
      </c>
    </row>
    <row r="127" spans="1:2">
      <c r="A127" s="1459">
        <v>1.49</v>
      </c>
      <c r="B127" s="1461" t="s">
        <v>1675</v>
      </c>
    </row>
    <row r="128" spans="1:2">
      <c r="A128" s="1461">
        <v>3.07</v>
      </c>
      <c r="B128" s="1461" t="s">
        <v>944</v>
      </c>
    </row>
    <row r="129" spans="1:2">
      <c r="A129" s="1461">
        <v>3.08</v>
      </c>
      <c r="B129" s="1461" t="s">
        <v>945</v>
      </c>
    </row>
    <row r="130" spans="1:2">
      <c r="A130" s="1461">
        <v>3.09</v>
      </c>
      <c r="B130" s="1461" t="s">
        <v>946</v>
      </c>
    </row>
    <row r="131" spans="1:2">
      <c r="A131" s="1459">
        <v>1.37</v>
      </c>
      <c r="B131" s="1461" t="s">
        <v>1664</v>
      </c>
    </row>
    <row r="132" spans="1:2">
      <c r="A132" s="1459">
        <v>1.35</v>
      </c>
      <c r="B132" s="1461" t="s">
        <v>1662</v>
      </c>
    </row>
    <row r="133" spans="1:2">
      <c r="A133" s="1459">
        <v>1.38</v>
      </c>
      <c r="B133" s="1461" t="s">
        <v>1665</v>
      </c>
    </row>
    <row r="134" spans="1:2">
      <c r="A134" s="1459">
        <v>1.36</v>
      </c>
      <c r="B134" s="1461" t="s">
        <v>1663</v>
      </c>
    </row>
    <row r="135" spans="1:2">
      <c r="A135" s="1459">
        <v>1.24</v>
      </c>
      <c r="B135" s="1461" t="s">
        <v>1651</v>
      </c>
    </row>
    <row r="136" spans="1:2">
      <c r="A136" s="1459">
        <v>1.23</v>
      </c>
      <c r="B136" s="1461" t="s">
        <v>653</v>
      </c>
    </row>
    <row r="137" spans="1:2">
      <c r="A137" s="1459">
        <v>9.1300000000000008</v>
      </c>
      <c r="B137" s="1460" t="s">
        <v>1689</v>
      </c>
    </row>
    <row r="138" spans="1:2">
      <c r="A138" s="1459">
        <v>9.09</v>
      </c>
      <c r="B138" s="1460" t="s">
        <v>1685</v>
      </c>
    </row>
    <row r="141" spans="1:2">
      <c r="A141" s="1464" t="s">
        <v>256</v>
      </c>
    </row>
  </sheetData>
  <phoneticPr fontId="21" type="noConversion"/>
  <pageMargins left="0.46" right="0.35" top="0.56999999999999995" bottom="0.65" header="0.38" footer="0.28999999999999998"/>
  <pageSetup paperSize="9" orientation="portrait"/>
  <headerFooter alignWithMargins="0">
    <oddFooter>&amp;R&amp;P/&amp;N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23DBB-45DD-5D44-A9A8-E6CCF4A4D432}">
  <sheetPr>
    <pageSetUpPr fitToPage="1"/>
  </sheetPr>
  <dimension ref="A1:B54"/>
  <sheetViews>
    <sheetView topLeftCell="A24" workbookViewId="0">
      <selection activeCell="B44" sqref="B44"/>
    </sheetView>
  </sheetViews>
  <sheetFormatPr baseColWidth="10" defaultColWidth="11.3984375" defaultRowHeight="13"/>
  <cols>
    <col min="1" max="1" width="5.59765625" style="362" customWidth="1"/>
    <col min="2" max="16384" width="11.3984375" style="362"/>
  </cols>
  <sheetData>
    <row r="1" spans="1:2" ht="16">
      <c r="A1" s="361" t="s">
        <v>628</v>
      </c>
    </row>
    <row r="3" spans="1:2">
      <c r="A3" s="363">
        <v>1.01</v>
      </c>
      <c r="B3" s="362" t="s">
        <v>629</v>
      </c>
    </row>
    <row r="4" spans="1:2">
      <c r="A4" s="363">
        <v>1.02</v>
      </c>
      <c r="B4" s="362" t="s">
        <v>632</v>
      </c>
    </row>
    <row r="5" spans="1:2">
      <c r="A5" s="363">
        <v>1.03</v>
      </c>
      <c r="B5" s="362" t="s">
        <v>633</v>
      </c>
    </row>
    <row r="6" spans="1:2">
      <c r="A6" s="363">
        <v>1.04</v>
      </c>
      <c r="B6" s="362" t="s">
        <v>634</v>
      </c>
    </row>
    <row r="7" spans="1:2">
      <c r="A7" s="363">
        <v>1.05</v>
      </c>
      <c r="B7" s="362" t="s">
        <v>635</v>
      </c>
    </row>
    <row r="8" spans="1:2">
      <c r="A8" s="363">
        <v>1.06</v>
      </c>
      <c r="B8" s="362" t="s">
        <v>636</v>
      </c>
    </row>
    <row r="9" spans="1:2">
      <c r="A9" s="363">
        <v>1.07</v>
      </c>
      <c r="B9" s="362" t="s">
        <v>637</v>
      </c>
    </row>
    <row r="10" spans="1:2">
      <c r="A10" s="363">
        <v>1.08</v>
      </c>
      <c r="B10" s="362" t="s">
        <v>638</v>
      </c>
    </row>
    <row r="11" spans="1:2">
      <c r="A11" s="363">
        <v>1.0900000000000001</v>
      </c>
      <c r="B11" s="362" t="s">
        <v>639</v>
      </c>
    </row>
    <row r="12" spans="1:2">
      <c r="A12" s="363">
        <v>1.1000000000000001</v>
      </c>
      <c r="B12" s="362" t="s">
        <v>640</v>
      </c>
    </row>
    <row r="13" spans="1:2">
      <c r="A13" s="363">
        <v>1.1100000000000001</v>
      </c>
      <c r="B13" s="362" t="s">
        <v>641</v>
      </c>
    </row>
    <row r="14" spans="1:2">
      <c r="A14" s="363">
        <v>1.1200000000000001</v>
      </c>
      <c r="B14" s="362" t="s">
        <v>642</v>
      </c>
    </row>
    <row r="15" spans="1:2">
      <c r="A15" s="363">
        <v>1.1299999999999999</v>
      </c>
      <c r="B15" s="362" t="s">
        <v>643</v>
      </c>
    </row>
    <row r="16" spans="1:2">
      <c r="A16" s="363">
        <v>1.1399999999999999</v>
      </c>
      <c r="B16" s="362" t="s">
        <v>644</v>
      </c>
    </row>
    <row r="17" spans="1:2">
      <c r="A17" s="363">
        <v>1.1499999999999999</v>
      </c>
      <c r="B17" s="362" t="s">
        <v>645</v>
      </c>
    </row>
    <row r="18" spans="1:2">
      <c r="A18" s="363">
        <v>1.1599999999999999</v>
      </c>
      <c r="B18" s="362" t="s">
        <v>646</v>
      </c>
    </row>
    <row r="19" spans="1:2">
      <c r="A19" s="363">
        <v>1.17</v>
      </c>
      <c r="B19" s="362" t="s">
        <v>647</v>
      </c>
    </row>
    <row r="20" spans="1:2">
      <c r="A20" s="363">
        <v>1.18</v>
      </c>
      <c r="B20" s="362" t="s">
        <v>648</v>
      </c>
    </row>
    <row r="21" spans="1:2">
      <c r="A21" s="363">
        <v>1.19</v>
      </c>
      <c r="B21" s="362" t="s">
        <v>649</v>
      </c>
    </row>
    <row r="22" spans="1:2">
      <c r="A22" s="363">
        <v>1.2</v>
      </c>
      <c r="B22" s="362" t="s">
        <v>650</v>
      </c>
    </row>
    <row r="23" spans="1:2">
      <c r="A23" s="363">
        <v>1.21</v>
      </c>
      <c r="B23" s="362" t="s">
        <v>651</v>
      </c>
    </row>
    <row r="24" spans="1:2">
      <c r="A24" s="363">
        <v>1.22</v>
      </c>
      <c r="B24" s="362" t="s">
        <v>652</v>
      </c>
    </row>
    <row r="25" spans="1:2">
      <c r="A25" s="363">
        <v>1.23</v>
      </c>
      <c r="B25" s="362" t="s">
        <v>653</v>
      </c>
    </row>
    <row r="26" spans="1:2">
      <c r="A26" s="363">
        <v>1.24</v>
      </c>
      <c r="B26" s="362" t="s">
        <v>1651</v>
      </c>
    </row>
    <row r="27" spans="1:2">
      <c r="A27" s="363">
        <v>1.25</v>
      </c>
      <c r="B27" s="362" t="s">
        <v>1652</v>
      </c>
    </row>
    <row r="28" spans="1:2">
      <c r="A28" s="363">
        <v>1.26</v>
      </c>
      <c r="B28" s="362" t="s">
        <v>1653</v>
      </c>
    </row>
    <row r="29" spans="1:2">
      <c r="A29" s="363">
        <v>1.27</v>
      </c>
      <c r="B29" s="362" t="s">
        <v>1654</v>
      </c>
    </row>
    <row r="30" spans="1:2">
      <c r="A30" s="363">
        <v>1.28</v>
      </c>
      <c r="B30" s="362" t="s">
        <v>1655</v>
      </c>
    </row>
    <row r="31" spans="1:2">
      <c r="A31" s="363">
        <v>1.29</v>
      </c>
      <c r="B31" s="362" t="s">
        <v>1656</v>
      </c>
    </row>
    <row r="32" spans="1:2">
      <c r="A32" s="363">
        <v>1.3</v>
      </c>
      <c r="B32" s="362" t="s">
        <v>1657</v>
      </c>
    </row>
    <row r="33" spans="1:2">
      <c r="A33" s="363">
        <v>1.31</v>
      </c>
      <c r="B33" s="362" t="s">
        <v>1658</v>
      </c>
    </row>
    <row r="34" spans="1:2">
      <c r="A34" s="363">
        <v>1.32</v>
      </c>
      <c r="B34" s="362" t="s">
        <v>1659</v>
      </c>
    </row>
    <row r="35" spans="1:2">
      <c r="A35" s="363">
        <v>1.33</v>
      </c>
      <c r="B35" s="362" t="s">
        <v>1660</v>
      </c>
    </row>
    <row r="36" spans="1:2">
      <c r="A36" s="363">
        <v>1.34</v>
      </c>
      <c r="B36" s="362" t="s">
        <v>1661</v>
      </c>
    </row>
    <row r="37" spans="1:2">
      <c r="A37" s="363">
        <v>1.35</v>
      </c>
      <c r="B37" s="362" t="s">
        <v>1662</v>
      </c>
    </row>
    <row r="38" spans="1:2">
      <c r="A38" s="363">
        <v>1.36</v>
      </c>
      <c r="B38" s="362" t="s">
        <v>1663</v>
      </c>
    </row>
    <row r="39" spans="1:2">
      <c r="A39" s="363">
        <v>1.37</v>
      </c>
      <c r="B39" s="362" t="s">
        <v>1664</v>
      </c>
    </row>
    <row r="40" spans="1:2">
      <c r="A40" s="363">
        <v>1.38</v>
      </c>
      <c r="B40" s="362" t="s">
        <v>1665</v>
      </c>
    </row>
    <row r="41" spans="1:2">
      <c r="A41" s="363">
        <v>1.39</v>
      </c>
      <c r="B41" s="362" t="s">
        <v>1666</v>
      </c>
    </row>
    <row r="42" spans="1:2">
      <c r="A42" s="363">
        <v>1.4</v>
      </c>
      <c r="B42" s="362" t="s">
        <v>1667</v>
      </c>
    </row>
    <row r="43" spans="1:2">
      <c r="A43" s="363">
        <v>1.41</v>
      </c>
      <c r="B43" s="362" t="s">
        <v>2088</v>
      </c>
    </row>
    <row r="44" spans="1:2">
      <c r="A44" s="363">
        <v>1.42</v>
      </c>
      <c r="B44" s="362" t="s">
        <v>1668</v>
      </c>
    </row>
    <row r="45" spans="1:2">
      <c r="A45" s="363">
        <v>1.43</v>
      </c>
      <c r="B45" s="362" t="s">
        <v>1669</v>
      </c>
    </row>
    <row r="46" spans="1:2">
      <c r="A46" s="363">
        <v>1.44</v>
      </c>
      <c r="B46" s="362" t="s">
        <v>1670</v>
      </c>
    </row>
    <row r="47" spans="1:2">
      <c r="A47" s="363">
        <v>1.45</v>
      </c>
      <c r="B47" s="362" t="s">
        <v>1671</v>
      </c>
    </row>
    <row r="48" spans="1:2">
      <c r="A48" s="363">
        <v>1.46</v>
      </c>
      <c r="B48" s="362" t="s">
        <v>1672</v>
      </c>
    </row>
    <row r="49" spans="1:2">
      <c r="A49" s="363">
        <v>1.47</v>
      </c>
      <c r="B49" s="362" t="s">
        <v>1673</v>
      </c>
    </row>
    <row r="50" spans="1:2">
      <c r="A50" s="363">
        <v>1.48</v>
      </c>
      <c r="B50" s="362" t="s">
        <v>1674</v>
      </c>
    </row>
    <row r="51" spans="1:2">
      <c r="A51" s="363">
        <v>1.49</v>
      </c>
      <c r="B51" s="362" t="s">
        <v>1675</v>
      </c>
    </row>
    <row r="54" spans="1:2">
      <c r="A54" s="364" t="s">
        <v>256</v>
      </c>
    </row>
  </sheetData>
  <phoneticPr fontId="21" type="noConversion"/>
  <pageMargins left="0.46" right="0.46" top="0.63" bottom="0.984251969" header="0.38" footer="0.4921259845"/>
  <pageSetup paperSize="9" scale="98"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AF283-CBCC-554D-9010-090998C8B551}">
  <sheetPr>
    <pageSetUpPr fitToPage="1"/>
  </sheetPr>
  <dimension ref="A1:M25"/>
  <sheetViews>
    <sheetView zoomScale="75" workbookViewId="0">
      <selection activeCell="A4" sqref="A4"/>
    </sheetView>
  </sheetViews>
  <sheetFormatPr baseColWidth="10" defaultColWidth="11.3984375" defaultRowHeight="13"/>
  <cols>
    <col min="1" max="1" width="12.796875" style="3" customWidth="1"/>
    <col min="2" max="9" width="11.796875" style="3" customWidth="1"/>
    <col min="10" max="16384" width="11.3984375" style="3"/>
  </cols>
  <sheetData>
    <row r="1" spans="1:13" s="1" customFormat="1" ht="14" customHeight="1"/>
    <row r="2" spans="1:13" s="1" customFormat="1" ht="28" customHeight="1">
      <c r="A2" s="59" t="s">
        <v>535</v>
      </c>
      <c r="I2" s="321">
        <v>2003</v>
      </c>
    </row>
    <row r="3" spans="1:13" ht="24" customHeight="1">
      <c r="A3" s="731" t="s">
        <v>1757</v>
      </c>
      <c r="B3" s="732" t="s">
        <v>527</v>
      </c>
      <c r="C3" s="733" t="s">
        <v>528</v>
      </c>
      <c r="D3" s="69" t="s">
        <v>529</v>
      </c>
      <c r="E3" s="733" t="s">
        <v>530</v>
      </c>
      <c r="F3" s="69" t="s">
        <v>531</v>
      </c>
      <c r="G3" s="733" t="s">
        <v>1551</v>
      </c>
      <c r="H3" s="69" t="s">
        <v>22</v>
      </c>
      <c r="I3" s="733" t="s">
        <v>24</v>
      </c>
    </row>
    <row r="4" spans="1:13" ht="15" customHeight="1">
      <c r="A4" s="734"/>
      <c r="B4" s="735"/>
      <c r="C4" s="736">
        <v>10000</v>
      </c>
      <c r="D4" s="14">
        <v>50000</v>
      </c>
      <c r="E4" s="736">
        <v>100000</v>
      </c>
      <c r="F4" s="14">
        <v>500000</v>
      </c>
      <c r="G4" s="736">
        <v>500000</v>
      </c>
      <c r="H4" s="70"/>
      <c r="I4" s="737" t="s">
        <v>25</v>
      </c>
    </row>
    <row r="5" spans="1:13" ht="15" customHeight="1">
      <c r="A5" s="734"/>
      <c r="B5" s="735"/>
      <c r="C5" s="737"/>
      <c r="D5" s="70"/>
      <c r="E5" s="737"/>
      <c r="F5" s="70"/>
      <c r="G5" s="737"/>
      <c r="H5" s="70"/>
      <c r="I5" s="737" t="s">
        <v>26</v>
      </c>
    </row>
    <row r="6" spans="1:13" ht="24" customHeight="1">
      <c r="A6" s="738"/>
      <c r="B6" s="739"/>
      <c r="C6" s="740"/>
      <c r="D6" s="73"/>
      <c r="E6" s="740"/>
      <c r="F6" s="73"/>
      <c r="G6" s="740"/>
      <c r="H6" s="73"/>
      <c r="I6" s="740"/>
    </row>
    <row r="7" spans="1:13" ht="30" customHeight="1" thickBot="1">
      <c r="A7" s="741">
        <v>1994</v>
      </c>
      <c r="B7" s="742">
        <v>118</v>
      </c>
      <c r="C7" s="743">
        <v>15</v>
      </c>
      <c r="D7" s="19">
        <v>22</v>
      </c>
      <c r="E7" s="743">
        <v>8</v>
      </c>
      <c r="F7" s="19">
        <v>13</v>
      </c>
      <c r="G7" s="743">
        <v>2</v>
      </c>
      <c r="H7" s="87">
        <v>178</v>
      </c>
      <c r="I7" s="744">
        <v>-2.7E-2</v>
      </c>
      <c r="J7" s="42"/>
    </row>
    <row r="8" spans="1:13" ht="20" customHeight="1" thickBot="1">
      <c r="A8" s="745">
        <v>1995</v>
      </c>
      <c r="B8" s="746">
        <v>106</v>
      </c>
      <c r="C8" s="747">
        <v>15</v>
      </c>
      <c r="D8" s="29">
        <v>20</v>
      </c>
      <c r="E8" s="747">
        <v>8</v>
      </c>
      <c r="F8" s="29">
        <v>15</v>
      </c>
      <c r="G8" s="747">
        <v>2</v>
      </c>
      <c r="H8" s="29">
        <v>166</v>
      </c>
      <c r="I8" s="748">
        <v>-6.741573033707865E-2</v>
      </c>
      <c r="J8" s="42"/>
    </row>
    <row r="9" spans="1:13" ht="20" customHeight="1" thickBot="1">
      <c r="A9" s="745">
        <v>1996</v>
      </c>
      <c r="B9" s="746">
        <v>90</v>
      </c>
      <c r="C9" s="747">
        <v>14</v>
      </c>
      <c r="D9" s="29">
        <v>20</v>
      </c>
      <c r="E9" s="747">
        <v>6</v>
      </c>
      <c r="F9" s="29">
        <v>12</v>
      </c>
      <c r="G9" s="747">
        <v>3</v>
      </c>
      <c r="H9" s="29">
        <v>145</v>
      </c>
      <c r="I9" s="748">
        <v>-0.12650602409638553</v>
      </c>
    </row>
    <row r="10" spans="1:13" ht="20" customHeight="1" thickBot="1">
      <c r="A10" s="745">
        <v>1997</v>
      </c>
      <c r="B10" s="746">
        <v>76</v>
      </c>
      <c r="C10" s="747">
        <v>14</v>
      </c>
      <c r="D10" s="29">
        <v>20</v>
      </c>
      <c r="E10" s="747">
        <v>4</v>
      </c>
      <c r="F10" s="29">
        <v>11</v>
      </c>
      <c r="G10" s="747">
        <v>4</v>
      </c>
      <c r="H10" s="29">
        <v>129</v>
      </c>
      <c r="I10" s="748">
        <v>-0.1103448275862069</v>
      </c>
      <c r="K10" s="43"/>
      <c r="L10" s="43"/>
      <c r="M10" s="43"/>
    </row>
    <row r="11" spans="1:13" ht="20" customHeight="1" thickBot="1">
      <c r="A11" s="745">
        <v>1998</v>
      </c>
      <c r="B11" s="746">
        <v>64</v>
      </c>
      <c r="C11" s="747">
        <v>13</v>
      </c>
      <c r="D11" s="29">
        <v>21</v>
      </c>
      <c r="E11" s="747">
        <v>6</v>
      </c>
      <c r="F11" s="29">
        <v>10</v>
      </c>
      <c r="G11" s="747">
        <v>4</v>
      </c>
      <c r="H11" s="29">
        <v>118</v>
      </c>
      <c r="I11" s="748">
        <v>-8.5271317829457363E-2</v>
      </c>
    </row>
    <row r="12" spans="1:13" ht="20" customHeight="1" thickBot="1">
      <c r="A12" s="745">
        <v>1999</v>
      </c>
      <c r="B12" s="746">
        <v>56</v>
      </c>
      <c r="C12" s="747">
        <v>12</v>
      </c>
      <c r="D12" s="29">
        <v>19</v>
      </c>
      <c r="E12" s="747">
        <v>8</v>
      </c>
      <c r="F12" s="29">
        <v>10</v>
      </c>
      <c r="G12" s="747">
        <v>4</v>
      </c>
      <c r="H12" s="29">
        <v>109</v>
      </c>
      <c r="I12" s="748">
        <v>-7.6271186440677971E-2</v>
      </c>
    </row>
    <row r="13" spans="1:13" ht="20" customHeight="1" thickBot="1">
      <c r="A13" s="745">
        <v>2000</v>
      </c>
      <c r="B13" s="746">
        <v>48</v>
      </c>
      <c r="C13" s="747">
        <v>11</v>
      </c>
      <c r="D13" s="29">
        <v>19</v>
      </c>
      <c r="E13" s="747">
        <v>9</v>
      </c>
      <c r="F13" s="29">
        <v>10</v>
      </c>
      <c r="G13" s="747">
        <v>4</v>
      </c>
      <c r="H13" s="29">
        <v>101</v>
      </c>
      <c r="I13" s="748">
        <v>-7.3394495412844041E-2</v>
      </c>
    </row>
    <row r="14" spans="1:13" ht="20" customHeight="1" thickBot="1">
      <c r="A14" s="745">
        <v>2001</v>
      </c>
      <c r="B14" s="746">
        <v>43</v>
      </c>
      <c r="C14" s="747">
        <v>9</v>
      </c>
      <c r="D14" s="29">
        <v>23</v>
      </c>
      <c r="E14" s="747">
        <v>9</v>
      </c>
      <c r="F14" s="29">
        <v>11</v>
      </c>
      <c r="G14" s="747">
        <v>4</v>
      </c>
      <c r="H14" s="29">
        <v>99</v>
      </c>
      <c r="I14" s="748">
        <v>-1.9801980198019802E-2</v>
      </c>
    </row>
    <row r="15" spans="1:13" ht="20" customHeight="1" thickBot="1">
      <c r="A15" s="745">
        <v>2002</v>
      </c>
      <c r="B15" s="746">
        <v>33</v>
      </c>
      <c r="C15" s="747">
        <v>10</v>
      </c>
      <c r="D15" s="29">
        <v>25</v>
      </c>
      <c r="E15" s="747">
        <v>9</v>
      </c>
      <c r="F15" s="29">
        <v>13</v>
      </c>
      <c r="G15" s="747">
        <v>3</v>
      </c>
      <c r="H15" s="29">
        <v>93</v>
      </c>
      <c r="I15" s="748">
        <v>-6.0606060606060608E-2</v>
      </c>
    </row>
    <row r="16" spans="1:13" ht="30" customHeight="1" thickBot="1">
      <c r="A16" s="749">
        <v>2003</v>
      </c>
      <c r="B16" s="750">
        <v>32</v>
      </c>
      <c r="C16" s="751">
        <v>10</v>
      </c>
      <c r="D16" s="356">
        <v>26</v>
      </c>
      <c r="E16" s="751">
        <v>9</v>
      </c>
      <c r="F16" s="356">
        <v>12</v>
      </c>
      <c r="G16" s="751">
        <v>4</v>
      </c>
      <c r="H16" s="356">
        <v>93</v>
      </c>
      <c r="I16" s="752">
        <v>0</v>
      </c>
    </row>
    <row r="17" spans="1:9" ht="20" customHeight="1">
      <c r="A17" s="9" t="s">
        <v>1334</v>
      </c>
      <c r="B17" s="309"/>
      <c r="C17" s="309"/>
      <c r="D17" s="309"/>
      <c r="E17" s="309"/>
      <c r="F17" s="309"/>
      <c r="G17" s="309"/>
      <c r="H17" s="309"/>
      <c r="I17" s="671"/>
    </row>
    <row r="18" spans="1:9" ht="13.5" customHeight="1">
      <c r="A18" s="37"/>
      <c r="B18" s="311"/>
      <c r="C18" s="311"/>
      <c r="D18" s="311"/>
      <c r="E18" s="311"/>
      <c r="F18" s="311"/>
      <c r="G18" s="311"/>
      <c r="H18" s="311"/>
      <c r="I18" s="672"/>
    </row>
    <row r="19" spans="1:9" ht="14.25" customHeight="1">
      <c r="A19" s="37" t="s">
        <v>532</v>
      </c>
      <c r="B19" s="311"/>
      <c r="C19" s="311"/>
      <c r="D19" s="311"/>
      <c r="E19" s="311"/>
      <c r="F19" s="311"/>
      <c r="G19" s="311"/>
      <c r="H19" s="311"/>
      <c r="I19" s="672"/>
    </row>
    <row r="20" spans="1:9">
      <c r="A20" s="3" t="s">
        <v>533</v>
      </c>
    </row>
    <row r="22" spans="1:9">
      <c r="A22" s="3" t="s">
        <v>534</v>
      </c>
    </row>
    <row r="25" spans="1:9">
      <c r="A25" s="3" t="s">
        <v>256</v>
      </c>
    </row>
  </sheetData>
  <phoneticPr fontId="0" type="noConversion"/>
  <pageMargins left="0.53" right="0.61" top="1.03" bottom="0.49" header="0.56000000000000005" footer="0.4921259845"/>
  <pageSetup paperSize="9" scale="86" orientation="portrait" horizontalDpi="4294967292" verticalDpi="4294967292"/>
  <headerFooter alignWithMargins="0">
    <oddHeader>&amp;L&amp;"Arial,Bold"Versicherte und Finanzen in der OKP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B0DB2-F167-6D47-B433-78AB78753ED4}">
  <sheetPr>
    <pageSetUpPr fitToPage="1"/>
  </sheetPr>
  <dimension ref="A1:K28"/>
  <sheetViews>
    <sheetView zoomScale="75" workbookViewId="0">
      <selection activeCell="D17" sqref="D17"/>
    </sheetView>
  </sheetViews>
  <sheetFormatPr baseColWidth="10" defaultColWidth="11.3984375" defaultRowHeight="13"/>
  <cols>
    <col min="1" max="1" width="20.796875" style="3" customWidth="1"/>
    <col min="2" max="3" width="14" style="3" customWidth="1"/>
    <col min="4" max="4" width="15.3984375" style="3" customWidth="1"/>
    <col min="5" max="5" width="14" style="3" customWidth="1"/>
    <col min="6" max="6" width="14.796875" style="3" customWidth="1"/>
    <col min="7" max="7" width="13.796875" style="3" customWidth="1"/>
    <col min="8" max="16384" width="11.3984375" style="3"/>
  </cols>
  <sheetData>
    <row r="1" spans="1:11" s="1" customFormat="1" ht="14" customHeight="1"/>
    <row r="2" spans="1:11" s="1" customFormat="1" ht="28" customHeight="1">
      <c r="A2" s="59" t="s">
        <v>524</v>
      </c>
      <c r="G2" s="321">
        <v>2003</v>
      </c>
    </row>
    <row r="3" spans="1:11" ht="24" customHeight="1">
      <c r="A3" s="2" t="s">
        <v>525</v>
      </c>
      <c r="B3" s="69" t="s">
        <v>72</v>
      </c>
      <c r="C3" s="16" t="s">
        <v>73</v>
      </c>
      <c r="D3" s="69" t="s">
        <v>77</v>
      </c>
      <c r="E3" s="16" t="s">
        <v>526</v>
      </c>
      <c r="F3" s="69" t="s">
        <v>22</v>
      </c>
      <c r="G3" s="16" t="s">
        <v>24</v>
      </c>
    </row>
    <row r="4" spans="1:11" ht="15" customHeight="1">
      <c r="A4" s="77"/>
      <c r="B4" s="70"/>
      <c r="C4" s="17"/>
      <c r="D4" s="70"/>
      <c r="E4" s="61"/>
      <c r="F4" s="70"/>
      <c r="G4" s="17" t="s">
        <v>25</v>
      </c>
    </row>
    <row r="5" spans="1:11" ht="15" customHeight="1">
      <c r="A5" s="77"/>
      <c r="B5" s="70"/>
      <c r="C5" s="17"/>
      <c r="D5" s="70"/>
      <c r="E5" s="61"/>
      <c r="F5" s="70"/>
      <c r="G5" s="17" t="s">
        <v>26</v>
      </c>
    </row>
    <row r="6" spans="1:11" ht="24" customHeight="1">
      <c r="A6" s="78"/>
      <c r="B6" s="73"/>
      <c r="C6" s="18"/>
      <c r="D6" s="73"/>
      <c r="E6" s="62"/>
      <c r="F6" s="73"/>
      <c r="G6" s="18"/>
    </row>
    <row r="7" spans="1:11" ht="30" customHeight="1" thickBot="1">
      <c r="A7" s="79">
        <v>1994</v>
      </c>
      <c r="B7" s="87">
        <v>2823406</v>
      </c>
      <c r="C7" s="86">
        <v>2989156</v>
      </c>
      <c r="D7" s="19">
        <v>5812562</v>
      </c>
      <c r="E7" s="86">
        <v>1318941</v>
      </c>
      <c r="F7" s="87">
        <v>7131503</v>
      </c>
      <c r="G7" s="300">
        <v>1.06143763063733E-2</v>
      </c>
      <c r="H7" s="42"/>
    </row>
    <row r="8" spans="1:11" ht="20" customHeight="1" thickBot="1">
      <c r="A8" s="80">
        <v>1995</v>
      </c>
      <c r="B8" s="75">
        <v>2833617</v>
      </c>
      <c r="C8" s="116">
        <v>3003950</v>
      </c>
      <c r="D8" s="29">
        <v>5837567</v>
      </c>
      <c r="E8" s="116">
        <v>1325772</v>
      </c>
      <c r="F8" s="29">
        <v>7163339</v>
      </c>
      <c r="G8" s="25">
        <v>4.4641361014641657E-3</v>
      </c>
      <c r="H8" s="42"/>
    </row>
    <row r="9" spans="1:11" ht="20" customHeight="1" thickBot="1">
      <c r="A9" s="80">
        <v>1996</v>
      </c>
      <c r="B9" s="29">
        <v>2760146</v>
      </c>
      <c r="C9" s="116">
        <v>2938608</v>
      </c>
      <c r="D9" s="29">
        <v>5698754</v>
      </c>
      <c r="E9" s="116">
        <v>1496000</v>
      </c>
      <c r="F9" s="29">
        <v>7194754</v>
      </c>
      <c r="G9" s="25">
        <v>4.3855246833913626E-3</v>
      </c>
    </row>
    <row r="10" spans="1:11" ht="20" customHeight="1" thickBot="1">
      <c r="A10" s="80">
        <v>1997</v>
      </c>
      <c r="B10" s="29">
        <v>2725064</v>
      </c>
      <c r="C10" s="116">
        <v>2902973</v>
      </c>
      <c r="D10" s="29">
        <v>5628037</v>
      </c>
      <c r="E10" s="116">
        <v>1586768</v>
      </c>
      <c r="F10" s="29">
        <v>7214805</v>
      </c>
      <c r="G10" s="25">
        <v>2.7868916713483186E-3</v>
      </c>
      <c r="I10" s="43"/>
      <c r="J10" s="43"/>
      <c r="K10" s="43"/>
    </row>
    <row r="11" spans="1:11" ht="20" customHeight="1" thickBot="1">
      <c r="A11" s="80">
        <v>1998</v>
      </c>
      <c r="B11" s="29">
        <v>2736949</v>
      </c>
      <c r="C11" s="116">
        <v>2915969</v>
      </c>
      <c r="D11" s="29">
        <v>5652918</v>
      </c>
      <c r="E11" s="116">
        <v>1595685</v>
      </c>
      <c r="F11" s="29">
        <v>7248603</v>
      </c>
      <c r="G11" s="25">
        <v>4.6845340934370365E-3</v>
      </c>
    </row>
    <row r="12" spans="1:11" ht="20" customHeight="1" thickBot="1">
      <c r="A12" s="80">
        <v>1999</v>
      </c>
      <c r="B12" s="29">
        <v>2741177</v>
      </c>
      <c r="C12" s="116">
        <v>2926032</v>
      </c>
      <c r="D12" s="29">
        <v>5667209</v>
      </c>
      <c r="E12" s="116">
        <v>1599325</v>
      </c>
      <c r="F12" s="29">
        <v>7266534</v>
      </c>
      <c r="G12" s="25">
        <v>2.4737180391863093E-3</v>
      </c>
    </row>
    <row r="13" spans="1:11" ht="20" customHeight="1" thickBot="1">
      <c r="A13" s="80">
        <v>2000</v>
      </c>
      <c r="B13" s="29">
        <v>2746615</v>
      </c>
      <c r="C13" s="116">
        <v>2936748</v>
      </c>
      <c r="D13" s="29">
        <v>5683363</v>
      </c>
      <c r="E13" s="116">
        <v>1584748</v>
      </c>
      <c r="F13" s="29">
        <v>7268111</v>
      </c>
      <c r="G13" s="25">
        <v>2.1702231077429761E-4</v>
      </c>
    </row>
    <row r="14" spans="1:11" ht="20" customHeight="1" thickBot="1">
      <c r="A14" s="80">
        <v>2001</v>
      </c>
      <c r="B14" s="29">
        <v>2775829</v>
      </c>
      <c r="C14" s="116">
        <v>2962533</v>
      </c>
      <c r="D14" s="29">
        <v>5738362</v>
      </c>
      <c r="E14" s="116">
        <v>1582925</v>
      </c>
      <c r="F14" s="29">
        <v>7321287</v>
      </c>
      <c r="G14" s="25">
        <v>7.3163439578729601E-3</v>
      </c>
    </row>
    <row r="15" spans="1:11" ht="20" customHeight="1" thickBot="1">
      <c r="A15" s="80">
        <v>2002</v>
      </c>
      <c r="B15" s="29">
        <v>2798041</v>
      </c>
      <c r="C15" s="116">
        <v>2982916</v>
      </c>
      <c r="D15" s="29">
        <v>5780957</v>
      </c>
      <c r="E15" s="116">
        <v>1578408</v>
      </c>
      <c r="F15" s="29">
        <v>7359365</v>
      </c>
      <c r="G15" s="25">
        <v>5.2009981305199482E-3</v>
      </c>
    </row>
    <row r="16" spans="1:11" ht="30" customHeight="1" thickBot="1">
      <c r="A16" s="705">
        <v>2003</v>
      </c>
      <c r="B16" s="356">
        <v>2818135</v>
      </c>
      <c r="C16" s="357">
        <v>3002978</v>
      </c>
      <c r="D16" s="356">
        <v>5821113</v>
      </c>
      <c r="E16" s="357">
        <v>1572075</v>
      </c>
      <c r="F16" s="356">
        <v>7393188</v>
      </c>
      <c r="G16" s="34">
        <v>4.5959128267180661E-3</v>
      </c>
    </row>
    <row r="17" spans="1:7" ht="20" customHeight="1">
      <c r="A17" s="9" t="s">
        <v>1576</v>
      </c>
      <c r="B17" s="309"/>
      <c r="C17" s="309"/>
      <c r="D17" s="309"/>
      <c r="E17" s="309"/>
      <c r="F17" s="309"/>
      <c r="G17" s="671"/>
    </row>
    <row r="18" spans="1:7" ht="13.5" customHeight="1">
      <c r="A18" s="37"/>
      <c r="B18" s="311"/>
      <c r="C18" s="311"/>
      <c r="D18" s="311"/>
      <c r="E18" s="311"/>
      <c r="F18" s="311"/>
      <c r="G18" s="672"/>
    </row>
    <row r="19" spans="1:7" ht="12.75" customHeight="1">
      <c r="A19" s="37" t="s">
        <v>518</v>
      </c>
      <c r="B19" s="311"/>
      <c r="C19" s="311"/>
      <c r="D19" s="311"/>
      <c r="E19" s="311"/>
      <c r="F19" s="311"/>
      <c r="G19" s="672"/>
    </row>
    <row r="20" spans="1:7" ht="12.75" customHeight="1">
      <c r="A20" s="3" t="s">
        <v>519</v>
      </c>
    </row>
    <row r="21" spans="1:7" ht="12.75" customHeight="1">
      <c r="A21" s="413" t="s">
        <v>520</v>
      </c>
    </row>
    <row r="22" spans="1:7" ht="12.75" customHeight="1">
      <c r="A22" s="658" t="s">
        <v>521</v>
      </c>
    </row>
    <row r="23" spans="1:7">
      <c r="A23" s="658" t="s">
        <v>522</v>
      </c>
    </row>
    <row r="24" spans="1:7">
      <c r="A24" s="658"/>
    </row>
    <row r="25" spans="1:7">
      <c r="A25" s="3" t="s">
        <v>523</v>
      </c>
    </row>
    <row r="28" spans="1:7">
      <c r="A28" s="3" t="s">
        <v>256</v>
      </c>
    </row>
  </sheetData>
  <phoneticPr fontId="0" type="noConversion"/>
  <pageMargins left="0.49" right="0.56000000000000005" top="0.96" bottom="0.49" header="0.53" footer="0.4921259845"/>
  <pageSetup paperSize="9" scale="87" orientation="portrait" horizontalDpi="4294967292" verticalDpi="4294967292"/>
  <headerFooter alignWithMargins="0">
    <oddHeader>&amp;L&amp;"Arial,Bold"Versicherte und Finanzen in der OKP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8E34F-AE89-DE4E-8466-1AE29B019164}">
  <sheetPr>
    <pageSetUpPr fitToPage="1"/>
  </sheetPr>
  <dimension ref="A1:F43"/>
  <sheetViews>
    <sheetView zoomScale="75" workbookViewId="0"/>
  </sheetViews>
  <sheetFormatPr baseColWidth="10" defaultColWidth="11.3984375" defaultRowHeight="13"/>
  <cols>
    <col min="1" max="1" width="16.19921875" style="3" customWidth="1"/>
    <col min="2" max="5" width="17.3984375" style="3" customWidth="1"/>
    <col min="6" max="6" width="17.3984375" style="460" customWidth="1"/>
    <col min="7" max="8" width="11.3984375" style="3"/>
    <col min="9" max="9" width="14.796875" style="3" customWidth="1"/>
    <col min="10" max="16384" width="11.3984375" style="3"/>
  </cols>
  <sheetData>
    <row r="1" spans="1:6" s="1" customFormat="1" ht="14" customHeight="1">
      <c r="F1" s="440"/>
    </row>
    <row r="2" spans="1:6" s="1" customFormat="1" ht="28" customHeight="1">
      <c r="A2" s="59" t="s">
        <v>195</v>
      </c>
      <c r="F2" s="321">
        <v>2003</v>
      </c>
    </row>
    <row r="3" spans="1:6" ht="27" customHeight="1">
      <c r="A3" s="2" t="s">
        <v>70</v>
      </c>
      <c r="B3" s="69" t="s">
        <v>72</v>
      </c>
      <c r="C3" s="16" t="s">
        <v>73</v>
      </c>
      <c r="D3" s="69" t="s">
        <v>71</v>
      </c>
      <c r="E3" s="16" t="s">
        <v>22</v>
      </c>
      <c r="F3" s="441" t="s">
        <v>196</v>
      </c>
    </row>
    <row r="4" spans="1:6" ht="12" customHeight="1">
      <c r="A4" s="4"/>
      <c r="B4" s="71"/>
      <c r="C4" s="4"/>
      <c r="D4" s="71"/>
      <c r="E4" s="4"/>
      <c r="F4" s="442" t="s">
        <v>197</v>
      </c>
    </row>
    <row r="5" spans="1:6" ht="30.75" customHeight="1">
      <c r="A5" s="5"/>
      <c r="B5" s="72"/>
      <c r="C5" s="5"/>
      <c r="D5" s="72"/>
      <c r="E5" s="5"/>
      <c r="F5" s="443" t="s">
        <v>26</v>
      </c>
    </row>
    <row r="6" spans="1:6" ht="30" customHeight="1" thickBot="1">
      <c r="A6" s="6" t="s">
        <v>78</v>
      </c>
      <c r="B6" s="87">
        <v>489193</v>
      </c>
      <c r="C6" s="93">
        <v>522225</v>
      </c>
      <c r="D6" s="87">
        <v>246480</v>
      </c>
      <c r="E6" s="93">
        <v>1257898</v>
      </c>
      <c r="F6" s="298">
        <v>3.3116755706499301E-3</v>
      </c>
    </row>
    <row r="7" spans="1:6" ht="20" customHeight="1" thickBot="1">
      <c r="A7" s="7" t="s">
        <v>79</v>
      </c>
      <c r="B7" s="75">
        <v>366226</v>
      </c>
      <c r="C7" s="113">
        <v>397104</v>
      </c>
      <c r="D7" s="75">
        <v>194627</v>
      </c>
      <c r="E7" s="113">
        <v>957957</v>
      </c>
      <c r="F7" s="556">
        <v>2.2294852828861345E-3</v>
      </c>
    </row>
    <row r="8" spans="1:6" ht="20" customHeight="1" thickBot="1">
      <c r="A8" s="7" t="s">
        <v>80</v>
      </c>
      <c r="B8" s="75">
        <v>134378</v>
      </c>
      <c r="C8" s="113">
        <v>141405</v>
      </c>
      <c r="D8" s="75">
        <v>81770</v>
      </c>
      <c r="E8" s="113">
        <v>357553</v>
      </c>
      <c r="F8" s="556">
        <v>2.3716944158651554E-3</v>
      </c>
    </row>
    <row r="9" spans="1:6" ht="20" customHeight="1" thickBot="1">
      <c r="A9" s="7" t="s">
        <v>81</v>
      </c>
      <c r="B9" s="75">
        <v>13687</v>
      </c>
      <c r="C9" s="113">
        <v>13768</v>
      </c>
      <c r="D9" s="75">
        <v>8058</v>
      </c>
      <c r="E9" s="113">
        <v>35513</v>
      </c>
      <c r="F9" s="556">
        <v>6.762658852039749E-4</v>
      </c>
    </row>
    <row r="10" spans="1:6" ht="20" customHeight="1" thickBot="1">
      <c r="A10" s="7" t="s">
        <v>82</v>
      </c>
      <c r="B10" s="75">
        <v>52363</v>
      </c>
      <c r="C10" s="113">
        <v>51732</v>
      </c>
      <c r="D10" s="75">
        <v>31424</v>
      </c>
      <c r="E10" s="113">
        <v>135519</v>
      </c>
      <c r="F10" s="556">
        <v>1.2809685736706378E-2</v>
      </c>
    </row>
    <row r="11" spans="1:6" ht="20" customHeight="1" thickBot="1">
      <c r="A11" s="7" t="s">
        <v>83</v>
      </c>
      <c r="B11" s="75">
        <v>12899</v>
      </c>
      <c r="C11" s="113">
        <v>12974</v>
      </c>
      <c r="D11" s="75">
        <v>8108</v>
      </c>
      <c r="E11" s="113">
        <v>33981</v>
      </c>
      <c r="F11" s="556">
        <v>8.8471929459965626E-3</v>
      </c>
    </row>
    <row r="12" spans="1:6" ht="20" customHeight="1" thickBot="1">
      <c r="A12" s="7" t="s">
        <v>84</v>
      </c>
      <c r="B12" s="75">
        <v>15244</v>
      </c>
      <c r="C12" s="113">
        <v>15167</v>
      </c>
      <c r="D12" s="75">
        <v>8493</v>
      </c>
      <c r="E12" s="113">
        <v>38904</v>
      </c>
      <c r="F12" s="556">
        <v>8.3458607640869431E-3</v>
      </c>
    </row>
    <row r="13" spans="1:6" ht="20" customHeight="1" thickBot="1">
      <c r="A13" s="7" t="s">
        <v>85</v>
      </c>
      <c r="B13" s="75">
        <v>14816</v>
      </c>
      <c r="C13" s="113">
        <v>15301</v>
      </c>
      <c r="D13" s="75">
        <v>8721</v>
      </c>
      <c r="E13" s="113">
        <v>38838</v>
      </c>
      <c r="F13" s="556">
        <v>2.8921138253370504E-3</v>
      </c>
    </row>
    <row r="14" spans="1:6" ht="20" customHeight="1" thickBot="1">
      <c r="A14" s="7" t="s">
        <v>86</v>
      </c>
      <c r="B14" s="75">
        <v>40434</v>
      </c>
      <c r="C14" s="113">
        <v>40846</v>
      </c>
      <c r="D14" s="75">
        <v>21707</v>
      </c>
      <c r="E14" s="113">
        <v>102987</v>
      </c>
      <c r="F14" s="556">
        <v>1.0498739170109017E-2</v>
      </c>
    </row>
    <row r="15" spans="1:6" ht="20" customHeight="1" thickBot="1">
      <c r="A15" s="7" t="s">
        <v>87</v>
      </c>
      <c r="B15" s="75">
        <v>92684</v>
      </c>
      <c r="C15" s="113">
        <v>95813</v>
      </c>
      <c r="D15" s="75">
        <v>60239</v>
      </c>
      <c r="E15" s="113">
        <v>248736</v>
      </c>
      <c r="F15" s="556">
        <v>1.4300918733102463E-2</v>
      </c>
    </row>
    <row r="16" spans="1:6" ht="20" customHeight="1" thickBot="1">
      <c r="A16" s="7" t="s">
        <v>88</v>
      </c>
      <c r="B16" s="75">
        <v>95664</v>
      </c>
      <c r="C16" s="113">
        <v>100390</v>
      </c>
      <c r="D16" s="75">
        <v>53271</v>
      </c>
      <c r="E16" s="113">
        <v>249325</v>
      </c>
      <c r="F16" s="556">
        <v>4.3829082691138055E-3</v>
      </c>
    </row>
    <row r="17" spans="1:6" ht="20" customHeight="1" thickBot="1">
      <c r="A17" s="7" t="s">
        <v>89</v>
      </c>
      <c r="B17" s="75">
        <v>69859</v>
      </c>
      <c r="C17" s="113">
        <v>80477</v>
      </c>
      <c r="D17" s="75">
        <v>29946</v>
      </c>
      <c r="E17" s="113">
        <v>180282</v>
      </c>
      <c r="F17" s="556">
        <v>-8.7424122459751619E-3</v>
      </c>
    </row>
    <row r="18" spans="1:6" ht="20" customHeight="1" thickBot="1">
      <c r="A18" s="7" t="s">
        <v>90</v>
      </c>
      <c r="B18" s="75">
        <v>102775</v>
      </c>
      <c r="C18" s="113">
        <v>109093</v>
      </c>
      <c r="D18" s="75">
        <v>53173</v>
      </c>
      <c r="E18" s="113">
        <v>265041</v>
      </c>
      <c r="F18" s="556">
        <v>4.5900769434863431E-3</v>
      </c>
    </row>
    <row r="19" spans="1:6" ht="20" customHeight="1" thickBot="1">
      <c r="A19" s="7" t="s">
        <v>91</v>
      </c>
      <c r="B19" s="75">
        <v>28420</v>
      </c>
      <c r="C19" s="113">
        <v>30709</v>
      </c>
      <c r="D19" s="75">
        <v>15450</v>
      </c>
      <c r="E19" s="113">
        <v>74579</v>
      </c>
      <c r="F19" s="556">
        <v>-5.494505494505475E-4</v>
      </c>
    </row>
    <row r="20" spans="1:6" ht="20" customHeight="1" thickBot="1">
      <c r="A20" s="7" t="s">
        <v>92</v>
      </c>
      <c r="B20" s="75">
        <v>20168</v>
      </c>
      <c r="C20" s="113">
        <v>21072</v>
      </c>
      <c r="D20" s="75">
        <v>12522</v>
      </c>
      <c r="E20" s="113">
        <v>53762</v>
      </c>
      <c r="F20" s="556">
        <v>-5.577037477692004E-4</v>
      </c>
    </row>
    <row r="21" spans="1:6" ht="20" customHeight="1" thickBot="1">
      <c r="A21" s="7" t="s">
        <v>93</v>
      </c>
      <c r="B21" s="75">
        <v>5593</v>
      </c>
      <c r="C21" s="113">
        <v>5443</v>
      </c>
      <c r="D21" s="75">
        <v>3948</v>
      </c>
      <c r="E21" s="113">
        <v>14984</v>
      </c>
      <c r="F21" s="556">
        <v>2.6095684175309053E-3</v>
      </c>
    </row>
    <row r="22" spans="1:6" ht="20" customHeight="1" thickBot="1">
      <c r="A22" s="7" t="s">
        <v>94</v>
      </c>
      <c r="B22" s="75">
        <v>172454</v>
      </c>
      <c r="C22" s="113">
        <v>180719</v>
      </c>
      <c r="D22" s="75">
        <v>108078</v>
      </c>
      <c r="E22" s="113">
        <v>461251</v>
      </c>
      <c r="F22" s="556">
        <v>3.6271932878428892E-3</v>
      </c>
    </row>
    <row r="23" spans="1:6" ht="20" customHeight="1" thickBot="1">
      <c r="A23" s="7" t="s">
        <v>95</v>
      </c>
      <c r="B23" s="75">
        <v>76467</v>
      </c>
      <c r="C23" s="113">
        <v>78171</v>
      </c>
      <c r="D23" s="75">
        <v>39764</v>
      </c>
      <c r="E23" s="113">
        <v>194402</v>
      </c>
      <c r="F23" s="556">
        <v>7.9795312154118392E-4</v>
      </c>
    </row>
    <row r="24" spans="1:6" ht="20" customHeight="1" thickBot="1">
      <c r="A24" s="7" t="s">
        <v>96</v>
      </c>
      <c r="B24" s="75">
        <v>217270</v>
      </c>
      <c r="C24" s="113">
        <v>224067</v>
      </c>
      <c r="D24" s="75">
        <v>125088</v>
      </c>
      <c r="E24" s="113">
        <v>566425</v>
      </c>
      <c r="F24" s="556">
        <v>5.7762104650089796E-3</v>
      </c>
    </row>
    <row r="25" spans="1:6" ht="20" customHeight="1" thickBot="1">
      <c r="A25" s="7" t="s">
        <v>97</v>
      </c>
      <c r="B25" s="75">
        <v>86817</v>
      </c>
      <c r="C25" s="113">
        <v>89982</v>
      </c>
      <c r="D25" s="75">
        <v>55929</v>
      </c>
      <c r="E25" s="113">
        <v>232728</v>
      </c>
      <c r="F25" s="556">
        <v>8.1875601070879878E-3</v>
      </c>
    </row>
    <row r="26" spans="1:6" ht="20" customHeight="1" thickBot="1">
      <c r="A26" s="7" t="s">
        <v>98</v>
      </c>
      <c r="B26" s="75">
        <v>121029</v>
      </c>
      <c r="C26" s="113">
        <v>135563</v>
      </c>
      <c r="D26" s="75">
        <v>58829</v>
      </c>
      <c r="E26" s="113">
        <v>315421</v>
      </c>
      <c r="F26" s="556">
        <v>5.4733124219008555E-3</v>
      </c>
    </row>
    <row r="27" spans="1:6" ht="20" customHeight="1" thickBot="1">
      <c r="A27" s="7" t="s">
        <v>99</v>
      </c>
      <c r="B27" s="75">
        <v>236862</v>
      </c>
      <c r="C27" s="113">
        <v>260486</v>
      </c>
      <c r="D27" s="75">
        <v>142761</v>
      </c>
      <c r="E27" s="113">
        <v>640109</v>
      </c>
      <c r="F27" s="556">
        <v>1.4291147063018039E-2</v>
      </c>
    </row>
    <row r="28" spans="1:6" ht="20" customHeight="1" thickBot="1">
      <c r="A28" s="7" t="s">
        <v>100</v>
      </c>
      <c r="B28" s="75">
        <v>111534</v>
      </c>
      <c r="C28" s="113">
        <v>116585</v>
      </c>
      <c r="D28" s="75">
        <v>63276</v>
      </c>
      <c r="E28" s="113">
        <v>291395</v>
      </c>
      <c r="F28" s="556">
        <v>1.2111507842783142E-2</v>
      </c>
    </row>
    <row r="29" spans="1:6" ht="20" customHeight="1" thickBot="1">
      <c r="A29" s="7" t="s">
        <v>101</v>
      </c>
      <c r="B29" s="75">
        <v>62839</v>
      </c>
      <c r="C29" s="113">
        <v>68878</v>
      </c>
      <c r="D29" s="75">
        <v>36926</v>
      </c>
      <c r="E29" s="113">
        <v>168643</v>
      </c>
      <c r="F29" s="556">
        <v>-8.1762757656367313E-4</v>
      </c>
    </row>
    <row r="30" spans="1:6" ht="20" customHeight="1" thickBot="1">
      <c r="A30" s="7" t="s">
        <v>102</v>
      </c>
      <c r="B30" s="75">
        <v>146827</v>
      </c>
      <c r="C30" s="113">
        <v>164224</v>
      </c>
      <c r="D30" s="75">
        <v>85620</v>
      </c>
      <c r="E30" s="113">
        <v>396671</v>
      </c>
      <c r="F30" s="556">
        <v>3.8186870195009437E-3</v>
      </c>
    </row>
    <row r="31" spans="1:6" ht="22" customHeight="1" thickBot="1">
      <c r="A31" s="65" t="s">
        <v>103</v>
      </c>
      <c r="B31" s="557">
        <v>25925</v>
      </c>
      <c r="C31" s="558">
        <v>27603</v>
      </c>
      <c r="D31" s="557">
        <v>16282</v>
      </c>
      <c r="E31" s="558">
        <v>69810</v>
      </c>
      <c r="F31" s="559">
        <v>-3.4545766002398448E-3</v>
      </c>
    </row>
    <row r="32" spans="1:6" ht="21.75" customHeight="1" thickBot="1">
      <c r="A32" s="65" t="s">
        <v>1311</v>
      </c>
      <c r="B32" s="557">
        <v>2812427</v>
      </c>
      <c r="C32" s="558">
        <v>2999797</v>
      </c>
      <c r="D32" s="557">
        <v>1570490</v>
      </c>
      <c r="E32" s="558">
        <v>7382714</v>
      </c>
      <c r="F32" s="559">
        <v>5.0602106528800928E-3</v>
      </c>
    </row>
    <row r="33" spans="1:6" ht="18.75" customHeight="1" thickBot="1">
      <c r="A33" s="560" t="s">
        <v>1621</v>
      </c>
      <c r="B33" s="557">
        <v>5685</v>
      </c>
      <c r="C33" s="558">
        <v>3171</v>
      </c>
      <c r="D33" s="557">
        <v>1582</v>
      </c>
      <c r="E33" s="558">
        <v>10438</v>
      </c>
      <c r="F33" s="559">
        <v>-0.24103831891223737</v>
      </c>
    </row>
    <row r="34" spans="1:6" ht="22" customHeight="1" thickBot="1">
      <c r="A34" s="65" t="s">
        <v>198</v>
      </c>
      <c r="B34" s="557">
        <v>23</v>
      </c>
      <c r="C34" s="558">
        <v>10</v>
      </c>
      <c r="D34" s="557">
        <v>3</v>
      </c>
      <c r="E34" s="558">
        <v>36</v>
      </c>
      <c r="F34" s="561">
        <v>-0.47058823529411764</v>
      </c>
    </row>
    <row r="35" spans="1:6" s="35" customFormat="1" ht="30" customHeight="1" thickBot="1">
      <c r="A35" s="424" t="s">
        <v>193</v>
      </c>
      <c r="B35" s="562">
        <v>2818135</v>
      </c>
      <c r="C35" s="563">
        <v>3002978</v>
      </c>
      <c r="D35" s="562">
        <v>1572075</v>
      </c>
      <c r="E35" s="564">
        <v>7393188</v>
      </c>
      <c r="F35" s="307">
        <v>6.4767918588675144E-3</v>
      </c>
    </row>
    <row r="36" spans="1:6">
      <c r="A36" s="37" t="s">
        <v>1334</v>
      </c>
    </row>
    <row r="38" spans="1:6">
      <c r="A38" s="37" t="s">
        <v>1619</v>
      </c>
    </row>
    <row r="40" spans="1:6">
      <c r="A40" s="3" t="s">
        <v>1620</v>
      </c>
    </row>
    <row r="43" spans="1:6">
      <c r="A43" s="118" t="s">
        <v>256</v>
      </c>
    </row>
  </sheetData>
  <phoneticPr fontId="0" type="noConversion"/>
  <pageMargins left="0.62" right="0.52" top="0.74803149606299213" bottom="0.47244094488188981" header="0.43307086614173229" footer="0.31496062992125984"/>
  <pageSetup paperSize="9" scale="89" orientation="portrait" horizontalDpi="1200" verticalDpi="1200"/>
  <headerFooter alignWithMargins="0">
    <oddHeader>&amp;L&amp;"Arial,Bold"Versicherte und Finanzen in der OKP</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428B9-8FA9-7146-B6F1-106EB363C482}">
  <sheetPr>
    <pageSetUpPr fitToPage="1"/>
  </sheetPr>
  <dimension ref="A1:G41"/>
  <sheetViews>
    <sheetView zoomScale="75" workbookViewId="0"/>
  </sheetViews>
  <sheetFormatPr baseColWidth="10" defaultColWidth="11.3984375" defaultRowHeight="13"/>
  <cols>
    <col min="1" max="1" width="18.3984375" style="3" customWidth="1"/>
    <col min="2" max="7" width="14.3984375" style="3" customWidth="1"/>
    <col min="8" max="16384" width="11.3984375" style="3"/>
  </cols>
  <sheetData>
    <row r="1" spans="1:7" ht="14" customHeight="1">
      <c r="A1" s="1"/>
      <c r="B1" s="37"/>
      <c r="C1" s="37"/>
      <c r="D1" s="37"/>
      <c r="E1" s="37"/>
      <c r="F1" s="37"/>
      <c r="G1" s="37"/>
    </row>
    <row r="2" spans="1:7" ht="28" customHeight="1">
      <c r="A2" s="59" t="s">
        <v>1637</v>
      </c>
      <c r="G2" s="321">
        <v>2003</v>
      </c>
    </row>
    <row r="3" spans="1:7" ht="36" customHeight="1">
      <c r="A3" s="565" t="s">
        <v>1622</v>
      </c>
      <c r="B3" s="566" t="s">
        <v>592</v>
      </c>
      <c r="C3" s="567"/>
      <c r="D3" s="566" t="s">
        <v>593</v>
      </c>
      <c r="E3" s="567"/>
      <c r="F3" s="566" t="s">
        <v>22</v>
      </c>
      <c r="G3" s="567"/>
    </row>
    <row r="4" spans="1:7" ht="15" customHeight="1">
      <c r="A4" s="516"/>
      <c r="B4" s="568" t="s">
        <v>1623</v>
      </c>
      <c r="C4" s="569" t="s">
        <v>594</v>
      </c>
      <c r="D4" s="568" t="s">
        <v>1623</v>
      </c>
      <c r="E4" s="569" t="s">
        <v>594</v>
      </c>
      <c r="F4" s="568" t="s">
        <v>1623</v>
      </c>
      <c r="G4" s="569" t="s">
        <v>594</v>
      </c>
    </row>
    <row r="5" spans="1:7" ht="15" customHeight="1">
      <c r="A5" s="77"/>
      <c r="B5" s="70" t="s">
        <v>1030</v>
      </c>
      <c r="C5" s="17" t="s">
        <v>2020</v>
      </c>
      <c r="D5" s="70" t="s">
        <v>1030</v>
      </c>
      <c r="E5" s="17" t="s">
        <v>2020</v>
      </c>
      <c r="F5" s="14" t="s">
        <v>1030</v>
      </c>
      <c r="G5" s="17" t="s">
        <v>2020</v>
      </c>
    </row>
    <row r="6" spans="1:7" ht="21" customHeight="1">
      <c r="A6" s="78"/>
      <c r="B6" s="73"/>
      <c r="C6" s="18" t="s">
        <v>1316</v>
      </c>
      <c r="D6" s="73"/>
      <c r="E6" s="18" t="s">
        <v>1316</v>
      </c>
      <c r="F6" s="73"/>
      <c r="G6" s="18" t="s">
        <v>1316</v>
      </c>
    </row>
    <row r="7" spans="1:7" ht="30" customHeight="1" thickBot="1">
      <c r="A7" s="6" t="s">
        <v>1624</v>
      </c>
      <c r="B7" s="87">
        <v>231372</v>
      </c>
      <c r="C7" s="299">
        <v>3.1295295074330584E-2</v>
      </c>
      <c r="D7" s="87">
        <v>219743</v>
      </c>
      <c r="E7" s="299">
        <v>2.972236063792778E-2</v>
      </c>
      <c r="F7" s="87">
        <v>451115</v>
      </c>
      <c r="G7" s="299">
        <v>6.1017655712258367E-2</v>
      </c>
    </row>
    <row r="8" spans="1:7" ht="20" customHeight="1" thickBot="1">
      <c r="A8" s="570" t="s">
        <v>1625</v>
      </c>
      <c r="B8" s="75">
        <v>214394</v>
      </c>
      <c r="C8" s="299">
        <v>2.8998856785462511E-2</v>
      </c>
      <c r="D8" s="75">
        <v>203822</v>
      </c>
      <c r="E8" s="299">
        <v>2.756889179606957E-2</v>
      </c>
      <c r="F8" s="75">
        <v>418216</v>
      </c>
      <c r="G8" s="299">
        <v>5.656774858153208E-2</v>
      </c>
    </row>
    <row r="9" spans="1:7" ht="20" customHeight="1" thickBot="1">
      <c r="A9" s="7" t="s">
        <v>1626</v>
      </c>
      <c r="B9" s="75">
        <v>227849</v>
      </c>
      <c r="C9" s="299">
        <v>3.0818775337513399E-2</v>
      </c>
      <c r="D9" s="75">
        <v>217405</v>
      </c>
      <c r="E9" s="299">
        <v>2.9406123582952307E-2</v>
      </c>
      <c r="F9" s="75">
        <v>445254</v>
      </c>
      <c r="G9" s="299">
        <v>6.0224898920465703E-2</v>
      </c>
    </row>
    <row r="10" spans="1:7" ht="20" customHeight="1" thickBot="1">
      <c r="A10" s="7" t="s">
        <v>1627</v>
      </c>
      <c r="B10" s="75">
        <v>132017</v>
      </c>
      <c r="C10" s="299">
        <v>1.7856572834344265E-2</v>
      </c>
      <c r="D10" s="75">
        <v>125473</v>
      </c>
      <c r="E10" s="299">
        <v>1.697143370356604E-2</v>
      </c>
      <c r="F10" s="75">
        <v>257490</v>
      </c>
      <c r="G10" s="299">
        <v>3.4828006537910301E-2</v>
      </c>
    </row>
    <row r="11" spans="1:7" ht="31" customHeight="1" thickBot="1">
      <c r="A11" s="65" t="s">
        <v>1628</v>
      </c>
      <c r="B11" s="557">
        <v>805632</v>
      </c>
      <c r="C11" s="571">
        <v>0.10896950003165076</v>
      </c>
      <c r="D11" s="557">
        <v>766443</v>
      </c>
      <c r="E11" s="571">
        <v>0.10366880972051569</v>
      </c>
      <c r="F11" s="557">
        <v>1572075</v>
      </c>
      <c r="G11" s="571">
        <v>0.21263830975216647</v>
      </c>
    </row>
    <row r="12" spans="1:7" ht="19" customHeight="1" thickBot="1">
      <c r="A12" s="7" t="s">
        <v>1629</v>
      </c>
      <c r="B12" s="75">
        <v>89265</v>
      </c>
      <c r="C12" s="299">
        <v>1.2073952400507062E-2</v>
      </c>
      <c r="D12" s="75">
        <v>84024</v>
      </c>
      <c r="E12" s="299">
        <v>1.1365056589931163E-2</v>
      </c>
      <c r="F12" s="75">
        <v>173289</v>
      </c>
      <c r="G12" s="299">
        <v>2.3439008990438225E-2</v>
      </c>
    </row>
    <row r="13" spans="1:7" ht="19" customHeight="1" thickBot="1">
      <c r="A13" s="7" t="s">
        <v>1630</v>
      </c>
      <c r="B13" s="75">
        <v>228242</v>
      </c>
      <c r="C13" s="299">
        <v>3.0871932378833056E-2</v>
      </c>
      <c r="D13" s="75">
        <v>222532</v>
      </c>
      <c r="E13" s="299">
        <v>3.009959979375609E-2</v>
      </c>
      <c r="F13" s="75">
        <v>450774</v>
      </c>
      <c r="G13" s="299">
        <v>6.0971532172589146E-2</v>
      </c>
    </row>
    <row r="14" spans="1:7" ht="19" customHeight="1" thickBot="1">
      <c r="A14" s="7" t="s">
        <v>29</v>
      </c>
      <c r="B14" s="75">
        <v>240064</v>
      </c>
      <c r="C14" s="299">
        <v>3.2470971927130755E-2</v>
      </c>
      <c r="D14" s="75">
        <v>240338</v>
      </c>
      <c r="E14" s="299">
        <v>3.2508033070442685E-2</v>
      </c>
      <c r="F14" s="75">
        <v>480402</v>
      </c>
      <c r="G14" s="299">
        <v>6.4979004997573447E-2</v>
      </c>
    </row>
    <row r="15" spans="1:7" ht="19" customHeight="1" thickBot="1">
      <c r="A15" s="7" t="s">
        <v>30</v>
      </c>
      <c r="B15" s="75">
        <v>283527</v>
      </c>
      <c r="C15" s="299">
        <v>3.834976197007299E-2</v>
      </c>
      <c r="D15" s="75">
        <v>285359</v>
      </c>
      <c r="E15" s="299">
        <v>3.8597557643603814E-2</v>
      </c>
      <c r="F15" s="75">
        <v>568886</v>
      </c>
      <c r="G15" s="299">
        <v>7.6947319613676804E-2</v>
      </c>
    </row>
    <row r="16" spans="1:7" ht="19" customHeight="1" thickBot="1">
      <c r="A16" s="7" t="s">
        <v>31</v>
      </c>
      <c r="B16" s="75">
        <v>321523</v>
      </c>
      <c r="C16" s="299">
        <v>4.3489087522189343E-2</v>
      </c>
      <c r="D16" s="75">
        <v>316903</v>
      </c>
      <c r="E16" s="299">
        <v>4.2864187952477331E-2</v>
      </c>
      <c r="F16" s="75">
        <v>638426</v>
      </c>
      <c r="G16" s="299">
        <v>8.6353275474666674E-2</v>
      </c>
    </row>
    <row r="17" spans="1:7" ht="19" customHeight="1" thickBot="1">
      <c r="A17" s="7" t="s">
        <v>32</v>
      </c>
      <c r="B17" s="75">
        <v>298087</v>
      </c>
      <c r="C17" s="299">
        <v>4.0319142432195691E-2</v>
      </c>
      <c r="D17" s="75">
        <v>292378</v>
      </c>
      <c r="E17" s="299">
        <v>3.9546945106765853E-2</v>
      </c>
      <c r="F17" s="75">
        <v>590465</v>
      </c>
      <c r="G17" s="299">
        <v>7.9866087538961544E-2</v>
      </c>
    </row>
    <row r="18" spans="1:7" ht="19" customHeight="1" thickBot="1">
      <c r="A18" s="7" t="s">
        <v>33</v>
      </c>
      <c r="B18" s="75">
        <v>263798</v>
      </c>
      <c r="C18" s="299">
        <v>3.568122439196731E-2</v>
      </c>
      <c r="D18" s="75">
        <v>258439</v>
      </c>
      <c r="E18" s="299">
        <v>3.4956367943030801E-2</v>
      </c>
      <c r="F18" s="75">
        <v>522237</v>
      </c>
      <c r="G18" s="299">
        <v>7.0637592334998112E-2</v>
      </c>
    </row>
    <row r="19" spans="1:7" ht="19" customHeight="1" thickBot="1">
      <c r="A19" s="7" t="s">
        <v>34</v>
      </c>
      <c r="B19" s="75">
        <v>243784</v>
      </c>
      <c r="C19" s="299">
        <v>3.2974137814431335E-2</v>
      </c>
      <c r="D19" s="75">
        <v>242643</v>
      </c>
      <c r="E19" s="299">
        <v>3.2819806557063069E-2</v>
      </c>
      <c r="F19" s="75">
        <v>486427</v>
      </c>
      <c r="G19" s="299">
        <v>6.5793944371494412E-2</v>
      </c>
    </row>
    <row r="20" spans="1:7" ht="19" customHeight="1" thickBot="1">
      <c r="A20" s="7" t="s">
        <v>35</v>
      </c>
      <c r="B20" s="75">
        <v>230243</v>
      </c>
      <c r="C20" s="299">
        <v>3.1142586932727805E-2</v>
      </c>
      <c r="D20" s="75">
        <v>230810</v>
      </c>
      <c r="E20" s="299">
        <v>3.1219279152647005E-2</v>
      </c>
      <c r="F20" s="75">
        <v>461053</v>
      </c>
      <c r="G20" s="299">
        <v>6.2361866085374806E-2</v>
      </c>
    </row>
    <row r="21" spans="1:7" ht="19" customHeight="1" thickBot="1">
      <c r="A21" s="7" t="s">
        <v>36</v>
      </c>
      <c r="B21" s="75">
        <v>178080</v>
      </c>
      <c r="C21" s="299">
        <v>2.4087037959808408E-2</v>
      </c>
      <c r="D21" s="75">
        <v>189362</v>
      </c>
      <c r="E21" s="299">
        <v>2.5613037298659252E-2</v>
      </c>
      <c r="F21" s="75">
        <v>367442</v>
      </c>
      <c r="G21" s="299">
        <v>4.970007525846766E-2</v>
      </c>
    </row>
    <row r="22" spans="1:7" ht="30" customHeight="1" thickBot="1">
      <c r="A22" s="65" t="s">
        <v>1631</v>
      </c>
      <c r="B22" s="557">
        <v>2376613</v>
      </c>
      <c r="C22" s="571">
        <v>0.32145983572986375</v>
      </c>
      <c r="D22" s="557">
        <v>2362788</v>
      </c>
      <c r="E22" s="571">
        <v>0.31958987110837705</v>
      </c>
      <c r="F22" s="557">
        <v>4739401</v>
      </c>
      <c r="G22" s="571">
        <v>0.64104970683824081</v>
      </c>
    </row>
    <row r="23" spans="1:7" ht="20" customHeight="1" thickBot="1">
      <c r="A23" s="7" t="s">
        <v>37</v>
      </c>
      <c r="B23" s="75">
        <v>144386</v>
      </c>
      <c r="C23" s="299">
        <v>1.9529599409618691E-2</v>
      </c>
      <c r="D23" s="75">
        <v>166860</v>
      </c>
      <c r="E23" s="299">
        <v>2.2569424719079238E-2</v>
      </c>
      <c r="F23" s="75">
        <v>311246</v>
      </c>
      <c r="G23" s="299">
        <v>4.2099024128697933E-2</v>
      </c>
    </row>
    <row r="24" spans="1:7" ht="20" customHeight="1" thickBot="1">
      <c r="A24" s="7" t="s">
        <v>38</v>
      </c>
      <c r="B24" s="75">
        <v>118677</v>
      </c>
      <c r="C24" s="299">
        <v>1.6052209141712615E-2</v>
      </c>
      <c r="D24" s="75">
        <v>154415</v>
      </c>
      <c r="E24" s="299">
        <v>2.0886118410623402E-2</v>
      </c>
      <c r="F24" s="75">
        <v>273092</v>
      </c>
      <c r="G24" s="299">
        <v>3.6938327552336017E-2</v>
      </c>
    </row>
    <row r="25" spans="1:7" ht="20" customHeight="1" thickBot="1">
      <c r="A25" s="7" t="s">
        <v>39</v>
      </c>
      <c r="B25" s="75">
        <v>88446</v>
      </c>
      <c r="C25" s="299">
        <v>1.196317474951266E-2</v>
      </c>
      <c r="D25" s="75">
        <v>134406</v>
      </c>
      <c r="E25" s="299">
        <v>1.8179708131323049E-2</v>
      </c>
      <c r="F25" s="75">
        <v>222852</v>
      </c>
      <c r="G25" s="299">
        <v>3.0142882880835709E-2</v>
      </c>
    </row>
    <row r="26" spans="1:7" ht="20" customHeight="1" thickBot="1">
      <c r="A26" s="7" t="s">
        <v>40</v>
      </c>
      <c r="B26" s="75">
        <v>55547</v>
      </c>
      <c r="C26" s="299">
        <v>7.5132676187863751E-3</v>
      </c>
      <c r="D26" s="75">
        <v>98402</v>
      </c>
      <c r="E26" s="299">
        <v>1.3309819796277329E-2</v>
      </c>
      <c r="F26" s="75">
        <v>153949</v>
      </c>
      <c r="G26" s="299">
        <v>2.0823087415063706E-2</v>
      </c>
    </row>
    <row r="27" spans="1:7" ht="20" customHeight="1" thickBot="1">
      <c r="A27" s="7" t="s">
        <v>41</v>
      </c>
      <c r="B27" s="75">
        <v>25194</v>
      </c>
      <c r="C27" s="299">
        <v>3.4077315496373146E-3</v>
      </c>
      <c r="D27" s="75">
        <v>56238</v>
      </c>
      <c r="E27" s="299">
        <v>7.6067320349489289E-3</v>
      </c>
      <c r="F27" s="75">
        <v>81432</v>
      </c>
      <c r="G27" s="299">
        <v>1.1014463584586243E-2</v>
      </c>
    </row>
    <row r="28" spans="1:7" ht="20" customHeight="1" thickBot="1">
      <c r="A28" s="7" t="s">
        <v>1632</v>
      </c>
      <c r="B28" s="75">
        <v>8072</v>
      </c>
      <c r="C28" s="299">
        <v>1.0918158715834088E-3</v>
      </c>
      <c r="D28" s="75">
        <v>24639</v>
      </c>
      <c r="E28" s="299">
        <v>3.3326624454835994E-3</v>
      </c>
      <c r="F28" s="75">
        <v>32711</v>
      </c>
      <c r="G28" s="299">
        <v>4.424478317067008E-3</v>
      </c>
    </row>
    <row r="29" spans="1:7" ht="20" customHeight="1" thickBot="1">
      <c r="A29" s="7" t="s">
        <v>1633</v>
      </c>
      <c r="B29" s="75">
        <v>1115</v>
      </c>
      <c r="C29" s="299">
        <v>1.5081450654305016E-4</v>
      </c>
      <c r="D29" s="75">
        <v>4742</v>
      </c>
      <c r="E29" s="299">
        <v>6.4140124666111557E-4</v>
      </c>
      <c r="F29" s="75">
        <v>5857</v>
      </c>
      <c r="G29" s="299">
        <v>7.9221575320416579E-4</v>
      </c>
    </row>
    <row r="30" spans="1:7" ht="20" customHeight="1" thickBot="1">
      <c r="A30" s="7" t="s">
        <v>1634</v>
      </c>
      <c r="B30" s="75">
        <v>85</v>
      </c>
      <c r="C30" s="299">
        <v>1.1497070005524003E-5</v>
      </c>
      <c r="D30" s="75">
        <v>486</v>
      </c>
      <c r="E30" s="299">
        <v>6.5736188502172539E-5</v>
      </c>
      <c r="F30" s="75">
        <v>571</v>
      </c>
      <c r="G30" s="299">
        <v>7.7233258507696542E-5</v>
      </c>
    </row>
    <row r="31" spans="1:7" ht="30" customHeight="1" thickBot="1">
      <c r="A31" s="65" t="s">
        <v>1635</v>
      </c>
      <c r="B31" s="557">
        <v>441522</v>
      </c>
      <c r="C31" s="571">
        <v>5.9720109917399636E-2</v>
      </c>
      <c r="D31" s="557">
        <v>640188</v>
      </c>
      <c r="E31" s="571">
        <v>8.6591602972898835E-2</v>
      </c>
      <c r="F31" s="557">
        <v>1081710</v>
      </c>
      <c r="G31" s="571">
        <v>0.14631171289029848</v>
      </c>
    </row>
    <row r="32" spans="1:7" ht="30" customHeight="1" thickBot="1">
      <c r="A32" s="65" t="s">
        <v>198</v>
      </c>
      <c r="B32" s="557">
        <v>0</v>
      </c>
      <c r="C32" s="571">
        <v>0</v>
      </c>
      <c r="D32" s="557">
        <v>2</v>
      </c>
      <c r="E32" s="571">
        <v>2.7051929424762362E-7</v>
      </c>
      <c r="F32" s="557">
        <v>2</v>
      </c>
      <c r="G32" s="571">
        <v>2.7051929424762362E-7</v>
      </c>
    </row>
    <row r="33" spans="1:7" s="35" customFormat="1" ht="30" customHeight="1" thickBot="1">
      <c r="A33" s="572" t="s">
        <v>22</v>
      </c>
      <c r="B33" s="573">
        <v>3623767</v>
      </c>
      <c r="C33" s="574">
        <v>0.49014944567891416</v>
      </c>
      <c r="D33" s="573">
        <v>3769421</v>
      </c>
      <c r="E33" s="574">
        <v>0.50985055432108584</v>
      </c>
      <c r="F33" s="573">
        <v>7393188</v>
      </c>
      <c r="G33" s="574">
        <v>1</v>
      </c>
    </row>
    <row r="34" spans="1:7" ht="19.5" customHeight="1">
      <c r="A34" s="9" t="s">
        <v>1334</v>
      </c>
    </row>
    <row r="35" spans="1:7" ht="10.5" customHeight="1"/>
    <row r="36" spans="1:7">
      <c r="A36" s="413" t="s">
        <v>1844</v>
      </c>
    </row>
    <row r="38" spans="1:7">
      <c r="A38" s="3" t="s">
        <v>1636</v>
      </c>
    </row>
    <row r="41" spans="1:7">
      <c r="A41" s="118" t="s">
        <v>256</v>
      </c>
    </row>
  </sheetData>
  <phoneticPr fontId="0" type="noConversion"/>
  <pageMargins left="0.57999999999999996" right="0.65" top="0.74" bottom="0.49" header="0.42" footer="0.4921259845"/>
  <pageSetup paperSize="9" scale="87" orientation="portrait" horizontalDpi="1200" verticalDpi="1200"/>
  <headerFooter alignWithMargins="0">
    <oddHeader>&amp;L&amp;"Arial,Bold"Versicherte und Finanzen in der OKP</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B0F54-6A07-084F-9ECD-4B155664E307}">
  <sheetPr>
    <pageSetUpPr fitToPage="1"/>
  </sheetPr>
  <dimension ref="A1:H22"/>
  <sheetViews>
    <sheetView zoomScale="75" workbookViewId="0">
      <selection activeCell="A2" sqref="A2"/>
    </sheetView>
  </sheetViews>
  <sheetFormatPr baseColWidth="10" defaultColWidth="11.3984375" defaultRowHeight="13"/>
  <cols>
    <col min="1" max="1" width="18.19921875" style="3" customWidth="1"/>
    <col min="2" max="7" width="14.796875" style="3" customWidth="1"/>
    <col min="8" max="16384" width="11.3984375" style="3"/>
  </cols>
  <sheetData>
    <row r="1" spans="1:8" s="1" customFormat="1" ht="14" customHeight="1"/>
    <row r="2" spans="1:8" s="1" customFormat="1" ht="28" customHeight="1">
      <c r="A2" s="59" t="s">
        <v>508</v>
      </c>
      <c r="G2" s="321">
        <v>2003</v>
      </c>
    </row>
    <row r="3" spans="1:8" ht="24" customHeight="1">
      <c r="A3" s="2" t="s">
        <v>1847</v>
      </c>
      <c r="B3" s="69" t="s">
        <v>1580</v>
      </c>
      <c r="C3" s="16" t="s">
        <v>509</v>
      </c>
      <c r="D3" s="69" t="s">
        <v>510</v>
      </c>
      <c r="E3" s="60" t="s">
        <v>511</v>
      </c>
      <c r="F3" s="69" t="s">
        <v>22</v>
      </c>
      <c r="G3" s="16" t="s">
        <v>24</v>
      </c>
    </row>
    <row r="4" spans="1:8" ht="15" customHeight="1">
      <c r="A4" s="77"/>
      <c r="B4" s="70" t="s">
        <v>1850</v>
      </c>
      <c r="C4" s="17" t="s">
        <v>512</v>
      </c>
      <c r="D4" s="70" t="s">
        <v>1851</v>
      </c>
      <c r="E4" s="61" t="s">
        <v>513</v>
      </c>
      <c r="F4" s="70"/>
      <c r="G4" s="17" t="s">
        <v>25</v>
      </c>
    </row>
    <row r="5" spans="1:8" ht="15" customHeight="1">
      <c r="A5" s="77"/>
      <c r="B5" s="70" t="s">
        <v>1852</v>
      </c>
      <c r="C5" s="17" t="s">
        <v>514</v>
      </c>
      <c r="D5" s="70" t="s">
        <v>1405</v>
      </c>
      <c r="E5" s="61" t="s">
        <v>515</v>
      </c>
      <c r="F5" s="70"/>
      <c r="G5" s="17" t="s">
        <v>26</v>
      </c>
    </row>
    <row r="6" spans="1:8" ht="24" customHeight="1">
      <c r="A6" s="78"/>
      <c r="B6" s="73"/>
      <c r="C6" s="18"/>
      <c r="D6" s="73"/>
      <c r="E6" s="62" t="s">
        <v>516</v>
      </c>
      <c r="F6" s="73"/>
      <c r="G6" s="18"/>
    </row>
    <row r="7" spans="1:8" ht="30" customHeight="1" thickBot="1">
      <c r="A7" s="79">
        <v>1994</v>
      </c>
      <c r="B7" s="19">
        <v>6447562</v>
      </c>
      <c r="C7" s="93">
        <v>643991</v>
      </c>
      <c r="D7" s="19">
        <v>15298</v>
      </c>
      <c r="E7" s="86">
        <v>24802</v>
      </c>
      <c r="F7" s="87">
        <v>7131653</v>
      </c>
      <c r="G7" s="300">
        <v>1.06143763063733E-2</v>
      </c>
      <c r="H7" s="42"/>
    </row>
    <row r="8" spans="1:8" ht="20" customHeight="1" thickBot="1">
      <c r="A8" s="80">
        <v>1995</v>
      </c>
      <c r="B8" s="29">
        <v>6399482</v>
      </c>
      <c r="C8" s="113">
        <v>698747</v>
      </c>
      <c r="D8" s="29">
        <v>32705</v>
      </c>
      <c r="E8" s="116">
        <v>35383</v>
      </c>
      <c r="F8" s="75">
        <v>7166317</v>
      </c>
      <c r="G8" s="25">
        <v>4.8605842151882598E-3</v>
      </c>
      <c r="H8" s="42"/>
    </row>
    <row r="9" spans="1:8" ht="20" customHeight="1" thickBot="1">
      <c r="A9" s="80">
        <v>1996</v>
      </c>
      <c r="B9" s="29">
        <v>4739640</v>
      </c>
      <c r="C9" s="116">
        <v>2305688</v>
      </c>
      <c r="D9" s="29">
        <v>27828</v>
      </c>
      <c r="E9" s="116">
        <v>121598</v>
      </c>
      <c r="F9" s="75">
        <v>7194754</v>
      </c>
      <c r="G9" s="25">
        <v>3.9681470970374319E-3</v>
      </c>
    </row>
    <row r="10" spans="1:8" ht="20" customHeight="1" thickBot="1">
      <c r="A10" s="80">
        <v>1997</v>
      </c>
      <c r="B10" s="29">
        <v>4083854</v>
      </c>
      <c r="C10" s="116">
        <v>2736364</v>
      </c>
      <c r="D10" s="29">
        <v>11494</v>
      </c>
      <c r="E10" s="116">
        <v>383093</v>
      </c>
      <c r="F10" s="29">
        <v>7214805</v>
      </c>
      <c r="G10" s="25">
        <v>2.7868916713483186E-3</v>
      </c>
    </row>
    <row r="11" spans="1:8" ht="20" customHeight="1" thickBot="1">
      <c r="A11" s="80">
        <v>1998</v>
      </c>
      <c r="B11" s="29">
        <v>4016267</v>
      </c>
      <c r="C11" s="116">
        <v>2726468</v>
      </c>
      <c r="D11" s="29">
        <v>11828</v>
      </c>
      <c r="E11" s="116">
        <v>494040</v>
      </c>
      <c r="F11" s="29">
        <v>7248603</v>
      </c>
      <c r="G11" s="25">
        <v>4.6845340934370365E-3</v>
      </c>
    </row>
    <row r="12" spans="1:8" ht="20" customHeight="1" thickBot="1">
      <c r="A12" s="80">
        <v>1999</v>
      </c>
      <c r="B12" s="29">
        <v>3998744</v>
      </c>
      <c r="C12" s="116">
        <v>2715642</v>
      </c>
      <c r="D12" s="29">
        <v>10258</v>
      </c>
      <c r="E12" s="116">
        <v>541890</v>
      </c>
      <c r="F12" s="29">
        <v>7266534</v>
      </c>
      <c r="G12" s="25">
        <v>2.4737180391863093E-3</v>
      </c>
    </row>
    <row r="13" spans="1:8" ht="20" customHeight="1" thickBot="1">
      <c r="A13" s="80">
        <v>2000</v>
      </c>
      <c r="B13" s="29">
        <v>3921920</v>
      </c>
      <c r="C13" s="116">
        <v>2758539</v>
      </c>
      <c r="D13" s="29">
        <v>9811</v>
      </c>
      <c r="E13" s="116">
        <v>577841</v>
      </c>
      <c r="F13" s="29">
        <v>7268111</v>
      </c>
      <c r="G13" s="25">
        <v>2.1702231077429761E-4</v>
      </c>
    </row>
    <row r="14" spans="1:8" ht="20" customHeight="1" thickBot="1">
      <c r="A14" s="80">
        <v>2001</v>
      </c>
      <c r="B14" s="29">
        <v>3882191</v>
      </c>
      <c r="C14" s="116">
        <v>2833816</v>
      </c>
      <c r="D14" s="29">
        <v>9341</v>
      </c>
      <c r="E14" s="116">
        <v>595939</v>
      </c>
      <c r="F14" s="29">
        <v>7321287</v>
      </c>
      <c r="G14" s="25">
        <v>7.3163439578729601E-3</v>
      </c>
    </row>
    <row r="15" spans="1:8" ht="20" customHeight="1" thickBot="1">
      <c r="A15" s="80">
        <v>2002</v>
      </c>
      <c r="B15" s="29">
        <v>3812675</v>
      </c>
      <c r="C15" s="116">
        <v>2980820</v>
      </c>
      <c r="D15" s="29">
        <v>8835</v>
      </c>
      <c r="E15" s="116">
        <v>557035</v>
      </c>
      <c r="F15" s="29">
        <v>7359365</v>
      </c>
      <c r="G15" s="25">
        <v>5.2009981305199482E-3</v>
      </c>
    </row>
    <row r="16" spans="1:8" ht="30" customHeight="1" thickBot="1">
      <c r="A16" s="705">
        <v>2003</v>
      </c>
      <c r="B16" s="356">
        <v>3674270</v>
      </c>
      <c r="C16" s="357">
        <v>3107097</v>
      </c>
      <c r="D16" s="356">
        <v>8317</v>
      </c>
      <c r="E16" s="357">
        <v>603504</v>
      </c>
      <c r="F16" s="356">
        <v>7393188</v>
      </c>
      <c r="G16" s="34">
        <v>4.5959128267180661E-3</v>
      </c>
    </row>
    <row r="17" spans="1:7" ht="19.5" customHeight="1">
      <c r="A17" s="9" t="s">
        <v>1334</v>
      </c>
      <c r="B17" s="9"/>
      <c r="C17" s="9"/>
      <c r="D17" s="9"/>
      <c r="E17" s="9"/>
      <c r="F17" s="9"/>
      <c r="G17" s="9"/>
    </row>
    <row r="19" spans="1:7">
      <c r="A19" s="3" t="s">
        <v>517</v>
      </c>
    </row>
    <row r="22" spans="1:7">
      <c r="A22" s="3" t="s">
        <v>256</v>
      </c>
    </row>
  </sheetData>
  <phoneticPr fontId="0" type="noConversion"/>
  <pageMargins left="0.56000000000000005" right="0.54" top="0.96" bottom="0.49" header="0.57999999999999996" footer="0.4921259845"/>
  <pageSetup paperSize="9" scale="87" orientation="portrait" horizontalDpi="4294967292" verticalDpi="4294967292"/>
  <headerFooter alignWithMargins="0">
    <oddHeader>&amp;L&amp;"Arial,Bold"Versicherte und Finanzen in der OKP</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BD948-E3F4-5749-9F7E-8F14259153DC}">
  <sheetPr>
    <pageSetUpPr fitToPage="1"/>
  </sheetPr>
  <dimension ref="A1:G18"/>
  <sheetViews>
    <sheetView zoomScale="75" workbookViewId="0">
      <selection activeCell="F18" sqref="F18"/>
    </sheetView>
  </sheetViews>
  <sheetFormatPr baseColWidth="10" defaultColWidth="11.3984375" defaultRowHeight="13"/>
  <cols>
    <col min="1" max="1" width="19.3984375" style="3" customWidth="1"/>
    <col min="2" max="7" width="14.3984375" style="3" customWidth="1"/>
    <col min="8" max="16384" width="11.3984375" style="3"/>
  </cols>
  <sheetData>
    <row r="1" spans="1:7" ht="14" customHeight="1">
      <c r="A1" s="388"/>
      <c r="B1" s="37"/>
      <c r="C1" s="37"/>
      <c r="D1" s="37"/>
      <c r="E1" s="37"/>
      <c r="F1" s="37"/>
      <c r="G1" s="37"/>
    </row>
    <row r="2" spans="1:7" ht="39.75" customHeight="1">
      <c r="A2" s="1473" t="s">
        <v>1314</v>
      </c>
      <c r="B2" s="1474"/>
      <c r="C2" s="1474"/>
      <c r="D2" s="1474"/>
      <c r="E2" s="1474"/>
      <c r="F2" s="1474"/>
      <c r="G2" s="389">
        <v>2003</v>
      </c>
    </row>
    <row r="3" spans="1:7" ht="24" customHeight="1">
      <c r="A3" s="2" t="s">
        <v>1315</v>
      </c>
      <c r="B3" s="69" t="s">
        <v>72</v>
      </c>
      <c r="C3" s="16" t="s">
        <v>73</v>
      </c>
      <c r="D3" s="69" t="s">
        <v>71</v>
      </c>
      <c r="E3" s="16" t="s">
        <v>22</v>
      </c>
      <c r="F3" s="69" t="s">
        <v>594</v>
      </c>
      <c r="G3" s="16" t="s">
        <v>24</v>
      </c>
    </row>
    <row r="4" spans="1:7" ht="15" customHeight="1">
      <c r="A4" s="77"/>
      <c r="B4" s="70"/>
      <c r="C4" s="17"/>
      <c r="D4" s="70"/>
      <c r="E4" s="61"/>
      <c r="F4" s="70" t="s">
        <v>2020</v>
      </c>
      <c r="G4" s="17" t="s">
        <v>25</v>
      </c>
    </row>
    <row r="5" spans="1:7" ht="15" customHeight="1">
      <c r="A5" s="4"/>
      <c r="B5" s="70"/>
      <c r="C5" s="17"/>
      <c r="D5" s="70"/>
      <c r="E5" s="17"/>
      <c r="F5" s="70" t="s">
        <v>1316</v>
      </c>
      <c r="G5" s="17" t="s">
        <v>26</v>
      </c>
    </row>
    <row r="6" spans="1:7" ht="24" customHeight="1">
      <c r="A6" s="390"/>
      <c r="B6" s="391"/>
      <c r="C6" s="392"/>
      <c r="D6" s="391"/>
      <c r="E6" s="392"/>
      <c r="F6" s="391"/>
      <c r="G6" s="18"/>
    </row>
    <row r="7" spans="1:7" ht="37.5" customHeight="1" thickBot="1">
      <c r="A7" s="393" t="s">
        <v>1329</v>
      </c>
      <c r="B7" s="74">
        <v>1071380</v>
      </c>
      <c r="C7" s="106">
        <v>1334795</v>
      </c>
      <c r="D7" s="74">
        <v>1268095</v>
      </c>
      <c r="E7" s="106">
        <v>3674270</v>
      </c>
      <c r="F7" s="394">
        <v>0.49698046363760801</v>
      </c>
      <c r="G7" s="395">
        <v>-3.630128453120185E-2</v>
      </c>
    </row>
    <row r="8" spans="1:7" ht="34.5" customHeight="1" thickBot="1">
      <c r="A8" s="393" t="s">
        <v>1330</v>
      </c>
      <c r="B8" s="74">
        <v>1499689</v>
      </c>
      <c r="C8" s="106">
        <v>1430530</v>
      </c>
      <c r="D8" s="74">
        <v>176878</v>
      </c>
      <c r="E8" s="106">
        <v>3107097</v>
      </c>
      <c r="F8" s="394">
        <v>0.42026484379945434</v>
      </c>
      <c r="G8" s="395">
        <v>4.2363175233660538E-2</v>
      </c>
    </row>
    <row r="9" spans="1:7" ht="31.5" customHeight="1" thickBot="1">
      <c r="A9" s="393" t="s">
        <v>1331</v>
      </c>
      <c r="B9" s="74">
        <v>5197</v>
      </c>
      <c r="C9" s="106">
        <v>2795</v>
      </c>
      <c r="D9" s="74">
        <v>325</v>
      </c>
      <c r="E9" s="106">
        <v>8317</v>
      </c>
      <c r="F9" s="394">
        <v>1.1249544851287428E-3</v>
      </c>
      <c r="G9" s="395">
        <v>-5.8630447085455575E-2</v>
      </c>
    </row>
    <row r="10" spans="1:7" ht="33" customHeight="1" thickBot="1">
      <c r="A10" s="393" t="s">
        <v>1332</v>
      </c>
      <c r="B10" s="74">
        <v>241869</v>
      </c>
      <c r="C10" s="106">
        <v>234858</v>
      </c>
      <c r="D10" s="74">
        <v>126777</v>
      </c>
      <c r="E10" s="106">
        <v>603504</v>
      </c>
      <c r="F10" s="394">
        <v>8.1629738077808919E-2</v>
      </c>
      <c r="G10" s="395">
        <v>8.3422047088603055E-2</v>
      </c>
    </row>
    <row r="11" spans="1:7" ht="15" customHeight="1">
      <c r="A11" s="396"/>
      <c r="B11" s="397"/>
      <c r="C11" s="398"/>
      <c r="D11" s="397"/>
      <c r="E11" s="398"/>
      <c r="F11" s="399"/>
      <c r="G11" s="400" t="s">
        <v>969</v>
      </c>
    </row>
    <row r="12" spans="1:7" ht="23.25" customHeight="1" thickBot="1">
      <c r="A12" s="401" t="s">
        <v>22</v>
      </c>
      <c r="B12" s="344">
        <v>2818135</v>
      </c>
      <c r="C12" s="333">
        <v>3002978</v>
      </c>
      <c r="D12" s="344">
        <v>1572075</v>
      </c>
      <c r="E12" s="333">
        <v>7393188</v>
      </c>
      <c r="F12" s="402">
        <v>1</v>
      </c>
      <c r="G12" s="403">
        <v>4.5959128267180661E-3</v>
      </c>
    </row>
    <row r="13" spans="1:7" ht="19.5" customHeight="1">
      <c r="A13" s="9" t="s">
        <v>1334</v>
      </c>
      <c r="B13" s="9"/>
      <c r="C13" s="9"/>
      <c r="D13" s="9"/>
      <c r="E13" s="9"/>
      <c r="F13" s="9"/>
      <c r="G13" s="9"/>
    </row>
    <row r="15" spans="1:7">
      <c r="A15" s="3" t="s">
        <v>1333</v>
      </c>
    </row>
    <row r="18" spans="1:1">
      <c r="A18" s="3" t="s">
        <v>256</v>
      </c>
    </row>
  </sheetData>
  <mergeCells count="1">
    <mergeCell ref="A2:F2"/>
  </mergeCells>
  <phoneticPr fontId="0" type="noConversion"/>
  <pageMargins left="0.53" right="0.54" top="0.79" bottom="0.49" header="0.42" footer="0.4921259845"/>
  <pageSetup paperSize="9" scale="88" orientation="portrait" horizontalDpi="1200" verticalDpi="1200"/>
  <headerFooter alignWithMargins="0">
    <oddHeader>&amp;L&amp;"Arial,Bold"Versicherte und Finanzen in der OKP</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94381-FA7F-314E-9B13-193D3AC60461}">
  <sheetPr>
    <pageSetUpPr fitToPage="1"/>
  </sheetPr>
  <dimension ref="A1:K29"/>
  <sheetViews>
    <sheetView zoomScale="75" workbookViewId="0">
      <selection activeCell="G2" sqref="G2"/>
    </sheetView>
  </sheetViews>
  <sheetFormatPr baseColWidth="10" defaultColWidth="11.3984375" defaultRowHeight="13"/>
  <cols>
    <col min="1" max="1" width="20.796875" style="3" customWidth="1"/>
    <col min="2" max="7" width="14.19921875" style="3" customWidth="1"/>
    <col min="8" max="16384" width="11.3984375" style="3"/>
  </cols>
  <sheetData>
    <row r="1" spans="1:11" s="1" customFormat="1" ht="14" customHeight="1"/>
    <row r="2" spans="1:11" s="1" customFormat="1" ht="28" customHeight="1">
      <c r="A2" s="76" t="s">
        <v>553</v>
      </c>
      <c r="G2" s="321">
        <v>2003</v>
      </c>
    </row>
    <row r="3" spans="1:11" ht="24" customHeight="1">
      <c r="A3" s="2" t="s">
        <v>1591</v>
      </c>
      <c r="B3" s="69" t="s">
        <v>561</v>
      </c>
      <c r="C3" s="16" t="s">
        <v>24</v>
      </c>
      <c r="D3" s="69" t="s">
        <v>554</v>
      </c>
      <c r="E3" s="16" t="s">
        <v>24</v>
      </c>
      <c r="F3" s="69" t="s">
        <v>562</v>
      </c>
      <c r="G3" s="16" t="s">
        <v>24</v>
      </c>
    </row>
    <row r="4" spans="1:11" ht="15" customHeight="1">
      <c r="A4" s="77"/>
      <c r="B4" s="70"/>
      <c r="C4" s="17" t="s">
        <v>25</v>
      </c>
      <c r="D4" s="70" t="s">
        <v>563</v>
      </c>
      <c r="E4" s="17" t="s">
        <v>25</v>
      </c>
      <c r="F4" s="70"/>
      <c r="G4" s="17" t="s">
        <v>25</v>
      </c>
    </row>
    <row r="5" spans="1:11" ht="15" customHeight="1">
      <c r="A5" s="77"/>
      <c r="B5" s="70"/>
      <c r="C5" s="17" t="s">
        <v>26</v>
      </c>
      <c r="D5" s="70"/>
      <c r="E5" s="17" t="s">
        <v>26</v>
      </c>
      <c r="F5" s="70"/>
      <c r="G5" s="17" t="s">
        <v>26</v>
      </c>
    </row>
    <row r="6" spans="1:11" ht="24" customHeight="1">
      <c r="A6" s="78"/>
      <c r="B6" s="73"/>
      <c r="C6" s="18"/>
      <c r="D6" s="73"/>
      <c r="E6" s="18"/>
      <c r="F6" s="73"/>
      <c r="G6" s="18"/>
    </row>
    <row r="7" spans="1:11" ht="30" customHeight="1" thickBot="1">
      <c r="A7" s="79">
        <v>1994</v>
      </c>
      <c r="B7" s="87">
        <v>5454599</v>
      </c>
      <c r="C7" s="300" t="s">
        <v>258</v>
      </c>
      <c r="D7" s="19">
        <v>1155023</v>
      </c>
      <c r="E7" s="300" t="s">
        <v>258</v>
      </c>
      <c r="F7" s="87">
        <v>20875408</v>
      </c>
      <c r="G7" s="300" t="s">
        <v>258</v>
      </c>
      <c r="H7" s="42"/>
    </row>
    <row r="8" spans="1:11" ht="20" customHeight="1" thickBot="1">
      <c r="A8" s="80">
        <v>1995</v>
      </c>
      <c r="B8" s="75">
        <v>5702352</v>
      </c>
      <c r="C8" s="25">
        <v>4.542093745113069E-2</v>
      </c>
      <c r="D8" s="29">
        <v>1201676</v>
      </c>
      <c r="E8" s="25">
        <v>4.0391403461229776E-2</v>
      </c>
      <c r="F8" s="29">
        <v>22276549</v>
      </c>
      <c r="G8" s="25">
        <v>6.711921510707719E-2</v>
      </c>
      <c r="H8" s="42"/>
    </row>
    <row r="9" spans="1:11" ht="20" customHeight="1" thickBot="1">
      <c r="A9" s="80">
        <v>1996</v>
      </c>
      <c r="B9" s="29">
        <v>5599991</v>
      </c>
      <c r="C9" s="25">
        <v>-1.7950663164953688E-2</v>
      </c>
      <c r="D9" s="29">
        <v>1117084</v>
      </c>
      <c r="E9" s="25">
        <v>-7.0395014962435803E-2</v>
      </c>
      <c r="F9" s="29">
        <v>18812841</v>
      </c>
      <c r="G9" s="25">
        <v>-0.15548674078736344</v>
      </c>
    </row>
    <row r="10" spans="1:11" ht="20" customHeight="1" thickBot="1">
      <c r="A10" s="80">
        <v>1997</v>
      </c>
      <c r="B10" s="29">
        <v>5669325</v>
      </c>
      <c r="C10" s="25">
        <v>1.2381091326753918E-2</v>
      </c>
      <c r="D10" s="29">
        <v>1150122</v>
      </c>
      <c r="E10" s="25">
        <v>2.9575215471710273E-2</v>
      </c>
      <c r="F10" s="29">
        <v>18987651</v>
      </c>
      <c r="G10" s="25">
        <v>9.2920574835028899E-3</v>
      </c>
      <c r="I10" s="43"/>
      <c r="J10" s="43"/>
      <c r="K10" s="43"/>
    </row>
    <row r="11" spans="1:11" ht="20" customHeight="1" thickBot="1">
      <c r="A11" s="80">
        <v>1998</v>
      </c>
      <c r="B11" s="29">
        <v>5768621</v>
      </c>
      <c r="C11" s="25">
        <v>1.7514607118131346E-2</v>
      </c>
      <c r="D11" s="29">
        <v>1154759</v>
      </c>
      <c r="E11" s="25">
        <v>4.0317461973599323E-3</v>
      </c>
      <c r="F11" s="29">
        <v>17067058</v>
      </c>
      <c r="G11" s="25">
        <v>-0.10114958401120813</v>
      </c>
    </row>
    <row r="12" spans="1:11" ht="20" customHeight="1" thickBot="1">
      <c r="A12" s="80">
        <v>1999</v>
      </c>
      <c r="B12" s="29">
        <v>5833167</v>
      </c>
      <c r="C12" s="25">
        <v>1.1189155952523141E-2</v>
      </c>
      <c r="D12" s="29">
        <v>1096033</v>
      </c>
      <c r="E12" s="25">
        <v>-5.085563308014919E-2</v>
      </c>
      <c r="F12" s="29">
        <v>12747160</v>
      </c>
      <c r="G12" s="25">
        <v>-0.25311321963047173</v>
      </c>
    </row>
    <row r="13" spans="1:11" ht="19.5" customHeight="1" thickBot="1">
      <c r="A13" s="80">
        <v>2000</v>
      </c>
      <c r="B13" s="29">
        <v>5947035</v>
      </c>
      <c r="C13" s="25">
        <v>1.9520785192674923E-2</v>
      </c>
      <c r="D13" s="29">
        <v>1097932</v>
      </c>
      <c r="E13" s="25">
        <v>1.7326120655126261E-3</v>
      </c>
      <c r="F13" s="29">
        <v>12447351</v>
      </c>
      <c r="G13" s="25">
        <v>-2.3519670263807781E-2</v>
      </c>
    </row>
    <row r="14" spans="1:11" ht="19.5" customHeight="1" thickBot="1">
      <c r="A14" s="80">
        <v>2001</v>
      </c>
      <c r="B14" s="29">
        <v>6043905</v>
      </c>
      <c r="C14" s="25">
        <v>1.6288789287434831E-2</v>
      </c>
      <c r="D14" s="29">
        <v>1193315</v>
      </c>
      <c r="E14" s="25">
        <v>8.6875143451507014E-2</v>
      </c>
      <c r="F14" s="29">
        <v>12514126</v>
      </c>
      <c r="G14" s="25">
        <v>5.3645952460085683E-3</v>
      </c>
    </row>
    <row r="15" spans="1:11" ht="19.5" customHeight="1" thickBot="1">
      <c r="A15" s="80">
        <v>2002</v>
      </c>
      <c r="B15" s="29">
        <v>6170788</v>
      </c>
      <c r="C15" s="25">
        <v>2.0993546390950885E-2</v>
      </c>
      <c r="D15" s="29">
        <v>1207239</v>
      </c>
      <c r="E15" s="25">
        <v>1.1668335686721444E-2</v>
      </c>
      <c r="F15" s="29">
        <v>12391461</v>
      </c>
      <c r="G15" s="25">
        <v>-9.8021228170469109E-3</v>
      </c>
    </row>
    <row r="16" spans="1:11" ht="30" customHeight="1" thickBot="1">
      <c r="A16" s="705">
        <v>2003</v>
      </c>
      <c r="B16" s="356">
        <v>6105077</v>
      </c>
      <c r="C16" s="34">
        <v>-1.0648721038544834E-2</v>
      </c>
      <c r="D16" s="356">
        <v>1148028</v>
      </c>
      <c r="E16" s="34">
        <v>-4.904662622728391E-2</v>
      </c>
      <c r="F16" s="356">
        <v>11395671</v>
      </c>
      <c r="G16" s="34">
        <v>-8.0360984067980368E-2</v>
      </c>
    </row>
    <row r="17" spans="1:7" ht="19.5" customHeight="1">
      <c r="A17" s="9" t="s">
        <v>1334</v>
      </c>
      <c r="B17" s="9"/>
      <c r="C17" s="9"/>
      <c r="D17" s="9"/>
      <c r="E17" s="9"/>
      <c r="F17" s="9"/>
      <c r="G17" s="9"/>
    </row>
    <row r="18" spans="1:7" ht="12.75" customHeight="1">
      <c r="A18" s="37"/>
      <c r="B18" s="37"/>
      <c r="C18" s="37"/>
      <c r="D18" s="37"/>
      <c r="E18" s="37"/>
      <c r="F18" s="37"/>
      <c r="G18" s="37"/>
    </row>
    <row r="19" spans="1:7" ht="12.75" customHeight="1">
      <c r="A19" s="37" t="s">
        <v>1645</v>
      </c>
      <c r="B19" s="37"/>
      <c r="C19" s="37"/>
      <c r="D19" s="37"/>
      <c r="E19" s="37"/>
      <c r="F19" s="37"/>
      <c r="G19" s="37"/>
    </row>
    <row r="20" spans="1:7" ht="12.75" customHeight="1">
      <c r="A20" s="37" t="s">
        <v>555</v>
      </c>
      <c r="B20" s="37"/>
      <c r="C20" s="37"/>
      <c r="D20" s="37"/>
      <c r="E20" s="37"/>
      <c r="F20" s="37"/>
      <c r="G20" s="37"/>
    </row>
    <row r="21" spans="1:7" ht="12.75" customHeight="1">
      <c r="A21" s="3" t="s">
        <v>556</v>
      </c>
    </row>
    <row r="22" spans="1:7" ht="12.75" customHeight="1">
      <c r="A22" s="3" t="s">
        <v>557</v>
      </c>
    </row>
    <row r="23" spans="1:7" ht="12.75" customHeight="1">
      <c r="A23" s="3" t="s">
        <v>558</v>
      </c>
    </row>
    <row r="24" spans="1:7" ht="12.75" customHeight="1">
      <c r="A24" s="3" t="s">
        <v>559</v>
      </c>
    </row>
    <row r="26" spans="1:7">
      <c r="A26" s="3" t="s">
        <v>560</v>
      </c>
    </row>
    <row r="29" spans="1:7">
      <c r="A29" s="3" t="s">
        <v>256</v>
      </c>
    </row>
  </sheetData>
  <phoneticPr fontId="0" type="noConversion"/>
  <pageMargins left="0.53" right="0.47" top="0.92" bottom="0.49" header="0.54" footer="0.4921259845"/>
  <pageSetup paperSize="9" scale="88" orientation="portrait" horizontalDpi="4294967292" verticalDpi="4294967292"/>
  <headerFooter alignWithMargins="0">
    <oddHeader>&amp;L&amp;"Arial,Bold"Versicherte und Finanzen in der OKP</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4E57-A352-7C40-B9F4-55F243FB349B}">
  <sheetPr>
    <pageSetUpPr fitToPage="1"/>
  </sheetPr>
  <dimension ref="A1:G25"/>
  <sheetViews>
    <sheetView zoomScale="75" workbookViewId="0"/>
  </sheetViews>
  <sheetFormatPr baseColWidth="10" defaultColWidth="10.796875" defaultRowHeight="13"/>
  <cols>
    <col min="1" max="1" width="35.796875" style="3" customWidth="1"/>
    <col min="2" max="3" width="12.796875" style="42" customWidth="1"/>
    <col min="4" max="4" width="14.19921875" style="42" customWidth="1"/>
    <col min="5" max="5" width="12.796875" style="42" customWidth="1"/>
    <col min="6" max="6" width="14.19921875" style="42" customWidth="1"/>
    <col min="7" max="7" width="12.796875" style="3" customWidth="1"/>
    <col min="8" max="16384" width="10.796875" style="3"/>
  </cols>
  <sheetData>
    <row r="1" spans="1:7" ht="14" customHeight="1">
      <c r="A1" s="388"/>
    </row>
    <row r="2" spans="1:7" ht="28" customHeight="1">
      <c r="A2" s="76" t="s">
        <v>1638</v>
      </c>
      <c r="G2" s="321">
        <v>2003</v>
      </c>
    </row>
    <row r="3" spans="1:7" s="100" customFormat="1" ht="25" customHeight="1">
      <c r="A3" s="575" t="s">
        <v>1639</v>
      </c>
      <c r="B3" s="13" t="s">
        <v>72</v>
      </c>
      <c r="C3" s="60" t="s">
        <v>73</v>
      </c>
      <c r="D3" s="13" t="s">
        <v>77</v>
      </c>
      <c r="E3" s="16" t="s">
        <v>71</v>
      </c>
      <c r="F3" s="339" t="s">
        <v>22</v>
      </c>
      <c r="G3" s="16" t="s">
        <v>24</v>
      </c>
    </row>
    <row r="4" spans="1:7" s="100" customFormat="1" ht="15" customHeight="1">
      <c r="A4" s="576"/>
      <c r="B4" s="14"/>
      <c r="C4" s="61"/>
      <c r="D4" s="14"/>
      <c r="E4" s="61"/>
      <c r="F4" s="70"/>
      <c r="G4" s="17" t="s">
        <v>25</v>
      </c>
    </row>
    <row r="5" spans="1:7" s="100" customFormat="1" ht="15" customHeight="1">
      <c r="A5" s="576"/>
      <c r="B5" s="14"/>
      <c r="C5" s="61"/>
      <c r="D5" s="14"/>
      <c r="E5" s="61"/>
      <c r="F5" s="70"/>
      <c r="G5" s="17" t="s">
        <v>26</v>
      </c>
    </row>
    <row r="6" spans="1:7" s="100" customFormat="1" ht="24" customHeight="1">
      <c r="A6" s="577"/>
      <c r="B6" s="578"/>
      <c r="C6" s="579"/>
      <c r="D6" s="578"/>
      <c r="E6" s="579"/>
      <c r="F6" s="391"/>
      <c r="G6" s="18"/>
    </row>
    <row r="7" spans="1:7" ht="30" customHeight="1" thickBot="1">
      <c r="A7" s="580" t="s">
        <v>1030</v>
      </c>
      <c r="B7" s="19">
        <v>2818135</v>
      </c>
      <c r="C7" s="86">
        <v>3002978</v>
      </c>
      <c r="D7" s="19">
        <v>5821113</v>
      </c>
      <c r="E7" s="86">
        <v>1572075</v>
      </c>
      <c r="F7" s="406">
        <v>7393188</v>
      </c>
      <c r="G7" s="299">
        <v>4.5959128267180661E-3</v>
      </c>
    </row>
    <row r="8" spans="1:7" ht="24" customHeight="1" thickBot="1">
      <c r="A8" s="581" t="s">
        <v>1648</v>
      </c>
      <c r="B8" s="29">
        <v>2040225</v>
      </c>
      <c r="C8" s="116">
        <v>2699474</v>
      </c>
      <c r="D8" s="29">
        <v>4739699</v>
      </c>
      <c r="E8" s="116">
        <v>1365378</v>
      </c>
      <c r="F8" s="84">
        <v>6105077</v>
      </c>
      <c r="G8" s="299">
        <v>-1.0648721038544834E-2</v>
      </c>
    </row>
    <row r="9" spans="1:7" ht="20" customHeight="1" thickBot="1">
      <c r="A9" s="581" t="s">
        <v>1640</v>
      </c>
      <c r="B9" s="473">
        <v>72.400000000000006</v>
      </c>
      <c r="C9" s="88">
        <v>89.9</v>
      </c>
      <c r="D9" s="473">
        <v>81.4225561331656</v>
      </c>
      <c r="E9" s="88">
        <v>86.9</v>
      </c>
      <c r="F9" s="582">
        <v>82.6</v>
      </c>
      <c r="G9" s="299">
        <v>-1.4319809069212444E-2</v>
      </c>
    </row>
    <row r="10" spans="1:7" ht="24" customHeight="1" thickBot="1">
      <c r="A10" s="581" t="s">
        <v>1649</v>
      </c>
      <c r="B10" s="29">
        <v>454317</v>
      </c>
      <c r="C10" s="116">
        <v>622872</v>
      </c>
      <c r="D10" s="29">
        <v>1077189</v>
      </c>
      <c r="E10" s="116">
        <v>70839</v>
      </c>
      <c r="F10" s="84">
        <v>1148028</v>
      </c>
      <c r="G10" s="299">
        <v>-4.904662622728391E-2</v>
      </c>
    </row>
    <row r="11" spans="1:7" ht="20" customHeight="1" thickBot="1">
      <c r="A11" s="581" t="s">
        <v>1641</v>
      </c>
      <c r="B11" s="29" t="s">
        <v>1013</v>
      </c>
      <c r="C11" s="116">
        <v>84369</v>
      </c>
      <c r="D11" s="29">
        <v>84369</v>
      </c>
      <c r="E11" s="116">
        <v>562</v>
      </c>
      <c r="F11" s="84">
        <v>84931</v>
      </c>
      <c r="G11" s="299">
        <v>3.7108382476334543E-3</v>
      </c>
    </row>
    <row r="12" spans="1:7" ht="20" customHeight="1" thickBot="1">
      <c r="A12" s="583" t="s">
        <v>1642</v>
      </c>
      <c r="B12" s="473">
        <v>16.100000000000001</v>
      </c>
      <c r="C12" s="88">
        <v>20.7</v>
      </c>
      <c r="D12" s="473">
        <v>18.504863245224755</v>
      </c>
      <c r="E12" s="88">
        <v>4.5</v>
      </c>
      <c r="F12" s="582">
        <v>15.5</v>
      </c>
      <c r="G12" s="299">
        <v>-5.4878048780487722E-2</v>
      </c>
    </row>
    <row r="13" spans="1:7" ht="24" customHeight="1" thickBot="1">
      <c r="A13" s="581" t="s">
        <v>1650</v>
      </c>
      <c r="B13" s="29">
        <v>4670298</v>
      </c>
      <c r="C13" s="116">
        <v>6322272</v>
      </c>
      <c r="D13" s="29">
        <v>10992570</v>
      </c>
      <c r="E13" s="116">
        <v>403101</v>
      </c>
      <c r="F13" s="84">
        <v>11395671</v>
      </c>
      <c r="G13" s="299">
        <v>-8.0360984067980368E-2</v>
      </c>
    </row>
    <row r="14" spans="1:7" ht="20" customHeight="1" thickBot="1">
      <c r="A14" s="581" t="s">
        <v>1641</v>
      </c>
      <c r="B14" s="584" t="s">
        <v>1013</v>
      </c>
      <c r="C14" s="116">
        <v>484595</v>
      </c>
      <c r="D14" s="29">
        <v>484595</v>
      </c>
      <c r="E14" s="116">
        <v>2578</v>
      </c>
      <c r="F14" s="84">
        <v>487173</v>
      </c>
      <c r="G14" s="299">
        <v>-4.7595494986500987E-2</v>
      </c>
    </row>
    <row r="15" spans="1:7" ht="20" customHeight="1" thickBot="1">
      <c r="A15" s="581" t="s">
        <v>1643</v>
      </c>
      <c r="B15" s="473">
        <v>165.7</v>
      </c>
      <c r="C15" s="88">
        <v>210.5</v>
      </c>
      <c r="D15" s="473">
        <v>188.83966004439355</v>
      </c>
      <c r="E15" s="88">
        <v>25.6</v>
      </c>
      <c r="F15" s="582">
        <v>154.1</v>
      </c>
      <c r="G15" s="299">
        <v>-8.491686460807607E-2</v>
      </c>
    </row>
    <row r="16" spans="1:7" ht="30" customHeight="1" thickBot="1">
      <c r="A16" s="401" t="s">
        <v>1644</v>
      </c>
      <c r="B16" s="585">
        <v>10.279822238657149</v>
      </c>
      <c r="C16" s="455">
        <v>10.150194582514546</v>
      </c>
      <c r="D16" s="585">
        <v>10.204866555451272</v>
      </c>
      <c r="E16" s="455">
        <v>5.6903824164655061</v>
      </c>
      <c r="F16" s="475">
        <v>9.9263005780346827</v>
      </c>
      <c r="G16" s="571">
        <v>-3.2929435558404906E-2</v>
      </c>
    </row>
    <row r="17" spans="1:7" ht="20" customHeight="1">
      <c r="A17" s="9" t="s">
        <v>1334</v>
      </c>
      <c r="B17" s="111"/>
      <c r="C17" s="111"/>
      <c r="D17" s="111"/>
      <c r="E17" s="111"/>
      <c r="F17" s="111"/>
      <c r="G17" s="9"/>
    </row>
    <row r="18" spans="1:7" ht="13.5" customHeight="1">
      <c r="A18" s="37"/>
      <c r="B18" s="112"/>
      <c r="C18" s="112"/>
      <c r="D18" s="112"/>
      <c r="E18" s="112"/>
      <c r="F18" s="112"/>
      <c r="G18" s="37"/>
    </row>
    <row r="19" spans="1:7" ht="12.75" customHeight="1">
      <c r="A19" s="37" t="s">
        <v>1645</v>
      </c>
      <c r="B19" s="112"/>
      <c r="C19" s="112"/>
      <c r="D19" s="112"/>
      <c r="E19" s="112"/>
      <c r="F19" s="112"/>
      <c r="G19" s="37"/>
    </row>
    <row r="20" spans="1:7" ht="12.75" customHeight="1">
      <c r="A20" s="3" t="s">
        <v>1646</v>
      </c>
    </row>
    <row r="22" spans="1:7">
      <c r="A22" s="3" t="s">
        <v>1647</v>
      </c>
    </row>
    <row r="25" spans="1:7">
      <c r="A25" s="118" t="s">
        <v>256</v>
      </c>
    </row>
  </sheetData>
  <phoneticPr fontId="0" type="noConversion"/>
  <pageMargins left="0.57999999999999996" right="0.65" top="0.85" bottom="0.47244094488188981" header="0.49" footer="0.51181102362204722"/>
  <pageSetup paperSize="9" scale="79" orientation="portrait" horizontalDpi="1200" verticalDpi="1200"/>
  <headerFooter alignWithMargins="0">
    <oddHeader>&amp;L&amp;"Arial,Bold"Versicherte und Finanzen in der OKP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D309E-9105-9C4D-AA2A-553EE39F9930}">
  <sheetPr>
    <pageSetUpPr fitToPage="1"/>
  </sheetPr>
  <dimension ref="A1:K26"/>
  <sheetViews>
    <sheetView zoomScale="75" workbookViewId="0">
      <selection activeCell="A2" sqref="A2:G26"/>
    </sheetView>
  </sheetViews>
  <sheetFormatPr baseColWidth="10" defaultColWidth="11.3984375" defaultRowHeight="13"/>
  <cols>
    <col min="1" max="1" width="14.3984375" style="3" customWidth="1"/>
    <col min="2" max="2" width="17" style="3" customWidth="1"/>
    <col min="3" max="3" width="16.3984375" style="3" customWidth="1"/>
    <col min="4" max="4" width="15.796875" style="3" customWidth="1"/>
    <col min="5" max="5" width="17" style="3" customWidth="1"/>
    <col min="6" max="6" width="18" style="3" customWidth="1"/>
    <col min="7" max="7" width="13.19921875" style="3" customWidth="1"/>
    <col min="8" max="16384" width="11.3984375" style="3"/>
  </cols>
  <sheetData>
    <row r="1" spans="1:11" s="1" customFormat="1" ht="14" customHeight="1"/>
    <row r="2" spans="1:11" s="1" customFormat="1" ht="28" customHeight="1">
      <c r="A2" s="59" t="s">
        <v>547</v>
      </c>
      <c r="G2" s="321">
        <v>2003</v>
      </c>
    </row>
    <row r="3" spans="1:11" ht="24" customHeight="1">
      <c r="A3" s="2" t="s">
        <v>552</v>
      </c>
      <c r="B3" s="69" t="s">
        <v>1848</v>
      </c>
      <c r="C3" s="16" t="s">
        <v>509</v>
      </c>
      <c r="D3" s="69" t="s">
        <v>510</v>
      </c>
      <c r="E3" s="16" t="s">
        <v>511</v>
      </c>
      <c r="F3" s="69" t="s">
        <v>22</v>
      </c>
      <c r="G3" s="16" t="s">
        <v>24</v>
      </c>
    </row>
    <row r="4" spans="1:11" ht="15" customHeight="1">
      <c r="A4" s="77"/>
      <c r="B4" s="70" t="s">
        <v>1850</v>
      </c>
      <c r="C4" s="17" t="s">
        <v>512</v>
      </c>
      <c r="D4" s="70" t="s">
        <v>1851</v>
      </c>
      <c r="E4" s="61" t="s">
        <v>513</v>
      </c>
      <c r="F4" s="70"/>
      <c r="G4" s="17" t="s">
        <v>25</v>
      </c>
    </row>
    <row r="5" spans="1:11" ht="15" customHeight="1">
      <c r="A5" s="77"/>
      <c r="B5" s="70" t="s">
        <v>1852</v>
      </c>
      <c r="C5" s="17" t="s">
        <v>514</v>
      </c>
      <c r="D5" s="70" t="s">
        <v>1405</v>
      </c>
      <c r="E5" s="61" t="s">
        <v>515</v>
      </c>
      <c r="F5" s="70"/>
      <c r="G5" s="17" t="s">
        <v>26</v>
      </c>
    </row>
    <row r="6" spans="1:11" ht="24" customHeight="1">
      <c r="A6" s="78"/>
      <c r="B6" s="73"/>
      <c r="C6" s="18"/>
      <c r="D6" s="73"/>
      <c r="E6" s="62" t="s">
        <v>516</v>
      </c>
      <c r="F6" s="73"/>
      <c r="G6" s="18"/>
    </row>
    <row r="7" spans="1:11" ht="30" customHeight="1" thickBot="1">
      <c r="A7" s="79">
        <v>1994</v>
      </c>
      <c r="B7" s="87">
        <v>8110345000</v>
      </c>
      <c r="C7" s="86">
        <v>912525000</v>
      </c>
      <c r="D7" s="19">
        <v>17591000</v>
      </c>
      <c r="E7" s="86">
        <v>28416000</v>
      </c>
      <c r="F7" s="87">
        <v>9068877000</v>
      </c>
      <c r="G7" s="300" t="s">
        <v>258</v>
      </c>
      <c r="H7" s="42"/>
    </row>
    <row r="8" spans="1:11" ht="20" customHeight="1" thickBot="1">
      <c r="A8" s="80">
        <v>1995</v>
      </c>
      <c r="B8" s="75">
        <v>8101065000</v>
      </c>
      <c r="C8" s="116">
        <v>984026000</v>
      </c>
      <c r="D8" s="29">
        <v>36207000</v>
      </c>
      <c r="E8" s="116">
        <v>38742000</v>
      </c>
      <c r="F8" s="29">
        <v>9160047000</v>
      </c>
      <c r="G8" s="25">
        <v>1.0053063901958313E-2</v>
      </c>
      <c r="H8" s="42"/>
    </row>
    <row r="9" spans="1:11" ht="20" customHeight="1" thickBot="1">
      <c r="A9" s="80">
        <v>1996</v>
      </c>
      <c r="B9" s="29">
        <v>7263879193.6000004</v>
      </c>
      <c r="C9" s="116">
        <v>3689716942.5</v>
      </c>
      <c r="D9" s="29">
        <v>38020066.050000004</v>
      </c>
      <c r="E9" s="116">
        <v>139019617.94999999</v>
      </c>
      <c r="F9" s="29">
        <v>11130635820.099998</v>
      </c>
      <c r="G9" s="25">
        <v>0.21512868002751498</v>
      </c>
    </row>
    <row r="10" spans="1:11" ht="20" customHeight="1" thickBot="1">
      <c r="A10" s="80">
        <v>1997</v>
      </c>
      <c r="B10" s="29">
        <v>6540588878</v>
      </c>
      <c r="C10" s="116">
        <v>4995296573</v>
      </c>
      <c r="D10" s="29">
        <v>16474356</v>
      </c>
      <c r="E10" s="116">
        <v>488324321</v>
      </c>
      <c r="F10" s="29">
        <v>12040684128</v>
      </c>
      <c r="G10" s="25">
        <v>8.1760675904660546E-2</v>
      </c>
      <c r="I10" s="43"/>
      <c r="J10" s="43"/>
      <c r="K10" s="43"/>
    </row>
    <row r="11" spans="1:11" ht="20" customHeight="1" thickBot="1">
      <c r="A11" s="80">
        <v>1998</v>
      </c>
      <c r="B11" s="29">
        <v>6687491385</v>
      </c>
      <c r="C11" s="116">
        <v>5281034163</v>
      </c>
      <c r="D11" s="29">
        <v>17124804</v>
      </c>
      <c r="E11" s="116">
        <v>722619796</v>
      </c>
      <c r="F11" s="29">
        <v>12708270148</v>
      </c>
      <c r="G11" s="25">
        <v>5.5444193444753077E-2</v>
      </c>
    </row>
    <row r="12" spans="1:11" ht="20" customHeight="1" thickBot="1">
      <c r="A12" s="80">
        <v>1999</v>
      </c>
      <c r="B12" s="29">
        <v>6794064715</v>
      </c>
      <c r="C12" s="116">
        <v>5396193285</v>
      </c>
      <c r="D12" s="29">
        <v>15330070</v>
      </c>
      <c r="E12" s="116">
        <v>828254703</v>
      </c>
      <c r="F12" s="29">
        <v>13033842773</v>
      </c>
      <c r="G12" s="25">
        <v>2.5618956884642392E-2</v>
      </c>
    </row>
    <row r="13" spans="1:11" ht="20" customHeight="1" thickBot="1">
      <c r="A13" s="80">
        <v>2000</v>
      </c>
      <c r="B13" s="29">
        <v>6892066397</v>
      </c>
      <c r="C13" s="116">
        <v>5620040093</v>
      </c>
      <c r="D13" s="29">
        <v>15057027</v>
      </c>
      <c r="E13" s="116">
        <v>914491167</v>
      </c>
      <c r="F13" s="29">
        <v>13441654684</v>
      </c>
      <c r="G13" s="25">
        <v>3.1288693450008058E-2</v>
      </c>
    </row>
    <row r="14" spans="1:11" ht="20" customHeight="1" thickBot="1">
      <c r="A14" s="80">
        <v>2001</v>
      </c>
      <c r="B14" s="29">
        <v>7135000924</v>
      </c>
      <c r="C14" s="116">
        <v>5862096902</v>
      </c>
      <c r="D14" s="29">
        <v>14859371</v>
      </c>
      <c r="E14" s="116">
        <v>985355210</v>
      </c>
      <c r="F14" s="29">
        <v>13997312407</v>
      </c>
      <c r="G14" s="25">
        <v>4.133849113542664E-2</v>
      </c>
    </row>
    <row r="15" spans="1:11" ht="20" customHeight="1" thickBot="1">
      <c r="A15" s="80">
        <v>2002</v>
      </c>
      <c r="B15" s="29">
        <v>7607493462</v>
      </c>
      <c r="C15" s="116">
        <v>6653772458</v>
      </c>
      <c r="D15" s="29">
        <v>15940357</v>
      </c>
      <c r="E15" s="116">
        <v>1077838954</v>
      </c>
      <c r="F15" s="29">
        <v>15355045231</v>
      </c>
      <c r="G15" s="25">
        <v>9.69995370912064E-2</v>
      </c>
    </row>
    <row r="16" spans="1:11" ht="30" customHeight="1" thickBot="1">
      <c r="A16" s="758">
        <v>2003</v>
      </c>
      <c r="B16" s="759">
        <v>8119693916</v>
      </c>
      <c r="C16" s="760">
        <v>7519644296</v>
      </c>
      <c r="D16" s="759">
        <v>16399234</v>
      </c>
      <c r="E16" s="760">
        <v>1164373707</v>
      </c>
      <c r="F16" s="759">
        <v>16820111153</v>
      </c>
      <c r="G16" s="34">
        <v>9.5412673812396667E-2</v>
      </c>
    </row>
    <row r="17" spans="1:7" ht="20" customHeight="1">
      <c r="A17" s="9" t="s">
        <v>1334</v>
      </c>
      <c r="B17" s="309"/>
      <c r="C17" s="309"/>
      <c r="D17" s="309"/>
      <c r="E17" s="309"/>
      <c r="F17" s="309"/>
      <c r="G17" s="671"/>
    </row>
    <row r="18" spans="1:7" ht="14.25" customHeight="1">
      <c r="A18" s="37"/>
      <c r="B18" s="311"/>
      <c r="C18" s="311"/>
      <c r="D18" s="311"/>
      <c r="E18" s="311"/>
      <c r="F18" s="311"/>
      <c r="G18" s="672"/>
    </row>
    <row r="19" spans="1:7" ht="12.75" customHeight="1">
      <c r="A19" s="37" t="s">
        <v>548</v>
      </c>
      <c r="B19" s="311"/>
      <c r="C19" s="311"/>
      <c r="D19" s="311"/>
      <c r="E19" s="311"/>
      <c r="F19" s="311"/>
      <c r="G19" s="672"/>
    </row>
    <row r="20" spans="1:7" ht="12.75" customHeight="1">
      <c r="A20" s="3" t="s">
        <v>549</v>
      </c>
    </row>
    <row r="21" spans="1:7" ht="12.75" customHeight="1">
      <c r="A21" s="413" t="s">
        <v>550</v>
      </c>
    </row>
    <row r="23" spans="1:7">
      <c r="A23" s="3" t="s">
        <v>551</v>
      </c>
    </row>
    <row r="26" spans="1:7">
      <c r="A26" s="3" t="s">
        <v>256</v>
      </c>
    </row>
  </sheetData>
  <phoneticPr fontId="0" type="noConversion"/>
  <pageMargins left="0.56000000000000005" right="0.51" top="0.94" bottom="0.49" header="0.51" footer="0.4921259845"/>
  <pageSetup paperSize="9" scale="83" orientation="portrait" horizontalDpi="4294967292" verticalDpi="4294967292"/>
  <headerFooter alignWithMargins="0">
    <oddHeader>&amp;L&amp;"Arial,Bold"Versicherte und Finanzen in der OKP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05EF-7501-BD48-83C6-3C7EC011F411}">
  <sheetPr>
    <pageSetUpPr fitToPage="1"/>
  </sheetPr>
  <dimension ref="A1:K73"/>
  <sheetViews>
    <sheetView topLeftCell="A60" zoomScale="75" workbookViewId="0">
      <selection activeCell="A73" sqref="A1:J73"/>
    </sheetView>
  </sheetViews>
  <sheetFormatPr baseColWidth="10" defaultColWidth="11.3984375" defaultRowHeight="13"/>
  <cols>
    <col min="1" max="1" width="21.59765625" style="3" customWidth="1"/>
    <col min="2" max="3" width="14.3984375" style="3" customWidth="1"/>
    <col min="4" max="6" width="13.19921875" style="3" customWidth="1"/>
    <col min="7" max="7" width="14.3984375" style="3" customWidth="1"/>
    <col min="8" max="10" width="13.796875" style="3" customWidth="1"/>
    <col min="11" max="16384" width="11.3984375" style="3"/>
  </cols>
  <sheetData>
    <row r="1" spans="1:11" s="1" customFormat="1" ht="14" customHeight="1"/>
    <row r="2" spans="1:11" s="1" customFormat="1" ht="35.25" customHeight="1">
      <c r="A2" s="1473" t="s">
        <v>1710</v>
      </c>
      <c r="B2" s="1474"/>
      <c r="C2" s="1474"/>
      <c r="D2" s="1474"/>
      <c r="E2" s="1474"/>
      <c r="F2" s="59">
        <v>2003</v>
      </c>
    </row>
    <row r="3" spans="1:11" ht="24" customHeight="1">
      <c r="A3" s="588" t="s">
        <v>1711</v>
      </c>
      <c r="B3" s="69" t="s">
        <v>1848</v>
      </c>
      <c r="C3" s="16" t="s">
        <v>509</v>
      </c>
      <c r="D3" s="69" t="s">
        <v>510</v>
      </c>
      <c r="E3" s="16" t="s">
        <v>511</v>
      </c>
      <c r="F3" s="69" t="s">
        <v>22</v>
      </c>
      <c r="G3"/>
    </row>
    <row r="4" spans="1:11" ht="15" customHeight="1">
      <c r="A4" s="77"/>
      <c r="B4" s="70" t="s">
        <v>1850</v>
      </c>
      <c r="C4" s="17" t="s">
        <v>512</v>
      </c>
      <c r="D4" s="70" t="s">
        <v>1851</v>
      </c>
      <c r="E4" s="61" t="s">
        <v>513</v>
      </c>
      <c r="F4" s="70"/>
      <c r="G4"/>
    </row>
    <row r="5" spans="1:11" ht="15" customHeight="1">
      <c r="A5" s="77" t="s">
        <v>2102</v>
      </c>
      <c r="B5" s="70" t="s">
        <v>1852</v>
      </c>
      <c r="C5" s="17" t="s">
        <v>514</v>
      </c>
      <c r="D5" s="70" t="s">
        <v>1405</v>
      </c>
      <c r="E5" s="61" t="s">
        <v>515</v>
      </c>
      <c r="F5" s="70"/>
      <c r="G5"/>
    </row>
    <row r="6" spans="1:11" ht="24" customHeight="1">
      <c r="A6" s="77"/>
      <c r="B6" s="73"/>
      <c r="C6" s="18"/>
      <c r="D6" s="73"/>
      <c r="E6" s="62" t="s">
        <v>516</v>
      </c>
      <c r="F6" s="73"/>
      <c r="G6"/>
    </row>
    <row r="7" spans="1:11" ht="30" customHeight="1" thickBot="1">
      <c r="A7" s="79">
        <v>1994</v>
      </c>
      <c r="B7" s="87">
        <v>1257.8932936201311</v>
      </c>
      <c r="C7" s="86">
        <v>1416.984088286948</v>
      </c>
      <c r="D7" s="19">
        <v>1149.8888743626617</v>
      </c>
      <c r="E7" s="86">
        <v>1145.7140553181196</v>
      </c>
      <c r="F7" s="87">
        <v>1271.6374450635778</v>
      </c>
      <c r="G7"/>
      <c r="H7" s="42"/>
    </row>
    <row r="8" spans="1:11" ht="20" customHeight="1" thickBot="1">
      <c r="A8" s="80">
        <v>1995</v>
      </c>
      <c r="B8" s="75">
        <v>1265.8938645346607</v>
      </c>
      <c r="C8" s="116">
        <v>1408.2722358736423</v>
      </c>
      <c r="D8" s="29">
        <v>1107.0784283748662</v>
      </c>
      <c r="E8" s="116">
        <v>1094.9325947488908</v>
      </c>
      <c r="F8" s="29">
        <v>1278.2084577056805</v>
      </c>
      <c r="G8"/>
      <c r="H8" s="42"/>
    </row>
    <row r="9" spans="1:11" ht="20" customHeight="1" thickBot="1">
      <c r="A9" s="80">
        <v>1996</v>
      </c>
      <c r="B9" s="29">
        <v>1532.58</v>
      </c>
      <c r="C9" s="116">
        <v>1600.27</v>
      </c>
      <c r="D9" s="29">
        <v>1366.25</v>
      </c>
      <c r="E9" s="116">
        <v>1143.27</v>
      </c>
      <c r="F9" s="29">
        <v>1547.05</v>
      </c>
      <c r="G9"/>
    </row>
    <row r="10" spans="1:11" ht="20" customHeight="1" thickBot="1">
      <c r="A10" s="80">
        <v>1997</v>
      </c>
      <c r="B10" s="29">
        <v>1601.57</v>
      </c>
      <c r="C10" s="116">
        <v>1825.52</v>
      </c>
      <c r="D10" s="29">
        <v>1433.3</v>
      </c>
      <c r="E10" s="116">
        <v>1274.69</v>
      </c>
      <c r="F10" s="29">
        <v>1668.89</v>
      </c>
      <c r="G10"/>
      <c r="I10" s="43"/>
      <c r="J10" s="43"/>
      <c r="K10" s="43"/>
    </row>
    <row r="11" spans="1:11" ht="20" customHeight="1" thickBot="1">
      <c r="A11" s="80">
        <v>1998</v>
      </c>
      <c r="B11" s="29">
        <v>1665.1</v>
      </c>
      <c r="C11" s="116">
        <v>1936.95</v>
      </c>
      <c r="D11" s="29">
        <v>1447.82</v>
      </c>
      <c r="E11" s="116">
        <v>1462.67</v>
      </c>
      <c r="F11" s="29">
        <v>1753.2</v>
      </c>
      <c r="G11"/>
    </row>
    <row r="12" spans="1:11" ht="20" customHeight="1" thickBot="1">
      <c r="A12" s="80">
        <v>1999</v>
      </c>
      <c r="B12" s="29">
        <v>1699.05</v>
      </c>
      <c r="C12" s="116">
        <v>1987.08</v>
      </c>
      <c r="D12" s="29">
        <v>1494.45</v>
      </c>
      <c r="E12" s="116">
        <v>1528.46</v>
      </c>
      <c r="F12" s="29">
        <v>1793.68</v>
      </c>
      <c r="G12"/>
    </row>
    <row r="13" spans="1:11" ht="20" customHeight="1" thickBot="1">
      <c r="A13" s="80">
        <v>2000</v>
      </c>
      <c r="B13" s="29">
        <v>1757.32</v>
      </c>
      <c r="C13" s="116">
        <v>2037.32</v>
      </c>
      <c r="D13" s="29">
        <v>1534.71</v>
      </c>
      <c r="E13" s="116">
        <v>1582.6</v>
      </c>
      <c r="F13" s="29">
        <v>1849.4</v>
      </c>
      <c r="G13"/>
    </row>
    <row r="14" spans="1:11" ht="20" customHeight="1" thickBot="1">
      <c r="A14" s="80">
        <v>2001</v>
      </c>
      <c r="B14" s="29">
        <v>1837.88</v>
      </c>
      <c r="C14" s="116">
        <v>2068.62</v>
      </c>
      <c r="D14" s="29">
        <v>1590.77</v>
      </c>
      <c r="E14" s="116">
        <v>1653.45</v>
      </c>
      <c r="F14" s="29">
        <v>1911.87</v>
      </c>
      <c r="G14"/>
    </row>
    <row r="15" spans="1:11" ht="20" customHeight="1" thickBot="1">
      <c r="A15" s="80">
        <v>2002</v>
      </c>
      <c r="B15" s="29">
        <v>1995.32</v>
      </c>
      <c r="C15" s="116">
        <v>2232.1999999999998</v>
      </c>
      <c r="D15" s="29">
        <v>1804.23</v>
      </c>
      <c r="E15" s="116">
        <v>1934.96</v>
      </c>
      <c r="F15" s="29">
        <v>2086.46</v>
      </c>
      <c r="G15"/>
    </row>
    <row r="16" spans="1:11" ht="30" customHeight="1" thickBot="1">
      <c r="A16" s="705">
        <v>2003</v>
      </c>
      <c r="B16" s="356">
        <v>2209.88</v>
      </c>
      <c r="C16" s="357">
        <v>2420.15</v>
      </c>
      <c r="D16" s="356">
        <v>1971.77</v>
      </c>
      <c r="E16" s="357">
        <v>1929.36</v>
      </c>
      <c r="F16" s="356">
        <v>2275.08</v>
      </c>
      <c r="G16" s="608"/>
    </row>
    <row r="17" spans="1:9" ht="20" customHeight="1">
      <c r="A17" s="9" t="s">
        <v>1334</v>
      </c>
      <c r="B17" s="309"/>
      <c r="C17" s="309"/>
      <c r="D17" s="309"/>
      <c r="E17" s="309"/>
      <c r="F17" s="309"/>
      <c r="G17" s="672"/>
    </row>
    <row r="18" spans="1:9" ht="13.5" customHeight="1">
      <c r="A18" s="37"/>
      <c r="B18" s="311"/>
      <c r="C18" s="311"/>
      <c r="D18" s="311"/>
      <c r="E18" s="311"/>
      <c r="F18" s="311"/>
      <c r="G18" s="672"/>
    </row>
    <row r="19" spans="1:9">
      <c r="A19" s="3" t="s">
        <v>1712</v>
      </c>
    </row>
    <row r="22" spans="1:9" ht="18">
      <c r="A22" s="177" t="s">
        <v>1728</v>
      </c>
    </row>
    <row r="24" spans="1:9" ht="19.5" customHeight="1">
      <c r="A24" s="588" t="s">
        <v>71</v>
      </c>
      <c r="B24" s="69" t="s">
        <v>1848</v>
      </c>
      <c r="C24" s="16" t="s">
        <v>509</v>
      </c>
      <c r="D24" s="69"/>
      <c r="E24" s="16"/>
      <c r="F24" s="69"/>
      <c r="G24" s="16" t="s">
        <v>510</v>
      </c>
      <c r="H24" s="69" t="s">
        <v>511</v>
      </c>
      <c r="I24" s="16" t="s">
        <v>22</v>
      </c>
    </row>
    <row r="25" spans="1:9" ht="19.5" customHeight="1">
      <c r="A25" s="925" t="s">
        <v>1713</v>
      </c>
      <c r="B25" s="70" t="s">
        <v>1850</v>
      </c>
      <c r="C25" s="17" t="s">
        <v>512</v>
      </c>
      <c r="D25" s="70"/>
      <c r="E25" s="61"/>
      <c r="F25" s="70"/>
      <c r="G25" s="17" t="s">
        <v>1851</v>
      </c>
      <c r="H25" s="14" t="s">
        <v>513</v>
      </c>
      <c r="I25" s="17"/>
    </row>
    <row r="26" spans="1:9" ht="19.5" customHeight="1">
      <c r="A26" s="77"/>
      <c r="B26" s="70" t="s">
        <v>1852</v>
      </c>
      <c r="C26" s="392" t="s">
        <v>514</v>
      </c>
      <c r="D26" s="391"/>
      <c r="E26" s="579"/>
      <c r="F26" s="391"/>
      <c r="G26" s="17" t="s">
        <v>1405</v>
      </c>
      <c r="H26" s="14" t="s">
        <v>515</v>
      </c>
      <c r="I26" s="17"/>
    </row>
    <row r="27" spans="1:9" ht="19.5" customHeight="1">
      <c r="A27" s="78" t="s">
        <v>1591</v>
      </c>
      <c r="B27" s="73"/>
      <c r="C27" s="18"/>
      <c r="D27" s="391" t="s">
        <v>1714</v>
      </c>
      <c r="E27" s="392" t="s">
        <v>1715</v>
      </c>
      <c r="F27" s="391" t="s">
        <v>1716</v>
      </c>
      <c r="G27" s="18"/>
      <c r="H27" s="15" t="s">
        <v>516</v>
      </c>
      <c r="I27" s="18"/>
    </row>
    <row r="28" spans="1:9" ht="19.5" customHeight="1" thickBot="1">
      <c r="A28" s="651">
        <v>1996</v>
      </c>
      <c r="B28" s="28" t="s">
        <v>1013</v>
      </c>
      <c r="C28" s="63" t="s">
        <v>1013</v>
      </c>
      <c r="D28" s="28" t="s">
        <v>1013</v>
      </c>
      <c r="E28" s="63" t="s">
        <v>1013</v>
      </c>
      <c r="F28" s="28" t="s">
        <v>1013</v>
      </c>
      <c r="G28" s="63" t="s">
        <v>1013</v>
      </c>
      <c r="H28" s="28" t="s">
        <v>1013</v>
      </c>
      <c r="I28" s="63" t="s">
        <v>1013</v>
      </c>
    </row>
    <row r="29" spans="1:9" ht="19.5" customHeight="1" thickBot="1">
      <c r="A29" s="80">
        <v>1997</v>
      </c>
      <c r="B29" s="28" t="s">
        <v>1013</v>
      </c>
      <c r="C29" s="63" t="s">
        <v>1013</v>
      </c>
      <c r="D29" s="28" t="s">
        <v>1013</v>
      </c>
      <c r="E29" s="63" t="s">
        <v>1013</v>
      </c>
      <c r="F29" s="28" t="s">
        <v>1013</v>
      </c>
      <c r="G29" s="63" t="s">
        <v>1013</v>
      </c>
      <c r="H29" s="28" t="s">
        <v>1013</v>
      </c>
      <c r="I29" s="63" t="s">
        <v>1013</v>
      </c>
    </row>
    <row r="30" spans="1:9" ht="19.5" customHeight="1" thickBot="1">
      <c r="A30" s="80">
        <v>1998</v>
      </c>
      <c r="B30" s="29">
        <v>596.35</v>
      </c>
      <c r="C30" s="116">
        <v>598.24</v>
      </c>
      <c r="D30" s="29">
        <v>626.75</v>
      </c>
      <c r="E30" s="116">
        <v>590.58000000000004</v>
      </c>
      <c r="F30" s="29">
        <v>457.52</v>
      </c>
      <c r="G30" s="116">
        <v>486.78</v>
      </c>
      <c r="H30" s="29">
        <v>475.12</v>
      </c>
      <c r="I30" s="116">
        <v>588.77</v>
      </c>
    </row>
    <row r="31" spans="1:9" ht="19.5" customHeight="1" thickBot="1">
      <c r="A31" s="80">
        <v>1999</v>
      </c>
      <c r="B31" s="29">
        <v>613.13</v>
      </c>
      <c r="C31" s="116">
        <v>598.32000000000005</v>
      </c>
      <c r="D31" s="29">
        <v>640.1</v>
      </c>
      <c r="E31" s="116">
        <v>584.41999999999996</v>
      </c>
      <c r="F31" s="29">
        <v>457.82</v>
      </c>
      <c r="G31" s="116">
        <v>530.1</v>
      </c>
      <c r="H31" s="29">
        <v>498.95</v>
      </c>
      <c r="I31" s="116">
        <v>603.19000000000005</v>
      </c>
    </row>
    <row r="32" spans="1:9" ht="19.5" customHeight="1" thickBot="1">
      <c r="A32" s="80">
        <v>2000</v>
      </c>
      <c r="B32" s="29">
        <v>634.51</v>
      </c>
      <c r="C32" s="116">
        <v>602.96</v>
      </c>
      <c r="D32" s="29">
        <v>651.79999999999995</v>
      </c>
      <c r="E32" s="116">
        <v>585.79999999999995</v>
      </c>
      <c r="F32" s="29">
        <v>475.4</v>
      </c>
      <c r="G32" s="116">
        <v>556.69000000000005</v>
      </c>
      <c r="H32" s="29">
        <v>513.95000000000005</v>
      </c>
      <c r="I32" s="116">
        <v>621.73</v>
      </c>
    </row>
    <row r="33" spans="1:10" ht="19.5" customHeight="1" thickBot="1">
      <c r="A33" s="80">
        <v>2001</v>
      </c>
      <c r="B33" s="29">
        <v>669.16</v>
      </c>
      <c r="C33" s="116">
        <v>610.58000000000004</v>
      </c>
      <c r="D33" s="29">
        <v>662.96</v>
      </c>
      <c r="E33" s="116">
        <v>588.95000000000005</v>
      </c>
      <c r="F33" s="29">
        <v>495.97</v>
      </c>
      <c r="G33" s="116">
        <v>579.95000000000005</v>
      </c>
      <c r="H33" s="29">
        <v>545.02</v>
      </c>
      <c r="I33" s="116">
        <v>652.66999999999996</v>
      </c>
    </row>
    <row r="34" spans="1:10" ht="19.5" customHeight="1" thickBot="1">
      <c r="A34" s="80">
        <v>2002</v>
      </c>
      <c r="B34" s="29">
        <v>733.02</v>
      </c>
      <c r="C34" s="116">
        <v>642.46</v>
      </c>
      <c r="D34" s="29">
        <v>709.46</v>
      </c>
      <c r="E34" s="116">
        <v>622.85</v>
      </c>
      <c r="F34" s="29">
        <v>515.69000000000005</v>
      </c>
      <c r="G34" s="116">
        <v>644.12</v>
      </c>
      <c r="H34" s="29">
        <v>599.79999999999995</v>
      </c>
      <c r="I34" s="116">
        <v>712.31</v>
      </c>
    </row>
    <row r="35" spans="1:10" ht="19.5" customHeight="1" thickBot="1">
      <c r="A35" s="926">
        <v>2003</v>
      </c>
      <c r="B35" s="562">
        <v>802.85</v>
      </c>
      <c r="C35" s="563">
        <v>678.78</v>
      </c>
      <c r="D35" s="562">
        <v>759.74</v>
      </c>
      <c r="E35" s="563">
        <v>665.78</v>
      </c>
      <c r="F35" s="562">
        <v>559.95000000000005</v>
      </c>
      <c r="G35" s="563">
        <v>685.16</v>
      </c>
      <c r="H35" s="562">
        <v>639.15</v>
      </c>
      <c r="I35" s="563">
        <v>775.13</v>
      </c>
    </row>
    <row r="36" spans="1:10">
      <c r="A36" s="9"/>
    </row>
    <row r="38" spans="1:10" ht="18" customHeight="1">
      <c r="A38" s="588" t="s">
        <v>1506</v>
      </c>
      <c r="B38" s="69" t="s">
        <v>1848</v>
      </c>
      <c r="C38" s="16" t="s">
        <v>509</v>
      </c>
      <c r="D38" s="69"/>
      <c r="E38" s="16"/>
      <c r="F38" s="69"/>
      <c r="G38" s="16"/>
      <c r="H38" s="69" t="s">
        <v>510</v>
      </c>
      <c r="I38" s="16" t="s">
        <v>511</v>
      </c>
      <c r="J38" s="69" t="s">
        <v>22</v>
      </c>
    </row>
    <row r="39" spans="1:10" ht="18" customHeight="1">
      <c r="A39" s="925" t="s">
        <v>1717</v>
      </c>
      <c r="B39" s="70" t="s">
        <v>1850</v>
      </c>
      <c r="C39" s="17" t="s">
        <v>512</v>
      </c>
      <c r="D39" s="70"/>
      <c r="E39" s="61"/>
      <c r="F39" s="70"/>
      <c r="G39" s="61"/>
      <c r="H39" s="70" t="s">
        <v>1851</v>
      </c>
      <c r="I39" s="61" t="s">
        <v>513</v>
      </c>
      <c r="J39" s="70"/>
    </row>
    <row r="40" spans="1:10" ht="18" customHeight="1">
      <c r="A40" s="77"/>
      <c r="B40" s="70" t="s">
        <v>1852</v>
      </c>
      <c r="C40" s="392" t="s">
        <v>514</v>
      </c>
      <c r="D40" s="391"/>
      <c r="E40" s="579"/>
      <c r="F40" s="391"/>
      <c r="G40" s="579"/>
      <c r="H40" s="70" t="s">
        <v>1405</v>
      </c>
      <c r="I40" s="61" t="s">
        <v>515</v>
      </c>
      <c r="J40" s="70"/>
    </row>
    <row r="41" spans="1:10" ht="18" customHeight="1">
      <c r="A41" s="78" t="s">
        <v>1591</v>
      </c>
      <c r="B41" s="73"/>
      <c r="C41" s="18"/>
      <c r="D41" s="391" t="s">
        <v>1718</v>
      </c>
      <c r="E41" s="392" t="s">
        <v>1719</v>
      </c>
      <c r="F41" s="391" t="s">
        <v>1720</v>
      </c>
      <c r="G41" s="392" t="s">
        <v>1721</v>
      </c>
      <c r="H41" s="73"/>
      <c r="I41" s="62" t="s">
        <v>516</v>
      </c>
      <c r="J41" s="73"/>
    </row>
    <row r="42" spans="1:10" ht="18" customHeight="1" thickBot="1">
      <c r="A42" s="421" t="s">
        <v>1741</v>
      </c>
      <c r="B42" s="28" t="s">
        <v>1013</v>
      </c>
      <c r="C42" s="63" t="s">
        <v>1013</v>
      </c>
      <c r="D42" s="28" t="s">
        <v>1013</v>
      </c>
      <c r="E42" s="63" t="s">
        <v>1013</v>
      </c>
      <c r="F42" s="28" t="s">
        <v>1013</v>
      </c>
      <c r="G42" s="63" t="s">
        <v>1013</v>
      </c>
      <c r="H42" s="28" t="s">
        <v>1013</v>
      </c>
      <c r="I42" s="63" t="s">
        <v>1013</v>
      </c>
      <c r="J42" s="28" t="s">
        <v>1013</v>
      </c>
    </row>
    <row r="43" spans="1:10" ht="18" customHeight="1" thickBot="1">
      <c r="A43" s="7" t="s">
        <v>1729</v>
      </c>
      <c r="B43" s="28" t="s">
        <v>1013</v>
      </c>
      <c r="C43" s="63" t="s">
        <v>1013</v>
      </c>
      <c r="D43" s="28" t="s">
        <v>1013</v>
      </c>
      <c r="E43" s="63" t="s">
        <v>1013</v>
      </c>
      <c r="F43" s="28" t="s">
        <v>1013</v>
      </c>
      <c r="G43" s="63" t="s">
        <v>1013</v>
      </c>
      <c r="H43" s="28" t="s">
        <v>1013</v>
      </c>
      <c r="I43" s="63" t="s">
        <v>1013</v>
      </c>
      <c r="J43" s="28" t="s">
        <v>1013</v>
      </c>
    </row>
    <row r="44" spans="1:10" ht="18" customHeight="1" thickBot="1">
      <c r="A44" s="80">
        <v>1998</v>
      </c>
      <c r="B44" s="29">
        <v>1603.6</v>
      </c>
      <c r="C44" s="116">
        <v>1550.75</v>
      </c>
      <c r="D44" s="29">
        <v>1553.98</v>
      </c>
      <c r="E44" s="116">
        <v>1680.46</v>
      </c>
      <c r="F44" s="29">
        <v>1662.38</v>
      </c>
      <c r="G44" s="116">
        <v>1184.01</v>
      </c>
      <c r="H44" s="29">
        <v>1128.4000000000001</v>
      </c>
      <c r="I44" s="116">
        <v>1346.71</v>
      </c>
      <c r="J44" s="29">
        <v>1563.95</v>
      </c>
    </row>
    <row r="45" spans="1:10" ht="18" customHeight="1" thickBot="1">
      <c r="A45" s="80">
        <v>1999</v>
      </c>
      <c r="B45" s="29">
        <v>1573.73</v>
      </c>
      <c r="C45" s="116">
        <v>1627.32</v>
      </c>
      <c r="D45" s="29">
        <v>1682.9</v>
      </c>
      <c r="E45" s="116">
        <v>1712.08</v>
      </c>
      <c r="F45" s="29">
        <v>1362.2</v>
      </c>
      <c r="G45" s="116">
        <v>1162.25</v>
      </c>
      <c r="H45" s="29">
        <v>1190.3499999999999</v>
      </c>
      <c r="I45" s="116">
        <v>1353.56</v>
      </c>
      <c r="J45" s="29">
        <v>1581.32</v>
      </c>
    </row>
    <row r="46" spans="1:10" ht="18" customHeight="1" thickBot="1">
      <c r="A46" s="80">
        <v>2000</v>
      </c>
      <c r="B46" s="29">
        <v>1562.73</v>
      </c>
      <c r="C46" s="116">
        <v>1613.39</v>
      </c>
      <c r="D46" s="29">
        <v>1695.59</v>
      </c>
      <c r="E46" s="116">
        <v>1689.93</v>
      </c>
      <c r="F46" s="29">
        <v>1321.76</v>
      </c>
      <c r="G46" s="116">
        <v>1138.24</v>
      </c>
      <c r="H46" s="29">
        <v>1195.6199999999999</v>
      </c>
      <c r="I46" s="116">
        <v>1337.81</v>
      </c>
      <c r="J46" s="29">
        <v>1566.95</v>
      </c>
    </row>
    <row r="47" spans="1:10" ht="18" customHeight="1" thickBot="1">
      <c r="A47" s="80">
        <v>2001</v>
      </c>
      <c r="B47" s="29">
        <v>1634.37</v>
      </c>
      <c r="C47" s="116">
        <v>1563.11</v>
      </c>
      <c r="D47" s="29">
        <v>1677.07</v>
      </c>
      <c r="E47" s="116">
        <v>1622.87</v>
      </c>
      <c r="F47" s="29">
        <v>1302.7</v>
      </c>
      <c r="G47" s="116">
        <v>1110.5</v>
      </c>
      <c r="H47" s="29">
        <v>1089.92</v>
      </c>
      <c r="I47" s="116">
        <v>1329.03</v>
      </c>
      <c r="J47" s="29">
        <v>1580.79</v>
      </c>
    </row>
    <row r="48" spans="1:10" ht="18" customHeight="1" thickBot="1">
      <c r="A48" s="80">
        <v>2002</v>
      </c>
      <c r="B48" s="29">
        <v>1877.87</v>
      </c>
      <c r="C48" s="116">
        <v>1730.62</v>
      </c>
      <c r="D48" s="29">
        <v>1903.02</v>
      </c>
      <c r="E48" s="116">
        <v>1806.41</v>
      </c>
      <c r="F48" s="29">
        <v>1455.65</v>
      </c>
      <c r="G48" s="116">
        <v>1252.17</v>
      </c>
      <c r="H48" s="29">
        <v>1097.75</v>
      </c>
      <c r="I48" s="116">
        <v>1513.19</v>
      </c>
      <c r="J48" s="29">
        <v>1782.56</v>
      </c>
    </row>
    <row r="49" spans="1:10" ht="18" customHeight="1" thickBot="1">
      <c r="A49" s="926">
        <v>2003</v>
      </c>
      <c r="B49" s="562">
        <v>2190.81</v>
      </c>
      <c r="C49" s="563">
        <v>1928.08</v>
      </c>
      <c r="D49" s="562">
        <v>2203</v>
      </c>
      <c r="E49" s="563">
        <v>2063.61</v>
      </c>
      <c r="F49" s="562">
        <v>1668.03</v>
      </c>
      <c r="G49" s="563">
        <v>1449.75</v>
      </c>
      <c r="H49" s="562" t="s">
        <v>1013</v>
      </c>
      <c r="I49" s="563">
        <v>1700.21</v>
      </c>
      <c r="J49" s="562">
        <v>2027.01</v>
      </c>
    </row>
    <row r="50" spans="1:10">
      <c r="H50" s="38"/>
      <c r="I50" s="38"/>
      <c r="J50" s="38"/>
    </row>
    <row r="51" spans="1:10">
      <c r="H51" s="38"/>
      <c r="I51" s="38"/>
      <c r="J51" s="38"/>
    </row>
    <row r="52" spans="1:10" ht="17.25" customHeight="1">
      <c r="A52" s="588" t="s">
        <v>1722</v>
      </c>
      <c r="B52" s="69" t="s">
        <v>1848</v>
      </c>
      <c r="C52" s="16" t="s">
        <v>509</v>
      </c>
      <c r="D52" s="69"/>
      <c r="E52" s="16"/>
      <c r="F52" s="69"/>
      <c r="G52" s="16"/>
      <c r="H52" s="69" t="s">
        <v>510</v>
      </c>
      <c r="I52" s="16" t="s">
        <v>511</v>
      </c>
      <c r="J52" s="69" t="s">
        <v>22</v>
      </c>
    </row>
    <row r="53" spans="1:10" ht="17.25" customHeight="1">
      <c r="A53" s="925" t="s">
        <v>1723</v>
      </c>
      <c r="B53" s="70" t="s">
        <v>1850</v>
      </c>
      <c r="C53" s="17" t="s">
        <v>512</v>
      </c>
      <c r="D53" s="70"/>
      <c r="E53" s="61"/>
      <c r="F53" s="70"/>
      <c r="G53" s="61"/>
      <c r="H53" s="70" t="s">
        <v>1851</v>
      </c>
      <c r="I53" s="61" t="s">
        <v>513</v>
      </c>
      <c r="J53" s="70"/>
    </row>
    <row r="54" spans="1:10" ht="17.25" customHeight="1">
      <c r="A54" s="77"/>
      <c r="B54" s="70" t="s">
        <v>1852</v>
      </c>
      <c r="C54" s="392" t="s">
        <v>514</v>
      </c>
      <c r="D54" s="391"/>
      <c r="E54" s="579"/>
      <c r="F54" s="391"/>
      <c r="G54" s="579"/>
      <c r="H54" s="70" t="s">
        <v>1405</v>
      </c>
      <c r="I54" s="61" t="s">
        <v>515</v>
      </c>
      <c r="J54" s="70"/>
    </row>
    <row r="55" spans="1:10" ht="17.25" customHeight="1">
      <c r="A55" s="78" t="s">
        <v>1591</v>
      </c>
      <c r="B55" s="73"/>
      <c r="C55" s="18"/>
      <c r="D55" s="391" t="s">
        <v>1718</v>
      </c>
      <c r="E55" s="392" t="s">
        <v>1719</v>
      </c>
      <c r="F55" s="391" t="s">
        <v>1720</v>
      </c>
      <c r="G55" s="392" t="s">
        <v>1721</v>
      </c>
      <c r="H55" s="73"/>
      <c r="I55" s="62" t="s">
        <v>516</v>
      </c>
      <c r="J55" s="73"/>
    </row>
    <row r="56" spans="1:10" ht="18" customHeight="1" thickBot="1">
      <c r="A56" s="421" t="s">
        <v>1741</v>
      </c>
      <c r="B56" s="28" t="s">
        <v>1013</v>
      </c>
      <c r="C56" s="63" t="s">
        <v>1013</v>
      </c>
      <c r="D56" s="28" t="s">
        <v>1013</v>
      </c>
      <c r="E56" s="63" t="s">
        <v>1013</v>
      </c>
      <c r="F56" s="28" t="s">
        <v>1013</v>
      </c>
      <c r="G56" s="63" t="s">
        <v>1013</v>
      </c>
      <c r="H56" s="28" t="s">
        <v>1013</v>
      </c>
      <c r="I56" s="63" t="s">
        <v>1013</v>
      </c>
      <c r="J56" s="28" t="s">
        <v>1013</v>
      </c>
    </row>
    <row r="57" spans="1:10" ht="18" customHeight="1" thickBot="1">
      <c r="A57" s="7" t="s">
        <v>1729</v>
      </c>
      <c r="B57" s="28" t="s">
        <v>1013</v>
      </c>
      <c r="C57" s="63" t="s">
        <v>1013</v>
      </c>
      <c r="D57" s="28" t="s">
        <v>1013</v>
      </c>
      <c r="E57" s="63" t="s">
        <v>1013</v>
      </c>
      <c r="F57" s="28" t="s">
        <v>1013</v>
      </c>
      <c r="G57" s="63" t="s">
        <v>1013</v>
      </c>
      <c r="H57" s="28" t="s">
        <v>1013</v>
      </c>
      <c r="I57" s="63" t="s">
        <v>1013</v>
      </c>
      <c r="J57" s="28" t="s">
        <v>1013</v>
      </c>
    </row>
    <row r="58" spans="1:10" ht="18" customHeight="1" thickBot="1">
      <c r="A58" s="80">
        <v>1998</v>
      </c>
      <c r="B58" s="29">
        <v>2235.63</v>
      </c>
      <c r="C58" s="116">
        <v>2101.02</v>
      </c>
      <c r="D58" s="29">
        <v>2192.6</v>
      </c>
      <c r="E58" s="116">
        <v>2139.4299999999998</v>
      </c>
      <c r="F58" s="29">
        <v>1853.36</v>
      </c>
      <c r="G58" s="116">
        <v>1527.93</v>
      </c>
      <c r="H58" s="29">
        <v>1540.56</v>
      </c>
      <c r="I58" s="116">
        <v>1785.82</v>
      </c>
      <c r="J58" s="29">
        <v>2142.38</v>
      </c>
    </row>
    <row r="59" spans="1:10" ht="18" customHeight="1" thickBot="1">
      <c r="A59" s="80">
        <v>1999</v>
      </c>
      <c r="B59" s="29">
        <v>2291.9499999999998</v>
      </c>
      <c r="C59" s="116">
        <v>2146.02</v>
      </c>
      <c r="D59" s="29">
        <v>2268.06</v>
      </c>
      <c r="E59" s="116">
        <v>2181.2199999999998</v>
      </c>
      <c r="F59" s="29">
        <v>1811.32</v>
      </c>
      <c r="G59" s="116">
        <v>1554.39</v>
      </c>
      <c r="H59" s="29">
        <v>1573.36</v>
      </c>
      <c r="I59" s="116">
        <v>1836.75</v>
      </c>
      <c r="J59" s="29">
        <v>2190.21</v>
      </c>
    </row>
    <row r="60" spans="1:10" ht="18" customHeight="1" thickBot="1">
      <c r="A60" s="80">
        <v>2000</v>
      </c>
      <c r="B60" s="29">
        <v>2391.3000000000002</v>
      </c>
      <c r="C60" s="116">
        <v>2189.4499999999998</v>
      </c>
      <c r="D60" s="29">
        <v>2345.38</v>
      </c>
      <c r="E60" s="116">
        <v>2244.71</v>
      </c>
      <c r="F60" s="29">
        <v>1859.52</v>
      </c>
      <c r="G60" s="116">
        <v>1593.12</v>
      </c>
      <c r="H60" s="29">
        <v>1603.82</v>
      </c>
      <c r="I60" s="116">
        <v>1892.01</v>
      </c>
      <c r="J60" s="29">
        <v>2256.67</v>
      </c>
    </row>
    <row r="61" spans="1:10" ht="18" customHeight="1" thickBot="1">
      <c r="A61" s="80">
        <v>2001</v>
      </c>
      <c r="B61" s="29">
        <v>2526.09</v>
      </c>
      <c r="C61" s="116">
        <v>2257.6</v>
      </c>
      <c r="D61" s="29">
        <v>2468.04</v>
      </c>
      <c r="E61" s="116">
        <v>2346.73</v>
      </c>
      <c r="F61" s="29">
        <v>1947.33</v>
      </c>
      <c r="G61" s="116">
        <v>1638.03</v>
      </c>
      <c r="H61" s="29">
        <v>1672.86</v>
      </c>
      <c r="I61" s="116">
        <v>1970.97</v>
      </c>
      <c r="J61" s="29">
        <v>2352.56</v>
      </c>
    </row>
    <row r="62" spans="1:10" ht="18" customHeight="1" thickBot="1">
      <c r="A62" s="80">
        <v>2002</v>
      </c>
      <c r="B62" s="29">
        <v>2766.22</v>
      </c>
      <c r="C62" s="116">
        <v>2437.5300000000002</v>
      </c>
      <c r="D62" s="29">
        <v>2726.38</v>
      </c>
      <c r="E62" s="116">
        <v>2571.79</v>
      </c>
      <c r="F62" s="29">
        <v>2132.37</v>
      </c>
      <c r="G62" s="116">
        <v>1790.28</v>
      </c>
      <c r="H62" s="29">
        <v>1880.68</v>
      </c>
      <c r="I62" s="116">
        <v>2141.06</v>
      </c>
      <c r="J62" s="29">
        <v>2553.98</v>
      </c>
    </row>
    <row r="63" spans="1:10" ht="18" customHeight="1" thickBot="1">
      <c r="A63" s="926">
        <v>2003</v>
      </c>
      <c r="B63" s="562">
        <v>3047.08</v>
      </c>
      <c r="C63" s="563">
        <v>2613.56</v>
      </c>
      <c r="D63" s="562">
        <v>2986.57</v>
      </c>
      <c r="E63" s="563">
        <v>2817.87</v>
      </c>
      <c r="F63" s="562">
        <v>2339.52</v>
      </c>
      <c r="G63" s="563">
        <v>1977.24</v>
      </c>
      <c r="H63" s="562">
        <v>2034.73</v>
      </c>
      <c r="I63" s="563">
        <v>2312.13</v>
      </c>
      <c r="J63" s="562">
        <v>2767.57</v>
      </c>
    </row>
    <row r="64" spans="1:10">
      <c r="A64" s="183" t="s">
        <v>1859</v>
      </c>
    </row>
    <row r="66" spans="1:7">
      <c r="A66" s="208" t="s">
        <v>1724</v>
      </c>
    </row>
    <row r="68" spans="1:7">
      <c r="A68" s="37" t="s">
        <v>1725</v>
      </c>
    </row>
    <row r="69" spans="1:7" ht="12" customHeight="1">
      <c r="A69" s="199" t="s">
        <v>1726</v>
      </c>
      <c r="B69" s="35"/>
      <c r="F69" s="35"/>
      <c r="G69" s="428"/>
    </row>
    <row r="70" spans="1:7">
      <c r="A70" s="3" t="s">
        <v>1727</v>
      </c>
    </row>
    <row r="73" spans="1:7">
      <c r="A73" s="3" t="s">
        <v>256</v>
      </c>
    </row>
  </sheetData>
  <mergeCells count="1">
    <mergeCell ref="A2:E2"/>
  </mergeCells>
  <phoneticPr fontId="0" type="noConversion"/>
  <pageMargins left="0.56000000000000005" right="0.45" top="0.76" bottom="0.49" header="0.42" footer="0.4921259845"/>
  <pageSetup paperSize="9" scale="60" orientation="portrait" horizontalDpi="1200" verticalDpi="1200"/>
  <headerFooter alignWithMargins="0">
    <oddHeader>&amp;L&amp;"Arial,Bold"Versicherte und Finanzen in der OKP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31BE5-CE4D-5543-A764-1FC32EB3418B}">
  <sheetPr>
    <pageSetUpPr fitToPage="1"/>
  </sheetPr>
  <dimension ref="A1:I17"/>
  <sheetViews>
    <sheetView zoomScale="75" workbookViewId="0">
      <selection activeCell="A3" sqref="A3"/>
    </sheetView>
  </sheetViews>
  <sheetFormatPr baseColWidth="10" defaultColWidth="11.3984375" defaultRowHeight="13"/>
  <cols>
    <col min="1" max="1" width="19.3984375" style="3" customWidth="1"/>
    <col min="2" max="3" width="17.19921875" style="3" customWidth="1"/>
    <col min="4" max="4" width="16.796875" style="3" customWidth="1"/>
    <col min="5" max="5" width="18.19921875" style="3" customWidth="1"/>
    <col min="6" max="7" width="13.3984375" style="3" customWidth="1"/>
    <col min="8" max="8" width="11.3984375" style="3"/>
    <col min="9" max="9" width="15.796875" style="3" hidden="1" customWidth="1"/>
    <col min="10" max="16384" width="11.3984375" style="3"/>
  </cols>
  <sheetData>
    <row r="1" spans="1:9" ht="14" customHeight="1">
      <c r="A1" s="388"/>
      <c r="B1" s="37"/>
      <c r="C1" s="37"/>
      <c r="D1" s="37"/>
      <c r="E1" s="37"/>
      <c r="F1" s="37"/>
      <c r="G1" s="37"/>
      <c r="I1" s="37"/>
    </row>
    <row r="2" spans="1:9" ht="28" customHeight="1">
      <c r="A2" s="76" t="s">
        <v>545</v>
      </c>
      <c r="B2" s="37"/>
      <c r="C2" s="37"/>
      <c r="D2" s="37"/>
      <c r="E2" s="37"/>
      <c r="F2" s="37"/>
      <c r="G2" s="321">
        <v>2003</v>
      </c>
      <c r="I2" s="37"/>
    </row>
    <row r="3" spans="1:9" ht="24" customHeight="1">
      <c r="A3" s="2" t="s">
        <v>1315</v>
      </c>
      <c r="B3" s="69" t="s">
        <v>72</v>
      </c>
      <c r="C3" s="16" t="s">
        <v>73</v>
      </c>
      <c r="D3" s="69" t="s">
        <v>71</v>
      </c>
      <c r="E3" s="16" t="s">
        <v>22</v>
      </c>
      <c r="F3" s="69" t="s">
        <v>594</v>
      </c>
      <c r="G3" s="16" t="s">
        <v>24</v>
      </c>
      <c r="I3" s="16" t="s">
        <v>22</v>
      </c>
    </row>
    <row r="4" spans="1:9" ht="15" customHeight="1">
      <c r="A4" s="77"/>
      <c r="B4" s="70"/>
      <c r="C4" s="17"/>
      <c r="D4" s="70"/>
      <c r="E4" s="61"/>
      <c r="F4" s="70" t="s">
        <v>2020</v>
      </c>
      <c r="G4" s="17" t="s">
        <v>25</v>
      </c>
      <c r="I4" s="61">
        <v>1999</v>
      </c>
    </row>
    <row r="5" spans="1:9" ht="15" customHeight="1">
      <c r="A5" s="4"/>
      <c r="B5" s="70"/>
      <c r="C5" s="17"/>
      <c r="D5" s="70"/>
      <c r="E5" s="17"/>
      <c r="F5" s="70" t="s">
        <v>1316</v>
      </c>
      <c r="G5" s="17" t="s">
        <v>26</v>
      </c>
      <c r="I5" s="17"/>
    </row>
    <row r="6" spans="1:9" ht="24" customHeight="1">
      <c r="A6" s="390"/>
      <c r="B6" s="391"/>
      <c r="C6" s="392"/>
      <c r="D6" s="391"/>
      <c r="E6" s="392"/>
      <c r="F6" s="73"/>
      <c r="G6" s="18"/>
      <c r="I6" s="392"/>
    </row>
    <row r="7" spans="1:9" ht="36" customHeight="1" thickBot="1">
      <c r="A7" s="393" t="s">
        <v>1329</v>
      </c>
      <c r="B7" s="74">
        <v>3127908752</v>
      </c>
      <c r="C7" s="106">
        <v>3996262719</v>
      </c>
      <c r="D7" s="74">
        <v>995522445</v>
      </c>
      <c r="E7" s="106">
        <v>8119693916</v>
      </c>
      <c r="F7" s="394">
        <v>0.48273723295531185</v>
      </c>
      <c r="G7" s="395">
        <v>6.7328411987270131E-2</v>
      </c>
      <c r="I7" s="755">
        <v>6794064715</v>
      </c>
    </row>
    <row r="8" spans="1:9" ht="28.5" customHeight="1" thickBot="1">
      <c r="A8" s="393" t="s">
        <v>1330</v>
      </c>
      <c r="B8" s="74">
        <v>3649408979</v>
      </c>
      <c r="C8" s="106">
        <v>3751688083</v>
      </c>
      <c r="D8" s="74">
        <v>118547234</v>
      </c>
      <c r="E8" s="106">
        <v>7519644296</v>
      </c>
      <c r="F8" s="394">
        <v>0.44706269938405324</v>
      </c>
      <c r="G8" s="395">
        <v>0.13013246898140321</v>
      </c>
      <c r="I8" s="755">
        <v>5396193285</v>
      </c>
    </row>
    <row r="9" spans="1:9" ht="30.75" customHeight="1" thickBot="1">
      <c r="A9" s="393" t="s">
        <v>1331</v>
      </c>
      <c r="B9" s="74">
        <v>10267993</v>
      </c>
      <c r="C9" s="106">
        <v>5907238</v>
      </c>
      <c r="D9" s="74">
        <v>224003</v>
      </c>
      <c r="E9" s="106">
        <v>16399234</v>
      </c>
      <c r="F9" s="394">
        <v>9.7497774246724093E-4</v>
      </c>
      <c r="G9" s="395">
        <v>2.8787121894446908E-2</v>
      </c>
      <c r="I9" s="755">
        <v>15330070</v>
      </c>
    </row>
    <row r="10" spans="1:9" ht="34.5" customHeight="1" thickBot="1">
      <c r="A10" s="393" t="s">
        <v>1332</v>
      </c>
      <c r="B10" s="74">
        <v>530592098</v>
      </c>
      <c r="C10" s="106">
        <v>551225252</v>
      </c>
      <c r="D10" s="74">
        <v>82556357</v>
      </c>
      <c r="E10" s="106">
        <v>1164373707</v>
      </c>
      <c r="F10" s="394">
        <v>6.922508991816767E-2</v>
      </c>
      <c r="G10" s="395">
        <v>8.0285419894000232E-2</v>
      </c>
      <c r="I10" s="755">
        <v>828254703</v>
      </c>
    </row>
    <row r="11" spans="1:9" s="526" customFormat="1" ht="38.25" customHeight="1" thickBot="1">
      <c r="A11" s="754" t="s">
        <v>22</v>
      </c>
      <c r="B11" s="344">
        <v>7318177826</v>
      </c>
      <c r="C11" s="333">
        <v>8305083289</v>
      </c>
      <c r="D11" s="344">
        <v>1196850045</v>
      </c>
      <c r="E11" s="333">
        <v>16820111153</v>
      </c>
      <c r="F11" s="756">
        <v>1</v>
      </c>
      <c r="G11" s="598">
        <v>9.5412673812396667E-2</v>
      </c>
      <c r="I11" s="757">
        <v>13033842773</v>
      </c>
    </row>
    <row r="12" spans="1:9" ht="19.5" customHeight="1">
      <c r="A12" s="9" t="s">
        <v>1334</v>
      </c>
      <c r="B12" s="9"/>
      <c r="C12" s="9"/>
      <c r="D12" s="9"/>
      <c r="E12" s="9"/>
      <c r="F12" s="9"/>
      <c r="G12" s="9"/>
      <c r="I12" s="9"/>
    </row>
    <row r="14" spans="1:9">
      <c r="A14" s="3" t="s">
        <v>546</v>
      </c>
    </row>
    <row r="17" spans="1:1">
      <c r="A17" s="3" t="s">
        <v>256</v>
      </c>
    </row>
  </sheetData>
  <phoneticPr fontId="0" type="noConversion"/>
  <pageMargins left="0.56000000000000005" right="0.57999999999999996" top="0.96" bottom="0.49" header="0.61" footer="0.4921259845"/>
  <pageSetup paperSize="9" scale="80" orientation="portrait" horizontalDpi="4294967292" verticalDpi="4294967292"/>
  <headerFooter alignWithMargins="0">
    <oddHeader>&amp;L&amp;"Arial,Bold"Versicherte und Finanzen in der OKP</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01F02-0184-834E-97DA-C6D55648459A}">
  <sheetPr>
    <pageSetUpPr fitToPage="1"/>
  </sheetPr>
  <dimension ref="A1:G17"/>
  <sheetViews>
    <sheetView zoomScale="75" workbookViewId="0"/>
  </sheetViews>
  <sheetFormatPr baseColWidth="10" defaultColWidth="11.3984375" defaultRowHeight="13"/>
  <cols>
    <col min="1" max="1" width="19.796875" style="3" customWidth="1"/>
    <col min="2" max="7" width="14.796875" style="3" customWidth="1"/>
    <col min="8" max="16384" width="11.3984375" style="3"/>
  </cols>
  <sheetData>
    <row r="1" spans="1:7" ht="14" customHeight="1">
      <c r="A1" s="388"/>
      <c r="B1" s="37"/>
      <c r="C1" s="37"/>
      <c r="D1" s="37"/>
      <c r="E1" s="37"/>
      <c r="F1" s="37"/>
      <c r="G1" s="37"/>
    </row>
    <row r="2" spans="1:7" ht="36" customHeight="1">
      <c r="A2" s="1473" t="s">
        <v>540</v>
      </c>
      <c r="B2" s="1474"/>
      <c r="C2" s="1474"/>
      <c r="D2" s="1474"/>
      <c r="E2" s="1474"/>
      <c r="F2" s="1474"/>
      <c r="G2" s="321">
        <v>2003</v>
      </c>
    </row>
    <row r="3" spans="1:7" ht="24" customHeight="1">
      <c r="A3" s="2" t="s">
        <v>1315</v>
      </c>
      <c r="B3" s="69" t="s">
        <v>72</v>
      </c>
      <c r="C3" s="16" t="s">
        <v>73</v>
      </c>
      <c r="D3" s="69" t="s">
        <v>71</v>
      </c>
      <c r="E3" s="16" t="s">
        <v>22</v>
      </c>
      <c r="F3" s="69" t="s">
        <v>541</v>
      </c>
      <c r="G3" s="16" t="s">
        <v>24</v>
      </c>
    </row>
    <row r="4" spans="1:7" ht="15" customHeight="1">
      <c r="A4" s="77"/>
      <c r="B4" s="70"/>
      <c r="C4" s="17"/>
      <c r="D4" s="70"/>
      <c r="E4" s="61"/>
      <c r="F4" s="70" t="s">
        <v>542</v>
      </c>
      <c r="G4" s="17" t="s">
        <v>25</v>
      </c>
    </row>
    <row r="5" spans="1:7" ht="15" customHeight="1">
      <c r="A5" s="4"/>
      <c r="B5" s="70"/>
      <c r="C5" s="17"/>
      <c r="D5" s="70"/>
      <c r="E5" s="17"/>
      <c r="F5" s="70" t="s">
        <v>543</v>
      </c>
      <c r="G5" s="17" t="s">
        <v>26</v>
      </c>
    </row>
    <row r="6" spans="1:7" ht="24" customHeight="1">
      <c r="A6" s="390"/>
      <c r="B6" s="391"/>
      <c r="C6" s="392"/>
      <c r="D6" s="391"/>
      <c r="E6" s="392"/>
      <c r="F6" s="73"/>
      <c r="G6" s="18"/>
    </row>
    <row r="7" spans="1:7" ht="35.25" customHeight="1" thickBot="1">
      <c r="A7" s="393" t="s">
        <v>1329</v>
      </c>
      <c r="B7" s="74">
        <v>2919.51</v>
      </c>
      <c r="C7" s="106">
        <v>2993.91</v>
      </c>
      <c r="D7" s="74">
        <v>785.05</v>
      </c>
      <c r="E7" s="106">
        <v>2209.88</v>
      </c>
      <c r="F7" s="74">
        <v>-65.2</v>
      </c>
      <c r="G7" s="395">
        <v>0.10753162400016046</v>
      </c>
    </row>
    <row r="8" spans="1:7" ht="30.75" customHeight="1" thickBot="1">
      <c r="A8" s="393" t="s">
        <v>1330</v>
      </c>
      <c r="B8" s="74">
        <v>2433.44</v>
      </c>
      <c r="C8" s="106">
        <v>2622.59</v>
      </c>
      <c r="D8" s="74">
        <v>670.22</v>
      </c>
      <c r="E8" s="106">
        <v>2420.15</v>
      </c>
      <c r="F8" s="74">
        <v>145.07</v>
      </c>
      <c r="G8" s="395">
        <v>8.4199444494221079E-2</v>
      </c>
    </row>
    <row r="9" spans="1:7" ht="35.25" customHeight="1" thickBot="1">
      <c r="A9" s="393" t="s">
        <v>1331</v>
      </c>
      <c r="B9" s="74">
        <v>1975.75</v>
      </c>
      <c r="C9" s="106">
        <v>2113.5</v>
      </c>
      <c r="D9" s="74">
        <v>689.24</v>
      </c>
      <c r="E9" s="106">
        <v>1971.77</v>
      </c>
      <c r="F9" s="74">
        <v>-303.31</v>
      </c>
      <c r="G9" s="395">
        <v>9.2859557816908023E-2</v>
      </c>
    </row>
    <row r="10" spans="1:7" ht="34.5" customHeight="1" thickBot="1">
      <c r="A10" s="393" t="s">
        <v>1332</v>
      </c>
      <c r="B10" s="74">
        <v>2193.7199999999998</v>
      </c>
      <c r="C10" s="106">
        <v>2347.06</v>
      </c>
      <c r="D10" s="74">
        <v>651.19000000000005</v>
      </c>
      <c r="E10" s="106">
        <v>1929.36</v>
      </c>
      <c r="F10" s="74">
        <v>-345.73</v>
      </c>
      <c r="G10" s="395">
        <v>-2.8941166742465665E-3</v>
      </c>
    </row>
    <row r="11" spans="1:7" ht="36" customHeight="1" thickBot="1">
      <c r="A11" s="754" t="s">
        <v>22</v>
      </c>
      <c r="B11" s="344">
        <v>2596.8200000000002</v>
      </c>
      <c r="C11" s="333">
        <v>2765.62</v>
      </c>
      <c r="D11" s="344">
        <v>761.32</v>
      </c>
      <c r="E11" s="333">
        <v>2275.08</v>
      </c>
      <c r="F11" s="344">
        <v>0</v>
      </c>
      <c r="G11" s="598">
        <v>9.0401924791273208E-2</v>
      </c>
    </row>
    <row r="12" spans="1:7" ht="19.5" customHeight="1">
      <c r="A12" s="9" t="s">
        <v>1334</v>
      </c>
      <c r="B12" s="9"/>
      <c r="C12" s="9"/>
      <c r="D12" s="9"/>
      <c r="E12" s="9"/>
      <c r="F12" s="9"/>
      <c r="G12" s="9"/>
    </row>
    <row r="14" spans="1:7">
      <c r="A14" s="3" t="s">
        <v>544</v>
      </c>
    </row>
    <row r="17" spans="1:1">
      <c r="A17" s="3" t="s">
        <v>256</v>
      </c>
    </row>
  </sheetData>
  <mergeCells count="1">
    <mergeCell ref="A2:F2"/>
  </mergeCells>
  <phoneticPr fontId="0" type="noConversion"/>
  <pageMargins left="0.6" right="0.57999999999999996" top="0.94" bottom="0.49" header="0.54" footer="0.4921259845"/>
  <pageSetup paperSize="9" scale="85" orientation="portrait" horizontalDpi="4294967292" verticalDpi="4294967292"/>
  <headerFooter alignWithMargins="0">
    <oddHeader>&amp;L&amp;"Arial,Bold"Versicherte und Finanzen in der OKP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19985-47FF-464E-8CFB-9A08DD85A1F4}">
  <sheetPr>
    <pageSetUpPr fitToPage="1"/>
  </sheetPr>
  <dimension ref="A1:K24"/>
  <sheetViews>
    <sheetView topLeftCell="A13" zoomScale="75" workbookViewId="0">
      <selection activeCell="B32" sqref="B32"/>
    </sheetView>
  </sheetViews>
  <sheetFormatPr baseColWidth="10" defaultColWidth="11.3984375" defaultRowHeight="13"/>
  <cols>
    <col min="1" max="1" width="15.796875" style="3" customWidth="1"/>
    <col min="2" max="2" width="17.19921875" style="3" customWidth="1"/>
    <col min="3" max="4" width="16.19921875" style="3" customWidth="1"/>
    <col min="5" max="5" width="16.796875" style="3" customWidth="1"/>
    <col min="6" max="6" width="17.796875" style="3" customWidth="1"/>
    <col min="7" max="7" width="15.19921875" style="3" customWidth="1"/>
    <col min="8" max="16384" width="11.3984375" style="3"/>
  </cols>
  <sheetData>
    <row r="1" spans="1:11" s="1" customFormat="1" ht="14" customHeight="1"/>
    <row r="2" spans="1:11" s="1" customFormat="1" ht="28" customHeight="1">
      <c r="A2" s="59" t="s">
        <v>538</v>
      </c>
      <c r="G2" s="321">
        <v>2003</v>
      </c>
    </row>
    <row r="3" spans="1:11" ht="24" customHeight="1">
      <c r="A3" s="2" t="s">
        <v>1400</v>
      </c>
      <c r="B3" s="69" t="s">
        <v>1848</v>
      </c>
      <c r="C3" s="16" t="s">
        <v>509</v>
      </c>
      <c r="D3" s="69" t="s">
        <v>510</v>
      </c>
      <c r="E3" s="16" t="s">
        <v>511</v>
      </c>
      <c r="F3" s="69" t="s">
        <v>22</v>
      </c>
      <c r="G3" s="16" t="s">
        <v>24</v>
      </c>
    </row>
    <row r="4" spans="1:11" ht="15" customHeight="1">
      <c r="A4" s="77"/>
      <c r="B4" s="70" t="s">
        <v>1850</v>
      </c>
      <c r="C4" s="17" t="s">
        <v>512</v>
      </c>
      <c r="D4" s="70" t="s">
        <v>1851</v>
      </c>
      <c r="E4" s="61" t="s">
        <v>513</v>
      </c>
      <c r="F4" s="70"/>
      <c r="G4" s="17" t="s">
        <v>25</v>
      </c>
    </row>
    <row r="5" spans="1:11" ht="15" customHeight="1">
      <c r="A5" s="77"/>
      <c r="B5" s="70" t="s">
        <v>1852</v>
      </c>
      <c r="C5" s="17" t="s">
        <v>514</v>
      </c>
      <c r="D5" s="70" t="s">
        <v>1405</v>
      </c>
      <c r="E5" s="61" t="s">
        <v>515</v>
      </c>
      <c r="F5" s="70"/>
      <c r="G5" s="17" t="s">
        <v>26</v>
      </c>
    </row>
    <row r="6" spans="1:11" ht="24" customHeight="1">
      <c r="A6" s="78"/>
      <c r="B6" s="73"/>
      <c r="C6" s="18"/>
      <c r="D6" s="73"/>
      <c r="E6" s="62" t="s">
        <v>516</v>
      </c>
      <c r="F6" s="73"/>
      <c r="G6" s="18"/>
    </row>
    <row r="7" spans="1:11" ht="30" customHeight="1" thickBot="1">
      <c r="A7" s="79">
        <v>1994</v>
      </c>
      <c r="B7" s="87">
        <v>9991876000</v>
      </c>
      <c r="C7" s="86">
        <v>779608000</v>
      </c>
      <c r="D7" s="19">
        <v>8990000</v>
      </c>
      <c r="E7" s="86">
        <v>27812000</v>
      </c>
      <c r="F7" s="87">
        <v>10808399000</v>
      </c>
      <c r="G7" s="300" t="s">
        <v>258</v>
      </c>
      <c r="H7" s="42"/>
    </row>
    <row r="8" spans="1:11" ht="20" customHeight="1" thickBot="1">
      <c r="A8" s="80">
        <v>1995</v>
      </c>
      <c r="B8" s="75">
        <v>10363923000</v>
      </c>
      <c r="C8" s="116">
        <v>874297000</v>
      </c>
      <c r="D8" s="29">
        <v>25543000</v>
      </c>
      <c r="E8" s="116">
        <v>43635000</v>
      </c>
      <c r="F8" s="29">
        <v>11307398000</v>
      </c>
      <c r="G8" s="25">
        <v>4.6167707169211647E-2</v>
      </c>
      <c r="H8" s="42"/>
    </row>
    <row r="9" spans="1:11" ht="20" customHeight="1" thickBot="1">
      <c r="A9" s="80">
        <v>1996</v>
      </c>
      <c r="B9" s="29">
        <v>9158012632.5</v>
      </c>
      <c r="C9" s="116">
        <v>3158899160.8000002</v>
      </c>
      <c r="D9" s="29">
        <v>29792276.350000001</v>
      </c>
      <c r="E9" s="116">
        <v>112313176.95</v>
      </c>
      <c r="F9" s="29">
        <v>12459017246.6</v>
      </c>
      <c r="G9" s="25">
        <v>0.10184652973212761</v>
      </c>
    </row>
    <row r="10" spans="1:11" ht="20" customHeight="1" thickBot="1">
      <c r="A10" s="80">
        <v>1997</v>
      </c>
      <c r="B10" s="29">
        <v>8010294124</v>
      </c>
      <c r="C10" s="116">
        <v>4715093593</v>
      </c>
      <c r="D10" s="29">
        <v>15300134</v>
      </c>
      <c r="E10" s="116">
        <v>397789684</v>
      </c>
      <c r="F10" s="29">
        <v>13138477535</v>
      </c>
      <c r="G10" s="25">
        <v>5.453562467661089E-2</v>
      </c>
      <c r="I10" s="43"/>
      <c r="J10" s="43"/>
      <c r="K10" s="43"/>
    </row>
    <row r="11" spans="1:11" ht="20" customHeight="1" thickBot="1">
      <c r="A11" s="80">
        <v>1998</v>
      </c>
      <c r="B11" s="29">
        <v>8034922538</v>
      </c>
      <c r="C11" s="116">
        <v>5294474912</v>
      </c>
      <c r="D11" s="29">
        <v>7713370</v>
      </c>
      <c r="E11" s="116">
        <v>686981832</v>
      </c>
      <c r="F11" s="29">
        <v>14024092652</v>
      </c>
      <c r="G11" s="25">
        <v>6.7406220746717593E-2</v>
      </c>
    </row>
    <row r="12" spans="1:11" ht="20" customHeight="1" thickBot="1">
      <c r="A12" s="80">
        <v>1999</v>
      </c>
      <c r="B12" s="29">
        <v>8789075476</v>
      </c>
      <c r="C12" s="116">
        <v>4984750851</v>
      </c>
      <c r="D12" s="29">
        <v>7272495</v>
      </c>
      <c r="E12" s="116">
        <v>839411696</v>
      </c>
      <c r="F12" s="29">
        <v>14620510518</v>
      </c>
      <c r="G12" s="25">
        <v>4.252808939585434E-2</v>
      </c>
    </row>
    <row r="13" spans="1:11" ht="20" customHeight="1" thickBot="1">
      <c r="A13" s="80">
        <v>2000</v>
      </c>
      <c r="B13" s="29">
        <v>9137162156</v>
      </c>
      <c r="C13" s="116">
        <v>5390943298</v>
      </c>
      <c r="D13" s="29">
        <v>7536068</v>
      </c>
      <c r="E13" s="116">
        <v>942685920</v>
      </c>
      <c r="F13" s="29">
        <v>15478327442</v>
      </c>
      <c r="G13" s="25">
        <v>5.8672159425890165E-2</v>
      </c>
    </row>
    <row r="14" spans="1:11" ht="20" customHeight="1" thickBot="1">
      <c r="A14" s="80">
        <v>2001</v>
      </c>
      <c r="B14" s="29">
        <v>9659774603</v>
      </c>
      <c r="C14" s="116">
        <v>5684101991</v>
      </c>
      <c r="D14" s="29">
        <v>8361556</v>
      </c>
      <c r="E14" s="116">
        <v>1034222666</v>
      </c>
      <c r="F14" s="29">
        <v>16386460817</v>
      </c>
      <c r="G14" s="25">
        <v>5.8671285925623075E-2</v>
      </c>
    </row>
    <row r="15" spans="1:11" ht="20" customHeight="1" thickBot="1">
      <c r="A15" s="80">
        <v>2002</v>
      </c>
      <c r="B15" s="29">
        <v>9980493100</v>
      </c>
      <c r="C15" s="116">
        <v>6029919077</v>
      </c>
      <c r="D15" s="29">
        <v>7960241</v>
      </c>
      <c r="E15" s="116">
        <v>1077214987</v>
      </c>
      <c r="F15" s="29">
        <v>17095587410</v>
      </c>
      <c r="G15" s="25">
        <v>4.3275152634809487E-2</v>
      </c>
    </row>
    <row r="16" spans="1:11" ht="30" customHeight="1" thickBot="1">
      <c r="A16" s="705">
        <v>2003</v>
      </c>
      <c r="B16" s="356">
        <v>10400406953</v>
      </c>
      <c r="C16" s="357">
        <v>6474095076</v>
      </c>
      <c r="D16" s="356">
        <v>8289006</v>
      </c>
      <c r="E16" s="357">
        <v>1041328328</v>
      </c>
      <c r="F16" s="356">
        <v>17924119349</v>
      </c>
      <c r="G16" s="34">
        <v>4.846466629835447E-2</v>
      </c>
    </row>
    <row r="17" spans="1:7" ht="19.5" customHeight="1">
      <c r="A17" s="9" t="s">
        <v>1334</v>
      </c>
      <c r="B17" s="9"/>
      <c r="C17" s="9"/>
      <c r="D17" s="9"/>
      <c r="E17" s="9"/>
      <c r="F17" s="9"/>
      <c r="G17" s="9"/>
    </row>
    <row r="18" spans="1:7" ht="14.25" customHeight="1">
      <c r="A18" s="37"/>
      <c r="B18" s="37"/>
      <c r="C18" s="37"/>
      <c r="D18" s="37"/>
      <c r="E18" s="37"/>
      <c r="F18" s="37"/>
      <c r="G18" s="37"/>
    </row>
    <row r="19" spans="1:7" ht="13.5" customHeight="1">
      <c r="A19" s="413" t="s">
        <v>1844</v>
      </c>
      <c r="B19" s="37"/>
      <c r="C19" s="37"/>
      <c r="D19" s="37"/>
      <c r="E19" s="37"/>
      <c r="F19" s="37"/>
      <c r="G19" s="37"/>
    </row>
    <row r="21" spans="1:7">
      <c r="A21" s="3" t="s">
        <v>539</v>
      </c>
    </row>
    <row r="24" spans="1:7">
      <c r="A24" s="3" t="s">
        <v>256</v>
      </c>
      <c r="G24" s="38"/>
    </row>
  </sheetData>
  <phoneticPr fontId="0" type="noConversion"/>
  <pageMargins left="0.6" right="0.63" top="0.99" bottom="0.49" header="0.59" footer="0.4921259845"/>
  <pageSetup paperSize="9" scale="79" orientation="portrait" horizontalDpi="4294967292" verticalDpi="4294967292"/>
  <headerFooter alignWithMargins="0">
    <oddHeader>&amp;L&amp;"Arial,Bold"Versicherte und Finanzen in der OKP</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7A0A5-9D85-9A48-92C0-9D234E144E52}">
  <sheetPr>
    <pageSetUpPr fitToPage="1"/>
  </sheetPr>
  <dimension ref="A1:K31"/>
  <sheetViews>
    <sheetView zoomScale="75" workbookViewId="0">
      <selection activeCell="A15" sqref="A15:IV15"/>
    </sheetView>
  </sheetViews>
  <sheetFormatPr baseColWidth="10" defaultColWidth="11.3984375" defaultRowHeight="13"/>
  <cols>
    <col min="1" max="1" width="20.796875" style="3" customWidth="1"/>
    <col min="2" max="7" width="14.3984375" style="3" customWidth="1"/>
    <col min="8" max="16384" width="11.3984375" style="3"/>
  </cols>
  <sheetData>
    <row r="1" spans="1:11" s="1" customFormat="1" ht="14" customHeight="1"/>
    <row r="2" spans="1:11" s="1" customFormat="1" ht="36.75" customHeight="1">
      <c r="A2" s="1473" t="s">
        <v>536</v>
      </c>
      <c r="B2" s="1474"/>
      <c r="C2" s="1474"/>
      <c r="D2" s="1474"/>
      <c r="E2" s="1474"/>
      <c r="F2" s="1474"/>
      <c r="G2" s="321">
        <v>2003</v>
      </c>
      <c r="I2" s="321"/>
    </row>
    <row r="3" spans="1:11" ht="24" customHeight="1">
      <c r="A3" s="2" t="s">
        <v>1591</v>
      </c>
      <c r="B3" s="69" t="s">
        <v>1848</v>
      </c>
      <c r="C3" s="16" t="s">
        <v>509</v>
      </c>
      <c r="D3" s="69" t="s">
        <v>510</v>
      </c>
      <c r="E3" s="16" t="s">
        <v>511</v>
      </c>
      <c r="F3" s="69" t="s">
        <v>22</v>
      </c>
      <c r="G3" s="16" t="s">
        <v>24</v>
      </c>
    </row>
    <row r="4" spans="1:11" ht="15" customHeight="1">
      <c r="A4" s="77"/>
      <c r="B4" s="70" t="s">
        <v>1850</v>
      </c>
      <c r="C4" s="17" t="s">
        <v>512</v>
      </c>
      <c r="D4" s="70" t="s">
        <v>1851</v>
      </c>
      <c r="E4" s="61" t="s">
        <v>513</v>
      </c>
      <c r="F4" s="70"/>
      <c r="G4" s="17" t="s">
        <v>25</v>
      </c>
    </row>
    <row r="5" spans="1:11" ht="15" customHeight="1">
      <c r="A5" s="77"/>
      <c r="B5" s="70" t="s">
        <v>1852</v>
      </c>
      <c r="C5" s="17" t="s">
        <v>514</v>
      </c>
      <c r="D5" s="70" t="s">
        <v>1405</v>
      </c>
      <c r="E5" s="61" t="s">
        <v>515</v>
      </c>
      <c r="F5" s="70"/>
      <c r="G5" s="17" t="s">
        <v>26</v>
      </c>
    </row>
    <row r="6" spans="1:11" ht="24" customHeight="1">
      <c r="A6" s="78"/>
      <c r="B6" s="73"/>
      <c r="C6" s="18"/>
      <c r="D6" s="73"/>
      <c r="E6" s="62" t="s">
        <v>516</v>
      </c>
      <c r="F6" s="73"/>
      <c r="G6" s="18"/>
    </row>
    <row r="7" spans="1:11" ht="30" customHeight="1" thickBot="1">
      <c r="A7" s="79">
        <v>1994</v>
      </c>
      <c r="B7" s="87">
        <v>1549.7138298166035</v>
      </c>
      <c r="C7" s="86">
        <v>1210.5883467315537</v>
      </c>
      <c r="D7" s="19">
        <v>587.65851745326188</v>
      </c>
      <c r="E7" s="86">
        <v>1121.3611805499556</v>
      </c>
      <c r="F7" s="87">
        <v>1515.5531263228875</v>
      </c>
      <c r="G7" s="300" t="s">
        <v>258</v>
      </c>
      <c r="H7" s="42"/>
    </row>
    <row r="8" spans="1:11" ht="20" customHeight="1" thickBot="1">
      <c r="A8" s="80">
        <v>1995</v>
      </c>
      <c r="B8" s="75">
        <v>1619.4940465493926</v>
      </c>
      <c r="C8" s="116">
        <v>1251.2354256977133</v>
      </c>
      <c r="D8" s="29">
        <v>781.01207766396578</v>
      </c>
      <c r="E8" s="116">
        <v>1233.2193426221631</v>
      </c>
      <c r="F8" s="29">
        <v>1577.8534496869172</v>
      </c>
      <c r="G8" s="25">
        <v>4.11073173760566E-2</v>
      </c>
      <c r="H8" s="42"/>
    </row>
    <row r="9" spans="1:11" ht="20" customHeight="1" thickBot="1">
      <c r="A9" s="80">
        <v>1996</v>
      </c>
      <c r="B9" s="29">
        <v>1932.22</v>
      </c>
      <c r="C9" s="116">
        <v>1370.05</v>
      </c>
      <c r="D9" s="29">
        <v>1070.5899999999999</v>
      </c>
      <c r="E9" s="116">
        <v>923.64</v>
      </c>
      <c r="F9" s="29">
        <v>1731.68</v>
      </c>
      <c r="G9" s="25">
        <v>9.7491025128858211E-2</v>
      </c>
    </row>
    <row r="10" spans="1:11" ht="20" customHeight="1" thickBot="1">
      <c r="A10" s="80">
        <v>1997</v>
      </c>
      <c r="B10" s="29">
        <v>1961.45</v>
      </c>
      <c r="C10" s="116">
        <v>1723.12</v>
      </c>
      <c r="D10" s="29">
        <v>1331.14</v>
      </c>
      <c r="E10" s="116">
        <v>1038.3599999999999</v>
      </c>
      <c r="F10" s="29">
        <v>1821.04</v>
      </c>
      <c r="G10" s="25">
        <v>5.1603067541347074E-2</v>
      </c>
      <c r="I10" s="43"/>
      <c r="J10" s="43"/>
      <c r="K10" s="43"/>
    </row>
    <row r="11" spans="1:11" ht="20" customHeight="1" thickBot="1">
      <c r="A11" s="80">
        <v>1998</v>
      </c>
      <c r="B11" s="29">
        <v>2000.59</v>
      </c>
      <c r="C11" s="116">
        <v>1941.88</v>
      </c>
      <c r="D11" s="29">
        <v>652.13</v>
      </c>
      <c r="E11" s="116">
        <v>1390.54</v>
      </c>
      <c r="F11" s="29">
        <v>1934.73</v>
      </c>
      <c r="G11" s="25">
        <v>6.2431357905372784E-2</v>
      </c>
    </row>
    <row r="12" spans="1:11" ht="20" customHeight="1" thickBot="1">
      <c r="A12" s="80">
        <v>1999</v>
      </c>
      <c r="B12" s="29">
        <v>2197.96</v>
      </c>
      <c r="C12" s="116">
        <v>1835.57</v>
      </c>
      <c r="D12" s="29">
        <v>708.96</v>
      </c>
      <c r="E12" s="116">
        <v>1549.04</v>
      </c>
      <c r="F12" s="29">
        <v>2012.03</v>
      </c>
      <c r="G12" s="25">
        <v>3.9953895375582096E-2</v>
      </c>
    </row>
    <row r="13" spans="1:11" ht="20" customHeight="1" thickBot="1">
      <c r="A13" s="80">
        <v>2000</v>
      </c>
      <c r="B13" s="29">
        <v>2329.77</v>
      </c>
      <c r="C13" s="116">
        <v>1954.27</v>
      </c>
      <c r="D13" s="29">
        <v>768.12</v>
      </c>
      <c r="E13" s="116">
        <v>1631.39</v>
      </c>
      <c r="F13" s="29">
        <v>2129.62</v>
      </c>
      <c r="G13" s="25">
        <v>5.8443462572625615E-2</v>
      </c>
    </row>
    <row r="14" spans="1:11" ht="20" customHeight="1" thickBot="1">
      <c r="A14" s="80">
        <v>2001</v>
      </c>
      <c r="B14" s="29">
        <v>2488.227550627983</v>
      </c>
      <c r="C14" s="116">
        <v>2005.8119479175782</v>
      </c>
      <c r="D14" s="29">
        <v>895.14570174499522</v>
      </c>
      <c r="E14" s="116">
        <v>1735.4505511470134</v>
      </c>
      <c r="F14" s="29">
        <v>2238.1940247664106</v>
      </c>
      <c r="G14" s="25">
        <v>5.0982816073482935E-2</v>
      </c>
    </row>
    <row r="15" spans="1:11" ht="20" customHeight="1" thickBot="1">
      <c r="A15" s="80">
        <v>2002</v>
      </c>
      <c r="B15" s="29">
        <v>2617.71</v>
      </c>
      <c r="C15" s="116">
        <v>2022.91</v>
      </c>
      <c r="D15" s="29">
        <v>900.99</v>
      </c>
      <c r="E15" s="116">
        <v>1933.84</v>
      </c>
      <c r="F15" s="29">
        <v>2322.9699999999998</v>
      </c>
      <c r="G15" s="25">
        <v>3.7876955391495534E-2</v>
      </c>
    </row>
    <row r="16" spans="1:11" ht="30" customHeight="1" thickBot="1">
      <c r="A16" s="705">
        <v>2003</v>
      </c>
      <c r="B16" s="356">
        <v>2830.6</v>
      </c>
      <c r="C16" s="357">
        <v>2083.65</v>
      </c>
      <c r="D16" s="356">
        <v>996.63</v>
      </c>
      <c r="E16" s="357">
        <v>1725.47</v>
      </c>
      <c r="F16" s="356">
        <v>2424.41</v>
      </c>
      <c r="G16" s="34">
        <v>4.3668235061150196E-2</v>
      </c>
    </row>
    <row r="17" spans="1:8" ht="19.5" customHeight="1">
      <c r="A17" s="9" t="s">
        <v>1334</v>
      </c>
      <c r="B17" s="9"/>
      <c r="C17" s="9"/>
      <c r="D17" s="9"/>
      <c r="E17" s="9"/>
      <c r="F17" s="9"/>
      <c r="G17" s="9"/>
    </row>
    <row r="19" spans="1:8">
      <c r="A19" s="3" t="s">
        <v>537</v>
      </c>
    </row>
    <row r="20" spans="1:8">
      <c r="E20" s="38"/>
      <c r="F20" s="38"/>
      <c r="G20" s="38"/>
      <c r="H20" s="38"/>
    </row>
    <row r="21" spans="1:8">
      <c r="E21" s="38"/>
      <c r="F21" s="38"/>
      <c r="G21" s="171"/>
      <c r="H21" s="38"/>
    </row>
    <row r="22" spans="1:8">
      <c r="A22" s="3" t="s">
        <v>256</v>
      </c>
      <c r="E22" s="38"/>
      <c r="F22" s="656"/>
      <c r="G22" s="753"/>
      <c r="H22" s="38"/>
    </row>
    <row r="23" spans="1:8">
      <c r="E23" s="38"/>
      <c r="F23" s="656"/>
      <c r="G23" s="753"/>
      <c r="H23" s="753"/>
    </row>
    <row r="24" spans="1:8">
      <c r="F24" s="42"/>
      <c r="G24" s="353"/>
      <c r="H24" s="353"/>
    </row>
    <row r="25" spans="1:8">
      <c r="F25" s="42"/>
      <c r="G25" s="353"/>
      <c r="H25" s="353"/>
    </row>
    <row r="26" spans="1:8">
      <c r="F26" s="42"/>
      <c r="G26" s="353"/>
      <c r="H26" s="353"/>
    </row>
    <row r="27" spans="1:8">
      <c r="F27" s="42"/>
      <c r="G27" s="353"/>
      <c r="H27" s="353"/>
    </row>
    <row r="28" spans="1:8">
      <c r="F28" s="42"/>
      <c r="G28" s="353"/>
      <c r="H28" s="353"/>
    </row>
    <row r="29" spans="1:8">
      <c r="F29" s="42"/>
      <c r="G29" s="353"/>
      <c r="H29" s="353"/>
    </row>
    <row r="30" spans="1:8">
      <c r="F30" s="42"/>
    </row>
    <row r="31" spans="1:8">
      <c r="F31" s="42"/>
    </row>
  </sheetData>
  <mergeCells count="1">
    <mergeCell ref="A2:F2"/>
  </mergeCells>
  <phoneticPr fontId="0" type="noConversion"/>
  <pageMargins left="0.51" right="0.51" top="0.92" bottom="0.49" header="0.51" footer="0.4921259845"/>
  <pageSetup paperSize="9" scale="87" orientation="portrait" horizontalDpi="4294967292" verticalDpi="4294967292"/>
  <headerFooter alignWithMargins="0">
    <oddHeader>&amp;L&amp;"Arial,Bold"Versicherte und Finanzen in der OKP</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8C75-487F-F347-9638-AC8430ABC25B}">
  <sheetPr>
    <pageSetUpPr fitToPage="1"/>
  </sheetPr>
  <dimension ref="A1:V57"/>
  <sheetViews>
    <sheetView topLeftCell="A28" zoomScale="75" workbookViewId="0">
      <selection activeCell="A38" sqref="A38:IV40"/>
    </sheetView>
  </sheetViews>
  <sheetFormatPr baseColWidth="10" defaultColWidth="11.3984375" defaultRowHeight="13"/>
  <cols>
    <col min="1" max="1" width="11.796875" style="3" customWidth="1"/>
    <col min="2" max="2" width="17" style="3" customWidth="1"/>
    <col min="3" max="3" width="13" style="460" customWidth="1"/>
    <col min="4" max="4" width="13" style="3" customWidth="1"/>
    <col min="5" max="5" width="14" style="460" customWidth="1"/>
    <col min="6" max="6" width="13" style="3" customWidth="1"/>
    <col min="7" max="7" width="13" style="460" customWidth="1"/>
    <col min="8" max="8" width="13" style="3" customWidth="1"/>
    <col min="9" max="9" width="15.3984375" style="3" customWidth="1"/>
    <col min="10" max="12" width="13" style="3" customWidth="1"/>
    <col min="13" max="13" width="14.19921875" style="3" customWidth="1"/>
    <col min="14" max="14" width="13" style="3" customWidth="1"/>
    <col min="15" max="15" width="14.796875" style="3" customWidth="1"/>
    <col min="16" max="16" width="13" style="3" customWidth="1"/>
    <col min="17" max="16384" width="11.3984375" style="3"/>
  </cols>
  <sheetData>
    <row r="1" spans="1:22" s="1" customFormat="1" ht="14" customHeight="1">
      <c r="A1" s="372"/>
      <c r="B1" s="372"/>
      <c r="C1" s="771"/>
      <c r="D1" s="372"/>
      <c r="E1" s="771"/>
      <c r="F1" s="372"/>
      <c r="G1" s="772"/>
      <c r="H1" s="772"/>
      <c r="I1" s="772"/>
      <c r="J1" s="772"/>
      <c r="K1" s="772"/>
      <c r="L1" s="772"/>
      <c r="M1" s="772"/>
      <c r="N1" s="772"/>
      <c r="O1" s="772"/>
      <c r="P1" s="772"/>
      <c r="Q1" s="772"/>
      <c r="R1" s="772"/>
      <c r="S1" s="772"/>
      <c r="T1" s="772"/>
      <c r="U1" s="772"/>
    </row>
    <row r="2" spans="1:22" s="1" customFormat="1" ht="28" customHeight="1">
      <c r="A2" s="59" t="s">
        <v>715</v>
      </c>
      <c r="B2" s="372"/>
      <c r="C2" s="771"/>
      <c r="D2" s="372"/>
      <c r="E2" s="771"/>
      <c r="F2" s="372"/>
      <c r="G2" s="771"/>
      <c r="N2" s="374">
        <v>2003</v>
      </c>
    </row>
    <row r="3" spans="1:22" ht="24" customHeight="1">
      <c r="A3" s="2" t="s">
        <v>1757</v>
      </c>
      <c r="B3" s="339" t="s">
        <v>242</v>
      </c>
      <c r="C3" s="16" t="s">
        <v>24</v>
      </c>
      <c r="D3" s="69"/>
      <c r="E3" s="589"/>
      <c r="F3" s="69"/>
      <c r="G3" s="589"/>
      <c r="H3" s="69"/>
      <c r="I3" s="589"/>
      <c r="J3" s="69"/>
      <c r="K3" s="589"/>
      <c r="L3" s="69"/>
      <c r="M3" s="589"/>
      <c r="N3" s="69"/>
      <c r="O3"/>
    </row>
    <row r="4" spans="1:22" ht="15" customHeight="1">
      <c r="A4" s="77"/>
      <c r="B4" s="416" t="s">
        <v>720</v>
      </c>
      <c r="C4" s="17" t="s">
        <v>25</v>
      </c>
      <c r="D4" s="773" t="s">
        <v>1563</v>
      </c>
      <c r="E4" s="774" t="s">
        <v>1563</v>
      </c>
      <c r="F4" s="773" t="s">
        <v>1563</v>
      </c>
      <c r="G4" s="774" t="s">
        <v>1563</v>
      </c>
      <c r="H4" s="773" t="s">
        <v>1563</v>
      </c>
      <c r="I4" s="774" t="s">
        <v>1563</v>
      </c>
      <c r="J4" s="773" t="s">
        <v>1563</v>
      </c>
      <c r="K4" s="774" t="s">
        <v>1563</v>
      </c>
      <c r="L4" s="773" t="s">
        <v>1563</v>
      </c>
      <c r="M4" s="774" t="s">
        <v>1563</v>
      </c>
      <c r="N4" s="773" t="s">
        <v>1563</v>
      </c>
      <c r="O4"/>
    </row>
    <row r="5" spans="1:22" ht="15" customHeight="1">
      <c r="A5" s="77"/>
      <c r="B5" s="70"/>
      <c r="C5" s="17" t="s">
        <v>26</v>
      </c>
      <c r="D5" s="773" t="s">
        <v>244</v>
      </c>
      <c r="E5" s="774" t="s">
        <v>245</v>
      </c>
      <c r="F5" s="773" t="s">
        <v>1363</v>
      </c>
      <c r="G5" s="774" t="s">
        <v>1363</v>
      </c>
      <c r="H5" s="773" t="s">
        <v>226</v>
      </c>
      <c r="I5" s="774" t="s">
        <v>227</v>
      </c>
      <c r="J5" s="773" t="s">
        <v>228</v>
      </c>
      <c r="K5" s="774" t="s">
        <v>229</v>
      </c>
      <c r="L5" s="773" t="s">
        <v>246</v>
      </c>
      <c r="M5" s="774" t="s">
        <v>247</v>
      </c>
      <c r="N5" s="773" t="s">
        <v>698</v>
      </c>
      <c r="O5"/>
    </row>
    <row r="6" spans="1:22" s="37" customFormat="1" ht="19.5" customHeight="1">
      <c r="A6" s="469"/>
      <c r="B6" s="470"/>
      <c r="C6" s="775"/>
      <c r="D6" s="776" t="s">
        <v>699</v>
      </c>
      <c r="E6" s="777" t="s">
        <v>699</v>
      </c>
      <c r="F6" s="776" t="s">
        <v>700</v>
      </c>
      <c r="G6" s="777" t="s">
        <v>701</v>
      </c>
      <c r="H6" s="776"/>
      <c r="I6" s="777"/>
      <c r="J6" s="776"/>
      <c r="K6" s="777"/>
      <c r="L6" s="776" t="s">
        <v>702</v>
      </c>
      <c r="M6" s="777" t="s">
        <v>703</v>
      </c>
      <c r="N6" s="776" t="s">
        <v>704</v>
      </c>
      <c r="O6"/>
    </row>
    <row r="7" spans="1:22" ht="19.5" customHeight="1">
      <c r="A7" s="469"/>
      <c r="B7" s="470"/>
      <c r="C7" s="775"/>
      <c r="D7" s="470"/>
      <c r="E7" s="775"/>
      <c r="F7" s="470"/>
      <c r="G7" s="775"/>
      <c r="H7" s="470"/>
      <c r="I7" s="775"/>
      <c r="J7" s="470"/>
      <c r="K7" s="775"/>
      <c r="L7" s="470"/>
      <c r="M7" s="775"/>
      <c r="N7" s="470"/>
      <c r="O7"/>
    </row>
    <row r="8" spans="1:22" ht="23.25" customHeight="1" thickBot="1">
      <c r="A8" s="79">
        <v>1994</v>
      </c>
      <c r="B8" s="87">
        <v>7196.7860000000001</v>
      </c>
      <c r="C8" s="300" t="s">
        <v>1013</v>
      </c>
      <c r="D8" s="19" t="s">
        <v>1013</v>
      </c>
      <c r="E8" s="86" t="s">
        <v>1013</v>
      </c>
      <c r="F8" s="19" t="s">
        <v>1013</v>
      </c>
      <c r="G8" s="86" t="s">
        <v>1013</v>
      </c>
      <c r="H8" s="19" t="s">
        <v>1013</v>
      </c>
      <c r="I8" s="86" t="s">
        <v>1013</v>
      </c>
      <c r="J8" s="19" t="s">
        <v>1013</v>
      </c>
      <c r="K8" s="86" t="s">
        <v>1013</v>
      </c>
      <c r="L8" s="19" t="s">
        <v>1013</v>
      </c>
      <c r="M8" s="86" t="s">
        <v>1013</v>
      </c>
      <c r="N8" s="19" t="s">
        <v>1013</v>
      </c>
      <c r="O8"/>
      <c r="S8" s="42"/>
    </row>
    <row r="9" spans="1:22" ht="20" customHeight="1" thickBot="1">
      <c r="A9" s="80">
        <v>1995</v>
      </c>
      <c r="B9" s="75">
        <v>7392.4319999999998</v>
      </c>
      <c r="C9" s="25">
        <v>2.7185190722636428E-2</v>
      </c>
      <c r="D9" s="19" t="s">
        <v>1013</v>
      </c>
      <c r="E9" s="86" t="s">
        <v>1013</v>
      </c>
      <c r="F9" s="19" t="s">
        <v>1013</v>
      </c>
      <c r="G9" s="86" t="s">
        <v>1013</v>
      </c>
      <c r="H9" s="19" t="s">
        <v>1013</v>
      </c>
      <c r="I9" s="86" t="s">
        <v>1013</v>
      </c>
      <c r="J9" s="19" t="s">
        <v>1013</v>
      </c>
      <c r="K9" s="86" t="s">
        <v>1013</v>
      </c>
      <c r="L9" s="19" t="s">
        <v>1013</v>
      </c>
      <c r="M9" s="86" t="s">
        <v>1013</v>
      </c>
      <c r="N9" s="19" t="s">
        <v>1013</v>
      </c>
      <c r="O9"/>
      <c r="S9" s="42"/>
    </row>
    <row r="10" spans="1:22" ht="20" customHeight="1" thickBot="1">
      <c r="A10" s="80">
        <v>1996</v>
      </c>
      <c r="B10" s="29">
        <v>8214.622179967444</v>
      </c>
      <c r="C10" s="25">
        <v>0.11122052660984157</v>
      </c>
      <c r="D10" s="19" t="s">
        <v>1013</v>
      </c>
      <c r="E10" s="86" t="s">
        <v>1013</v>
      </c>
      <c r="F10" s="19" t="s">
        <v>1013</v>
      </c>
      <c r="G10" s="86" t="s">
        <v>1013</v>
      </c>
      <c r="H10" s="19" t="s">
        <v>1013</v>
      </c>
      <c r="I10" s="86" t="s">
        <v>1013</v>
      </c>
      <c r="J10" s="19" t="s">
        <v>1013</v>
      </c>
      <c r="K10" s="116">
        <v>56.88</v>
      </c>
      <c r="L10" s="19" t="s">
        <v>1013</v>
      </c>
      <c r="M10" s="86" t="s">
        <v>1013</v>
      </c>
      <c r="N10" s="19" t="s">
        <v>1013</v>
      </c>
      <c r="O10"/>
    </row>
    <row r="11" spans="1:22" ht="20" customHeight="1" thickBot="1">
      <c r="A11" s="80">
        <v>1997</v>
      </c>
      <c r="B11" s="29">
        <v>8735.6547899365542</v>
      </c>
      <c r="C11" s="25">
        <v>6.3427458811158022E-2</v>
      </c>
      <c r="D11" s="19" t="s">
        <v>1013</v>
      </c>
      <c r="E11" s="86" t="s">
        <v>1013</v>
      </c>
      <c r="F11" s="19" t="s">
        <v>1013</v>
      </c>
      <c r="G11" s="86" t="s">
        <v>1013</v>
      </c>
      <c r="H11" s="19" t="s">
        <v>1013</v>
      </c>
      <c r="I11" s="86" t="s">
        <v>1013</v>
      </c>
      <c r="J11" s="19" t="s">
        <v>1013</v>
      </c>
      <c r="K11" s="116">
        <v>56.26</v>
      </c>
      <c r="L11" s="19" t="s">
        <v>1013</v>
      </c>
      <c r="M11" s="86" t="s">
        <v>1013</v>
      </c>
      <c r="N11" s="19" t="s">
        <v>1013</v>
      </c>
      <c r="O11"/>
      <c r="T11" s="43"/>
      <c r="U11" s="43"/>
      <c r="V11" s="43"/>
    </row>
    <row r="12" spans="1:22" ht="20" customHeight="1" thickBot="1">
      <c r="A12" s="80">
        <v>1998</v>
      </c>
      <c r="B12" s="29">
        <v>9332.6868080000004</v>
      </c>
      <c r="C12" s="25">
        <v>6.8344277838362513E-2</v>
      </c>
      <c r="D12" s="29">
        <v>3748.16</v>
      </c>
      <c r="E12" s="116">
        <v>1302.8</v>
      </c>
      <c r="F12" s="29">
        <v>933.79</v>
      </c>
      <c r="G12" s="116">
        <v>1787.54</v>
      </c>
      <c r="H12" s="29">
        <v>223.97</v>
      </c>
      <c r="I12" s="116">
        <v>417.71</v>
      </c>
      <c r="J12" s="29">
        <v>397.5</v>
      </c>
      <c r="K12" s="116">
        <v>56.3</v>
      </c>
      <c r="L12" s="29">
        <v>104.38</v>
      </c>
      <c r="M12" s="116">
        <v>87.2</v>
      </c>
      <c r="N12" s="29" t="s">
        <v>1013</v>
      </c>
      <c r="O12"/>
    </row>
    <row r="13" spans="1:22" ht="20" customHeight="1" thickBot="1">
      <c r="A13" s="80">
        <v>1999</v>
      </c>
      <c r="B13" s="29">
        <v>9826.7075550000009</v>
      </c>
      <c r="C13" s="25">
        <v>5.2934461121798788E-2</v>
      </c>
      <c r="D13" s="29">
        <v>3764.53</v>
      </c>
      <c r="E13" s="116">
        <v>1484.57</v>
      </c>
      <c r="F13" s="29">
        <v>1031.77</v>
      </c>
      <c r="G13" s="116">
        <v>1873.03</v>
      </c>
      <c r="H13" s="29">
        <v>235.27</v>
      </c>
      <c r="I13" s="116">
        <v>437.19</v>
      </c>
      <c r="J13" s="29">
        <v>413.87</v>
      </c>
      <c r="K13" s="116">
        <v>60.6</v>
      </c>
      <c r="L13" s="29">
        <v>125.04</v>
      </c>
      <c r="M13" s="116">
        <v>87.9</v>
      </c>
      <c r="N13" s="29" t="s">
        <v>1013</v>
      </c>
      <c r="O13"/>
    </row>
    <row r="14" spans="1:22" ht="20" customHeight="1" thickBot="1">
      <c r="A14" s="80">
        <v>2000</v>
      </c>
      <c r="B14" s="29">
        <v>10542.816855999999</v>
      </c>
      <c r="C14" s="25">
        <v>7.2873777609839388E-2</v>
      </c>
      <c r="D14" s="29">
        <v>3846.3722419999999</v>
      </c>
      <c r="E14" s="116">
        <v>1665.8885190000001</v>
      </c>
      <c r="F14" s="29">
        <v>1143.2080209999999</v>
      </c>
      <c r="G14" s="116">
        <v>2097.7667449999999</v>
      </c>
      <c r="H14" s="29">
        <v>253.12159500000001</v>
      </c>
      <c r="I14" s="116">
        <v>446.74208700000003</v>
      </c>
      <c r="J14" s="29">
        <v>442.743357</v>
      </c>
      <c r="K14" s="116">
        <v>62.290866000000001</v>
      </c>
      <c r="L14" s="29">
        <v>179.87060299999999</v>
      </c>
      <c r="M14" s="116">
        <v>114.545208</v>
      </c>
      <c r="N14" s="29" t="s">
        <v>1013</v>
      </c>
      <c r="O14"/>
    </row>
    <row r="15" spans="1:22" ht="20" customHeight="1" thickBot="1">
      <c r="A15" s="80">
        <v>2001</v>
      </c>
      <c r="B15" s="29">
        <v>11308.048632</v>
      </c>
      <c r="C15" s="25">
        <v>7.2583237141646939E-2</v>
      </c>
      <c r="D15" s="29">
        <v>4011.5563699999998</v>
      </c>
      <c r="E15" s="116">
        <v>1925.523136</v>
      </c>
      <c r="F15" s="29">
        <v>1271.4507229999999</v>
      </c>
      <c r="G15" s="116">
        <v>2242.439856</v>
      </c>
      <c r="H15" s="29">
        <v>270.321618</v>
      </c>
      <c r="I15" s="116">
        <v>480.12928299999999</v>
      </c>
      <c r="J15" s="29">
        <v>462.70975499999997</v>
      </c>
      <c r="K15" s="116">
        <v>65.236801</v>
      </c>
      <c r="L15" s="29">
        <v>173.02369200000001</v>
      </c>
      <c r="M15" s="116">
        <v>106.32983400000001</v>
      </c>
      <c r="N15" s="29">
        <v>20.166156999999998</v>
      </c>
      <c r="O15"/>
    </row>
    <row r="16" spans="1:22" ht="20" customHeight="1" thickBot="1">
      <c r="A16" s="80">
        <v>2002</v>
      </c>
      <c r="B16" s="29">
        <v>11864.756498999999</v>
      </c>
      <c r="C16" s="25">
        <v>4.9231117155315675E-2</v>
      </c>
      <c r="D16" s="29">
        <v>4108.8234659999998</v>
      </c>
      <c r="E16" s="116">
        <v>1972.059045</v>
      </c>
      <c r="F16" s="29">
        <v>1260.789229</v>
      </c>
      <c r="G16" s="116">
        <v>2524.68426</v>
      </c>
      <c r="H16" s="29">
        <v>290.06557500000002</v>
      </c>
      <c r="I16" s="116">
        <v>506.24601999999999</v>
      </c>
      <c r="J16" s="29">
        <v>485.55174599999998</v>
      </c>
      <c r="K16" s="116">
        <v>65.211265999999995</v>
      </c>
      <c r="L16" s="29">
        <v>202.87558799999999</v>
      </c>
      <c r="M16" s="116">
        <v>112.82700800000001</v>
      </c>
      <c r="N16" s="29">
        <v>22.283301000000002</v>
      </c>
      <c r="O16"/>
    </row>
    <row r="17" spans="1:17" s="109" customFormat="1" ht="30" customHeight="1" thickBot="1">
      <c r="A17" s="621">
        <v>2003</v>
      </c>
      <c r="B17" s="33">
        <v>12287.171129999999</v>
      </c>
      <c r="C17" s="34">
        <v>3.560246946792394E-2</v>
      </c>
      <c r="D17" s="33">
        <v>4172.0328019999997</v>
      </c>
      <c r="E17" s="117">
        <v>2141.3752909999998</v>
      </c>
      <c r="F17" s="33">
        <v>1347.924618</v>
      </c>
      <c r="G17" s="117">
        <v>2602.0570160000002</v>
      </c>
      <c r="H17" s="33">
        <v>320.12044100000003</v>
      </c>
      <c r="I17" s="117">
        <v>491.37185499999998</v>
      </c>
      <c r="J17" s="33">
        <v>480.48790700000001</v>
      </c>
      <c r="K17" s="117">
        <v>65.007204000000002</v>
      </c>
      <c r="L17" s="33">
        <v>214.51952800000001</v>
      </c>
      <c r="M17" s="117">
        <v>112.746364</v>
      </c>
      <c r="N17" s="33">
        <v>30.331126999999999</v>
      </c>
      <c r="O17"/>
      <c r="P17" s="779"/>
      <c r="Q17" s="780"/>
    </row>
    <row r="18" spans="1:17" ht="17.25" customHeight="1" thickBot="1">
      <c r="A18" s="118"/>
      <c r="B18" s="781"/>
      <c r="C18" s="782"/>
      <c r="D18" s="781"/>
      <c r="E18" s="782"/>
      <c r="F18" s="781"/>
      <c r="G18" s="782"/>
      <c r="P18" s="38"/>
      <c r="Q18" s="38"/>
    </row>
    <row r="19" spans="1:17" ht="19.5" customHeight="1" thickBot="1">
      <c r="A19" s="531" t="s">
        <v>721</v>
      </c>
      <c r="B19" s="783" t="s">
        <v>1013</v>
      </c>
      <c r="C19" s="784" t="s">
        <v>1013</v>
      </c>
      <c r="D19" s="783">
        <v>4416.9161001900002</v>
      </c>
      <c r="E19" s="785">
        <v>2179.8048508500005</v>
      </c>
      <c r="F19" s="783">
        <v>1386.5070704099999</v>
      </c>
      <c r="G19" s="785">
        <v>2827.8136309199995</v>
      </c>
      <c r="H19" s="783">
        <v>343.12070691000008</v>
      </c>
      <c r="I19" s="785">
        <v>526.73512071999994</v>
      </c>
      <c r="J19" s="783">
        <v>555.85212109999998</v>
      </c>
      <c r="K19" s="785">
        <v>70.095737759999992</v>
      </c>
      <c r="L19" s="783" t="s">
        <v>1013</v>
      </c>
      <c r="M19" s="785" t="s">
        <v>1013</v>
      </c>
      <c r="N19" s="783" t="s">
        <v>1013</v>
      </c>
      <c r="P19" s="38"/>
      <c r="Q19" s="38"/>
    </row>
    <row r="20" spans="1:17" ht="19.5" customHeight="1" thickBot="1">
      <c r="A20" s="786" t="s">
        <v>722</v>
      </c>
      <c r="B20" s="787" t="s">
        <v>1013</v>
      </c>
      <c r="C20" s="788" t="s">
        <v>1013</v>
      </c>
      <c r="D20" s="787">
        <v>4699.7225722500016</v>
      </c>
      <c r="E20" s="789">
        <v>2334.1236791400001</v>
      </c>
      <c r="F20" s="787">
        <v>1484.44679</v>
      </c>
      <c r="G20" s="789">
        <v>3030.1755983699995</v>
      </c>
      <c r="H20" s="790">
        <v>364.93340693000005</v>
      </c>
      <c r="I20" s="789">
        <v>563.67973559999996</v>
      </c>
      <c r="J20" s="790">
        <v>595.64238696000007</v>
      </c>
      <c r="K20" s="789">
        <v>74.698763150000019</v>
      </c>
      <c r="L20" s="790" t="s">
        <v>1013</v>
      </c>
      <c r="M20" s="789" t="s">
        <v>1013</v>
      </c>
      <c r="N20" s="790" t="s">
        <v>1013</v>
      </c>
    </row>
    <row r="21" spans="1:17" ht="39" customHeight="1">
      <c r="A21" s="118"/>
      <c r="B21" s="791"/>
      <c r="C21" s="782"/>
      <c r="D21" s="781"/>
      <c r="E21" s="782"/>
      <c r="F21" s="781"/>
      <c r="G21" s="782"/>
    </row>
    <row r="22" spans="1:17" ht="16.5" customHeight="1">
      <c r="A22" s="2" t="s">
        <v>1757</v>
      </c>
      <c r="B22" s="416" t="s">
        <v>705</v>
      </c>
      <c r="C22" s="16" t="s">
        <v>24</v>
      </c>
      <c r="D22" s="69"/>
      <c r="E22" s="589"/>
      <c r="F22"/>
      <c r="G22" s="3"/>
      <c r="H22" s="339" t="s">
        <v>22</v>
      </c>
      <c r="I22" s="16" t="s">
        <v>24</v>
      </c>
    </row>
    <row r="23" spans="1:17" ht="15.75" customHeight="1">
      <c r="A23" s="77"/>
      <c r="B23" s="416" t="s">
        <v>720</v>
      </c>
      <c r="C23" s="17" t="s">
        <v>25</v>
      </c>
      <c r="D23" s="792" t="s">
        <v>1563</v>
      </c>
      <c r="E23" s="793" t="s">
        <v>1563</v>
      </c>
      <c r="F23"/>
      <c r="G23" s="3"/>
      <c r="H23" s="416" t="s">
        <v>338</v>
      </c>
      <c r="I23" s="17" t="s">
        <v>25</v>
      </c>
    </row>
    <row r="24" spans="1:17" ht="12" customHeight="1">
      <c r="A24" s="77"/>
      <c r="B24" s="70"/>
      <c r="C24" s="17" t="s">
        <v>26</v>
      </c>
      <c r="D24" s="792" t="s">
        <v>706</v>
      </c>
      <c r="E24" s="793" t="s">
        <v>707</v>
      </c>
      <c r="F24"/>
      <c r="G24" s="3"/>
      <c r="H24" s="70"/>
      <c r="I24" s="17" t="s">
        <v>26</v>
      </c>
    </row>
    <row r="25" spans="1:17" ht="19.5" customHeight="1">
      <c r="A25" s="469"/>
      <c r="B25" s="470"/>
      <c r="C25" s="775"/>
      <c r="D25" s="792" t="s">
        <v>708</v>
      </c>
      <c r="E25" s="793"/>
      <c r="F25"/>
      <c r="G25" s="3"/>
      <c r="H25" s="470"/>
      <c r="I25" s="775"/>
    </row>
    <row r="26" spans="1:17" ht="19.5" customHeight="1">
      <c r="A26" s="469"/>
      <c r="B26" s="470"/>
      <c r="C26" s="775"/>
      <c r="D26" s="794"/>
      <c r="E26" s="795"/>
      <c r="F26"/>
      <c r="G26" s="3"/>
      <c r="H26" s="470"/>
      <c r="I26" s="775"/>
    </row>
    <row r="27" spans="1:17" ht="19.5" customHeight="1" thickBot="1">
      <c r="A27" s="79">
        <v>1994</v>
      </c>
      <c r="B27" s="19">
        <v>3611.5859999999998</v>
      </c>
      <c r="C27" s="300" t="s">
        <v>1013</v>
      </c>
      <c r="D27" s="19" t="s">
        <v>1013</v>
      </c>
      <c r="E27" s="86" t="s">
        <v>1013</v>
      </c>
      <c r="F27"/>
      <c r="G27" s="3"/>
      <c r="H27" s="87">
        <v>10808.371999999999</v>
      </c>
      <c r="I27" s="300" t="s">
        <v>1013</v>
      </c>
    </row>
    <row r="28" spans="1:17" ht="19.5" customHeight="1" thickBot="1">
      <c r="A28" s="80">
        <v>1995</v>
      </c>
      <c r="B28" s="29">
        <v>3914.9369999999999</v>
      </c>
      <c r="C28" s="25">
        <v>8.399384647077493E-2</v>
      </c>
      <c r="D28" s="19" t="s">
        <v>1013</v>
      </c>
      <c r="E28" s="86" t="s">
        <v>1013</v>
      </c>
      <c r="F28"/>
      <c r="G28" s="3"/>
      <c r="H28" s="29">
        <v>11307.369000000001</v>
      </c>
      <c r="I28" s="25">
        <v>4.6167637457334113E-2</v>
      </c>
    </row>
    <row r="29" spans="1:17" ht="19.5" customHeight="1" thickBot="1">
      <c r="A29" s="80">
        <v>1996</v>
      </c>
      <c r="B29" s="29">
        <v>4244.395068032557</v>
      </c>
      <c r="C29" s="25">
        <v>8.4154117430895334E-2</v>
      </c>
      <c r="D29" s="19" t="s">
        <v>1013</v>
      </c>
      <c r="E29" s="86" t="s">
        <v>1013</v>
      </c>
      <c r="F29"/>
      <c r="G29" s="3"/>
      <c r="H29" s="29">
        <v>12459.017248</v>
      </c>
      <c r="I29" s="25">
        <v>0.10184935576083168</v>
      </c>
    </row>
    <row r="30" spans="1:17" ht="19.5" customHeight="1" thickBot="1">
      <c r="A30" s="80">
        <v>1997</v>
      </c>
      <c r="B30" s="29">
        <v>4402.8227450634458</v>
      </c>
      <c r="C30" s="25">
        <v>3.7326326718291628E-2</v>
      </c>
      <c r="D30" s="29" t="s">
        <v>1013</v>
      </c>
      <c r="E30" s="116" t="s">
        <v>1013</v>
      </c>
      <c r="F30"/>
      <c r="G30" s="3"/>
      <c r="H30" s="29">
        <v>13138.477535</v>
      </c>
      <c r="I30" s="25">
        <v>5.4535624558114414E-2</v>
      </c>
    </row>
    <row r="31" spans="1:17" ht="19.5" customHeight="1" thickBot="1">
      <c r="A31" s="80">
        <v>1998</v>
      </c>
      <c r="B31" s="29">
        <v>4691.4058439999999</v>
      </c>
      <c r="C31" s="25">
        <v>6.5545018649710712E-2</v>
      </c>
      <c r="D31" s="29">
        <v>3570.49</v>
      </c>
      <c r="E31" s="116">
        <v>1091.68</v>
      </c>
      <c r="F31"/>
      <c r="G31" s="3"/>
      <c r="H31" s="29">
        <v>14024.092651999999</v>
      </c>
      <c r="I31" s="25">
        <v>6.7406220746717538E-2</v>
      </c>
    </row>
    <row r="32" spans="1:17" ht="19.5" customHeight="1" thickBot="1">
      <c r="A32" s="80">
        <v>1999</v>
      </c>
      <c r="B32" s="29">
        <v>4793.8029630000001</v>
      </c>
      <c r="C32" s="25">
        <v>2.1826531833940437E-2</v>
      </c>
      <c r="D32" s="29">
        <v>3611.25</v>
      </c>
      <c r="E32" s="116">
        <v>1169.7</v>
      </c>
      <c r="F32"/>
      <c r="G32" s="3"/>
      <c r="H32" s="29">
        <v>14620.510517999999</v>
      </c>
      <c r="I32" s="25">
        <v>4.2528089395854327E-2</v>
      </c>
    </row>
    <row r="33" spans="1:9" ht="19.5" customHeight="1" thickBot="1">
      <c r="A33" s="80">
        <v>2000</v>
      </c>
      <c r="B33" s="29">
        <v>4935.5105860000003</v>
      </c>
      <c r="C33" s="25">
        <v>2.9560585633940716E-2</v>
      </c>
      <c r="D33" s="29">
        <v>3696.49064</v>
      </c>
      <c r="E33" s="116">
        <v>1214.941513</v>
      </c>
      <c r="F33"/>
      <c r="G33" s="3"/>
      <c r="H33" s="29">
        <v>15478.327442</v>
      </c>
      <c r="I33" s="25">
        <v>5.8672159425890213E-2</v>
      </c>
    </row>
    <row r="34" spans="1:9" ht="21.75" customHeight="1" thickBot="1">
      <c r="A34" s="80">
        <v>2001</v>
      </c>
      <c r="B34" s="29">
        <v>5078.4121850000001</v>
      </c>
      <c r="C34" s="25">
        <v>2.8953762029272606E-2</v>
      </c>
      <c r="D34" s="29">
        <v>3798.2139889999999</v>
      </c>
      <c r="E34" s="116">
        <v>1257.8527670000001</v>
      </c>
      <c r="F34"/>
      <c r="G34" s="3"/>
      <c r="H34" s="29">
        <v>16386.460816999999</v>
      </c>
      <c r="I34" s="25">
        <v>5.867128592562304E-2</v>
      </c>
    </row>
    <row r="35" spans="1:9" ht="19.5" customHeight="1" thickBot="1">
      <c r="A35" s="80">
        <v>2002</v>
      </c>
      <c r="B35" s="29">
        <v>5230.8309099999997</v>
      </c>
      <c r="C35" s="25">
        <v>3.0013066968095962E-2</v>
      </c>
      <c r="D35" s="29">
        <v>3783.9358269999998</v>
      </c>
      <c r="E35" s="116">
        <v>1392.356614</v>
      </c>
      <c r="F35"/>
      <c r="G35" s="3"/>
      <c r="H35" s="29">
        <v>17095.587409</v>
      </c>
      <c r="I35" s="25">
        <v>4.3275152573783532E-2</v>
      </c>
    </row>
    <row r="36" spans="1:9" ht="30" customHeight="1" thickBot="1">
      <c r="A36" s="621">
        <v>2003</v>
      </c>
      <c r="B36" s="33">
        <v>5636.9482250000001</v>
      </c>
      <c r="C36" s="34">
        <v>7.7639159435188176E-2</v>
      </c>
      <c r="D36" s="33">
        <v>4111.8764270000001</v>
      </c>
      <c r="E36" s="117">
        <v>1477.775099</v>
      </c>
      <c r="F36"/>
      <c r="G36" s="3"/>
      <c r="H36" s="33">
        <v>17924.119354999999</v>
      </c>
      <c r="I36" s="34">
        <v>4.8464666710651728E-2</v>
      </c>
    </row>
    <row r="37" spans="1:9" ht="19.5" customHeight="1" thickBot="1">
      <c r="A37" s="37"/>
      <c r="B37" s="781"/>
      <c r="C37" s="782"/>
      <c r="D37" s="781"/>
      <c r="E37" s="782"/>
      <c r="F37" s="781"/>
      <c r="G37" s="782"/>
    </row>
    <row r="38" spans="1:9" ht="21" customHeight="1" thickBot="1">
      <c r="A38" s="531" t="s">
        <v>721</v>
      </c>
      <c r="B38" s="783" t="s">
        <v>1013</v>
      </c>
      <c r="C38" s="784" t="s">
        <v>1013</v>
      </c>
      <c r="D38" s="783">
        <v>4462.0874376599995</v>
      </c>
      <c r="E38" s="785">
        <v>1557.0610777499999</v>
      </c>
      <c r="F38" s="796"/>
      <c r="G38" s="605"/>
      <c r="H38" s="783">
        <v>18996.386970659994</v>
      </c>
      <c r="I38" s="784">
        <v>5.9822610775066197E-2</v>
      </c>
    </row>
    <row r="39" spans="1:9" ht="21" customHeight="1" thickBot="1">
      <c r="A39" s="797" t="s">
        <v>722</v>
      </c>
      <c r="B39" s="790" t="s">
        <v>1013</v>
      </c>
      <c r="C39" s="788" t="s">
        <v>1013</v>
      </c>
      <c r="D39" s="790">
        <v>4744.4577816299998</v>
      </c>
      <c r="E39" s="789">
        <v>1650.6856465300004</v>
      </c>
      <c r="F39" s="796"/>
      <c r="G39" s="605"/>
      <c r="H39" s="790">
        <v>20268.036444110003</v>
      </c>
      <c r="I39" s="788">
        <v>6.6941649241725631E-2</v>
      </c>
    </row>
    <row r="40" spans="1:9" ht="17.25" customHeight="1">
      <c r="A40" s="9" t="s">
        <v>488</v>
      </c>
      <c r="B40" s="781"/>
      <c r="C40" s="782"/>
      <c r="D40" s="781"/>
      <c r="E40" s="782"/>
      <c r="F40" s="781"/>
      <c r="G40" s="782"/>
    </row>
    <row r="41" spans="1:9" ht="14">
      <c r="A41" s="118"/>
      <c r="B41" s="781"/>
      <c r="C41" s="782"/>
      <c r="D41" s="781"/>
      <c r="E41" s="782"/>
      <c r="F41" s="781"/>
      <c r="G41" s="782"/>
    </row>
    <row r="42" spans="1:9" ht="14">
      <c r="A42" s="37" t="s">
        <v>716</v>
      </c>
      <c r="B42" s="781"/>
      <c r="C42" s="782"/>
      <c r="D42" s="781"/>
      <c r="E42" s="782"/>
      <c r="F42" s="781"/>
      <c r="G42" s="782"/>
    </row>
    <row r="43" spans="1:9" ht="14">
      <c r="A43" s="3" t="s">
        <v>717</v>
      </c>
      <c r="B43" s="781"/>
      <c r="C43" s="782"/>
      <c r="D43" s="781"/>
      <c r="E43" s="782"/>
      <c r="F43" s="781"/>
      <c r="G43" s="782"/>
    </row>
    <row r="44" spans="1:9">
      <c r="A44" s="3" t="s">
        <v>718</v>
      </c>
      <c r="B44" s="38"/>
      <c r="C44" s="798"/>
      <c r="D44" s="38"/>
      <c r="E44" s="798"/>
      <c r="F44" s="38"/>
      <c r="G44" s="798"/>
    </row>
    <row r="45" spans="1:9">
      <c r="A45" s="37" t="s">
        <v>719</v>
      </c>
      <c r="B45" s="38"/>
      <c r="C45" s="798"/>
      <c r="D45" s="38"/>
      <c r="E45" s="798"/>
      <c r="F45" s="38"/>
      <c r="G45" s="798"/>
    </row>
    <row r="46" spans="1:9">
      <c r="A46" s="38"/>
      <c r="B46" s="38"/>
      <c r="C46" s="798"/>
      <c r="D46" s="38"/>
      <c r="E46" s="798"/>
      <c r="F46" s="38"/>
      <c r="G46" s="798"/>
    </row>
    <row r="47" spans="1:9">
      <c r="A47" s="38" t="s">
        <v>723</v>
      </c>
      <c r="B47" s="38"/>
      <c r="C47" s="798"/>
      <c r="D47" s="38"/>
      <c r="E47" s="798"/>
      <c r="F47" s="38"/>
      <c r="G47" s="798"/>
    </row>
    <row r="48" spans="1:9">
      <c r="A48" s="38"/>
      <c r="B48" s="38"/>
      <c r="C48" s="798"/>
      <c r="D48" s="38"/>
      <c r="E48" s="798"/>
      <c r="F48" s="38"/>
      <c r="G48" s="798"/>
    </row>
    <row r="50" spans="1:5">
      <c r="A50" s="3" t="s">
        <v>256</v>
      </c>
    </row>
    <row r="53" spans="1:5">
      <c r="B53"/>
      <c r="C53"/>
      <c r="D53"/>
      <c r="E53"/>
    </row>
    <row r="54" spans="1:5">
      <c r="B54"/>
      <c r="C54"/>
      <c r="D54"/>
      <c r="E54"/>
    </row>
    <row r="55" spans="1:5">
      <c r="B55"/>
      <c r="C55"/>
      <c r="D55"/>
      <c r="E55"/>
    </row>
    <row r="56" spans="1:5">
      <c r="B56"/>
      <c r="C56"/>
      <c r="D56"/>
      <c r="E56"/>
    </row>
    <row r="57" spans="1:5">
      <c r="B57"/>
      <c r="C57"/>
      <c r="D57"/>
      <c r="E57"/>
    </row>
  </sheetData>
  <phoneticPr fontId="0" type="noConversion"/>
  <pageMargins left="0.52" right="0.37" top="0.69" bottom="0.49" header="0.42" footer="0.4921259845"/>
  <pageSetup paperSize="9" scale="57" orientation="landscape" horizontalDpi="4294967292" verticalDpi="4294967292"/>
  <headerFooter alignWithMargins="0">
    <oddHeader>&amp;L&amp;"Arial,Bold"Versicherte und Finanzen in der OKP</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AC19A-354B-034D-AFA9-9EB5E1340D72}">
  <sheetPr>
    <pageSetUpPr fitToPage="1"/>
  </sheetPr>
  <dimension ref="A1:H34"/>
  <sheetViews>
    <sheetView topLeftCell="A20" zoomScale="75" workbookViewId="0">
      <selection activeCell="A28" sqref="A28"/>
    </sheetView>
  </sheetViews>
  <sheetFormatPr baseColWidth="10" defaultColWidth="11.3984375" defaultRowHeight="13"/>
  <cols>
    <col min="1" max="1" width="32" style="3" customWidth="1"/>
    <col min="2" max="4" width="16" style="3" customWidth="1"/>
    <col min="5" max="5" width="18.19921875" style="3" customWidth="1"/>
    <col min="6" max="7" width="15.19921875" style="3" customWidth="1"/>
    <col min="8" max="8" width="14.796875" style="605" customWidth="1"/>
    <col min="9" max="16384" width="11.3984375" style="3"/>
  </cols>
  <sheetData>
    <row r="1" spans="1:8" s="1" customFormat="1" ht="14" customHeight="1">
      <c r="H1" s="799"/>
    </row>
    <row r="2" spans="1:8" s="1" customFormat="1" ht="28" customHeight="1">
      <c r="A2" s="59" t="s">
        <v>712</v>
      </c>
      <c r="H2" s="59">
        <v>2003</v>
      </c>
    </row>
    <row r="3" spans="1:8" ht="24" customHeight="1">
      <c r="A3" s="2" t="s">
        <v>221</v>
      </c>
      <c r="B3" s="69" t="s">
        <v>72</v>
      </c>
      <c r="C3" s="16" t="s">
        <v>73</v>
      </c>
      <c r="D3" s="69" t="s">
        <v>71</v>
      </c>
      <c r="E3" s="323" t="s">
        <v>22</v>
      </c>
      <c r="F3" s="69" t="s">
        <v>594</v>
      </c>
      <c r="G3" s="16" t="s">
        <v>24</v>
      </c>
      <c r="H3" s="69" t="s">
        <v>24</v>
      </c>
    </row>
    <row r="4" spans="1:8" ht="15" customHeight="1">
      <c r="A4" s="77"/>
      <c r="B4" s="70"/>
      <c r="C4" s="17"/>
      <c r="D4" s="70"/>
      <c r="E4" s="61"/>
      <c r="F4" s="70" t="s">
        <v>2020</v>
      </c>
      <c r="G4" s="17" t="s">
        <v>25</v>
      </c>
      <c r="H4" s="70" t="s">
        <v>25</v>
      </c>
    </row>
    <row r="5" spans="1:8" ht="15" customHeight="1">
      <c r="A5" s="77"/>
      <c r="B5" s="70"/>
      <c r="C5" s="17"/>
      <c r="D5" s="70"/>
      <c r="E5" s="61"/>
      <c r="F5" s="70" t="s">
        <v>1316</v>
      </c>
      <c r="G5" s="17" t="s">
        <v>26</v>
      </c>
      <c r="H5" s="70" t="s">
        <v>26</v>
      </c>
    </row>
    <row r="6" spans="1:8" ht="24" customHeight="1">
      <c r="A6" s="78"/>
      <c r="B6" s="73"/>
      <c r="C6" s="18"/>
      <c r="D6" s="73"/>
      <c r="E6" s="62"/>
      <c r="F6" s="73"/>
      <c r="G6" s="18" t="s">
        <v>713</v>
      </c>
      <c r="H6" s="73" t="s">
        <v>46</v>
      </c>
    </row>
    <row r="7" spans="1:8" ht="30" customHeight="1" thickBot="1">
      <c r="A7" s="79" t="s">
        <v>222</v>
      </c>
      <c r="B7" s="87">
        <v>1431711307</v>
      </c>
      <c r="C7" s="86">
        <v>2282168968</v>
      </c>
      <c r="D7" s="19">
        <v>458152525</v>
      </c>
      <c r="E7" s="555">
        <v>4172032802</v>
      </c>
      <c r="F7" s="301">
        <v>0.2327608246391305</v>
      </c>
      <c r="G7" s="86">
        <v>63209.336000000003</v>
      </c>
      <c r="H7" s="301">
        <v>1.5383804274641921E-2</v>
      </c>
    </row>
    <row r="8" spans="1:8" ht="20" customHeight="1" thickBot="1">
      <c r="A8" s="80" t="s">
        <v>238</v>
      </c>
      <c r="B8" s="75">
        <v>1749316620</v>
      </c>
      <c r="C8" s="116">
        <v>2181683227</v>
      </c>
      <c r="D8" s="29">
        <v>180876583</v>
      </c>
      <c r="E8" s="331">
        <v>4111876427</v>
      </c>
      <c r="F8" s="301">
        <v>0.22940465556836279</v>
      </c>
      <c r="G8" s="116">
        <v>327940.59999999998</v>
      </c>
      <c r="H8" s="381">
        <v>8.6666533205981944E-2</v>
      </c>
    </row>
    <row r="9" spans="1:8" ht="20" customHeight="1" thickBot="1">
      <c r="A9" s="80" t="s">
        <v>223</v>
      </c>
      <c r="B9" s="29">
        <v>890964987</v>
      </c>
      <c r="C9" s="116">
        <v>1062568606</v>
      </c>
      <c r="D9" s="29">
        <v>187841705</v>
      </c>
      <c r="E9" s="331">
        <v>2141375291</v>
      </c>
      <c r="F9" s="301">
        <v>0.11946892612063841</v>
      </c>
      <c r="G9" s="116">
        <v>169316.24600000001</v>
      </c>
      <c r="H9" s="381">
        <v>8.5857594593472308E-2</v>
      </c>
    </row>
    <row r="10" spans="1:8" ht="20" customHeight="1" thickBot="1">
      <c r="A10" s="80" t="s">
        <v>224</v>
      </c>
      <c r="B10" s="29">
        <v>557547138</v>
      </c>
      <c r="C10" s="116">
        <v>721822473</v>
      </c>
      <c r="D10" s="29">
        <v>68555007</v>
      </c>
      <c r="E10" s="331">
        <v>1347924618</v>
      </c>
      <c r="F10" s="301">
        <v>7.5201720726323515E-2</v>
      </c>
      <c r="G10" s="116">
        <v>87135.388999999996</v>
      </c>
      <c r="H10" s="381">
        <v>6.9111780935114497E-2</v>
      </c>
    </row>
    <row r="11" spans="1:8" ht="20" customHeight="1" thickBot="1">
      <c r="A11" s="80" t="s">
        <v>225</v>
      </c>
      <c r="B11" s="29">
        <v>1060091463</v>
      </c>
      <c r="C11" s="116">
        <v>1437939683</v>
      </c>
      <c r="D11" s="29">
        <v>104025870</v>
      </c>
      <c r="E11" s="331">
        <v>2602057016</v>
      </c>
      <c r="F11" s="301">
        <v>0.14517070347861449</v>
      </c>
      <c r="G11" s="116">
        <v>77372.755999999994</v>
      </c>
      <c r="H11" s="381">
        <v>3.064650785282752E-2</v>
      </c>
    </row>
    <row r="12" spans="1:8" ht="20" customHeight="1" thickBot="1">
      <c r="A12" s="80" t="s">
        <v>239</v>
      </c>
      <c r="B12" s="29">
        <v>374185946</v>
      </c>
      <c r="C12" s="116">
        <v>1102606403</v>
      </c>
      <c r="D12" s="29">
        <v>982753</v>
      </c>
      <c r="E12" s="331">
        <v>1477775099</v>
      </c>
      <c r="F12" s="301">
        <v>8.24461760007065E-2</v>
      </c>
      <c r="G12" s="116">
        <v>85418.485000000001</v>
      </c>
      <c r="H12" s="381">
        <v>6.1348137496619826E-2</v>
      </c>
    </row>
    <row r="13" spans="1:8" ht="20" customHeight="1" thickBot="1">
      <c r="A13" s="80" t="s">
        <v>226</v>
      </c>
      <c r="B13" s="29">
        <v>102685751</v>
      </c>
      <c r="C13" s="116">
        <v>215971152</v>
      </c>
      <c r="D13" s="29">
        <v>1463536</v>
      </c>
      <c r="E13" s="331">
        <v>320120441</v>
      </c>
      <c r="F13" s="301">
        <v>1.785975838811301E-2</v>
      </c>
      <c r="G13" s="116">
        <v>30054.866000000002</v>
      </c>
      <c r="H13" s="381">
        <v>0.10361403968740523</v>
      </c>
    </row>
    <row r="14" spans="1:8" ht="20" customHeight="1" thickBot="1">
      <c r="A14" s="80" t="s">
        <v>227</v>
      </c>
      <c r="B14" s="29">
        <v>164655906</v>
      </c>
      <c r="C14" s="116">
        <v>301401810</v>
      </c>
      <c r="D14" s="29">
        <v>25314139</v>
      </c>
      <c r="E14" s="331">
        <v>491371855</v>
      </c>
      <c r="F14" s="301">
        <v>2.7414002622278343E-2</v>
      </c>
      <c r="G14" s="116">
        <v>-14874.165000000001</v>
      </c>
      <c r="H14" s="381">
        <v>-2.9381297654448746E-2</v>
      </c>
    </row>
    <row r="15" spans="1:8" ht="20" customHeight="1" thickBot="1">
      <c r="A15" s="80" t="s">
        <v>228</v>
      </c>
      <c r="B15" s="29">
        <v>155744454</v>
      </c>
      <c r="C15" s="116">
        <v>295412960</v>
      </c>
      <c r="D15" s="29">
        <v>29330496</v>
      </c>
      <c r="E15" s="331">
        <v>480487907</v>
      </c>
      <c r="F15" s="301">
        <v>2.6806779037987498E-2</v>
      </c>
      <c r="G15" s="116">
        <v>-5063.8389999999999</v>
      </c>
      <c r="H15" s="381">
        <v>-1.0429040862722005E-2</v>
      </c>
    </row>
    <row r="16" spans="1:8" ht="20" customHeight="1" thickBot="1">
      <c r="A16" s="80" t="s">
        <v>229</v>
      </c>
      <c r="B16" s="29">
        <v>24989237</v>
      </c>
      <c r="C16" s="116">
        <v>37102719</v>
      </c>
      <c r="D16" s="29">
        <v>2915254</v>
      </c>
      <c r="E16" s="331">
        <v>65007204</v>
      </c>
      <c r="F16" s="301">
        <v>3.6268004420460412E-3</v>
      </c>
      <c r="G16" s="116">
        <v>-204.06200000000001</v>
      </c>
      <c r="H16" s="381">
        <v>-3.1292445694889315E-3</v>
      </c>
    </row>
    <row r="17" spans="1:8" ht="20" customHeight="1" thickBot="1">
      <c r="A17" s="80" t="s">
        <v>230</v>
      </c>
      <c r="B17" s="29">
        <v>91497789</v>
      </c>
      <c r="C17" s="116">
        <v>101187782</v>
      </c>
      <c r="D17" s="29">
        <v>21833954</v>
      </c>
      <c r="E17" s="331">
        <v>214519528</v>
      </c>
      <c r="F17" s="301">
        <v>1.1968204615874696E-2</v>
      </c>
      <c r="G17" s="116">
        <v>11643.94</v>
      </c>
      <c r="H17" s="381">
        <v>5.7394485530708694E-2</v>
      </c>
    </row>
    <row r="18" spans="1:8" ht="20" customHeight="1" thickBot="1">
      <c r="A18" s="80" t="s">
        <v>240</v>
      </c>
      <c r="B18" s="29">
        <v>44526592</v>
      </c>
      <c r="C18" s="116">
        <v>59354399</v>
      </c>
      <c r="D18" s="29">
        <v>8865373</v>
      </c>
      <c r="E18" s="331">
        <v>112746364</v>
      </c>
      <c r="F18" s="301">
        <v>6.2902038179381446E-3</v>
      </c>
      <c r="G18" s="116">
        <v>-80.644000000000005</v>
      </c>
      <c r="H18" s="381">
        <v>-7.1475794164466144E-4</v>
      </c>
    </row>
    <row r="19" spans="1:8" ht="20" customHeight="1" thickBot="1">
      <c r="A19" s="7" t="s">
        <v>231</v>
      </c>
      <c r="B19" s="29">
        <v>6663957</v>
      </c>
      <c r="C19" s="116">
        <v>19035555</v>
      </c>
      <c r="D19" s="29">
        <v>4631617</v>
      </c>
      <c r="E19" s="331">
        <v>30331127</v>
      </c>
      <c r="F19" s="301">
        <v>1.6921962189199002E-3</v>
      </c>
      <c r="G19" s="116">
        <v>8047.826</v>
      </c>
      <c r="H19" s="381">
        <v>0.36115950684326359</v>
      </c>
    </row>
    <row r="20" spans="1:8" ht="20" customHeight="1" thickBot="1">
      <c r="A20" s="80" t="s">
        <v>232</v>
      </c>
      <c r="B20" s="29">
        <v>107387475</v>
      </c>
      <c r="C20" s="116">
        <v>151379342</v>
      </c>
      <c r="D20" s="29">
        <v>50430180</v>
      </c>
      <c r="E20" s="331">
        <v>309196992</v>
      </c>
      <c r="F20" s="301">
        <v>1.7250331013542841E-2</v>
      </c>
      <c r="G20" s="116">
        <v>-4143.0169999999998</v>
      </c>
      <c r="H20" s="381">
        <v>-1.3222112979514256E-2</v>
      </c>
    </row>
    <row r="21" spans="1:8" ht="20" customHeight="1" thickBot="1">
      <c r="A21" s="80" t="s">
        <v>241</v>
      </c>
      <c r="B21" s="29">
        <v>22185058</v>
      </c>
      <c r="C21" s="116">
        <v>21373217</v>
      </c>
      <c r="D21" s="29">
        <v>3738425</v>
      </c>
      <c r="E21" s="331">
        <v>47296699</v>
      </c>
      <c r="F21" s="301">
        <v>2.6387181463844922E-3</v>
      </c>
      <c r="G21" s="116">
        <v>-7241.77</v>
      </c>
      <c r="H21" s="381">
        <v>-0.13278278860376513</v>
      </c>
    </row>
    <row r="22" spans="1:8" ht="30" customHeight="1" thickBot="1">
      <c r="A22" s="704" t="s">
        <v>233</v>
      </c>
      <c r="B22" s="407">
        <v>6784153664</v>
      </c>
      <c r="C22" s="408">
        <v>9991008280</v>
      </c>
      <c r="D22" s="407">
        <v>1148957408</v>
      </c>
      <c r="E22" s="117">
        <v>17924119355</v>
      </c>
      <c r="F22" s="764">
        <v>1</v>
      </c>
      <c r="G22" s="408">
        <v>828531.946</v>
      </c>
      <c r="H22" s="561">
        <v>4.846466671065186E-2</v>
      </c>
    </row>
    <row r="23" spans="1:8" ht="30" customHeight="1" thickBot="1">
      <c r="A23" s="800" t="s">
        <v>234</v>
      </c>
      <c r="B23" s="766" t="s">
        <v>1013</v>
      </c>
      <c r="C23" s="767">
        <v>393190268</v>
      </c>
      <c r="D23" s="766">
        <v>2186350</v>
      </c>
      <c r="E23" s="768">
        <v>395376619</v>
      </c>
      <c r="F23" s="801">
        <v>2.2058356740952422E-2</v>
      </c>
      <c r="G23" s="802">
        <v>16319.016</v>
      </c>
      <c r="H23" s="803">
        <v>4.3051546442665511E-2</v>
      </c>
    </row>
    <row r="24" spans="1:8" ht="20" customHeight="1">
      <c r="A24" s="9" t="s">
        <v>1334</v>
      </c>
      <c r="B24" s="309"/>
      <c r="C24" s="309"/>
      <c r="D24" s="309"/>
      <c r="E24" s="309"/>
      <c r="F24" s="309"/>
    </row>
    <row r="25" spans="1:8" ht="9.75" customHeight="1">
      <c r="A25" s="37"/>
      <c r="B25" s="311"/>
      <c r="C25" s="311"/>
      <c r="D25" s="311"/>
      <c r="E25" s="311"/>
      <c r="F25" s="311"/>
    </row>
    <row r="26" spans="1:8">
      <c r="A26" s="37" t="s">
        <v>235</v>
      </c>
    </row>
    <row r="27" spans="1:8">
      <c r="A27" s="37" t="s">
        <v>236</v>
      </c>
    </row>
    <row r="29" spans="1:8">
      <c r="A29" s="37" t="s">
        <v>714</v>
      </c>
      <c r="B29" s="37"/>
    </row>
    <row r="30" spans="1:8" ht="14">
      <c r="A30" s="804"/>
      <c r="B30" s="37"/>
    </row>
    <row r="31" spans="1:8">
      <c r="A31" s="37"/>
      <c r="B31" s="37"/>
    </row>
    <row r="32" spans="1:8">
      <c r="A32" s="37" t="s">
        <v>256</v>
      </c>
      <c r="B32" s="37"/>
    </row>
    <row r="33" spans="1:2">
      <c r="A33" s="37"/>
      <c r="B33" s="37"/>
    </row>
    <row r="34" spans="1:2">
      <c r="A34" s="37"/>
      <c r="B34" s="37"/>
    </row>
  </sheetData>
  <phoneticPr fontId="0" type="noConversion"/>
  <pageMargins left="0.49" right="0.5" top="0.71" bottom="0.46" header="0.35" footer="0.2"/>
  <pageSetup paperSize="9" scale="86" orientation="landscape" horizontalDpi="4294967292" verticalDpi="4294967292"/>
  <headerFooter alignWithMargins="0">
    <oddHeader>&amp;L&amp;"Arial,Bold"Versicherte und Finanzen in der OKP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4BB08-1DFD-8645-BA82-C0AAADC5927D}">
  <sheetPr>
    <pageSetUpPr fitToPage="1"/>
  </sheetPr>
  <dimension ref="A1:V54"/>
  <sheetViews>
    <sheetView topLeftCell="A8" zoomScale="75" workbookViewId="0">
      <selection activeCell="D38" sqref="D38:I39"/>
    </sheetView>
  </sheetViews>
  <sheetFormatPr baseColWidth="10" defaultColWidth="11.3984375" defaultRowHeight="13"/>
  <cols>
    <col min="1" max="1" width="11.796875" style="3" customWidth="1"/>
    <col min="2" max="2" width="17" style="3" customWidth="1"/>
    <col min="3" max="3" width="13" style="460" customWidth="1"/>
    <col min="4" max="4" width="13" style="3" customWidth="1"/>
    <col min="5" max="5" width="14" style="460" customWidth="1"/>
    <col min="6" max="6" width="13" style="3" customWidth="1"/>
    <col min="7" max="7" width="13" style="460" customWidth="1"/>
    <col min="8" max="8" width="13" style="3" customWidth="1"/>
    <col min="9" max="9" width="15.3984375" style="3" customWidth="1"/>
    <col min="10" max="12" width="13" style="3" customWidth="1"/>
    <col min="13" max="13" width="14.19921875" style="3" customWidth="1"/>
    <col min="14" max="14" width="13" style="3" customWidth="1"/>
    <col min="15" max="15" width="14.796875" style="3" customWidth="1"/>
    <col min="16" max="16" width="13" style="3" customWidth="1"/>
    <col min="17" max="16384" width="11.3984375" style="3"/>
  </cols>
  <sheetData>
    <row r="1" spans="1:22" s="1" customFormat="1" ht="14" customHeight="1">
      <c r="A1" s="372"/>
      <c r="B1" s="372"/>
      <c r="C1" s="771"/>
      <c r="D1" s="372"/>
      <c r="E1" s="771"/>
      <c r="F1" s="372"/>
      <c r="G1" s="772"/>
      <c r="H1" s="772"/>
      <c r="I1" s="772"/>
      <c r="J1" s="772"/>
      <c r="K1" s="772"/>
      <c r="L1" s="772"/>
      <c r="M1" s="772"/>
      <c r="N1" s="772"/>
      <c r="O1" s="772"/>
      <c r="P1" s="772"/>
      <c r="Q1" s="772"/>
      <c r="R1" s="772"/>
      <c r="S1" s="772"/>
      <c r="T1" s="772"/>
      <c r="U1" s="772"/>
    </row>
    <row r="2" spans="1:22" s="1" customFormat="1" ht="28" customHeight="1">
      <c r="A2" s="59" t="s">
        <v>711</v>
      </c>
      <c r="B2" s="372"/>
      <c r="C2" s="771"/>
      <c r="D2" s="372"/>
      <c r="E2" s="771"/>
      <c r="F2" s="372"/>
      <c r="G2" s="771"/>
      <c r="N2" s="374">
        <v>2003</v>
      </c>
    </row>
    <row r="3" spans="1:22" ht="24" customHeight="1">
      <c r="A3" s="2" t="s">
        <v>1847</v>
      </c>
      <c r="B3" s="339" t="s">
        <v>242</v>
      </c>
      <c r="C3" s="16" t="s">
        <v>24</v>
      </c>
      <c r="D3" s="69"/>
      <c r="E3" s="589"/>
      <c r="F3" s="69"/>
      <c r="G3" s="589"/>
      <c r="H3" s="69"/>
      <c r="I3" s="589"/>
      <c r="J3" s="69"/>
      <c r="K3" s="589"/>
      <c r="L3" s="69"/>
      <c r="M3" s="589"/>
      <c r="N3" s="69"/>
      <c r="O3"/>
    </row>
    <row r="4" spans="1:22" ht="15" customHeight="1">
      <c r="A4" s="77"/>
      <c r="B4" s="416" t="s">
        <v>243</v>
      </c>
      <c r="C4" s="17" t="s">
        <v>25</v>
      </c>
      <c r="D4" s="773" t="s">
        <v>1563</v>
      </c>
      <c r="E4" s="774" t="s">
        <v>1563</v>
      </c>
      <c r="F4" s="773" t="s">
        <v>1563</v>
      </c>
      <c r="G4" s="774" t="s">
        <v>1563</v>
      </c>
      <c r="H4" s="773" t="s">
        <v>1563</v>
      </c>
      <c r="I4" s="774" t="s">
        <v>1563</v>
      </c>
      <c r="J4" s="773" t="s">
        <v>1563</v>
      </c>
      <c r="K4" s="774" t="s">
        <v>1563</v>
      </c>
      <c r="L4" s="773" t="s">
        <v>1563</v>
      </c>
      <c r="M4" s="774" t="s">
        <v>1563</v>
      </c>
      <c r="N4" s="773" t="s">
        <v>1563</v>
      </c>
      <c r="O4"/>
    </row>
    <row r="5" spans="1:22" ht="15" customHeight="1">
      <c r="A5" s="77"/>
      <c r="B5" s="70"/>
      <c r="C5" s="17" t="s">
        <v>26</v>
      </c>
      <c r="D5" s="773" t="s">
        <v>244</v>
      </c>
      <c r="E5" s="774" t="s">
        <v>245</v>
      </c>
      <c r="F5" s="773" t="s">
        <v>1363</v>
      </c>
      <c r="G5" s="774" t="s">
        <v>1363</v>
      </c>
      <c r="H5" s="773" t="s">
        <v>226</v>
      </c>
      <c r="I5" s="774" t="s">
        <v>227</v>
      </c>
      <c r="J5" s="773" t="s">
        <v>228</v>
      </c>
      <c r="K5" s="774" t="s">
        <v>229</v>
      </c>
      <c r="L5" s="773" t="s">
        <v>246</v>
      </c>
      <c r="M5" s="774" t="s">
        <v>247</v>
      </c>
      <c r="N5" s="773" t="s">
        <v>698</v>
      </c>
      <c r="O5"/>
    </row>
    <row r="6" spans="1:22" s="37" customFormat="1" ht="19.5" customHeight="1">
      <c r="A6" s="469"/>
      <c r="B6" s="470"/>
      <c r="C6" s="775"/>
      <c r="D6" s="776" t="s">
        <v>699</v>
      </c>
      <c r="E6" s="777" t="s">
        <v>699</v>
      </c>
      <c r="F6" s="776" t="s">
        <v>700</v>
      </c>
      <c r="G6" s="777" t="s">
        <v>701</v>
      </c>
      <c r="H6" s="776"/>
      <c r="I6" s="777"/>
      <c r="J6" s="776"/>
      <c r="K6" s="777"/>
      <c r="L6" s="776" t="s">
        <v>702</v>
      </c>
      <c r="M6" s="777" t="s">
        <v>703</v>
      </c>
      <c r="N6" s="776" t="s">
        <v>704</v>
      </c>
      <c r="O6"/>
    </row>
    <row r="7" spans="1:22" ht="19.5" customHeight="1">
      <c r="A7" s="469"/>
      <c r="B7" s="470"/>
      <c r="C7" s="775"/>
      <c r="D7" s="470"/>
      <c r="E7" s="775"/>
      <c r="F7" s="470"/>
      <c r="G7" s="775"/>
      <c r="H7" s="470"/>
      <c r="I7" s="775"/>
      <c r="J7" s="470"/>
      <c r="K7" s="775"/>
      <c r="L7" s="470"/>
      <c r="M7" s="775"/>
      <c r="N7" s="470"/>
      <c r="O7"/>
    </row>
    <row r="8" spans="1:22" ht="21" customHeight="1" thickBot="1">
      <c r="A8" s="79">
        <v>1994</v>
      </c>
      <c r="B8" s="87">
        <v>1009.0000942153988</v>
      </c>
      <c r="C8" s="300" t="s">
        <v>1013</v>
      </c>
      <c r="D8" s="19" t="s">
        <v>1013</v>
      </c>
      <c r="E8" s="86" t="s">
        <v>1013</v>
      </c>
      <c r="F8" s="19" t="s">
        <v>1013</v>
      </c>
      <c r="G8" s="86" t="s">
        <v>1013</v>
      </c>
      <c r="H8" s="19" t="s">
        <v>1013</v>
      </c>
      <c r="I8" s="86" t="s">
        <v>1013</v>
      </c>
      <c r="J8" s="19" t="s">
        <v>1013</v>
      </c>
      <c r="K8" s="86" t="s">
        <v>1013</v>
      </c>
      <c r="L8" s="19" t="s">
        <v>1013</v>
      </c>
      <c r="M8" s="86" t="s">
        <v>1013</v>
      </c>
      <c r="N8" s="19" t="s">
        <v>1013</v>
      </c>
      <c r="O8"/>
      <c r="S8" s="42"/>
    </row>
    <row r="9" spans="1:22" ht="20" customHeight="1" thickBot="1">
      <c r="A9" s="80">
        <v>1995</v>
      </c>
      <c r="B9" s="75">
        <v>1032.0000435558979</v>
      </c>
      <c r="C9" s="25">
        <v>2.2794794046460388E-2</v>
      </c>
      <c r="D9" s="19" t="s">
        <v>1013</v>
      </c>
      <c r="E9" s="86" t="s">
        <v>1013</v>
      </c>
      <c r="F9" s="19" t="s">
        <v>1013</v>
      </c>
      <c r="G9" s="86" t="s">
        <v>1013</v>
      </c>
      <c r="H9" s="19" t="s">
        <v>1013</v>
      </c>
      <c r="I9" s="86" t="s">
        <v>1013</v>
      </c>
      <c r="J9" s="19" t="s">
        <v>1013</v>
      </c>
      <c r="K9" s="86" t="s">
        <v>1013</v>
      </c>
      <c r="L9" s="19" t="s">
        <v>1013</v>
      </c>
      <c r="M9" s="86" t="s">
        <v>1013</v>
      </c>
      <c r="N9" s="19" t="s">
        <v>1013</v>
      </c>
      <c r="O9"/>
      <c r="S9" s="42"/>
    </row>
    <row r="10" spans="1:22" ht="20" customHeight="1" thickBot="1">
      <c r="A10" s="80">
        <v>1996</v>
      </c>
      <c r="B10" s="29">
        <v>1141.7516401488424</v>
      </c>
      <c r="C10" s="25">
        <v>0.10634844182252187</v>
      </c>
      <c r="D10" s="19" t="s">
        <v>1013</v>
      </c>
      <c r="E10" s="86" t="s">
        <v>1013</v>
      </c>
      <c r="F10" s="19" t="s">
        <v>1013</v>
      </c>
      <c r="G10" s="86" t="s">
        <v>1013</v>
      </c>
      <c r="H10" s="19" t="s">
        <v>1013</v>
      </c>
      <c r="I10" s="86" t="s">
        <v>1013</v>
      </c>
      <c r="J10" s="19" t="s">
        <v>1013</v>
      </c>
      <c r="K10" s="116">
        <v>7.9057602247415275</v>
      </c>
      <c r="L10" s="19" t="s">
        <v>1013</v>
      </c>
      <c r="M10" s="86" t="s">
        <v>1013</v>
      </c>
      <c r="N10" s="19" t="s">
        <v>1013</v>
      </c>
      <c r="O10"/>
    </row>
    <row r="11" spans="1:22" ht="20" customHeight="1" thickBot="1">
      <c r="A11" s="80">
        <v>1997</v>
      </c>
      <c r="B11" s="29">
        <v>1210.7956888559779</v>
      </c>
      <c r="C11" s="25">
        <v>6.0472038120422331E-2</v>
      </c>
      <c r="D11" s="19" t="s">
        <v>1013</v>
      </c>
      <c r="E11" s="86" t="s">
        <v>1013</v>
      </c>
      <c r="F11" s="19" t="s">
        <v>1013</v>
      </c>
      <c r="G11" s="86" t="s">
        <v>1013</v>
      </c>
      <c r="H11" s="19" t="s">
        <v>1013</v>
      </c>
      <c r="I11" s="86" t="s">
        <v>1013</v>
      </c>
      <c r="J11" s="19" t="s">
        <v>1013</v>
      </c>
      <c r="K11" s="116">
        <v>7.7978545504694852</v>
      </c>
      <c r="L11" s="19" t="s">
        <v>1013</v>
      </c>
      <c r="M11" s="86" t="s">
        <v>1013</v>
      </c>
      <c r="N11" s="19" t="s">
        <v>1013</v>
      </c>
      <c r="O11"/>
      <c r="T11" s="43"/>
      <c r="U11" s="43"/>
      <c r="V11" s="43"/>
    </row>
    <row r="12" spans="1:22" ht="20" customHeight="1" thickBot="1">
      <c r="A12" s="80">
        <v>1998</v>
      </c>
      <c r="B12" s="29">
        <v>1287.5152367980425</v>
      </c>
      <c r="C12" s="25">
        <v>6.3362917995316875E-2</v>
      </c>
      <c r="D12" s="29">
        <v>517.08722356569945</v>
      </c>
      <c r="E12" s="116">
        <v>179.73118406401895</v>
      </c>
      <c r="F12" s="29">
        <v>128.82344363458725</v>
      </c>
      <c r="G12" s="116">
        <v>246.60475956539489</v>
      </c>
      <c r="H12" s="29">
        <v>30.898367588899543</v>
      </c>
      <c r="I12" s="116">
        <v>57.626276401121707</v>
      </c>
      <c r="J12" s="29">
        <v>54.838152951679106</v>
      </c>
      <c r="K12" s="116">
        <v>7.7670138646025997</v>
      </c>
      <c r="L12" s="29">
        <v>14.400016113449723</v>
      </c>
      <c r="M12" s="116">
        <v>12.029904244997278</v>
      </c>
      <c r="N12" s="19" t="s">
        <v>1013</v>
      </c>
      <c r="O12"/>
    </row>
    <row r="13" spans="1:22" ht="20" customHeight="1" thickBot="1">
      <c r="A13" s="80">
        <v>1999</v>
      </c>
      <c r="B13" s="29">
        <v>1352.3238940325609</v>
      </c>
      <c r="C13" s="25">
        <v>5.0336225453683124E-2</v>
      </c>
      <c r="D13" s="29">
        <v>518.06404538945253</v>
      </c>
      <c r="E13" s="116">
        <v>204.30235377691758</v>
      </c>
      <c r="F13" s="29">
        <v>141.98928952923086</v>
      </c>
      <c r="G13" s="116">
        <v>257.76112793251912</v>
      </c>
      <c r="H13" s="29">
        <v>32.377196611204184</v>
      </c>
      <c r="I13" s="116">
        <v>60.164859890561303</v>
      </c>
      <c r="J13" s="29">
        <v>56.955626988052352</v>
      </c>
      <c r="K13" s="116">
        <v>8.3396017963997693</v>
      </c>
      <c r="L13" s="29">
        <v>17.207653607620909</v>
      </c>
      <c r="M13" s="116">
        <v>12.096551120520457</v>
      </c>
      <c r="N13" s="19" t="s">
        <v>1013</v>
      </c>
      <c r="O13"/>
    </row>
    <row r="14" spans="1:22" ht="20" customHeight="1" thickBot="1">
      <c r="A14" s="80">
        <v>2000</v>
      </c>
      <c r="B14" s="29">
        <v>1450.5580412847301</v>
      </c>
      <c r="C14" s="25">
        <v>7.2640990583431833E-2</v>
      </c>
      <c r="D14" s="29">
        <v>529.21209403653847</v>
      </c>
      <c r="E14" s="116">
        <v>229.20515647050519</v>
      </c>
      <c r="F14" s="29">
        <v>157.29094134638285</v>
      </c>
      <c r="G14" s="116">
        <v>288.62612926522451</v>
      </c>
      <c r="H14" s="29">
        <v>34.826324886892891</v>
      </c>
      <c r="I14" s="116">
        <v>61.466051770535699</v>
      </c>
      <c r="J14" s="29">
        <v>60.915877179090963</v>
      </c>
      <c r="K14" s="116">
        <v>8.5704340508833727</v>
      </c>
      <c r="L14" s="29">
        <v>24.747916343049795</v>
      </c>
      <c r="M14" s="116">
        <v>15.759969543668223</v>
      </c>
      <c r="N14" s="19" t="s">
        <v>1013</v>
      </c>
      <c r="O14"/>
    </row>
    <row r="15" spans="1:22" ht="20" customHeight="1" thickBot="1">
      <c r="A15" s="80">
        <v>2001</v>
      </c>
      <c r="B15" s="29">
        <v>1544.5438256962198</v>
      </c>
      <c r="C15" s="25">
        <v>6.4792846433258458E-2</v>
      </c>
      <c r="D15" s="29">
        <v>547.93048954371</v>
      </c>
      <c r="E15" s="116">
        <v>263.00336757731259</v>
      </c>
      <c r="F15" s="29">
        <v>173.66492025240916</v>
      </c>
      <c r="G15" s="116">
        <v>306.29039074687279</v>
      </c>
      <c r="H15" s="29">
        <v>36.922691051450379</v>
      </c>
      <c r="I15" s="116">
        <v>65.579901866980492</v>
      </c>
      <c r="J15" s="29">
        <v>63.200603254591712</v>
      </c>
      <c r="K15" s="116">
        <v>8.9105646316009732</v>
      </c>
      <c r="L15" s="29">
        <v>23.632961253943467</v>
      </c>
      <c r="M15" s="116">
        <v>14.523380110628091</v>
      </c>
      <c r="N15" s="29">
        <v>2.7544551934653021</v>
      </c>
      <c r="O15"/>
    </row>
    <row r="16" spans="1:22" ht="20" customHeight="1" thickBot="1">
      <c r="A16" s="80">
        <v>2002</v>
      </c>
      <c r="B16" s="29">
        <v>1612.1984028513327</v>
      </c>
      <c r="C16" s="25">
        <v>4.380230332707908E-2</v>
      </c>
      <c r="D16" s="29">
        <v>558.31222748158302</v>
      </c>
      <c r="E16" s="116">
        <v>267.96592436983354</v>
      </c>
      <c r="F16" s="29">
        <v>171.31766517899302</v>
      </c>
      <c r="G16" s="116">
        <v>343.05735073610293</v>
      </c>
      <c r="H16" s="29">
        <v>39.414484130084595</v>
      </c>
      <c r="I16" s="116">
        <v>68.789361582147379</v>
      </c>
      <c r="J16" s="29">
        <v>65.977396962917311</v>
      </c>
      <c r="K16" s="116">
        <v>8.860990859945117</v>
      </c>
      <c r="L16" s="29">
        <v>27.566996337319864</v>
      </c>
      <c r="M16" s="116">
        <v>15.331079243929334</v>
      </c>
      <c r="N16" s="29">
        <v>3.0278836557230142</v>
      </c>
      <c r="O16"/>
    </row>
    <row r="17" spans="1:17" s="109" customFormat="1" ht="30" customHeight="1">
      <c r="A17" s="705">
        <v>2003</v>
      </c>
      <c r="B17" s="356">
        <v>1661.9584311936878</v>
      </c>
      <c r="C17" s="778">
        <v>3.0864705146928292E-2</v>
      </c>
      <c r="D17" s="356">
        <v>564.30768458748776</v>
      </c>
      <c r="E17" s="760">
        <v>289.64166622030979</v>
      </c>
      <c r="F17" s="356">
        <v>182.31980818017882</v>
      </c>
      <c r="G17" s="760">
        <v>351.95331378019876</v>
      </c>
      <c r="H17" s="759">
        <v>43.29937788677902</v>
      </c>
      <c r="I17" s="760">
        <v>66.462783713872824</v>
      </c>
      <c r="J17" s="759">
        <v>64.990624748078901</v>
      </c>
      <c r="K17" s="760">
        <v>8.7928514735456478</v>
      </c>
      <c r="L17" s="759">
        <v>29.015835658446669</v>
      </c>
      <c r="M17" s="760">
        <v>15.25003340913284</v>
      </c>
      <c r="N17" s="759">
        <v>4.1025775348875211</v>
      </c>
      <c r="O17"/>
      <c r="P17" s="779"/>
      <c r="Q17" s="780"/>
    </row>
    <row r="18" spans="1:17" ht="19.5" customHeight="1" thickBot="1">
      <c r="A18" s="118"/>
      <c r="B18" s="781"/>
      <c r="C18" s="782"/>
      <c r="D18" s="781"/>
      <c r="E18" s="782"/>
      <c r="F18" s="781"/>
      <c r="G18" s="782"/>
      <c r="P18" s="38"/>
      <c r="Q18" s="38"/>
    </row>
    <row r="19" spans="1:17" ht="23.25" customHeight="1" thickBot="1">
      <c r="A19" s="531">
        <v>2004</v>
      </c>
      <c r="B19" s="783" t="s">
        <v>1013</v>
      </c>
      <c r="C19" s="784" t="s">
        <v>1013</v>
      </c>
      <c r="D19" s="783">
        <v>599.4024873952269</v>
      </c>
      <c r="E19" s="785">
        <v>295.81282958475646</v>
      </c>
      <c r="F19" s="783">
        <v>188.15747638019948</v>
      </c>
      <c r="G19" s="785">
        <v>383.7515782087558</v>
      </c>
      <c r="H19" s="783">
        <v>46.56357524876136</v>
      </c>
      <c r="I19" s="785">
        <v>71.481172473348906</v>
      </c>
      <c r="J19" s="783">
        <v>75.432527232500675</v>
      </c>
      <c r="K19" s="785">
        <v>9.5124196647837973</v>
      </c>
      <c r="L19" s="783" t="s">
        <v>1013</v>
      </c>
      <c r="M19" s="785" t="s">
        <v>1013</v>
      </c>
      <c r="N19" s="783" t="s">
        <v>1013</v>
      </c>
      <c r="P19" s="38"/>
      <c r="Q19" s="38"/>
    </row>
    <row r="20" spans="1:17" ht="24.75" customHeight="1" thickBot="1">
      <c r="A20" s="786">
        <v>2005</v>
      </c>
      <c r="B20" s="787" t="s">
        <v>1013</v>
      </c>
      <c r="C20" s="788" t="s">
        <v>1013</v>
      </c>
      <c r="D20" s="787">
        <v>629.71690540989937</v>
      </c>
      <c r="E20" s="789">
        <v>312.74976713536563</v>
      </c>
      <c r="F20" s="787">
        <v>198.90136587294987</v>
      </c>
      <c r="G20" s="789">
        <v>406.01392344327547</v>
      </c>
      <c r="H20" s="790">
        <v>48.897510897676597</v>
      </c>
      <c r="I20" s="789">
        <v>75.527577061716855</v>
      </c>
      <c r="J20" s="790">
        <v>79.810260048572133</v>
      </c>
      <c r="K20" s="789">
        <v>10.008904407786135</v>
      </c>
      <c r="L20" s="790" t="s">
        <v>1013</v>
      </c>
      <c r="M20" s="789" t="s">
        <v>1013</v>
      </c>
      <c r="N20" s="790" t="s">
        <v>1013</v>
      </c>
    </row>
    <row r="21" spans="1:17" ht="39.75" customHeight="1">
      <c r="A21" s="118"/>
      <c r="B21" s="791"/>
      <c r="C21" s="782"/>
      <c r="D21" s="781"/>
      <c r="E21" s="782"/>
      <c r="F21" s="781"/>
      <c r="G21" s="782"/>
      <c r="P21" s="38"/>
      <c r="Q21" s="38"/>
    </row>
    <row r="22" spans="1:17" ht="19.5" customHeight="1">
      <c r="A22" s="2" t="s">
        <v>1591</v>
      </c>
      <c r="B22" s="416" t="s">
        <v>705</v>
      </c>
      <c r="C22" s="16" t="s">
        <v>24</v>
      </c>
      <c r="D22" s="69"/>
      <c r="E22" s="589"/>
      <c r="F22"/>
      <c r="G22" s="3"/>
      <c r="H22" s="339" t="s">
        <v>22</v>
      </c>
      <c r="I22" s="16" t="s">
        <v>24</v>
      </c>
    </row>
    <row r="23" spans="1:17" ht="16.5" customHeight="1">
      <c r="A23" s="77"/>
      <c r="B23" s="416" t="s">
        <v>243</v>
      </c>
      <c r="C23" s="17" t="s">
        <v>25</v>
      </c>
      <c r="D23" s="792" t="s">
        <v>1563</v>
      </c>
      <c r="E23" s="793" t="s">
        <v>1563</v>
      </c>
      <c r="F23"/>
      <c r="G23" s="3"/>
      <c r="H23" s="416" t="s">
        <v>338</v>
      </c>
      <c r="I23" s="17" t="s">
        <v>25</v>
      </c>
    </row>
    <row r="24" spans="1:17" ht="16.5" customHeight="1">
      <c r="A24" s="77"/>
      <c r="B24" s="70"/>
      <c r="C24" s="17" t="s">
        <v>26</v>
      </c>
      <c r="D24" s="792" t="s">
        <v>706</v>
      </c>
      <c r="E24" s="793" t="s">
        <v>707</v>
      </c>
      <c r="F24"/>
      <c r="G24" s="3"/>
      <c r="H24" s="70"/>
      <c r="I24" s="17" t="s">
        <v>26</v>
      </c>
    </row>
    <row r="25" spans="1:17" ht="15.75" customHeight="1">
      <c r="A25" s="469"/>
      <c r="B25" s="470"/>
      <c r="C25" s="775"/>
      <c r="D25" s="792" t="s">
        <v>708</v>
      </c>
      <c r="E25" s="793"/>
      <c r="F25"/>
      <c r="G25" s="3"/>
      <c r="H25" s="470"/>
      <c r="I25" s="775"/>
    </row>
    <row r="26" spans="1:17" ht="12" customHeight="1">
      <c r="A26" s="469"/>
      <c r="B26" s="470"/>
      <c r="C26" s="775"/>
      <c r="D26" s="794"/>
      <c r="E26" s="795"/>
      <c r="F26"/>
      <c r="G26" s="3"/>
      <c r="H26" s="470"/>
      <c r="I26" s="775"/>
    </row>
    <row r="27" spans="1:17" ht="19.5" customHeight="1" thickBot="1">
      <c r="A27" s="79">
        <v>1994</v>
      </c>
      <c r="B27" s="19">
        <v>506.34972531724787</v>
      </c>
      <c r="C27" s="300" t="s">
        <v>1013</v>
      </c>
      <c r="D27" s="19" t="s">
        <v>1013</v>
      </c>
      <c r="E27" s="86" t="s">
        <v>1013</v>
      </c>
      <c r="F27"/>
      <c r="G27" s="3"/>
      <c r="H27" s="87">
        <v>1515.3498195326467</v>
      </c>
      <c r="I27" s="300" t="s">
        <v>1013</v>
      </c>
    </row>
    <row r="28" spans="1:17" ht="19.5" customHeight="1" thickBot="1">
      <c r="A28" s="80">
        <v>1995</v>
      </c>
      <c r="B28" s="29">
        <v>546.53396264160381</v>
      </c>
      <c r="C28" s="25">
        <v>7.9360638142301626E-2</v>
      </c>
      <c r="D28" s="19" t="s">
        <v>1013</v>
      </c>
      <c r="E28" s="86" t="s">
        <v>1013</v>
      </c>
      <c r="F28"/>
      <c r="G28" s="3"/>
      <c r="H28" s="29">
        <v>1578.5340061975019</v>
      </c>
      <c r="I28" s="25">
        <v>4.1696105975280312E-2</v>
      </c>
    </row>
    <row r="29" spans="1:17" ht="19.5" customHeight="1" thickBot="1">
      <c r="A29" s="80">
        <v>1996</v>
      </c>
      <c r="B29" s="29">
        <v>589.92914393356</v>
      </c>
      <c r="C29" s="25">
        <v>7.9400703813924001E-2</v>
      </c>
      <c r="D29" s="19" t="s">
        <v>1013</v>
      </c>
      <c r="E29" s="86" t="s">
        <v>1013</v>
      </c>
      <c r="F29"/>
      <c r="G29" s="3"/>
      <c r="H29" s="29">
        <v>1731.6807840824024</v>
      </c>
      <c r="I29" s="25">
        <v>9.7018358352515099E-2</v>
      </c>
    </row>
    <row r="30" spans="1:17" ht="19.5" customHeight="1" thickBot="1">
      <c r="A30" s="80">
        <v>1997</v>
      </c>
      <c r="B30" s="29">
        <v>610.24833589590378</v>
      </c>
      <c r="C30" s="25">
        <v>3.4443444897226845E-2</v>
      </c>
      <c r="D30" s="29" t="s">
        <v>1013</v>
      </c>
      <c r="E30" s="116" t="s">
        <v>1013</v>
      </c>
      <c r="F30"/>
      <c r="G30" s="3"/>
      <c r="H30" s="29">
        <v>1821.0440247518818</v>
      </c>
      <c r="I30" s="25">
        <v>5.1604915577342945E-2</v>
      </c>
    </row>
    <row r="31" spans="1:17" ht="19.5" customHeight="1" thickBot="1">
      <c r="A31" s="80">
        <v>1998</v>
      </c>
      <c r="B31" s="29">
        <v>647.21517290986958</v>
      </c>
      <c r="C31" s="25">
        <v>6.0576710888846419E-2</v>
      </c>
      <c r="D31" s="29">
        <v>492.57629366651753</v>
      </c>
      <c r="E31" s="116">
        <v>150.60557185984666</v>
      </c>
      <c r="F31"/>
      <c r="G31" s="3"/>
      <c r="H31" s="29">
        <v>1934.7304097079118</v>
      </c>
      <c r="I31" s="25">
        <v>6.2429234774551826E-2</v>
      </c>
    </row>
    <row r="32" spans="1:17" ht="19.5" customHeight="1" thickBot="1">
      <c r="A32" s="80">
        <v>1999</v>
      </c>
      <c r="B32" s="29">
        <v>659.70969970002204</v>
      </c>
      <c r="C32" s="25">
        <v>1.9305058523237738E-2</v>
      </c>
      <c r="D32" s="29">
        <v>496.97008229783273</v>
      </c>
      <c r="E32" s="116">
        <v>160.97082873347873</v>
      </c>
      <c r="F32"/>
      <c r="G32" s="3"/>
      <c r="H32" s="29">
        <v>2012.0335937325824</v>
      </c>
      <c r="I32" s="25">
        <v>3.9955532634823855E-2</v>
      </c>
    </row>
    <row r="33" spans="1:9" ht="19.5" customHeight="1" thickBot="1">
      <c r="A33" s="80">
        <v>2000</v>
      </c>
      <c r="B33" s="29">
        <v>679.06373279109255</v>
      </c>
      <c r="C33" s="25">
        <v>2.9337196496991052E-2</v>
      </c>
      <c r="D33" s="29">
        <v>508.59028432559711</v>
      </c>
      <c r="E33" s="116">
        <v>167.1605611141602</v>
      </c>
      <c r="F33"/>
      <c r="G33" s="3"/>
      <c r="H33" s="29">
        <v>2129.6217740758225</v>
      </c>
      <c r="I33" s="25">
        <v>5.8442453798745381E-2</v>
      </c>
    </row>
    <row r="34" spans="1:9" ht="19.5" customHeight="1" thickBot="1">
      <c r="A34" s="80">
        <v>2001</v>
      </c>
      <c r="B34" s="29">
        <v>693.65019907019087</v>
      </c>
      <c r="C34" s="25">
        <v>2.1480261092938834E-2</v>
      </c>
      <c r="D34" s="29">
        <v>518.79047891443133</v>
      </c>
      <c r="E34" s="116">
        <v>171.80760254310479</v>
      </c>
      <c r="F34"/>
      <c r="G34" s="3"/>
      <c r="H34" s="29">
        <v>2238.1940247664106</v>
      </c>
      <c r="I34" s="25">
        <v>5.0981940555009819E-2</v>
      </c>
    </row>
    <row r="35" spans="1:9" ht="19.5" customHeight="1" thickBot="1">
      <c r="A35" s="80">
        <v>2002</v>
      </c>
      <c r="B35" s="29">
        <v>710.77204487071913</v>
      </c>
      <c r="C35" s="25">
        <v>2.4683689017143486E-2</v>
      </c>
      <c r="D35" s="29">
        <v>514.16607642099552</v>
      </c>
      <c r="E35" s="116">
        <v>189.19521099986207</v>
      </c>
      <c r="F35"/>
      <c r="G35" s="3"/>
      <c r="H35" s="29">
        <v>2322.9704477220521</v>
      </c>
      <c r="I35" s="25">
        <v>3.7877155428689503E-2</v>
      </c>
    </row>
    <row r="36" spans="1:9" ht="27" customHeight="1">
      <c r="A36" s="705">
        <v>2003</v>
      </c>
      <c r="B36" s="759">
        <v>762.45162776869745</v>
      </c>
      <c r="C36" s="778">
        <v>7.2709082005860556E-2</v>
      </c>
      <c r="D36" s="759">
        <v>556.17095453274021</v>
      </c>
      <c r="E36" s="760">
        <v>199.88333841909605</v>
      </c>
      <c r="F36" s="608"/>
      <c r="G36" s="37"/>
      <c r="H36" s="759">
        <v>2424.4100589623854</v>
      </c>
      <c r="I36" s="778">
        <v>4.3668059290124364E-2</v>
      </c>
    </row>
    <row r="37" spans="1:9" ht="19.5" customHeight="1" thickBot="1">
      <c r="A37" s="37"/>
      <c r="B37" s="781"/>
      <c r="C37" s="782"/>
      <c r="D37" s="781"/>
      <c r="E37" s="782"/>
      <c r="F37" s="781"/>
      <c r="G37" s="782"/>
    </row>
    <row r="38" spans="1:9" ht="21" customHeight="1" thickBot="1">
      <c r="A38" s="531">
        <v>2004</v>
      </c>
      <c r="B38" s="783" t="s">
        <v>1013</v>
      </c>
      <c r="C38" s="784" t="s">
        <v>1013</v>
      </c>
      <c r="D38" s="783">
        <v>605.53251373584988</v>
      </c>
      <c r="E38" s="785">
        <v>211.30269669136231</v>
      </c>
      <c r="F38" s="796"/>
      <c r="G38" s="605"/>
      <c r="H38" s="783">
        <v>2577.925716371672</v>
      </c>
      <c r="I38" s="784">
        <v>6.3320830088862634E-2</v>
      </c>
    </row>
    <row r="39" spans="1:9" ht="21" customHeight="1" thickBot="1">
      <c r="A39" s="797">
        <v>2005</v>
      </c>
      <c r="B39" s="790" t="s">
        <v>1013</v>
      </c>
      <c r="C39" s="788" t="s">
        <v>1013</v>
      </c>
      <c r="D39" s="790">
        <v>635.71098637543798</v>
      </c>
      <c r="E39" s="789">
        <v>221.17574838885966</v>
      </c>
      <c r="F39" s="796"/>
      <c r="G39" s="605"/>
      <c r="H39" s="790">
        <v>2715.718851934198</v>
      </c>
      <c r="I39" s="788">
        <v>5.3451166062482347E-2</v>
      </c>
    </row>
    <row r="40" spans="1:9" ht="17.25" customHeight="1">
      <c r="A40" s="9" t="s">
        <v>488</v>
      </c>
      <c r="B40" s="781"/>
      <c r="C40" s="782"/>
      <c r="D40" s="781"/>
      <c r="E40" s="782"/>
      <c r="F40" s="781"/>
      <c r="G40" s="782"/>
    </row>
    <row r="41" spans="1:9" ht="14">
      <c r="A41" s="118"/>
      <c r="B41" s="781"/>
      <c r="C41" s="782"/>
      <c r="D41" s="781"/>
      <c r="E41" s="782"/>
      <c r="F41" s="781"/>
      <c r="G41" s="782"/>
    </row>
    <row r="42" spans="1:9" ht="14">
      <c r="A42" s="37" t="s">
        <v>709</v>
      </c>
      <c r="B42" s="781"/>
      <c r="C42" s="782"/>
      <c r="D42" s="781"/>
      <c r="E42" s="782"/>
      <c r="F42" s="781"/>
      <c r="G42" s="782"/>
    </row>
    <row r="43" spans="1:9" ht="14">
      <c r="B43" s="781"/>
      <c r="C43" s="782"/>
      <c r="D43" s="781"/>
      <c r="E43" s="782"/>
      <c r="F43" s="781"/>
      <c r="G43" s="782"/>
    </row>
    <row r="44" spans="1:9">
      <c r="A44" s="3" t="s">
        <v>710</v>
      </c>
      <c r="B44" s="38"/>
      <c r="C44" s="798"/>
      <c r="D44" s="38"/>
      <c r="E44" s="798"/>
      <c r="F44" s="38"/>
      <c r="G44" s="798"/>
    </row>
    <row r="45" spans="1:9">
      <c r="A45" s="38"/>
      <c r="B45" s="38"/>
      <c r="C45" s="798"/>
      <c r="D45" s="38"/>
      <c r="E45" s="798"/>
      <c r="F45" s="38"/>
      <c r="G45" s="798"/>
    </row>
    <row r="47" spans="1:9">
      <c r="A47" s="3" t="s">
        <v>256</v>
      </c>
    </row>
    <row r="50" spans="2:5">
      <c r="B50"/>
      <c r="C50"/>
      <c r="D50"/>
      <c r="E50"/>
    </row>
    <row r="51" spans="2:5">
      <c r="B51"/>
      <c r="C51"/>
      <c r="D51"/>
      <c r="E51"/>
    </row>
    <row r="52" spans="2:5">
      <c r="B52"/>
      <c r="C52"/>
      <c r="D52"/>
      <c r="E52"/>
    </row>
    <row r="53" spans="2:5">
      <c r="B53"/>
      <c r="C53"/>
      <c r="D53"/>
      <c r="E53"/>
    </row>
    <row r="54" spans="2:5">
      <c r="B54"/>
      <c r="C54"/>
      <c r="D54"/>
      <c r="E54"/>
    </row>
  </sheetData>
  <phoneticPr fontId="0" type="noConversion"/>
  <pageMargins left="0.52" right="0.37" top="0.69" bottom="0.49" header="0.42" footer="0.4921259845"/>
  <pageSetup paperSize="9" scale="57" orientation="landscape" horizontalDpi="4294967292" verticalDpi="4294967292"/>
  <headerFooter alignWithMargins="0">
    <oddHeader>&amp;L&amp;"Arial,Bold"Versicherte und Finanzen in der OKP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22473-37B7-B540-B038-053D2F7E809A}">
  <sheetPr>
    <pageSetUpPr fitToPage="1"/>
  </sheetPr>
  <dimension ref="A1:H32"/>
  <sheetViews>
    <sheetView topLeftCell="A20" zoomScale="75" workbookViewId="0">
      <selection activeCell="A28" sqref="A28"/>
    </sheetView>
  </sheetViews>
  <sheetFormatPr baseColWidth="10" defaultColWidth="11.3984375" defaultRowHeight="13"/>
  <cols>
    <col min="1" max="1" width="36" style="3" customWidth="1"/>
    <col min="2" max="4" width="15.19921875" style="3" customWidth="1"/>
    <col min="5" max="5" width="15.19921875" style="35" customWidth="1"/>
    <col min="6" max="7" width="15.19921875" style="3" customWidth="1"/>
    <col min="8" max="8" width="15.59765625" style="3" customWidth="1"/>
    <col min="9" max="16384" width="11.3984375" style="3"/>
  </cols>
  <sheetData>
    <row r="1" spans="1:8" s="1" customFormat="1" ht="14" customHeight="1">
      <c r="E1" s="58"/>
    </row>
    <row r="2" spans="1:8" s="1" customFormat="1" ht="30.75" customHeight="1">
      <c r="A2" s="389" t="s">
        <v>220</v>
      </c>
      <c r="B2" s="763"/>
      <c r="C2" s="763"/>
      <c r="D2" s="763"/>
      <c r="E2" s="763"/>
      <c r="H2" s="59">
        <v>2003</v>
      </c>
    </row>
    <row r="3" spans="1:8" ht="24" customHeight="1">
      <c r="A3" s="2" t="s">
        <v>221</v>
      </c>
      <c r="B3" s="69" t="s">
        <v>72</v>
      </c>
      <c r="C3" s="16" t="s">
        <v>73</v>
      </c>
      <c r="D3" s="69" t="s">
        <v>71</v>
      </c>
      <c r="E3" s="323" t="s">
        <v>22</v>
      </c>
      <c r="F3" s="69" t="s">
        <v>594</v>
      </c>
      <c r="G3" s="16" t="s">
        <v>24</v>
      </c>
      <c r="H3" s="69" t="s">
        <v>24</v>
      </c>
    </row>
    <row r="4" spans="1:8" ht="15" customHeight="1">
      <c r="A4" s="77"/>
      <c r="B4" s="70"/>
      <c r="C4" s="17"/>
      <c r="D4" s="70"/>
      <c r="E4" s="324"/>
      <c r="F4" s="70" t="s">
        <v>2020</v>
      </c>
      <c r="G4" s="17" t="s">
        <v>25</v>
      </c>
      <c r="H4" s="70" t="s">
        <v>25</v>
      </c>
    </row>
    <row r="5" spans="1:8" ht="15" customHeight="1">
      <c r="A5" s="77"/>
      <c r="B5" s="70"/>
      <c r="C5" s="17"/>
      <c r="D5" s="70"/>
      <c r="E5" s="324"/>
      <c r="F5" s="70" t="s">
        <v>1316</v>
      </c>
      <c r="G5" s="17" t="s">
        <v>26</v>
      </c>
      <c r="H5" s="70" t="s">
        <v>26</v>
      </c>
    </row>
    <row r="6" spans="1:8" ht="24" customHeight="1">
      <c r="A6" s="78"/>
      <c r="B6" s="73"/>
      <c r="C6" s="18"/>
      <c r="D6" s="73"/>
      <c r="E6" s="325"/>
      <c r="F6" s="73"/>
      <c r="G6" s="18" t="s">
        <v>1925</v>
      </c>
      <c r="H6" s="73" t="s">
        <v>46</v>
      </c>
    </row>
    <row r="7" spans="1:8" ht="30" customHeight="1" thickBot="1">
      <c r="A7" s="79" t="s">
        <v>222</v>
      </c>
      <c r="B7" s="87">
        <v>508.04</v>
      </c>
      <c r="C7" s="86">
        <v>759.97</v>
      </c>
      <c r="D7" s="19">
        <v>291.43</v>
      </c>
      <c r="E7" s="555">
        <v>564.30999999999995</v>
      </c>
      <c r="F7" s="301">
        <v>0.23276178534158826</v>
      </c>
      <c r="G7" s="86">
        <v>6</v>
      </c>
      <c r="H7" s="301">
        <v>1.0746717773280068E-2</v>
      </c>
    </row>
    <row r="8" spans="1:8" ht="20" customHeight="1" thickBot="1">
      <c r="A8" s="80" t="s">
        <v>238</v>
      </c>
      <c r="B8" s="75">
        <v>620.74</v>
      </c>
      <c r="C8" s="116">
        <v>726.51</v>
      </c>
      <c r="D8" s="29">
        <v>115.06</v>
      </c>
      <c r="E8" s="331">
        <v>556.16999999999996</v>
      </c>
      <c r="F8" s="301">
        <v>0.22940426743001391</v>
      </c>
      <c r="G8" s="116">
        <v>42</v>
      </c>
      <c r="H8" s="301">
        <v>8.1685045801972223E-2</v>
      </c>
    </row>
    <row r="9" spans="1:8" ht="20" customHeight="1" thickBot="1">
      <c r="A9" s="80" t="s">
        <v>223</v>
      </c>
      <c r="B9" s="29">
        <v>316.14999999999998</v>
      </c>
      <c r="C9" s="116">
        <v>353.84</v>
      </c>
      <c r="D9" s="29">
        <v>119.49</v>
      </c>
      <c r="E9" s="331">
        <v>289.64</v>
      </c>
      <c r="F9" s="301">
        <v>0.11946824175778849</v>
      </c>
      <c r="G9" s="116">
        <v>21.67</v>
      </c>
      <c r="H9" s="301">
        <v>8.0867261260588741E-2</v>
      </c>
    </row>
    <row r="10" spans="1:8" ht="20" customHeight="1" thickBot="1">
      <c r="A10" s="80" t="s">
        <v>224</v>
      </c>
      <c r="B10" s="29">
        <v>197.84</v>
      </c>
      <c r="C10" s="116">
        <v>240.37</v>
      </c>
      <c r="D10" s="29">
        <v>43.61</v>
      </c>
      <c r="E10" s="331">
        <v>182.32</v>
      </c>
      <c r="F10" s="301">
        <v>7.5201801675459187E-2</v>
      </c>
      <c r="G10" s="116">
        <v>11</v>
      </c>
      <c r="H10" s="301">
        <v>6.4207331309829474E-2</v>
      </c>
    </row>
    <row r="11" spans="1:8" ht="20" customHeight="1" thickBot="1">
      <c r="A11" s="80" t="s">
        <v>225</v>
      </c>
      <c r="B11" s="29">
        <v>376.17</v>
      </c>
      <c r="C11" s="116">
        <v>478.84</v>
      </c>
      <c r="D11" s="29">
        <v>66.17</v>
      </c>
      <c r="E11" s="331">
        <v>351.95</v>
      </c>
      <c r="F11" s="301">
        <v>0.14516934016936078</v>
      </c>
      <c r="G11" s="116">
        <v>8.8899999999999864</v>
      </c>
      <c r="H11" s="301">
        <v>2.5913834314697182E-2</v>
      </c>
    </row>
    <row r="12" spans="1:8" ht="20" customHeight="1" thickBot="1">
      <c r="A12" s="80" t="s">
        <v>239</v>
      </c>
      <c r="B12" s="29">
        <v>132.78</v>
      </c>
      <c r="C12" s="116">
        <v>367.17</v>
      </c>
      <c r="D12" s="29">
        <v>0.63</v>
      </c>
      <c r="E12" s="331">
        <v>199.88</v>
      </c>
      <c r="F12" s="301">
        <v>8.2444801003130661E-2</v>
      </c>
      <c r="G12" s="116">
        <v>10.68</v>
      </c>
      <c r="H12" s="301">
        <v>5.6448202959830995E-2</v>
      </c>
    </row>
    <row r="13" spans="1:8" ht="20" customHeight="1" thickBot="1">
      <c r="A13" s="80" t="s">
        <v>226</v>
      </c>
      <c r="B13" s="29">
        <v>36.44</v>
      </c>
      <c r="C13" s="116">
        <v>71.92</v>
      </c>
      <c r="D13" s="29">
        <v>0.93</v>
      </c>
      <c r="E13" s="331">
        <v>43.3</v>
      </c>
      <c r="F13" s="301">
        <v>1.7860015426433649E-2</v>
      </c>
      <c r="G13" s="116">
        <v>3.89</v>
      </c>
      <c r="H13" s="301">
        <v>9.8705912205024227E-2</v>
      </c>
    </row>
    <row r="14" spans="1:8" ht="20" customHeight="1" thickBot="1">
      <c r="A14" s="80" t="s">
        <v>227</v>
      </c>
      <c r="B14" s="29">
        <v>58.43</v>
      </c>
      <c r="C14" s="116">
        <v>100.37</v>
      </c>
      <c r="D14" s="29">
        <v>16.100000000000001</v>
      </c>
      <c r="E14" s="331">
        <v>66.459999999999994</v>
      </c>
      <c r="F14" s="301">
        <v>2.7412855086392154E-2</v>
      </c>
      <c r="G14" s="116">
        <v>-2.3300000000000125</v>
      </c>
      <c r="H14" s="301">
        <v>-3.3871202209623696E-2</v>
      </c>
    </row>
    <row r="15" spans="1:8" ht="20" customHeight="1" thickBot="1">
      <c r="A15" s="80" t="s">
        <v>228</v>
      </c>
      <c r="B15" s="29">
        <v>55.27</v>
      </c>
      <c r="C15" s="116">
        <v>98.37</v>
      </c>
      <c r="D15" s="29">
        <v>18.66</v>
      </c>
      <c r="E15" s="331">
        <v>64.989999999999995</v>
      </c>
      <c r="F15" s="301">
        <v>2.6806521999166808E-2</v>
      </c>
      <c r="G15" s="116">
        <v>-0.99000000000000909</v>
      </c>
      <c r="H15" s="301">
        <v>-1.5004546832373622E-2</v>
      </c>
    </row>
    <row r="16" spans="1:8" ht="20" customHeight="1" thickBot="1">
      <c r="A16" s="80" t="s">
        <v>229</v>
      </c>
      <c r="B16" s="29">
        <v>8.8699999999999992</v>
      </c>
      <c r="C16" s="116">
        <v>12.36</v>
      </c>
      <c r="D16" s="29">
        <v>1.85</v>
      </c>
      <c r="E16" s="331">
        <v>8.7899999999999991</v>
      </c>
      <c r="F16" s="301">
        <v>3.6256243787148213E-3</v>
      </c>
      <c r="G16" s="116">
        <v>-7.0000000000000284E-2</v>
      </c>
      <c r="H16" s="301">
        <v>-7.900677200902928E-3</v>
      </c>
    </row>
    <row r="17" spans="1:8" ht="20" customHeight="1" thickBot="1">
      <c r="A17" s="80" t="s">
        <v>230</v>
      </c>
      <c r="B17" s="29">
        <v>32.47</v>
      </c>
      <c r="C17" s="116">
        <v>33.700000000000003</v>
      </c>
      <c r="D17" s="29">
        <v>13.89</v>
      </c>
      <c r="E17" s="331">
        <v>29.02</v>
      </c>
      <c r="F17" s="301">
        <v>1.1969922579101721E-2</v>
      </c>
      <c r="G17" s="116">
        <v>1.45</v>
      </c>
      <c r="H17" s="301">
        <v>5.2593398621690213E-2</v>
      </c>
    </row>
    <row r="18" spans="1:8" ht="20" customHeight="1" thickBot="1">
      <c r="A18" s="80" t="s">
        <v>240</v>
      </c>
      <c r="B18" s="29">
        <v>15.8</v>
      </c>
      <c r="C18" s="116">
        <v>19.77</v>
      </c>
      <c r="D18" s="29">
        <v>5.64</v>
      </c>
      <c r="E18" s="331">
        <v>15.25</v>
      </c>
      <c r="F18" s="301">
        <v>6.2901901906030752E-3</v>
      </c>
      <c r="G18" s="116">
        <v>-8.0000000000000071E-2</v>
      </c>
      <c r="H18" s="301">
        <v>-5.2185257664709717E-3</v>
      </c>
    </row>
    <row r="19" spans="1:8" ht="20" customHeight="1" thickBot="1">
      <c r="A19" s="7" t="s">
        <v>231</v>
      </c>
      <c r="B19" s="29">
        <v>2.36</v>
      </c>
      <c r="C19" s="116">
        <v>6.34</v>
      </c>
      <c r="D19" s="29">
        <v>2.95</v>
      </c>
      <c r="E19" s="331">
        <v>4.0999999999999996</v>
      </c>
      <c r="F19" s="301">
        <v>1.6911331004244331E-3</v>
      </c>
      <c r="G19" s="116">
        <v>1.07</v>
      </c>
      <c r="H19" s="301">
        <v>0.35313531353135308</v>
      </c>
    </row>
    <row r="20" spans="1:8" ht="20" customHeight="1" thickBot="1">
      <c r="A20" s="80" t="s">
        <v>232</v>
      </c>
      <c r="B20" s="29">
        <v>38.11</v>
      </c>
      <c r="C20" s="116">
        <v>50.41</v>
      </c>
      <c r="D20" s="29">
        <v>32.08</v>
      </c>
      <c r="E20" s="331">
        <v>41.82</v>
      </c>
      <c r="F20" s="301">
        <v>1.7249557624329219E-2</v>
      </c>
      <c r="G20" s="116">
        <v>-0.75999999999999801</v>
      </c>
      <c r="H20" s="301">
        <v>-1.7848755284170958E-2</v>
      </c>
    </row>
    <row r="21" spans="1:8" ht="20" customHeight="1" thickBot="1">
      <c r="A21" s="80" t="s">
        <v>241</v>
      </c>
      <c r="B21" s="29">
        <v>7.87</v>
      </c>
      <c r="C21" s="116">
        <v>7.12</v>
      </c>
      <c r="D21" s="29">
        <v>2.38</v>
      </c>
      <c r="E21" s="331">
        <v>6.4</v>
      </c>
      <c r="F21" s="301">
        <v>2.6398175226137496E-3</v>
      </c>
      <c r="G21" s="116">
        <v>-1.01</v>
      </c>
      <c r="H21" s="301">
        <v>-0.13630229419703099</v>
      </c>
    </row>
    <row r="22" spans="1:8" ht="30" customHeight="1" thickBot="1">
      <c r="A22" s="704" t="s">
        <v>233</v>
      </c>
      <c r="B22" s="407">
        <v>2407.3200000000002</v>
      </c>
      <c r="C22" s="408">
        <v>3327.03</v>
      </c>
      <c r="D22" s="407">
        <v>730.85</v>
      </c>
      <c r="E22" s="117">
        <v>2424.41</v>
      </c>
      <c r="F22" s="764">
        <v>1</v>
      </c>
      <c r="G22" s="408">
        <v>101.44</v>
      </c>
      <c r="H22" s="764">
        <v>4.366823506115014E-2</v>
      </c>
    </row>
    <row r="23" spans="1:8" ht="30" customHeight="1" thickBot="1">
      <c r="A23" s="765" t="s">
        <v>234</v>
      </c>
      <c r="B23" s="766" t="s">
        <v>1013</v>
      </c>
      <c r="C23" s="767">
        <v>130.93</v>
      </c>
      <c r="D23" s="766">
        <v>1.39</v>
      </c>
      <c r="E23" s="768" t="s">
        <v>1013</v>
      </c>
      <c r="F23" s="766" t="s">
        <v>1013</v>
      </c>
      <c r="G23" s="769" t="s">
        <v>1013</v>
      </c>
      <c r="H23" s="770" t="s">
        <v>1013</v>
      </c>
    </row>
    <row r="24" spans="1:8" ht="20" customHeight="1">
      <c r="A24" s="9" t="s">
        <v>1334</v>
      </c>
      <c r="B24" s="309"/>
      <c r="C24" s="309"/>
      <c r="D24" s="309"/>
      <c r="E24" s="337"/>
      <c r="F24" s="309"/>
    </row>
    <row r="25" spans="1:8" ht="12.75" customHeight="1">
      <c r="A25" s="37"/>
      <c r="B25" s="311"/>
      <c r="C25" s="311"/>
      <c r="D25" s="311"/>
      <c r="E25" s="338"/>
      <c r="F25" s="311"/>
    </row>
    <row r="26" spans="1:8">
      <c r="A26" s="37" t="s">
        <v>235</v>
      </c>
    </row>
    <row r="27" spans="1:8">
      <c r="A27" s="37" t="s">
        <v>236</v>
      </c>
    </row>
    <row r="29" spans="1:8">
      <c r="A29" s="3" t="s">
        <v>237</v>
      </c>
    </row>
    <row r="32" spans="1:8">
      <c r="A32" s="3" t="s">
        <v>256</v>
      </c>
    </row>
  </sheetData>
  <phoneticPr fontId="0" type="noConversion"/>
  <pageMargins left="0.6" right="0.5" top="0.69" bottom="0.49" header="0.43" footer="0.4921259845"/>
  <pageSetup paperSize="9" scale="85" orientation="landscape" horizontalDpi="1200" verticalDpi="1200"/>
  <headerFooter alignWithMargins="0">
    <oddHeader>&amp;L&amp;"Arial,Bold"Versicherte und Finanzen in der OKP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3E25-1BA4-3D43-B3AA-BAF025E139B3}">
  <sheetPr>
    <pageSetUpPr fitToPage="1"/>
  </sheetPr>
  <dimension ref="A1:J22"/>
  <sheetViews>
    <sheetView topLeftCell="A6" zoomScale="75" workbookViewId="0">
      <selection activeCell="H19" sqref="H19"/>
    </sheetView>
  </sheetViews>
  <sheetFormatPr baseColWidth="10" defaultColWidth="11.3984375" defaultRowHeight="13"/>
  <cols>
    <col min="1" max="1" width="12.796875" style="3" customWidth="1"/>
    <col min="2" max="3" width="17" style="3" customWidth="1"/>
    <col min="4" max="5" width="15.796875" style="3" customWidth="1"/>
    <col min="6" max="6" width="17" style="3" customWidth="1"/>
    <col min="7" max="7" width="13.3984375" style="3" customWidth="1"/>
    <col min="8" max="16384" width="11.3984375" style="3"/>
  </cols>
  <sheetData>
    <row r="1" spans="1:10" s="1" customFormat="1" ht="14" customHeight="1">
      <c r="A1" s="372"/>
      <c r="B1" s="372"/>
      <c r="C1" s="372"/>
      <c r="D1" s="372"/>
      <c r="E1" s="372"/>
      <c r="F1" s="372"/>
      <c r="G1" s="372"/>
    </row>
    <row r="2" spans="1:10" s="1" customFormat="1" ht="28" customHeight="1">
      <c r="A2" s="374" t="s">
        <v>218</v>
      </c>
      <c r="B2" s="372"/>
      <c r="C2" s="372"/>
      <c r="D2" s="372"/>
      <c r="E2" s="372"/>
      <c r="F2" s="372"/>
      <c r="G2" s="374">
        <v>2003</v>
      </c>
    </row>
    <row r="3" spans="1:10" ht="24" customHeight="1">
      <c r="A3" s="2" t="s">
        <v>1591</v>
      </c>
      <c r="B3" s="69" t="s">
        <v>1848</v>
      </c>
      <c r="C3" s="16" t="s">
        <v>509</v>
      </c>
      <c r="D3" s="69" t="s">
        <v>510</v>
      </c>
      <c r="E3" s="16" t="s">
        <v>511</v>
      </c>
      <c r="F3" s="69" t="s">
        <v>22</v>
      </c>
      <c r="G3" s="16" t="s">
        <v>24</v>
      </c>
    </row>
    <row r="4" spans="1:10" ht="15" customHeight="1">
      <c r="A4" s="77"/>
      <c r="B4" s="70" t="s">
        <v>1850</v>
      </c>
      <c r="C4" s="17" t="s">
        <v>512</v>
      </c>
      <c r="D4" s="70" t="s">
        <v>1851</v>
      </c>
      <c r="E4" s="61" t="s">
        <v>513</v>
      </c>
      <c r="F4" s="70"/>
      <c r="G4" s="17" t="s">
        <v>25</v>
      </c>
    </row>
    <row r="5" spans="1:10" ht="15" customHeight="1">
      <c r="A5" s="77"/>
      <c r="B5" s="70" t="s">
        <v>1852</v>
      </c>
      <c r="C5" s="17" t="s">
        <v>514</v>
      </c>
      <c r="D5" s="70" t="s">
        <v>1405</v>
      </c>
      <c r="E5" s="61" t="s">
        <v>515</v>
      </c>
      <c r="F5" s="70"/>
      <c r="G5" s="17" t="s">
        <v>26</v>
      </c>
    </row>
    <row r="6" spans="1:10" ht="24" customHeight="1">
      <c r="A6" s="78"/>
      <c r="B6" s="73"/>
      <c r="C6" s="18"/>
      <c r="D6" s="73"/>
      <c r="E6" s="62" t="s">
        <v>516</v>
      </c>
      <c r="F6" s="73"/>
      <c r="G6" s="18"/>
    </row>
    <row r="7" spans="1:10" ht="30" customHeight="1" thickBot="1">
      <c r="A7" s="79">
        <v>1994</v>
      </c>
      <c r="B7" s="87">
        <v>1094583000</v>
      </c>
      <c r="C7" s="86">
        <v>161563000</v>
      </c>
      <c r="D7" s="19">
        <v>2653000</v>
      </c>
      <c r="E7" s="86">
        <v>552000</v>
      </c>
      <c r="F7" s="87">
        <v>1259274000</v>
      </c>
      <c r="G7" s="762" t="s">
        <v>258</v>
      </c>
    </row>
    <row r="8" spans="1:10" ht="20" customHeight="1" thickBot="1">
      <c r="A8" s="80">
        <v>1995</v>
      </c>
      <c r="B8" s="75">
        <v>1104144000</v>
      </c>
      <c r="C8" s="116">
        <v>182947000</v>
      </c>
      <c r="D8" s="29">
        <v>2520000</v>
      </c>
      <c r="E8" s="116">
        <v>560000</v>
      </c>
      <c r="F8" s="29">
        <v>1290196000</v>
      </c>
      <c r="G8" s="25">
        <v>2.4555418439513588E-2</v>
      </c>
    </row>
    <row r="9" spans="1:10" ht="20" customHeight="1" thickBot="1">
      <c r="A9" s="80">
        <v>1996</v>
      </c>
      <c r="B9" s="29">
        <v>1089264800.5</v>
      </c>
      <c r="C9" s="116">
        <v>580101661.80000019</v>
      </c>
      <c r="D9" s="29">
        <v>4375346.3499999996</v>
      </c>
      <c r="E9" s="116">
        <v>4789928.95</v>
      </c>
      <c r="F9" s="29">
        <v>1678531737.6000004</v>
      </c>
      <c r="G9" s="25">
        <v>0.30098972373189836</v>
      </c>
    </row>
    <row r="10" spans="1:10" ht="20" customHeight="1" thickBot="1">
      <c r="A10" s="80">
        <v>1997</v>
      </c>
      <c r="B10" s="29">
        <v>879950459</v>
      </c>
      <c r="C10" s="116">
        <v>850703379</v>
      </c>
      <c r="D10" s="29">
        <v>1704020</v>
      </c>
      <c r="E10" s="116">
        <v>45624484</v>
      </c>
      <c r="F10" s="29">
        <v>1777982343</v>
      </c>
      <c r="G10" s="25">
        <v>5.9248570147500512E-2</v>
      </c>
      <c r="H10" s="43"/>
      <c r="I10" s="43"/>
      <c r="J10" s="43"/>
    </row>
    <row r="11" spans="1:10" ht="20" customHeight="1" thickBot="1">
      <c r="A11" s="80">
        <v>1998</v>
      </c>
      <c r="B11" s="29">
        <v>1013899968</v>
      </c>
      <c r="C11" s="116">
        <v>981741080</v>
      </c>
      <c r="D11" s="29">
        <v>1294283</v>
      </c>
      <c r="E11" s="116">
        <v>100297469</v>
      </c>
      <c r="F11" s="29">
        <v>2097232800</v>
      </c>
      <c r="G11" s="25">
        <v>0.17955772072591381</v>
      </c>
    </row>
    <row r="12" spans="1:10" ht="20" customHeight="1" thickBot="1">
      <c r="A12" s="80">
        <v>1999</v>
      </c>
      <c r="B12" s="29">
        <v>1011361150</v>
      </c>
      <c r="C12" s="116">
        <v>1055568640</v>
      </c>
      <c r="D12" s="29">
        <v>792455</v>
      </c>
      <c r="E12" s="116">
        <v>122178940</v>
      </c>
      <c r="F12" s="29">
        <v>2189901184</v>
      </c>
      <c r="G12" s="25">
        <v>4.4186026463061134E-2</v>
      </c>
    </row>
    <row r="13" spans="1:10" ht="20" customHeight="1" thickBot="1">
      <c r="A13" s="80">
        <v>2000</v>
      </c>
      <c r="B13" s="29">
        <v>1054450601</v>
      </c>
      <c r="C13" s="116">
        <v>1090720983</v>
      </c>
      <c r="D13" s="29">
        <v>1251221</v>
      </c>
      <c r="E13" s="116">
        <v>141594740</v>
      </c>
      <c r="F13" s="29">
        <v>2288017545</v>
      </c>
      <c r="G13" s="25">
        <v>4.4804012946732197E-2</v>
      </c>
    </row>
    <row r="14" spans="1:10" ht="20" customHeight="1" thickBot="1">
      <c r="A14" s="80">
        <v>2001</v>
      </c>
      <c r="B14" s="29">
        <v>1083514122</v>
      </c>
      <c r="C14" s="116">
        <v>1158413361</v>
      </c>
      <c r="D14" s="29">
        <v>1268100.93</v>
      </c>
      <c r="E14" s="116">
        <v>156993944.90000001</v>
      </c>
      <c r="F14" s="29">
        <v>2400189528.8299999</v>
      </c>
      <c r="G14" s="25">
        <v>4.9025840765569706E-2</v>
      </c>
    </row>
    <row r="15" spans="1:10" ht="20" customHeight="1" thickBot="1">
      <c r="A15" s="80">
        <v>2002</v>
      </c>
      <c r="B15" s="29">
        <v>1089828946</v>
      </c>
      <c r="C15" s="116">
        <v>1244155033</v>
      </c>
      <c r="D15" s="29">
        <v>1260300.6499999999</v>
      </c>
      <c r="E15" s="116">
        <v>167586086.80000001</v>
      </c>
      <c r="F15" s="29">
        <v>2502830366.4500003</v>
      </c>
      <c r="G15" s="25">
        <v>4.2763638615669564E-2</v>
      </c>
    </row>
    <row r="16" spans="1:10" ht="30" customHeight="1" thickBot="1">
      <c r="A16" s="705">
        <v>2003</v>
      </c>
      <c r="B16" s="356">
        <v>1079925866</v>
      </c>
      <c r="C16" s="357">
        <v>1341491360</v>
      </c>
      <c r="D16" s="356">
        <v>1220652.32</v>
      </c>
      <c r="E16" s="357">
        <v>165861773.30000001</v>
      </c>
      <c r="F16" s="356">
        <v>2588499651.6200004</v>
      </c>
      <c r="G16" s="34">
        <v>3.4228961865886642E-2</v>
      </c>
    </row>
    <row r="17" spans="1:7" ht="20" customHeight="1">
      <c r="A17" s="436" t="s">
        <v>1334</v>
      </c>
      <c r="B17" s="436"/>
      <c r="C17" s="436"/>
      <c r="D17" s="436"/>
      <c r="E17" s="436"/>
      <c r="F17" s="436"/>
      <c r="G17" s="436"/>
    </row>
    <row r="19" spans="1:7">
      <c r="A19" s="3" t="s">
        <v>219</v>
      </c>
    </row>
    <row r="22" spans="1:7">
      <c r="A22" s="3" t="s">
        <v>256</v>
      </c>
    </row>
  </sheetData>
  <phoneticPr fontId="0" type="noConversion"/>
  <pageMargins left="0.53" right="0.6" top="1.1200000000000001" bottom="0.49" header="0.63" footer="0.4921259845"/>
  <pageSetup paperSize="9" scale="85" orientation="portrait" horizontalDpi="4294967292" verticalDpi="4294967292"/>
  <headerFooter alignWithMargins="0">
    <oddHeader>&amp;L&amp;"Arial,Bold"Versicherte und Finanzen in der OKP</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579A1-A50C-3146-AA60-0DB447507152}">
  <sheetPr>
    <pageSetUpPr fitToPage="1"/>
  </sheetPr>
  <dimension ref="A1:J73"/>
  <sheetViews>
    <sheetView topLeftCell="A60" zoomScale="75" workbookViewId="0">
      <selection activeCell="C82" sqref="C82"/>
    </sheetView>
  </sheetViews>
  <sheetFormatPr baseColWidth="10" defaultColWidth="11.3984375" defaultRowHeight="13"/>
  <cols>
    <col min="1" max="1" width="21.796875" style="3" customWidth="1"/>
    <col min="2" max="3" width="15.796875" style="3" customWidth="1"/>
    <col min="4" max="6" width="14.19921875" style="3" customWidth="1"/>
    <col min="7" max="7" width="15" style="3" customWidth="1"/>
    <col min="8" max="10" width="13.19921875" style="3" customWidth="1"/>
    <col min="11" max="16384" width="11.3984375" style="3"/>
  </cols>
  <sheetData>
    <row r="1" spans="1:10" s="1" customFormat="1" ht="14" customHeight="1"/>
    <row r="2" spans="1:10" s="1" customFormat="1" ht="36.75" customHeight="1">
      <c r="A2" s="1473" t="s">
        <v>202</v>
      </c>
      <c r="B2" s="1474"/>
      <c r="C2" s="1474"/>
      <c r="D2" s="1474"/>
      <c r="E2" s="1474"/>
      <c r="F2" s="59">
        <v>2003</v>
      </c>
      <c r="G2" s="76"/>
    </row>
    <row r="3" spans="1:10" ht="24" customHeight="1">
      <c r="A3" s="588" t="s">
        <v>1711</v>
      </c>
      <c r="B3" s="69" t="s">
        <v>1848</v>
      </c>
      <c r="C3" s="16" t="s">
        <v>509</v>
      </c>
      <c r="D3" s="69" t="s">
        <v>510</v>
      </c>
      <c r="E3" s="16" t="s">
        <v>511</v>
      </c>
      <c r="F3" s="69" t="s">
        <v>22</v>
      </c>
      <c r="G3"/>
    </row>
    <row r="4" spans="1:10" ht="15" customHeight="1">
      <c r="A4" s="77"/>
      <c r="B4" s="70" t="s">
        <v>1850</v>
      </c>
      <c r="C4" s="17" t="s">
        <v>512</v>
      </c>
      <c r="D4" s="70" t="s">
        <v>1851</v>
      </c>
      <c r="E4" s="61" t="s">
        <v>513</v>
      </c>
      <c r="F4" s="70"/>
      <c r="G4"/>
    </row>
    <row r="5" spans="1:10" ht="15" customHeight="1">
      <c r="A5" s="77"/>
      <c r="B5" s="70" t="s">
        <v>1852</v>
      </c>
      <c r="C5" s="17" t="s">
        <v>514</v>
      </c>
      <c r="D5" s="70" t="s">
        <v>1405</v>
      </c>
      <c r="E5" s="61" t="s">
        <v>515</v>
      </c>
      <c r="F5" s="70"/>
      <c r="G5"/>
    </row>
    <row r="6" spans="1:10" ht="24" customHeight="1">
      <c r="A6" s="77" t="s">
        <v>1847</v>
      </c>
      <c r="B6" s="73"/>
      <c r="C6" s="18"/>
      <c r="D6" s="73"/>
      <c r="E6" s="62" t="s">
        <v>516</v>
      </c>
      <c r="F6" s="73"/>
      <c r="G6"/>
    </row>
    <row r="7" spans="1:10" ht="30" customHeight="1" thickBot="1">
      <c r="A7" s="79">
        <v>1994</v>
      </c>
      <c r="B7" s="87">
        <v>169.76695997649949</v>
      </c>
      <c r="C7" s="86">
        <v>250.87772965771251</v>
      </c>
      <c r="D7" s="19">
        <v>173.42136226957774</v>
      </c>
      <c r="E7" s="86">
        <v>22.256269655672895</v>
      </c>
      <c r="F7" s="87">
        <v>176.57533253510792</v>
      </c>
      <c r="G7"/>
    </row>
    <row r="8" spans="1:10" ht="20" customHeight="1" thickBot="1">
      <c r="A8" s="80">
        <v>1995</v>
      </c>
      <c r="B8" s="75">
        <v>172.53646467010913</v>
      </c>
      <c r="C8" s="116">
        <v>261.82151765946764</v>
      </c>
      <c r="D8" s="29">
        <v>77.05243846506653</v>
      </c>
      <c r="E8" s="116">
        <v>15.826809484780824</v>
      </c>
      <c r="F8" s="29">
        <v>179.45502124453856</v>
      </c>
      <c r="G8"/>
    </row>
    <row r="9" spans="1:10" ht="20" customHeight="1" thickBot="1">
      <c r="A9" s="80">
        <v>1996</v>
      </c>
      <c r="B9" s="29">
        <v>229.8232289372188</v>
      </c>
      <c r="C9" s="116">
        <v>251.5996723754472</v>
      </c>
      <c r="D9" s="29">
        <v>157.23187149633452</v>
      </c>
      <c r="E9" s="116">
        <v>39.388219543084574</v>
      </c>
      <c r="F9" s="29">
        <v>233.29860864179659</v>
      </c>
      <c r="G9"/>
    </row>
    <row r="10" spans="1:10" ht="20" customHeight="1" thickBot="1">
      <c r="A10" s="80">
        <v>1997</v>
      </c>
      <c r="B10" s="29">
        <v>215.46601893701404</v>
      </c>
      <c r="C10" s="116">
        <v>310.88456129374595</v>
      </c>
      <c r="D10" s="29">
        <v>148.25205846528638</v>
      </c>
      <c r="E10" s="116">
        <v>119.09183274035274</v>
      </c>
      <c r="F10" s="29">
        <v>246.43123482893861</v>
      </c>
      <c r="G10"/>
      <c r="H10" s="43"/>
      <c r="I10" s="43"/>
      <c r="J10" s="43"/>
    </row>
    <row r="11" spans="1:10" ht="20" customHeight="1" thickBot="1">
      <c r="A11" s="80">
        <v>1998</v>
      </c>
      <c r="B11" s="29">
        <v>252.44363174310865</v>
      </c>
      <c r="C11" s="116">
        <v>360.0775244162046</v>
      </c>
      <c r="D11" s="29">
        <v>109.42734528238077</v>
      </c>
      <c r="E11" s="116">
        <v>203.01598777426921</v>
      </c>
      <c r="F11" s="29">
        <v>289.32883069882564</v>
      </c>
      <c r="G11"/>
    </row>
    <row r="12" spans="1:10" ht="20" customHeight="1" thickBot="1">
      <c r="A12" s="80">
        <v>1999</v>
      </c>
      <c r="B12" s="29">
        <v>252.9206761523119</v>
      </c>
      <c r="C12" s="116">
        <v>388.69953216955696</v>
      </c>
      <c r="D12" s="29">
        <v>77.254014427763764</v>
      </c>
      <c r="E12" s="116">
        <v>225.46370960896115</v>
      </c>
      <c r="F12" s="29">
        <v>301.36445656484921</v>
      </c>
      <c r="G12"/>
    </row>
    <row r="13" spans="1:10" ht="20" customHeight="1" thickBot="1">
      <c r="A13" s="80">
        <v>2000</v>
      </c>
      <c r="B13" s="29">
        <v>268.86321064682579</v>
      </c>
      <c r="C13" s="116">
        <v>395.3932486834517</v>
      </c>
      <c r="D13" s="29">
        <v>127.52815615125883</v>
      </c>
      <c r="E13" s="116">
        <v>245.03773318265758</v>
      </c>
      <c r="F13" s="29">
        <v>314.8004551705385</v>
      </c>
      <c r="G13"/>
    </row>
    <row r="14" spans="1:10" ht="20" customHeight="1" thickBot="1">
      <c r="A14" s="80">
        <v>2001</v>
      </c>
      <c r="B14" s="29">
        <v>279.09861261334129</v>
      </c>
      <c r="C14" s="116">
        <v>408.78213723121047</v>
      </c>
      <c r="D14" s="29">
        <v>135.75644256503585</v>
      </c>
      <c r="E14" s="116">
        <v>263.43962200829282</v>
      </c>
      <c r="F14" s="29">
        <v>327.83710416351659</v>
      </c>
      <c r="G14"/>
    </row>
    <row r="15" spans="1:10" ht="20" customHeight="1" thickBot="1">
      <c r="A15" s="80">
        <v>2002</v>
      </c>
      <c r="B15" s="29">
        <v>285.8436520290872</v>
      </c>
      <c r="C15" s="116">
        <v>417.38683751450941</v>
      </c>
      <c r="D15" s="29">
        <v>142.64863044708545</v>
      </c>
      <c r="E15" s="116">
        <v>300.85378261689124</v>
      </c>
      <c r="F15" s="29">
        <v>340.08781551805083</v>
      </c>
      <c r="G15"/>
    </row>
    <row r="16" spans="1:10" ht="30" customHeight="1" thickBot="1">
      <c r="A16" s="705">
        <v>2003</v>
      </c>
      <c r="B16" s="356">
        <v>293.91576177036529</v>
      </c>
      <c r="C16" s="357">
        <v>431.75071779220281</v>
      </c>
      <c r="D16" s="356">
        <v>146.76593964169774</v>
      </c>
      <c r="E16" s="357">
        <v>274.83127419205175</v>
      </c>
      <c r="F16" s="356">
        <v>350.11954945823106</v>
      </c>
      <c r="G16" s="608"/>
    </row>
    <row r="17" spans="1:9" ht="20" customHeight="1">
      <c r="A17" s="9" t="s">
        <v>1334</v>
      </c>
      <c r="B17" s="9"/>
      <c r="C17" s="9"/>
      <c r="D17" s="9"/>
      <c r="E17" s="9"/>
      <c r="F17" s="9"/>
      <c r="G17" s="37"/>
    </row>
    <row r="19" spans="1:9">
      <c r="A19" s="3" t="s">
        <v>1730</v>
      </c>
    </row>
    <row r="22" spans="1:9" ht="18">
      <c r="A22" s="177" t="s">
        <v>203</v>
      </c>
    </row>
    <row r="24" spans="1:9" ht="18" customHeight="1">
      <c r="A24" s="588" t="s">
        <v>71</v>
      </c>
      <c r="B24" s="69" t="s">
        <v>1848</v>
      </c>
      <c r="C24" s="16" t="s">
        <v>509</v>
      </c>
      <c r="D24" s="69"/>
      <c r="E24" s="16"/>
      <c r="F24" s="69"/>
      <c r="G24" s="16" t="s">
        <v>510</v>
      </c>
      <c r="H24" s="69" t="s">
        <v>511</v>
      </c>
      <c r="I24" s="16" t="s">
        <v>22</v>
      </c>
    </row>
    <row r="25" spans="1:9" ht="18" customHeight="1">
      <c r="A25" s="925" t="s">
        <v>1713</v>
      </c>
      <c r="B25" s="70" t="s">
        <v>1850</v>
      </c>
      <c r="C25" s="17" t="s">
        <v>512</v>
      </c>
      <c r="D25" s="70"/>
      <c r="E25" s="61"/>
      <c r="F25" s="70"/>
      <c r="G25" s="17" t="s">
        <v>1851</v>
      </c>
      <c r="H25" s="14" t="s">
        <v>513</v>
      </c>
      <c r="I25" s="17"/>
    </row>
    <row r="26" spans="1:9" ht="18" customHeight="1">
      <c r="A26" s="77"/>
      <c r="B26" s="70" t="s">
        <v>1852</v>
      </c>
      <c r="C26" s="392" t="s">
        <v>514</v>
      </c>
      <c r="D26" s="391"/>
      <c r="E26" s="579"/>
      <c r="F26" s="391"/>
      <c r="G26" s="17" t="s">
        <v>1405</v>
      </c>
      <c r="H26" s="14" t="s">
        <v>515</v>
      </c>
      <c r="I26" s="17"/>
    </row>
    <row r="27" spans="1:9" ht="18" customHeight="1">
      <c r="A27" s="78" t="s">
        <v>1591</v>
      </c>
      <c r="B27" s="73"/>
      <c r="C27" s="18"/>
      <c r="D27" s="391" t="s">
        <v>1714</v>
      </c>
      <c r="E27" s="392" t="s">
        <v>1715</v>
      </c>
      <c r="F27" s="391" t="s">
        <v>1716</v>
      </c>
      <c r="G27" s="18"/>
      <c r="H27" s="15" t="s">
        <v>516</v>
      </c>
      <c r="I27" s="18"/>
    </row>
    <row r="28" spans="1:9" ht="18" customHeight="1" thickBot="1">
      <c r="A28" s="651">
        <v>1996</v>
      </c>
      <c r="B28" s="28" t="s">
        <v>1013</v>
      </c>
      <c r="C28" s="63" t="s">
        <v>1013</v>
      </c>
      <c r="D28" s="28" t="s">
        <v>1013</v>
      </c>
      <c r="E28" s="63" t="s">
        <v>1013</v>
      </c>
      <c r="F28" s="28" t="s">
        <v>1013</v>
      </c>
      <c r="G28" s="63" t="s">
        <v>1013</v>
      </c>
      <c r="H28" s="28" t="s">
        <v>1013</v>
      </c>
      <c r="I28" s="63" t="s">
        <v>1013</v>
      </c>
    </row>
    <row r="29" spans="1:9" ht="18" customHeight="1" thickBot="1">
      <c r="A29" s="80">
        <v>1997</v>
      </c>
      <c r="B29" s="29" t="s">
        <v>1013</v>
      </c>
      <c r="C29" s="116" t="s">
        <v>1013</v>
      </c>
      <c r="D29" s="29" t="s">
        <v>1013</v>
      </c>
      <c r="E29" s="116" t="s">
        <v>1013</v>
      </c>
      <c r="F29" s="29" t="s">
        <v>1013</v>
      </c>
      <c r="G29" s="116" t="s">
        <v>1013</v>
      </c>
      <c r="H29" s="29" t="s">
        <v>1013</v>
      </c>
      <c r="I29" s="116" t="s">
        <v>1013</v>
      </c>
    </row>
    <row r="30" spans="1:9" ht="18" customHeight="1" thickBot="1">
      <c r="A30" s="80">
        <v>1998</v>
      </c>
      <c r="B30" s="29">
        <v>54.92</v>
      </c>
      <c r="C30" s="116">
        <v>162.55000000000001</v>
      </c>
      <c r="D30" s="29">
        <v>151.16999999999999</v>
      </c>
      <c r="E30" s="116">
        <v>205.18</v>
      </c>
      <c r="F30" s="29">
        <v>168.97</v>
      </c>
      <c r="G30" s="116">
        <v>31.98</v>
      </c>
      <c r="H30" s="29">
        <v>44.35</v>
      </c>
      <c r="I30" s="116">
        <v>67.75</v>
      </c>
    </row>
    <row r="31" spans="1:9" ht="18" customHeight="1" thickBot="1">
      <c r="A31" s="80">
        <v>1999</v>
      </c>
      <c r="B31" s="29">
        <v>55.76</v>
      </c>
      <c r="C31" s="116">
        <v>166.26</v>
      </c>
      <c r="D31" s="29">
        <v>152.54</v>
      </c>
      <c r="E31" s="116">
        <v>201.65</v>
      </c>
      <c r="F31" s="29">
        <v>184.79</v>
      </c>
      <c r="G31" s="116">
        <v>37.880000000000003</v>
      </c>
      <c r="H31" s="29">
        <v>46.78</v>
      </c>
      <c r="I31" s="116">
        <v>68.52</v>
      </c>
    </row>
    <row r="32" spans="1:9" ht="18" customHeight="1" thickBot="1">
      <c r="A32" s="80">
        <v>2000</v>
      </c>
      <c r="B32" s="29">
        <v>58.29</v>
      </c>
      <c r="C32" s="116">
        <v>178</v>
      </c>
      <c r="D32" s="29">
        <v>158.38</v>
      </c>
      <c r="E32" s="116">
        <v>205.36</v>
      </c>
      <c r="F32" s="29">
        <v>214.46</v>
      </c>
      <c r="G32" s="116">
        <v>32.72</v>
      </c>
      <c r="H32" s="29">
        <v>49.53</v>
      </c>
      <c r="I32" s="116">
        <v>71.95</v>
      </c>
    </row>
    <row r="33" spans="1:10" ht="18" customHeight="1" thickBot="1">
      <c r="A33" s="80">
        <v>2001</v>
      </c>
      <c r="B33" s="29">
        <v>62.02</v>
      </c>
      <c r="C33" s="116">
        <v>181.8</v>
      </c>
      <c r="D33" s="29">
        <v>159.66</v>
      </c>
      <c r="E33" s="116">
        <v>212.22</v>
      </c>
      <c r="F33" s="29">
        <v>218.4</v>
      </c>
      <c r="G33" s="116">
        <v>40.770000000000003</v>
      </c>
      <c r="H33" s="29">
        <v>52.32</v>
      </c>
      <c r="I33" s="116">
        <v>75.150000000000006</v>
      </c>
    </row>
    <row r="34" spans="1:10" ht="18" customHeight="1" thickBot="1">
      <c r="A34" s="80">
        <v>2002</v>
      </c>
      <c r="B34" s="29">
        <v>62.42</v>
      </c>
      <c r="C34" s="116">
        <v>181.75</v>
      </c>
      <c r="D34" s="29">
        <v>161.33000000000001</v>
      </c>
      <c r="E34" s="116">
        <v>213.19</v>
      </c>
      <c r="F34" s="29">
        <v>208.45</v>
      </c>
      <c r="G34" s="116">
        <v>41.36</v>
      </c>
      <c r="H34" s="29">
        <v>55.65</v>
      </c>
      <c r="I34" s="116">
        <v>75.16</v>
      </c>
    </row>
    <row r="35" spans="1:10" ht="18" customHeight="1" thickBot="1">
      <c r="A35" s="926">
        <v>2003</v>
      </c>
      <c r="B35" s="562">
        <v>64.510000000000005</v>
      </c>
      <c r="C35" s="563">
        <v>182.29</v>
      </c>
      <c r="D35" s="562">
        <v>162.87</v>
      </c>
      <c r="E35" s="563">
        <v>206.73</v>
      </c>
      <c r="F35" s="562">
        <v>203.4</v>
      </c>
      <c r="G35" s="563">
        <v>41.28</v>
      </c>
      <c r="H35" s="562">
        <v>58.02</v>
      </c>
      <c r="I35" s="563">
        <v>77.430000000000007</v>
      </c>
    </row>
    <row r="36" spans="1:10">
      <c r="A36" s="9"/>
    </row>
    <row r="38" spans="1:10" ht="18" customHeight="1">
      <c r="A38" s="588" t="s">
        <v>1506</v>
      </c>
      <c r="B38" s="69" t="s">
        <v>1848</v>
      </c>
      <c r="C38" s="16" t="s">
        <v>509</v>
      </c>
      <c r="D38" s="69"/>
      <c r="E38" s="16"/>
      <c r="F38" s="69"/>
      <c r="G38" s="16"/>
      <c r="H38" s="69" t="s">
        <v>510</v>
      </c>
      <c r="I38" s="16" t="s">
        <v>511</v>
      </c>
      <c r="J38" s="69" t="s">
        <v>22</v>
      </c>
    </row>
    <row r="39" spans="1:10" ht="18" customHeight="1">
      <c r="A39" s="925" t="s">
        <v>1717</v>
      </c>
      <c r="B39" s="70" t="s">
        <v>1850</v>
      </c>
      <c r="C39" s="17" t="s">
        <v>512</v>
      </c>
      <c r="D39" s="70"/>
      <c r="E39" s="61"/>
      <c r="F39" s="70"/>
      <c r="G39" s="61"/>
      <c r="H39" s="70" t="s">
        <v>1851</v>
      </c>
      <c r="I39" s="61" t="s">
        <v>513</v>
      </c>
      <c r="J39" s="70"/>
    </row>
    <row r="40" spans="1:10" ht="18" customHeight="1">
      <c r="A40" s="77"/>
      <c r="B40" s="70" t="s">
        <v>1852</v>
      </c>
      <c r="C40" s="392" t="s">
        <v>514</v>
      </c>
      <c r="D40" s="391"/>
      <c r="E40" s="579"/>
      <c r="F40" s="391"/>
      <c r="G40" s="579"/>
      <c r="H40" s="70" t="s">
        <v>1405</v>
      </c>
      <c r="I40" s="61" t="s">
        <v>515</v>
      </c>
      <c r="J40" s="70"/>
    </row>
    <row r="41" spans="1:10" ht="18" customHeight="1">
      <c r="A41" s="78" t="s">
        <v>1591</v>
      </c>
      <c r="B41" s="73"/>
      <c r="C41" s="18"/>
      <c r="D41" s="391" t="s">
        <v>1718</v>
      </c>
      <c r="E41" s="392" t="s">
        <v>1719</v>
      </c>
      <c r="F41" s="391" t="s">
        <v>1720</v>
      </c>
      <c r="G41" s="392" t="s">
        <v>1721</v>
      </c>
      <c r="H41" s="73"/>
      <c r="I41" s="62" t="s">
        <v>516</v>
      </c>
      <c r="J41" s="73"/>
    </row>
    <row r="42" spans="1:10" ht="18" customHeight="1" thickBot="1">
      <c r="A42" s="421" t="s">
        <v>299</v>
      </c>
      <c r="B42" s="28" t="s">
        <v>1013</v>
      </c>
      <c r="C42" s="63" t="s">
        <v>1013</v>
      </c>
      <c r="D42" s="28" t="s">
        <v>1013</v>
      </c>
      <c r="E42" s="63" t="s">
        <v>1013</v>
      </c>
      <c r="F42" s="28" t="s">
        <v>1013</v>
      </c>
      <c r="G42" s="63" t="s">
        <v>1013</v>
      </c>
      <c r="H42" s="28" t="s">
        <v>1013</v>
      </c>
      <c r="I42" s="63" t="s">
        <v>1013</v>
      </c>
      <c r="J42" s="28" t="s">
        <v>1013</v>
      </c>
    </row>
    <row r="43" spans="1:10" ht="18" customHeight="1" thickBot="1">
      <c r="A43" s="7" t="s">
        <v>204</v>
      </c>
      <c r="B43" s="29" t="s">
        <v>1013</v>
      </c>
      <c r="C43" s="116" t="s">
        <v>1013</v>
      </c>
      <c r="D43" s="29" t="s">
        <v>1013</v>
      </c>
      <c r="E43" s="116" t="s">
        <v>1013</v>
      </c>
      <c r="F43" s="29" t="s">
        <v>1013</v>
      </c>
      <c r="G43" s="116" t="s">
        <v>1013</v>
      </c>
      <c r="H43" s="29" t="s">
        <v>1013</v>
      </c>
      <c r="I43" s="116" t="s">
        <v>1013</v>
      </c>
      <c r="J43" s="29" t="s">
        <v>1013</v>
      </c>
    </row>
    <row r="44" spans="1:10" ht="18" customHeight="1" thickBot="1">
      <c r="A44" s="80">
        <v>1998</v>
      </c>
      <c r="B44" s="29">
        <v>207.47</v>
      </c>
      <c r="C44" s="116">
        <v>240.93</v>
      </c>
      <c r="D44" s="29">
        <v>244.79</v>
      </c>
      <c r="E44" s="116">
        <v>240.45</v>
      </c>
      <c r="F44" s="29">
        <v>243.59</v>
      </c>
      <c r="G44" s="116">
        <v>191.17</v>
      </c>
      <c r="H44" s="29">
        <v>126.04</v>
      </c>
      <c r="I44" s="116">
        <v>172.49</v>
      </c>
      <c r="J44" s="29">
        <v>220.5</v>
      </c>
    </row>
    <row r="45" spans="1:10" ht="18" customHeight="1" thickBot="1">
      <c r="A45" s="80">
        <v>1999</v>
      </c>
      <c r="B45" s="29">
        <v>214.13</v>
      </c>
      <c r="C45" s="116">
        <v>264.01</v>
      </c>
      <c r="D45" s="29">
        <v>270.19</v>
      </c>
      <c r="E45" s="116">
        <v>250.11</v>
      </c>
      <c r="F45" s="29">
        <v>269.38</v>
      </c>
      <c r="G45" s="116">
        <v>233.17</v>
      </c>
      <c r="H45" s="29">
        <v>129.1</v>
      </c>
      <c r="I45" s="116">
        <v>191.92</v>
      </c>
      <c r="J45" s="29">
        <v>233.83</v>
      </c>
    </row>
    <row r="46" spans="1:10" ht="18" customHeight="1" thickBot="1">
      <c r="A46" s="80">
        <v>2000</v>
      </c>
      <c r="B46" s="29">
        <v>220.74</v>
      </c>
      <c r="C46" s="116">
        <v>273.89</v>
      </c>
      <c r="D46" s="29">
        <v>276.3</v>
      </c>
      <c r="E46" s="116">
        <v>268.58</v>
      </c>
      <c r="F46" s="29">
        <v>281.58999999999997</v>
      </c>
      <c r="G46" s="116">
        <v>264.39</v>
      </c>
      <c r="H46" s="29">
        <v>119.04</v>
      </c>
      <c r="I46" s="116">
        <v>199.02</v>
      </c>
      <c r="J46" s="29">
        <v>241.33</v>
      </c>
    </row>
    <row r="47" spans="1:10" ht="18" customHeight="1" thickBot="1">
      <c r="A47" s="80">
        <v>2001</v>
      </c>
      <c r="B47" s="29">
        <v>230.24</v>
      </c>
      <c r="C47" s="116">
        <v>287.45999999999998</v>
      </c>
      <c r="D47" s="29">
        <v>290.97000000000003</v>
      </c>
      <c r="E47" s="116">
        <v>287.70999999999998</v>
      </c>
      <c r="F47" s="29">
        <v>287.54000000000002</v>
      </c>
      <c r="G47" s="116">
        <v>273.48</v>
      </c>
      <c r="H47" s="29">
        <v>268.27</v>
      </c>
      <c r="I47" s="116">
        <v>211.59</v>
      </c>
      <c r="J47" s="29">
        <v>252.17</v>
      </c>
    </row>
    <row r="48" spans="1:10" ht="18" customHeight="1" thickBot="1">
      <c r="A48" s="80">
        <v>2002</v>
      </c>
      <c r="B48" s="29">
        <v>237.21</v>
      </c>
      <c r="C48" s="116">
        <v>287.24</v>
      </c>
      <c r="D48" s="29">
        <v>293.42</v>
      </c>
      <c r="E48" s="116">
        <v>294.41000000000003</v>
      </c>
      <c r="F48" s="29">
        <v>290.58</v>
      </c>
      <c r="G48" s="116">
        <v>262.86</v>
      </c>
      <c r="H48" s="29">
        <v>463.15</v>
      </c>
      <c r="I48" s="116">
        <v>230.84</v>
      </c>
      <c r="J48" s="29">
        <v>258.77</v>
      </c>
    </row>
    <row r="49" spans="1:10" ht="18" customHeight="1" thickBot="1">
      <c r="A49" s="926">
        <v>2003</v>
      </c>
      <c r="B49" s="562">
        <v>243.83</v>
      </c>
      <c r="C49" s="563">
        <v>296.85000000000002</v>
      </c>
      <c r="D49" s="562">
        <v>306.23</v>
      </c>
      <c r="E49" s="563">
        <v>315.77999999999997</v>
      </c>
      <c r="F49" s="562">
        <v>294.83999999999997</v>
      </c>
      <c r="G49" s="563">
        <v>267.35000000000002</v>
      </c>
      <c r="H49" s="562" t="s">
        <v>1013</v>
      </c>
      <c r="I49" s="563">
        <v>231.38</v>
      </c>
      <c r="J49" s="562">
        <v>267.27999999999997</v>
      </c>
    </row>
    <row r="50" spans="1:10">
      <c r="H50" s="38"/>
      <c r="I50" s="38"/>
      <c r="J50" s="38"/>
    </row>
    <row r="51" spans="1:10">
      <c r="H51" s="38"/>
      <c r="I51" s="38"/>
      <c r="J51" s="38"/>
    </row>
    <row r="52" spans="1:10" ht="18.75" customHeight="1">
      <c r="A52" s="588" t="s">
        <v>1722</v>
      </c>
      <c r="B52" s="69" t="s">
        <v>1848</v>
      </c>
      <c r="C52" s="16" t="s">
        <v>509</v>
      </c>
      <c r="D52" s="69"/>
      <c r="E52" s="16"/>
      <c r="F52" s="69"/>
      <c r="G52" s="16"/>
      <c r="H52" s="69" t="s">
        <v>510</v>
      </c>
      <c r="I52" s="16" t="s">
        <v>511</v>
      </c>
      <c r="J52" s="69" t="s">
        <v>22</v>
      </c>
    </row>
    <row r="53" spans="1:10" ht="18.75" customHeight="1">
      <c r="A53" s="925" t="s">
        <v>1723</v>
      </c>
      <c r="B53" s="70" t="s">
        <v>1850</v>
      </c>
      <c r="C53" s="17" t="s">
        <v>512</v>
      </c>
      <c r="D53" s="70"/>
      <c r="E53" s="61"/>
      <c r="F53" s="70"/>
      <c r="G53" s="61"/>
      <c r="H53" s="70" t="s">
        <v>1851</v>
      </c>
      <c r="I53" s="61" t="s">
        <v>513</v>
      </c>
      <c r="J53" s="70"/>
    </row>
    <row r="54" spans="1:10" ht="18.75" customHeight="1">
      <c r="A54" s="77"/>
      <c r="B54" s="70" t="s">
        <v>1852</v>
      </c>
      <c r="C54" s="392" t="s">
        <v>514</v>
      </c>
      <c r="D54" s="391"/>
      <c r="E54" s="579"/>
      <c r="F54" s="391"/>
      <c r="G54" s="579"/>
      <c r="H54" s="70" t="s">
        <v>1405</v>
      </c>
      <c r="I54" s="61" t="s">
        <v>515</v>
      </c>
      <c r="J54" s="70"/>
    </row>
    <row r="55" spans="1:10" ht="18.75" customHeight="1">
      <c r="A55" s="78" t="s">
        <v>1591</v>
      </c>
      <c r="B55" s="73"/>
      <c r="C55" s="18"/>
      <c r="D55" s="391" t="s">
        <v>1718</v>
      </c>
      <c r="E55" s="392" t="s">
        <v>1719</v>
      </c>
      <c r="F55" s="391" t="s">
        <v>1720</v>
      </c>
      <c r="G55" s="392" t="s">
        <v>1721</v>
      </c>
      <c r="H55" s="73"/>
      <c r="I55" s="62" t="s">
        <v>516</v>
      </c>
      <c r="J55" s="73"/>
    </row>
    <row r="56" spans="1:10" ht="18.75" customHeight="1" thickBot="1">
      <c r="A56" s="421" t="s">
        <v>299</v>
      </c>
      <c r="B56" s="28" t="s">
        <v>1013</v>
      </c>
      <c r="C56" s="63" t="s">
        <v>1013</v>
      </c>
      <c r="D56" s="28" t="s">
        <v>1013</v>
      </c>
      <c r="E56" s="63" t="s">
        <v>1013</v>
      </c>
      <c r="F56" s="28" t="s">
        <v>1013</v>
      </c>
      <c r="G56" s="63" t="s">
        <v>1013</v>
      </c>
      <c r="H56" s="28" t="s">
        <v>1013</v>
      </c>
      <c r="I56" s="63" t="s">
        <v>1013</v>
      </c>
      <c r="J56" s="28" t="s">
        <v>1013</v>
      </c>
    </row>
    <row r="57" spans="1:10" ht="18.75" customHeight="1" thickBot="1">
      <c r="A57" s="7" t="s">
        <v>204</v>
      </c>
      <c r="B57" s="29" t="s">
        <v>1013</v>
      </c>
      <c r="C57" s="116" t="s">
        <v>1013</v>
      </c>
      <c r="D57" s="29" t="s">
        <v>1013</v>
      </c>
      <c r="E57" s="116" t="s">
        <v>1013</v>
      </c>
      <c r="F57" s="29" t="s">
        <v>1013</v>
      </c>
      <c r="G57" s="116" t="s">
        <v>1013</v>
      </c>
      <c r="H57" s="29" t="s">
        <v>1013</v>
      </c>
      <c r="I57" s="116" t="s">
        <v>1013</v>
      </c>
      <c r="J57" s="29" t="s">
        <v>1013</v>
      </c>
    </row>
    <row r="58" spans="1:10" ht="18.75" customHeight="1" thickBot="1">
      <c r="A58" s="80">
        <v>1998</v>
      </c>
      <c r="B58" s="29">
        <v>355.16</v>
      </c>
      <c r="C58" s="116">
        <v>400.22</v>
      </c>
      <c r="D58" s="29">
        <v>423.76</v>
      </c>
      <c r="E58" s="116">
        <v>389.63</v>
      </c>
      <c r="F58" s="29">
        <v>363.19</v>
      </c>
      <c r="G58" s="116">
        <v>271.11</v>
      </c>
      <c r="H58" s="29">
        <v>115.26</v>
      </c>
      <c r="I58" s="116">
        <v>275</v>
      </c>
      <c r="J58" s="29">
        <v>369.64</v>
      </c>
    </row>
    <row r="59" spans="1:10" ht="18.75" customHeight="1" thickBot="1">
      <c r="A59" s="80">
        <v>1999</v>
      </c>
      <c r="B59" s="29">
        <v>372.47</v>
      </c>
      <c r="C59" s="116">
        <v>413.21</v>
      </c>
      <c r="D59" s="29">
        <v>433.69</v>
      </c>
      <c r="E59" s="116">
        <v>406.4</v>
      </c>
      <c r="F59" s="29">
        <v>401.31</v>
      </c>
      <c r="G59" s="116">
        <v>315.72000000000003</v>
      </c>
      <c r="H59" s="29">
        <v>127.76</v>
      </c>
      <c r="I59" s="116">
        <v>302.17</v>
      </c>
      <c r="J59" s="29">
        <v>384.99</v>
      </c>
    </row>
    <row r="60" spans="1:10" ht="18.75" customHeight="1" thickBot="1">
      <c r="A60" s="80">
        <v>2000</v>
      </c>
      <c r="B60" s="29">
        <v>392.52</v>
      </c>
      <c r="C60" s="116">
        <v>434.32</v>
      </c>
      <c r="D60" s="29">
        <v>455.05</v>
      </c>
      <c r="E60" s="116">
        <v>434.5</v>
      </c>
      <c r="F60" s="29">
        <v>428.57</v>
      </c>
      <c r="G60" s="116">
        <v>351.65</v>
      </c>
      <c r="H60" s="29">
        <v>105.26</v>
      </c>
      <c r="I60" s="116">
        <v>321.52</v>
      </c>
      <c r="J60" s="29">
        <v>405.65</v>
      </c>
    </row>
    <row r="61" spans="1:10" ht="18.75" customHeight="1" thickBot="1">
      <c r="A61" s="80">
        <v>2001</v>
      </c>
      <c r="B61" s="29">
        <v>410.07</v>
      </c>
      <c r="C61" s="116">
        <v>451.53</v>
      </c>
      <c r="D61" s="29">
        <v>476.03</v>
      </c>
      <c r="E61" s="116">
        <v>458.65</v>
      </c>
      <c r="F61" s="29">
        <v>454.88</v>
      </c>
      <c r="G61" s="116">
        <v>372.2</v>
      </c>
      <c r="H61" s="29">
        <v>133.74</v>
      </c>
      <c r="I61" s="116">
        <v>333.68</v>
      </c>
      <c r="J61" s="29">
        <v>422.68</v>
      </c>
    </row>
    <row r="62" spans="1:10" ht="18.75" customHeight="1" thickBot="1">
      <c r="A62" s="80">
        <v>2002</v>
      </c>
      <c r="B62" s="29">
        <v>421.47</v>
      </c>
      <c r="C62" s="116">
        <v>460.31</v>
      </c>
      <c r="D62" s="29">
        <v>491.47</v>
      </c>
      <c r="E62" s="116">
        <v>472.72</v>
      </c>
      <c r="F62" s="29">
        <v>465.87</v>
      </c>
      <c r="G62" s="116">
        <v>383.71</v>
      </c>
      <c r="H62" s="29">
        <v>149.01</v>
      </c>
      <c r="I62" s="116">
        <v>357.87</v>
      </c>
      <c r="J62" s="29">
        <v>434.56</v>
      </c>
    </row>
    <row r="63" spans="1:10" ht="18.75" customHeight="1" thickBot="1">
      <c r="A63" s="926">
        <v>2003</v>
      </c>
      <c r="B63" s="562">
        <v>437.89</v>
      </c>
      <c r="C63" s="563">
        <v>468.48</v>
      </c>
      <c r="D63" s="562">
        <v>508.65</v>
      </c>
      <c r="E63" s="563">
        <v>489.65</v>
      </c>
      <c r="F63" s="562">
        <v>479.08</v>
      </c>
      <c r="G63" s="563">
        <v>393.32</v>
      </c>
      <c r="H63" s="562">
        <v>148.11000000000001</v>
      </c>
      <c r="I63" s="563">
        <v>343.32</v>
      </c>
      <c r="J63" s="562">
        <v>445.21</v>
      </c>
    </row>
    <row r="64" spans="1:10">
      <c r="A64" s="183" t="s">
        <v>1859</v>
      </c>
    </row>
    <row r="66" spans="1:7">
      <c r="A66" s="208" t="s">
        <v>1724</v>
      </c>
    </row>
    <row r="68" spans="1:7">
      <c r="A68" s="118" t="s">
        <v>2073</v>
      </c>
    </row>
    <row r="69" spans="1:7">
      <c r="A69" s="3" t="s">
        <v>1731</v>
      </c>
    </row>
    <row r="70" spans="1:7" ht="12" customHeight="1">
      <c r="A70" s="199" t="s">
        <v>201</v>
      </c>
      <c r="B70" s="35"/>
      <c r="F70" s="35"/>
      <c r="G70" s="428"/>
    </row>
    <row r="73" spans="1:7">
      <c r="A73" s="3" t="s">
        <v>256</v>
      </c>
    </row>
  </sheetData>
  <mergeCells count="1">
    <mergeCell ref="A2:E2"/>
  </mergeCells>
  <phoneticPr fontId="0" type="noConversion"/>
  <pageMargins left="0.56000000000000005" right="0.54" top="0.74" bottom="0.49" header="0.42" footer="0.4921259845"/>
  <pageSetup paperSize="9" scale="60" orientation="portrait" horizontalDpi="1200" verticalDpi="1200"/>
  <headerFooter alignWithMargins="0">
    <oddHeader>&amp;L&amp;"Arial,Bold"Versicherte und Finanzen in der OKP</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D7B16-712C-434A-A29C-BF43C770328B}">
  <sheetPr>
    <pageSetUpPr fitToPage="1"/>
  </sheetPr>
  <dimension ref="A1:J27"/>
  <sheetViews>
    <sheetView zoomScale="75" workbookViewId="0">
      <selection activeCell="G2" sqref="G2"/>
    </sheetView>
  </sheetViews>
  <sheetFormatPr baseColWidth="10" defaultColWidth="11.3984375" defaultRowHeight="13"/>
  <cols>
    <col min="1" max="1" width="15.19921875" style="3" customWidth="1"/>
    <col min="2" max="2" width="16.796875" style="3" customWidth="1"/>
    <col min="3" max="3" width="17.19921875" style="3" customWidth="1"/>
    <col min="4" max="4" width="15.3984375" style="3" customWidth="1"/>
    <col min="5" max="5" width="15.19921875" style="3" customWidth="1"/>
    <col min="6" max="6" width="18" style="3" customWidth="1"/>
    <col min="7" max="7" width="15.19921875" style="3" customWidth="1"/>
    <col min="8" max="16384" width="11.3984375" style="3"/>
  </cols>
  <sheetData>
    <row r="1" spans="1:10" s="1" customFormat="1" ht="14" customHeight="1"/>
    <row r="2" spans="1:10" s="1" customFormat="1" ht="28" customHeight="1">
      <c r="A2" s="59" t="s">
        <v>738</v>
      </c>
      <c r="G2" s="321">
        <v>2003</v>
      </c>
    </row>
    <row r="3" spans="1:10" ht="24" customHeight="1">
      <c r="A3" s="2" t="s">
        <v>1591</v>
      </c>
      <c r="B3" s="69" t="s">
        <v>1848</v>
      </c>
      <c r="C3" s="16" t="s">
        <v>509</v>
      </c>
      <c r="D3" s="69" t="s">
        <v>510</v>
      </c>
      <c r="E3" s="16" t="s">
        <v>511</v>
      </c>
      <c r="F3" s="69" t="s">
        <v>22</v>
      </c>
      <c r="G3" s="16" t="s">
        <v>24</v>
      </c>
    </row>
    <row r="4" spans="1:10" ht="15" customHeight="1">
      <c r="A4" s="77"/>
      <c r="B4" s="70" t="s">
        <v>1850</v>
      </c>
      <c r="C4" s="17" t="s">
        <v>512</v>
      </c>
      <c r="D4" s="70" t="s">
        <v>1851</v>
      </c>
      <c r="E4" s="61" t="s">
        <v>513</v>
      </c>
      <c r="F4" s="70"/>
      <c r="G4" s="17" t="s">
        <v>25</v>
      </c>
    </row>
    <row r="5" spans="1:10" ht="15" customHeight="1">
      <c r="A5" s="77"/>
      <c r="B5" s="70" t="s">
        <v>1852</v>
      </c>
      <c r="C5" s="17" t="s">
        <v>514</v>
      </c>
      <c r="D5" s="70" t="s">
        <v>1405</v>
      </c>
      <c r="E5" s="61" t="s">
        <v>515</v>
      </c>
      <c r="F5" s="70"/>
      <c r="G5" s="17" t="s">
        <v>26</v>
      </c>
    </row>
    <row r="6" spans="1:10" ht="24" customHeight="1">
      <c r="A6" s="78"/>
      <c r="B6" s="73"/>
      <c r="C6" s="18"/>
      <c r="D6" s="73"/>
      <c r="E6" s="62" t="s">
        <v>516</v>
      </c>
      <c r="F6" s="73"/>
      <c r="G6" s="18"/>
    </row>
    <row r="7" spans="1:10" ht="30" customHeight="1" thickBot="1">
      <c r="A7" s="79">
        <v>1994</v>
      </c>
      <c r="B7" s="87">
        <v>8897293000</v>
      </c>
      <c r="C7" s="86">
        <v>618045000</v>
      </c>
      <c r="D7" s="19">
        <v>6337000</v>
      </c>
      <c r="E7" s="86">
        <v>27260000</v>
      </c>
      <c r="F7" s="87">
        <v>9549125000</v>
      </c>
      <c r="G7" s="300" t="s">
        <v>258</v>
      </c>
    </row>
    <row r="8" spans="1:10" ht="20" customHeight="1" thickBot="1">
      <c r="A8" s="80">
        <v>1995</v>
      </c>
      <c r="B8" s="75">
        <v>9259779000</v>
      </c>
      <c r="C8" s="116">
        <v>691350000</v>
      </c>
      <c r="D8" s="29">
        <v>23023000</v>
      </c>
      <c r="E8" s="116">
        <v>43075000</v>
      </c>
      <c r="F8" s="29">
        <v>10017202000</v>
      </c>
      <c r="G8" s="25">
        <v>4.901778958805126E-2</v>
      </c>
    </row>
    <row r="9" spans="1:10" ht="20" customHeight="1" thickBot="1">
      <c r="A9" s="80">
        <v>1996</v>
      </c>
      <c r="B9" s="29">
        <v>8068747832</v>
      </c>
      <c r="C9" s="116">
        <v>2578797499</v>
      </c>
      <c r="D9" s="29">
        <v>25416930</v>
      </c>
      <c r="E9" s="116">
        <v>107523248</v>
      </c>
      <c r="F9" s="29">
        <v>10780485509</v>
      </c>
      <c r="G9" s="25">
        <v>7.6197276345230935E-2</v>
      </c>
    </row>
    <row r="10" spans="1:10" ht="20" customHeight="1" thickBot="1">
      <c r="A10" s="80">
        <v>1997</v>
      </c>
      <c r="B10" s="29">
        <v>7130343665</v>
      </c>
      <c r="C10" s="116">
        <v>3864390214</v>
      </c>
      <c r="D10" s="29">
        <v>13596114</v>
      </c>
      <c r="E10" s="116">
        <v>352165200</v>
      </c>
      <c r="F10" s="29">
        <v>11360495192</v>
      </c>
      <c r="G10" s="25">
        <v>5.3801814632168807E-2</v>
      </c>
      <c r="H10" s="43"/>
      <c r="I10" s="43"/>
      <c r="J10" s="43"/>
    </row>
    <row r="11" spans="1:10" ht="20" customHeight="1" thickBot="1">
      <c r="A11" s="80">
        <v>1998</v>
      </c>
      <c r="B11" s="29">
        <v>7021022570</v>
      </c>
      <c r="C11" s="116">
        <v>4312733832</v>
      </c>
      <c r="D11" s="29">
        <v>6419087</v>
      </c>
      <c r="E11" s="116">
        <v>586684363</v>
      </c>
      <c r="F11" s="29">
        <v>11926859852</v>
      </c>
      <c r="G11" s="25">
        <v>4.9853870841724483E-2</v>
      </c>
    </row>
    <row r="12" spans="1:10" ht="20" customHeight="1" thickBot="1">
      <c r="A12" s="80">
        <v>1999</v>
      </c>
      <c r="B12" s="29">
        <v>7777714326</v>
      </c>
      <c r="C12" s="116">
        <v>3929182211</v>
      </c>
      <c r="D12" s="29">
        <v>6480040</v>
      </c>
      <c r="E12" s="116">
        <v>717232756</v>
      </c>
      <c r="F12" s="29">
        <v>12430609334</v>
      </c>
      <c r="G12" s="25">
        <v>4.2236555828693408E-2</v>
      </c>
    </row>
    <row r="13" spans="1:10" ht="20" customHeight="1" thickBot="1">
      <c r="A13" s="80">
        <v>2000</v>
      </c>
      <c r="B13" s="29">
        <v>8082711555.3000002</v>
      </c>
      <c r="C13" s="116">
        <v>4300222314.6999998</v>
      </c>
      <c r="D13" s="29">
        <v>6284846.5800000001</v>
      </c>
      <c r="E13" s="116">
        <v>801091180.21000004</v>
      </c>
      <c r="F13" s="29">
        <v>13190309896.790001</v>
      </c>
      <c r="G13" s="25">
        <v>6.1115311597162041E-2</v>
      </c>
    </row>
    <row r="14" spans="1:10" ht="20" customHeight="1" thickBot="1">
      <c r="A14" s="80">
        <v>2001</v>
      </c>
      <c r="B14" s="29">
        <v>8576260475.6000004</v>
      </c>
      <c r="C14" s="116">
        <v>4525688630.3999996</v>
      </c>
      <c r="D14" s="29">
        <v>7093455.9400000004</v>
      </c>
      <c r="E14" s="116">
        <v>877228721.29999995</v>
      </c>
      <c r="F14" s="29">
        <v>13986271283.24</v>
      </c>
      <c r="G14" s="25">
        <v>6.0344403784152512E-2</v>
      </c>
    </row>
    <row r="15" spans="1:10" ht="20" customHeight="1" thickBot="1">
      <c r="A15" s="80">
        <v>2002</v>
      </c>
      <c r="B15" s="29">
        <v>8890664234.7999992</v>
      </c>
      <c r="C15" s="116">
        <v>4785763972.1999998</v>
      </c>
      <c r="D15" s="29">
        <v>6699940.54</v>
      </c>
      <c r="E15" s="116">
        <v>909628896.40999997</v>
      </c>
      <c r="F15" s="29">
        <v>14592757043.950001</v>
      </c>
      <c r="G15" s="25">
        <v>4.3362934153634201E-2</v>
      </c>
    </row>
    <row r="16" spans="1:10" ht="30" customHeight="1" thickBot="1">
      <c r="A16" s="705">
        <v>2003</v>
      </c>
      <c r="B16" s="356">
        <v>9320481084</v>
      </c>
      <c r="C16" s="357">
        <v>5132603712.3000002</v>
      </c>
      <c r="D16" s="356">
        <v>7068355.0800000001</v>
      </c>
      <c r="E16" s="357">
        <v>875466553</v>
      </c>
      <c r="F16" s="356">
        <v>15335619704.379999</v>
      </c>
      <c r="G16" s="34">
        <v>5.0906258371373435E-2</v>
      </c>
    </row>
    <row r="17" spans="1:7" ht="20" customHeight="1">
      <c r="A17" s="9" t="s">
        <v>1334</v>
      </c>
      <c r="B17" s="9"/>
      <c r="C17" s="9"/>
      <c r="D17" s="9"/>
      <c r="E17" s="9"/>
      <c r="F17" s="9"/>
      <c r="G17" s="9"/>
    </row>
    <row r="18" spans="1:7" ht="16.5" customHeight="1">
      <c r="A18" s="37"/>
      <c r="B18" s="37"/>
      <c r="C18" s="37"/>
      <c r="D18" s="37"/>
      <c r="E18" s="37"/>
      <c r="F18" s="37"/>
      <c r="G18" s="37"/>
    </row>
    <row r="19" spans="1:7">
      <c r="A19" s="37" t="s">
        <v>734</v>
      </c>
    </row>
    <row r="21" spans="1:7">
      <c r="A21" s="3" t="s">
        <v>737</v>
      </c>
    </row>
    <row r="24" spans="1:7">
      <c r="A24" s="3" t="s">
        <v>256</v>
      </c>
    </row>
    <row r="26" spans="1:7" ht="14">
      <c r="F26" s="808"/>
    </row>
    <row r="27" spans="1:7" ht="14">
      <c r="F27" s="809"/>
    </row>
  </sheetData>
  <phoneticPr fontId="0" type="noConversion"/>
  <pageMargins left="0.57999999999999996" right="0.61" top="1.01" bottom="0.49" header="0.57999999999999996" footer="0.4921259845"/>
  <pageSetup paperSize="9" scale="81" orientation="portrait" horizontalDpi="4294967292" verticalDpi="4294967292"/>
  <headerFooter alignWithMargins="0">
    <oddHeader>&amp;L&amp;"Arial,Bold"Versicherte und Finanzen in der OKP</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18E8D-F54A-4B4F-B64E-83B7E39B4743}">
  <sheetPr>
    <pageSetUpPr fitToPage="1"/>
  </sheetPr>
  <dimension ref="A1:K24"/>
  <sheetViews>
    <sheetView zoomScale="75" workbookViewId="0"/>
  </sheetViews>
  <sheetFormatPr baseColWidth="10" defaultColWidth="11.3984375" defaultRowHeight="13"/>
  <cols>
    <col min="1" max="1" width="14.3984375" style="3" customWidth="1"/>
    <col min="2" max="7" width="15.3984375" style="3" customWidth="1"/>
    <col min="8" max="16384" width="11.3984375" style="3"/>
  </cols>
  <sheetData>
    <row r="1" spans="1:11" s="1" customFormat="1" ht="14" customHeight="1"/>
    <row r="2" spans="1:11" s="1" customFormat="1" ht="39.75" customHeight="1">
      <c r="A2" s="1473" t="s">
        <v>736</v>
      </c>
      <c r="B2" s="1474"/>
      <c r="C2" s="1474"/>
      <c r="D2" s="1474"/>
      <c r="E2" s="1474"/>
      <c r="F2" s="1474"/>
      <c r="G2" s="321">
        <v>2003</v>
      </c>
    </row>
    <row r="3" spans="1:11" ht="24" customHeight="1">
      <c r="A3" s="2" t="s">
        <v>1591</v>
      </c>
      <c r="B3" s="69" t="s">
        <v>1848</v>
      </c>
      <c r="C3" s="16" t="s">
        <v>509</v>
      </c>
      <c r="D3" s="69" t="s">
        <v>510</v>
      </c>
      <c r="E3" s="16" t="s">
        <v>511</v>
      </c>
      <c r="F3" s="69" t="s">
        <v>22</v>
      </c>
      <c r="G3" s="16" t="s">
        <v>24</v>
      </c>
    </row>
    <row r="4" spans="1:11" ht="15" customHeight="1">
      <c r="A4" s="77"/>
      <c r="B4" s="70" t="s">
        <v>1850</v>
      </c>
      <c r="C4" s="17" t="s">
        <v>512</v>
      </c>
      <c r="D4" s="70" t="s">
        <v>1851</v>
      </c>
      <c r="E4" s="61" t="s">
        <v>513</v>
      </c>
      <c r="F4" s="70"/>
      <c r="G4" s="17" t="s">
        <v>25</v>
      </c>
    </row>
    <row r="5" spans="1:11" ht="15" customHeight="1">
      <c r="A5" s="77"/>
      <c r="B5" s="70" t="s">
        <v>1852</v>
      </c>
      <c r="C5" s="17" t="s">
        <v>514</v>
      </c>
      <c r="D5" s="70" t="s">
        <v>1405</v>
      </c>
      <c r="E5" s="61" t="s">
        <v>515</v>
      </c>
      <c r="F5" s="70"/>
      <c r="G5" s="17" t="s">
        <v>26</v>
      </c>
    </row>
    <row r="6" spans="1:11" ht="24" customHeight="1">
      <c r="A6" s="78"/>
      <c r="B6" s="73"/>
      <c r="C6" s="18"/>
      <c r="D6" s="73"/>
      <c r="E6" s="62" t="s">
        <v>516</v>
      </c>
      <c r="F6" s="73"/>
      <c r="G6" s="18"/>
    </row>
    <row r="7" spans="1:11" ht="30" customHeight="1" thickBot="1">
      <c r="A7" s="79">
        <v>1994</v>
      </c>
      <c r="B7" s="87">
        <v>1379.946869840104</v>
      </c>
      <c r="C7" s="86">
        <v>959.71061707384115</v>
      </c>
      <c r="D7" s="19">
        <v>414.23715518368414</v>
      </c>
      <c r="E7" s="86">
        <v>1099.1049108942827</v>
      </c>
      <c r="F7" s="87">
        <v>1338.9777937877795</v>
      </c>
      <c r="G7" s="300" t="s">
        <v>258</v>
      </c>
      <c r="H7" s="42"/>
    </row>
    <row r="8" spans="1:11" ht="20" customHeight="1" thickBot="1">
      <c r="A8" s="80">
        <v>1995</v>
      </c>
      <c r="B8" s="75">
        <v>1446.9575818792835</v>
      </c>
      <c r="C8" s="116">
        <v>989.41390803824561</v>
      </c>
      <c r="D8" s="29">
        <v>703.95963919889925</v>
      </c>
      <c r="E8" s="116">
        <v>1217.3925331373823</v>
      </c>
      <c r="F8" s="29">
        <v>1398.3984284423786</v>
      </c>
      <c r="G8" s="25">
        <v>4.4377610241396533E-2</v>
      </c>
      <c r="H8" s="42"/>
    </row>
    <row r="9" spans="1:11" ht="20" customHeight="1" thickBot="1">
      <c r="A9" s="80">
        <v>1996</v>
      </c>
      <c r="B9" s="29">
        <v>1702.3967710627812</v>
      </c>
      <c r="C9" s="116">
        <v>1118.4503276245528</v>
      </c>
      <c r="D9" s="29">
        <v>913.3581285036654</v>
      </c>
      <c r="E9" s="116">
        <v>884.25178045691541</v>
      </c>
      <c r="F9" s="29">
        <v>1498.3813913582035</v>
      </c>
      <c r="G9" s="25">
        <v>7.1498194564757866E-2</v>
      </c>
    </row>
    <row r="10" spans="1:11" ht="20" customHeight="1" thickBot="1">
      <c r="A10" s="80">
        <v>1997</v>
      </c>
      <c r="B10" s="29">
        <v>1745.983981062986</v>
      </c>
      <c r="C10" s="116">
        <v>1412.2354387062539</v>
      </c>
      <c r="D10" s="29">
        <v>1182.8879415347137</v>
      </c>
      <c r="E10" s="116">
        <v>919.26816725964716</v>
      </c>
      <c r="F10" s="29">
        <v>1574.6087651710613</v>
      </c>
      <c r="G10" s="25">
        <v>5.087314501667816E-2</v>
      </c>
      <c r="I10" s="43"/>
      <c r="J10" s="43"/>
      <c r="K10" s="43"/>
    </row>
    <row r="11" spans="1:11" ht="20" customHeight="1" thickBot="1">
      <c r="A11" s="80">
        <v>1998</v>
      </c>
      <c r="B11" s="29">
        <v>1748.1463682568913</v>
      </c>
      <c r="C11" s="116">
        <v>1581.8024755837955</v>
      </c>
      <c r="D11" s="29">
        <v>542.70265471761923</v>
      </c>
      <c r="E11" s="116">
        <v>1187.5240122257308</v>
      </c>
      <c r="F11" s="29">
        <v>1645.4011693011744</v>
      </c>
      <c r="G11" s="25">
        <v>4.495872606324678E-2</v>
      </c>
    </row>
    <row r="12" spans="1:11" ht="20" customHeight="1" thickBot="1">
      <c r="A12" s="80">
        <v>1999</v>
      </c>
      <c r="B12" s="29">
        <v>1945.0393238476881</v>
      </c>
      <c r="C12" s="116">
        <v>1446.870467830443</v>
      </c>
      <c r="D12" s="29">
        <v>631.70598557223627</v>
      </c>
      <c r="E12" s="116">
        <v>1323.5762903910388</v>
      </c>
      <c r="F12" s="29">
        <v>1710.6655434351508</v>
      </c>
      <c r="G12" s="25">
        <v>3.9664718459933461E-2</v>
      </c>
    </row>
    <row r="13" spans="1:11" ht="20" customHeight="1" thickBot="1">
      <c r="A13" s="80">
        <v>2000</v>
      </c>
      <c r="B13" s="29">
        <v>2060.9067893531742</v>
      </c>
      <c r="C13" s="116">
        <v>1558.8767513165483</v>
      </c>
      <c r="D13" s="29">
        <v>640.59184384874118</v>
      </c>
      <c r="E13" s="116">
        <v>1386.3522668173425</v>
      </c>
      <c r="F13" s="29">
        <v>1814.8195448294614</v>
      </c>
      <c r="G13" s="25">
        <v>6.0885075866531579E-2</v>
      </c>
    </row>
    <row r="14" spans="1:11" ht="20" customHeight="1" thickBot="1">
      <c r="A14" s="80">
        <v>2001</v>
      </c>
      <c r="B14" s="29">
        <v>2209.1289366236747</v>
      </c>
      <c r="C14" s="116">
        <v>1597.0298108275201</v>
      </c>
      <c r="D14" s="29">
        <v>759.38935231773905</v>
      </c>
      <c r="E14" s="116">
        <v>1472.0109294743254</v>
      </c>
      <c r="F14" s="29">
        <v>1910.356919929515</v>
      </c>
      <c r="G14" s="25">
        <v>5.2642906217450547E-2</v>
      </c>
    </row>
    <row r="15" spans="1:11" ht="20" customHeight="1" thickBot="1">
      <c r="A15" s="80">
        <v>2002</v>
      </c>
      <c r="B15" s="29">
        <v>2331.8704675326376</v>
      </c>
      <c r="C15" s="116">
        <v>1605.519277312954</v>
      </c>
      <c r="D15" s="29">
        <v>758.34075155631012</v>
      </c>
      <c r="E15" s="116">
        <v>1632.983378800255</v>
      </c>
      <c r="F15" s="29">
        <v>1982.8826323942353</v>
      </c>
      <c r="G15" s="25">
        <v>3.7964482818946849E-2</v>
      </c>
    </row>
    <row r="16" spans="1:11" ht="30" customHeight="1" thickBot="1">
      <c r="A16" s="705">
        <v>2003</v>
      </c>
      <c r="B16" s="356">
        <v>2536.6892155448563</v>
      </c>
      <c r="C16" s="357">
        <v>1651.8968388498977</v>
      </c>
      <c r="D16" s="356">
        <v>849.86835156907534</v>
      </c>
      <c r="E16" s="357">
        <v>1450.6391888040509</v>
      </c>
      <c r="F16" s="356">
        <v>2074.2905096394138</v>
      </c>
      <c r="G16" s="34">
        <v>4.609848094478889E-2</v>
      </c>
    </row>
    <row r="17" spans="1:7" ht="20" customHeight="1">
      <c r="A17" s="9" t="s">
        <v>1334</v>
      </c>
      <c r="B17" s="9"/>
      <c r="C17" s="9"/>
      <c r="D17" s="9"/>
      <c r="E17" s="9"/>
      <c r="F17" s="9"/>
      <c r="G17" s="9"/>
    </row>
    <row r="18" spans="1:7" ht="16.5" customHeight="1">
      <c r="A18" s="37"/>
      <c r="B18" s="37"/>
      <c r="C18" s="37"/>
      <c r="D18" s="37"/>
      <c r="E18" s="37"/>
      <c r="F18" s="37"/>
      <c r="G18" s="37"/>
    </row>
    <row r="19" spans="1:7">
      <c r="A19" s="37" t="s">
        <v>734</v>
      </c>
    </row>
    <row r="21" spans="1:7">
      <c r="A21" s="3" t="s">
        <v>735</v>
      </c>
    </row>
    <row r="24" spans="1:7">
      <c r="A24" s="3" t="s">
        <v>256</v>
      </c>
    </row>
  </sheetData>
  <mergeCells count="1">
    <mergeCell ref="A2:F2"/>
  </mergeCells>
  <phoneticPr fontId="0" type="noConversion"/>
  <pageMargins left="0.62" right="0.78740157480314965" top="1.08" bottom="0.49" header="0.67" footer="0.4921259845"/>
  <pageSetup paperSize="9" scale="83" orientation="portrait" horizontalDpi="1200" verticalDpi="1200"/>
  <headerFooter alignWithMargins="0">
    <oddHeader>&amp;L&amp;"Arial,Bold"Versicherte und Finanzen in der OKP</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A3D6B-A5E0-D848-9380-178022EBF0E8}">
  <sheetPr>
    <pageSetUpPr fitToPage="1"/>
  </sheetPr>
  <dimension ref="A1:J22"/>
  <sheetViews>
    <sheetView zoomScale="75" workbookViewId="0">
      <selection activeCell="J13" sqref="J13"/>
    </sheetView>
  </sheetViews>
  <sheetFormatPr baseColWidth="10" defaultColWidth="11.3984375" defaultRowHeight="13"/>
  <cols>
    <col min="1" max="1" width="14.3984375" style="3" customWidth="1"/>
    <col min="2" max="7" width="15.3984375" style="3" customWidth="1"/>
    <col min="8" max="8" width="17.796875" style="3" customWidth="1"/>
    <col min="9" max="16384" width="11.3984375" style="3"/>
  </cols>
  <sheetData>
    <row r="1" spans="1:10" s="1" customFormat="1" ht="14" customHeight="1"/>
    <row r="2" spans="1:10" s="1" customFormat="1" ht="28" customHeight="1">
      <c r="A2" s="59" t="s">
        <v>727</v>
      </c>
      <c r="H2" s="296">
        <v>2003</v>
      </c>
    </row>
    <row r="3" spans="1:10" ht="24" customHeight="1">
      <c r="A3" s="2" t="s">
        <v>1591</v>
      </c>
      <c r="B3" s="69" t="s">
        <v>1848</v>
      </c>
      <c r="C3" s="16" t="s">
        <v>509</v>
      </c>
      <c r="D3" s="69" t="s">
        <v>510</v>
      </c>
      <c r="E3" s="16" t="s">
        <v>511</v>
      </c>
      <c r="F3" s="69" t="s">
        <v>22</v>
      </c>
      <c r="G3" s="16" t="s">
        <v>728</v>
      </c>
      <c r="H3" s="70" t="s">
        <v>729</v>
      </c>
    </row>
    <row r="4" spans="1:10" ht="15" customHeight="1">
      <c r="A4" s="77"/>
      <c r="B4" s="70" t="s">
        <v>1850</v>
      </c>
      <c r="C4" s="17" t="s">
        <v>512</v>
      </c>
      <c r="D4" s="70" t="s">
        <v>1851</v>
      </c>
      <c r="E4" s="17" t="s">
        <v>513</v>
      </c>
      <c r="F4" s="70"/>
      <c r="G4" s="17" t="s">
        <v>729</v>
      </c>
      <c r="H4" s="805" t="s">
        <v>730</v>
      </c>
    </row>
    <row r="5" spans="1:10" ht="15" customHeight="1">
      <c r="A5" s="77"/>
      <c r="B5" s="70" t="s">
        <v>1852</v>
      </c>
      <c r="C5" s="17" t="s">
        <v>514</v>
      </c>
      <c r="D5" s="70" t="s">
        <v>1405</v>
      </c>
      <c r="E5" s="17" t="s">
        <v>515</v>
      </c>
      <c r="F5" s="70"/>
      <c r="G5" s="806" t="s">
        <v>730</v>
      </c>
      <c r="H5" s="470" t="s">
        <v>731</v>
      </c>
    </row>
    <row r="6" spans="1:10" ht="24" customHeight="1">
      <c r="A6" s="78"/>
      <c r="B6" s="73"/>
      <c r="C6" s="18"/>
      <c r="D6" s="73"/>
      <c r="E6" s="18" t="s">
        <v>516</v>
      </c>
      <c r="F6" s="73"/>
      <c r="G6" s="18" t="s">
        <v>732</v>
      </c>
      <c r="H6" s="73"/>
    </row>
    <row r="7" spans="1:10" ht="30" customHeight="1" thickBot="1">
      <c r="A7" s="379">
        <v>1994</v>
      </c>
      <c r="B7" s="87">
        <v>733363000</v>
      </c>
      <c r="C7" s="86">
        <v>78160000</v>
      </c>
      <c r="D7" s="87">
        <v>1052000</v>
      </c>
      <c r="E7" s="86">
        <v>1766000</v>
      </c>
      <c r="F7" s="87">
        <v>814341000</v>
      </c>
      <c r="G7" s="300">
        <v>7.7199191662869149E-2</v>
      </c>
      <c r="H7" s="87">
        <v>10548569000</v>
      </c>
    </row>
    <row r="8" spans="1:10" ht="20" customHeight="1" thickBot="1">
      <c r="A8" s="380">
        <v>1995</v>
      </c>
      <c r="B8" s="75">
        <v>745858000</v>
      </c>
      <c r="C8" s="116">
        <v>78872000</v>
      </c>
      <c r="D8" s="75">
        <v>2850000</v>
      </c>
      <c r="E8" s="116">
        <v>2825000</v>
      </c>
      <c r="F8" s="75">
        <v>830405000</v>
      </c>
      <c r="G8" s="300">
        <v>7.5769589569261969E-2</v>
      </c>
      <c r="H8" s="75">
        <v>10959608000</v>
      </c>
    </row>
    <row r="9" spans="1:10" ht="20" customHeight="1" thickBot="1">
      <c r="A9" s="380">
        <v>1996</v>
      </c>
      <c r="B9" s="29">
        <v>649209078</v>
      </c>
      <c r="C9" s="116">
        <v>296204692</v>
      </c>
      <c r="D9" s="29">
        <v>2703444</v>
      </c>
      <c r="E9" s="116">
        <v>11710365</v>
      </c>
      <c r="F9" s="29">
        <v>959827579</v>
      </c>
      <c r="G9" s="300">
        <v>8.160992566527614E-2</v>
      </c>
      <c r="H9" s="29">
        <v>11761162275</v>
      </c>
    </row>
    <row r="10" spans="1:10" ht="20" customHeight="1" thickBot="1">
      <c r="A10" s="380">
        <v>1997</v>
      </c>
      <c r="B10" s="29">
        <v>500889187</v>
      </c>
      <c r="C10" s="116">
        <v>356202290</v>
      </c>
      <c r="D10" s="29">
        <v>947002</v>
      </c>
      <c r="E10" s="116">
        <v>35169957</v>
      </c>
      <c r="F10" s="29">
        <v>893208437</v>
      </c>
      <c r="G10" s="300">
        <v>7.2355407590263501E-2</v>
      </c>
      <c r="H10" s="29">
        <v>12344736444</v>
      </c>
      <c r="I10" s="43"/>
      <c r="J10" s="43"/>
    </row>
    <row r="11" spans="1:10" ht="20" customHeight="1" thickBot="1">
      <c r="A11" s="380">
        <v>1998</v>
      </c>
      <c r="B11" s="29">
        <v>457365467</v>
      </c>
      <c r="C11" s="116">
        <v>348237805</v>
      </c>
      <c r="D11" s="29">
        <v>775330</v>
      </c>
      <c r="E11" s="116">
        <v>48566196</v>
      </c>
      <c r="F11" s="29">
        <v>854944797</v>
      </c>
      <c r="G11" s="300">
        <v>6.5539994260804979E-2</v>
      </c>
      <c r="H11" s="29">
        <v>13044627279</v>
      </c>
    </row>
    <row r="12" spans="1:10" ht="20" customHeight="1" thickBot="1">
      <c r="A12" s="380">
        <v>1999</v>
      </c>
      <c r="B12" s="29">
        <v>466630422</v>
      </c>
      <c r="C12" s="116">
        <v>332810614</v>
      </c>
      <c r="D12" s="29">
        <v>653141</v>
      </c>
      <c r="E12" s="116">
        <v>54148946</v>
      </c>
      <c r="F12" s="29">
        <v>854243123</v>
      </c>
      <c r="G12" s="300">
        <v>6.3520258007815578E-2</v>
      </c>
      <c r="H12" s="29">
        <v>13448357261</v>
      </c>
    </row>
    <row r="13" spans="1:10" ht="20" customHeight="1" thickBot="1">
      <c r="A13" s="380">
        <v>2000</v>
      </c>
      <c r="B13" s="29">
        <v>463039687.31</v>
      </c>
      <c r="C13" s="116">
        <v>338664058.75</v>
      </c>
      <c r="D13" s="29">
        <v>692132.4</v>
      </c>
      <c r="E13" s="116">
        <v>60882478.25</v>
      </c>
      <c r="F13" s="29">
        <v>863278356.70999992</v>
      </c>
      <c r="G13" s="300">
        <v>6.0778319554744789E-2</v>
      </c>
      <c r="H13" s="29">
        <v>14203722035</v>
      </c>
    </row>
    <row r="14" spans="1:10" ht="20" customHeight="1" thickBot="1">
      <c r="A14" s="380">
        <v>2001</v>
      </c>
      <c r="B14" s="29">
        <v>473405802.30000001</v>
      </c>
      <c r="C14" s="116">
        <v>367784678.56</v>
      </c>
      <c r="D14" s="29">
        <v>749931.27</v>
      </c>
      <c r="E14" s="116">
        <v>66915939.469999999</v>
      </c>
      <c r="F14" s="29">
        <v>908856351.60000002</v>
      </c>
      <c r="G14" s="300">
        <v>6.0883052653460515E-2</v>
      </c>
      <c r="H14" s="29">
        <v>14927903776</v>
      </c>
    </row>
    <row r="15" spans="1:10" ht="20" customHeight="1" thickBot="1">
      <c r="A15" s="380">
        <v>2003</v>
      </c>
      <c r="B15" s="29">
        <v>472860051.04000002</v>
      </c>
      <c r="C15" s="116">
        <v>381940533.88</v>
      </c>
      <c r="D15" s="29">
        <v>686255.39</v>
      </c>
      <c r="E15" s="116">
        <v>68086548.329999998</v>
      </c>
      <c r="F15" s="29">
        <v>923573388.6400001</v>
      </c>
      <c r="G15" s="300">
        <v>5.9305732530714958E-2</v>
      </c>
      <c r="H15" s="29">
        <v>15573087950</v>
      </c>
    </row>
    <row r="16" spans="1:10" ht="30" customHeight="1" thickBot="1">
      <c r="A16" s="474">
        <v>2003</v>
      </c>
      <c r="B16" s="356">
        <v>470970297.86000001</v>
      </c>
      <c r="C16" s="357">
        <v>408594784.26000005</v>
      </c>
      <c r="D16" s="356">
        <v>692369.29</v>
      </c>
      <c r="E16" s="357">
        <v>68876407.299999997</v>
      </c>
      <c r="F16" s="356">
        <v>949133858.71000004</v>
      </c>
      <c r="G16" s="306">
        <v>5.7102364889053812E-2</v>
      </c>
      <c r="H16" s="562">
        <v>16621620848</v>
      </c>
      <c r="I16" s="42"/>
    </row>
    <row r="17" spans="1:7" ht="20" customHeight="1">
      <c r="A17" s="9" t="s">
        <v>1334</v>
      </c>
      <c r="B17" s="9"/>
      <c r="C17" s="9"/>
      <c r="D17" s="9"/>
      <c r="E17" s="9"/>
      <c r="F17" s="9"/>
      <c r="G17" s="9"/>
    </row>
    <row r="18" spans="1:7">
      <c r="F18" s="807"/>
    </row>
    <row r="19" spans="1:7">
      <c r="A19" s="3" t="s">
        <v>733</v>
      </c>
    </row>
    <row r="22" spans="1:7">
      <c r="A22" s="3" t="s">
        <v>256</v>
      </c>
    </row>
  </sheetData>
  <phoneticPr fontId="0" type="noConversion"/>
  <pageMargins left="0.48" right="0.56000000000000005" top="0.94" bottom="0.49" header="0.57999999999999996" footer="0.4921259845"/>
  <pageSetup paperSize="9" scale="75" orientation="portrait" horizontalDpi="1200" verticalDpi="1200"/>
  <headerFooter alignWithMargins="0">
    <oddHeader>&amp;L&amp;"Arial,Bold"Versicherte und Finanzen in der OKP</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D5DC2-9CE3-6241-93F4-D1D2120C9096}">
  <sheetPr>
    <pageSetUpPr fitToPage="1"/>
  </sheetPr>
  <dimension ref="A1:J22"/>
  <sheetViews>
    <sheetView zoomScale="75" workbookViewId="0">
      <selection activeCell="A15" sqref="A15:IV15"/>
    </sheetView>
  </sheetViews>
  <sheetFormatPr baseColWidth="10" defaultColWidth="11.3984375" defaultRowHeight="13"/>
  <cols>
    <col min="1" max="1" width="18.796875" style="3" customWidth="1"/>
    <col min="2" max="7" width="14.796875" style="3" customWidth="1"/>
    <col min="8" max="8" width="9.19921875" style="3" customWidth="1"/>
    <col min="9" max="16384" width="11.3984375" style="3"/>
  </cols>
  <sheetData>
    <row r="1" spans="1:10" s="1" customFormat="1" ht="14" customHeight="1"/>
    <row r="2" spans="1:10" s="1" customFormat="1" ht="39" customHeight="1">
      <c r="A2" s="1473" t="s">
        <v>768</v>
      </c>
      <c r="B2" s="1474"/>
      <c r="C2" s="1474"/>
      <c r="D2" s="1474"/>
      <c r="E2" s="1474"/>
      <c r="F2" s="1474"/>
      <c r="G2" s="321">
        <v>2003</v>
      </c>
    </row>
    <row r="3" spans="1:10" ht="24" customHeight="1">
      <c r="A3" s="2" t="s">
        <v>1591</v>
      </c>
      <c r="B3" s="69" t="s">
        <v>1848</v>
      </c>
      <c r="C3" s="16" t="s">
        <v>509</v>
      </c>
      <c r="D3" s="69" t="s">
        <v>510</v>
      </c>
      <c r="E3" s="16" t="s">
        <v>511</v>
      </c>
      <c r="F3" s="69" t="s">
        <v>22</v>
      </c>
      <c r="G3" s="16" t="s">
        <v>24</v>
      </c>
    </row>
    <row r="4" spans="1:10" ht="15" customHeight="1">
      <c r="A4" s="77"/>
      <c r="B4" s="70" t="s">
        <v>1850</v>
      </c>
      <c r="C4" s="17" t="s">
        <v>512</v>
      </c>
      <c r="D4" s="70" t="s">
        <v>1851</v>
      </c>
      <c r="E4" s="61" t="s">
        <v>513</v>
      </c>
      <c r="F4" s="70"/>
      <c r="G4" s="17" t="s">
        <v>25</v>
      </c>
    </row>
    <row r="5" spans="1:10" ht="15" customHeight="1">
      <c r="A5" s="77"/>
      <c r="B5" s="70" t="s">
        <v>1852</v>
      </c>
      <c r="C5" s="17" t="s">
        <v>514</v>
      </c>
      <c r="D5" s="70" t="s">
        <v>1405</v>
      </c>
      <c r="E5" s="61" t="s">
        <v>515</v>
      </c>
      <c r="F5" s="70"/>
      <c r="G5" s="17" t="s">
        <v>26</v>
      </c>
    </row>
    <row r="6" spans="1:10" ht="24" customHeight="1">
      <c r="A6" s="78"/>
      <c r="B6" s="73"/>
      <c r="C6" s="18"/>
      <c r="D6" s="73"/>
      <c r="E6" s="62" t="s">
        <v>516</v>
      </c>
      <c r="F6" s="73"/>
      <c r="G6" s="18"/>
    </row>
    <row r="7" spans="1:10" ht="30" customHeight="1" thickBot="1">
      <c r="A7" s="79">
        <v>1994</v>
      </c>
      <c r="B7" s="87">
        <v>113.74268289316178</v>
      </c>
      <c r="C7" s="86">
        <v>121.36815576615201</v>
      </c>
      <c r="D7" s="19">
        <v>68.767159105765458</v>
      </c>
      <c r="E7" s="86">
        <v>71.203935166518832</v>
      </c>
      <c r="F7" s="87">
        <v>114.18685121107266</v>
      </c>
      <c r="G7" s="300" t="s">
        <v>258</v>
      </c>
    </row>
    <row r="8" spans="1:10" ht="20" customHeight="1" thickBot="1">
      <c r="A8" s="80">
        <v>1995</v>
      </c>
      <c r="B8" s="75">
        <v>116.54974574504624</v>
      </c>
      <c r="C8" s="116">
        <v>112.87633435277719</v>
      </c>
      <c r="D8" s="29">
        <v>87.142638740253787</v>
      </c>
      <c r="E8" s="116">
        <v>79.840601418760428</v>
      </c>
      <c r="F8" s="29">
        <v>115.87611879295878</v>
      </c>
      <c r="G8" s="25">
        <v>1.4793888823184449E-2</v>
      </c>
    </row>
    <row r="9" spans="1:10" ht="20" customHeight="1" thickBot="1">
      <c r="A9" s="80">
        <v>1996</v>
      </c>
      <c r="B9" s="29">
        <v>136.97434362103451</v>
      </c>
      <c r="C9" s="116">
        <v>128.46694435673865</v>
      </c>
      <c r="D9" s="29">
        <v>97.148339801638642</v>
      </c>
      <c r="E9" s="116">
        <v>96.303927696179215</v>
      </c>
      <c r="F9" s="29">
        <v>133.40658749416588</v>
      </c>
      <c r="G9" s="25">
        <v>0.15128629508664851</v>
      </c>
    </row>
    <row r="10" spans="1:10" ht="20" customHeight="1" thickBot="1">
      <c r="A10" s="80">
        <v>1997</v>
      </c>
      <c r="B10" s="29">
        <v>122.6511004066257</v>
      </c>
      <c r="C10" s="116">
        <v>130.17357705334524</v>
      </c>
      <c r="D10" s="29">
        <v>82.390986601705237</v>
      </c>
      <c r="E10" s="116">
        <v>91.805271826945415</v>
      </c>
      <c r="F10" s="29">
        <v>123.8021591713151</v>
      </c>
      <c r="G10" s="25">
        <v>-7.1993658658503643E-2</v>
      </c>
      <c r="H10" s="43"/>
      <c r="I10" s="43"/>
      <c r="J10" s="43"/>
    </row>
    <row r="11" spans="1:10" ht="20" customHeight="1" thickBot="1">
      <c r="A11" s="80">
        <v>1998</v>
      </c>
      <c r="B11" s="29">
        <v>113.87825236718575</v>
      </c>
      <c r="C11" s="116">
        <v>127.72488252200283</v>
      </c>
      <c r="D11" s="29">
        <v>65.550388907676705</v>
      </c>
      <c r="E11" s="116">
        <v>98.304177799368475</v>
      </c>
      <c r="F11" s="29">
        <v>117.94614727831004</v>
      </c>
      <c r="G11" s="25">
        <v>-4.7301371253966752E-2</v>
      </c>
    </row>
    <row r="12" spans="1:10" ht="20" customHeight="1" thickBot="1">
      <c r="A12" s="80">
        <v>1999</v>
      </c>
      <c r="B12" s="29">
        <v>116.69424749371302</v>
      </c>
      <c r="C12" s="116">
        <v>122.55319883843305</v>
      </c>
      <c r="D12" s="29">
        <v>63.671378436342366</v>
      </c>
      <c r="E12" s="116">
        <v>99.926084629721899</v>
      </c>
      <c r="F12" s="29">
        <v>117.55853932562621</v>
      </c>
      <c r="G12" s="25">
        <v>-3.2863129625523811E-3</v>
      </c>
    </row>
    <row r="13" spans="1:10" ht="20" customHeight="1" thickBot="1">
      <c r="A13" s="80">
        <v>2000</v>
      </c>
      <c r="B13" s="29">
        <v>118.06454168111537</v>
      </c>
      <c r="C13" s="116">
        <v>122.76935680445337</v>
      </c>
      <c r="D13" s="29">
        <v>70.546570176332693</v>
      </c>
      <c r="E13" s="116">
        <v>105.36199101482934</v>
      </c>
      <c r="F13" s="29">
        <v>118.77616573412266</v>
      </c>
      <c r="G13" s="25">
        <v>1.0357617706730186E-2</v>
      </c>
    </row>
    <row r="14" spans="1:10" ht="20" customHeight="1" thickBot="1">
      <c r="A14" s="80">
        <v>2001</v>
      </c>
      <c r="B14" s="29">
        <v>121.94294466707073</v>
      </c>
      <c r="C14" s="116">
        <v>129.78424801045657</v>
      </c>
      <c r="D14" s="29">
        <v>80.283831495557223</v>
      </c>
      <c r="E14" s="116">
        <v>112.28655864106896</v>
      </c>
      <c r="F14" s="29">
        <v>124.13887771371346</v>
      </c>
      <c r="G14" s="25">
        <v>4.514973139977501E-2</v>
      </c>
    </row>
    <row r="15" spans="1:10" ht="20" customHeight="1" thickBot="1">
      <c r="A15" s="80">
        <v>2002</v>
      </c>
      <c r="B15" s="29">
        <v>124.02317297960094</v>
      </c>
      <c r="C15" s="116">
        <v>128.13270639622655</v>
      </c>
      <c r="D15" s="29">
        <v>77.674633842671199</v>
      </c>
      <c r="E15" s="116">
        <v>122.23028773775435</v>
      </c>
      <c r="F15" s="29">
        <v>125.49634223061366</v>
      </c>
      <c r="G15" s="25">
        <v>1.0935047439616501E-2</v>
      </c>
    </row>
    <row r="16" spans="1:10" ht="30" customHeight="1" thickBot="1">
      <c r="A16" s="705">
        <v>2003</v>
      </c>
      <c r="B16" s="356">
        <v>128.18064482468625</v>
      </c>
      <c r="C16" s="357">
        <v>131.50371046027854</v>
      </c>
      <c r="D16" s="356">
        <v>83.247479860526639</v>
      </c>
      <c r="E16" s="357">
        <v>114.12750752273389</v>
      </c>
      <c r="F16" s="356">
        <v>128.37951080237647</v>
      </c>
      <c r="G16" s="34">
        <v>2.2974124349095865E-2</v>
      </c>
    </row>
    <row r="17" spans="1:7" ht="20.25" customHeight="1">
      <c r="A17" s="9" t="s">
        <v>1334</v>
      </c>
      <c r="B17" s="9"/>
      <c r="C17" s="9"/>
      <c r="D17" s="9"/>
      <c r="E17" s="9"/>
      <c r="F17" s="9"/>
      <c r="G17" s="9"/>
    </row>
    <row r="19" spans="1:7">
      <c r="A19" s="3" t="s">
        <v>769</v>
      </c>
    </row>
    <row r="22" spans="1:7">
      <c r="A22" s="3" t="s">
        <v>256</v>
      </c>
    </row>
  </sheetData>
  <mergeCells count="1">
    <mergeCell ref="A2:F2"/>
  </mergeCells>
  <phoneticPr fontId="0" type="noConversion"/>
  <pageMargins left="0.55000000000000004" right="0.55000000000000004" top="1.0900000000000001" bottom="0.49" header="0.53" footer="0.4921259845"/>
  <pageSetup paperSize="9" scale="86" orientation="portrait" horizontalDpi="4294967292" verticalDpi="4294967292"/>
  <headerFooter alignWithMargins="0">
    <oddHeader>&amp;L&amp;"Arial,Bold"Versicherte und Finanzen in der OKP</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8E39B-278D-3D45-96A9-170F170878C4}">
  <sheetPr>
    <pageSetUpPr fitToPage="1"/>
  </sheetPr>
  <dimension ref="A1:J24"/>
  <sheetViews>
    <sheetView zoomScale="75" workbookViewId="0">
      <selection activeCell="A4" sqref="A4"/>
    </sheetView>
  </sheetViews>
  <sheetFormatPr baseColWidth="10" defaultColWidth="11.3984375" defaultRowHeight="13"/>
  <cols>
    <col min="1" max="1" width="14.3984375" style="3" customWidth="1"/>
    <col min="2" max="2" width="17.3984375" style="3" customWidth="1"/>
    <col min="3" max="5" width="15.19921875" style="3" customWidth="1"/>
    <col min="6" max="6" width="16.3984375" style="3" customWidth="1"/>
    <col min="7" max="16384" width="11.3984375" style="3"/>
  </cols>
  <sheetData>
    <row r="1" spans="1:10" s="1" customFormat="1" ht="14" customHeight="1"/>
    <row r="2" spans="1:10" s="1" customFormat="1" ht="39" customHeight="1">
      <c r="A2" s="1473" t="s">
        <v>766</v>
      </c>
      <c r="B2" s="1474"/>
      <c r="C2" s="1474"/>
      <c r="D2" s="1474"/>
      <c r="E2" s="1474"/>
      <c r="F2" s="76">
        <v>2003</v>
      </c>
    </row>
    <row r="3" spans="1:10" ht="24" customHeight="1">
      <c r="A3" s="2" t="s">
        <v>2102</v>
      </c>
      <c r="B3" s="69" t="s">
        <v>1848</v>
      </c>
      <c r="C3" s="16" t="s">
        <v>509</v>
      </c>
      <c r="D3" s="69" t="s">
        <v>510</v>
      </c>
      <c r="E3" s="16" t="s">
        <v>511</v>
      </c>
      <c r="F3" s="69" t="s">
        <v>22</v>
      </c>
    </row>
    <row r="4" spans="1:10" ht="15" customHeight="1">
      <c r="A4" s="77"/>
      <c r="B4" s="70" t="s">
        <v>1850</v>
      </c>
      <c r="C4" s="17" t="s">
        <v>512</v>
      </c>
      <c r="D4" s="70" t="s">
        <v>1851</v>
      </c>
      <c r="E4" s="61" t="s">
        <v>513</v>
      </c>
      <c r="F4" s="70"/>
    </row>
    <row r="5" spans="1:10" ht="15" customHeight="1">
      <c r="A5" s="77"/>
      <c r="B5" s="70" t="s">
        <v>1852</v>
      </c>
      <c r="C5" s="17" t="s">
        <v>514</v>
      </c>
      <c r="D5" s="70" t="s">
        <v>1405</v>
      </c>
      <c r="E5" s="61" t="s">
        <v>515</v>
      </c>
      <c r="F5" s="70"/>
    </row>
    <row r="6" spans="1:10" ht="24" customHeight="1">
      <c r="A6" s="78"/>
      <c r="B6" s="73"/>
      <c r="C6" s="18"/>
      <c r="D6" s="73"/>
      <c r="E6" s="62" t="s">
        <v>516</v>
      </c>
      <c r="F6" s="73"/>
    </row>
    <row r="7" spans="1:10" ht="30" customHeight="1" thickBot="1">
      <c r="A7" s="79">
        <v>1994</v>
      </c>
      <c r="B7" s="675" t="s">
        <v>258</v>
      </c>
      <c r="C7" s="762" t="s">
        <v>258</v>
      </c>
      <c r="D7" s="675" t="s">
        <v>258</v>
      </c>
      <c r="E7" s="762" t="s">
        <v>258</v>
      </c>
      <c r="F7" s="87">
        <v>126395373</v>
      </c>
      <c r="G7" s="42"/>
    </row>
    <row r="8" spans="1:10" ht="20" customHeight="1" thickBot="1">
      <c r="A8" s="80">
        <v>1995</v>
      </c>
      <c r="B8" s="29" t="s">
        <v>258</v>
      </c>
      <c r="C8" s="116" t="s">
        <v>258</v>
      </c>
      <c r="D8" s="29" t="s">
        <v>258</v>
      </c>
      <c r="E8" s="116" t="s">
        <v>258</v>
      </c>
      <c r="F8" s="29">
        <v>-81798816</v>
      </c>
      <c r="G8" s="42"/>
    </row>
    <row r="9" spans="1:10" ht="20" customHeight="1" thickBot="1">
      <c r="A9" s="80">
        <v>1996</v>
      </c>
      <c r="B9" s="29">
        <v>-991775322</v>
      </c>
      <c r="C9" s="116">
        <v>663779882</v>
      </c>
      <c r="D9" s="29">
        <v>3167199</v>
      </c>
      <c r="E9" s="116">
        <v>4895896</v>
      </c>
      <c r="F9" s="29">
        <v>-319932346</v>
      </c>
      <c r="G9" s="42"/>
    </row>
    <row r="10" spans="1:10" ht="20" customHeight="1" thickBot="1">
      <c r="A10" s="80">
        <v>1997</v>
      </c>
      <c r="B10" s="29">
        <v>-876459686</v>
      </c>
      <c r="C10" s="116">
        <v>838256173</v>
      </c>
      <c r="D10" s="29">
        <v>-2030295</v>
      </c>
      <c r="E10" s="116">
        <v>110405696</v>
      </c>
      <c r="F10" s="29">
        <v>70171888</v>
      </c>
      <c r="G10" s="42"/>
      <c r="H10" s="43"/>
      <c r="I10" s="43"/>
      <c r="J10" s="43"/>
    </row>
    <row r="11" spans="1:10" ht="20" customHeight="1" thickBot="1">
      <c r="A11" s="80">
        <v>1998</v>
      </c>
      <c r="B11" s="29">
        <v>-430866451</v>
      </c>
      <c r="C11" s="116">
        <v>357976738</v>
      </c>
      <c r="D11" s="29">
        <v>4544767</v>
      </c>
      <c r="E11" s="116">
        <v>68311649</v>
      </c>
      <c r="F11" s="29">
        <v>-33297</v>
      </c>
      <c r="G11" s="42"/>
    </row>
    <row r="12" spans="1:10" ht="20" customHeight="1" thickBot="1">
      <c r="A12" s="80">
        <v>1999</v>
      </c>
      <c r="B12" s="29">
        <v>-927498708</v>
      </c>
      <c r="C12" s="116">
        <v>825438408</v>
      </c>
      <c r="D12" s="29">
        <v>3614253</v>
      </c>
      <c r="E12" s="116">
        <v>49059277</v>
      </c>
      <c r="F12" s="29">
        <v>-49386770</v>
      </c>
      <c r="G12" s="42"/>
    </row>
    <row r="13" spans="1:10" ht="19.5" customHeight="1" thickBot="1">
      <c r="A13" s="80">
        <v>2000</v>
      </c>
      <c r="B13" s="29">
        <v>-1105229685</v>
      </c>
      <c r="C13" s="116">
        <v>733255417.92999995</v>
      </c>
      <c r="D13" s="29">
        <v>3877650.94</v>
      </c>
      <c r="E13" s="116">
        <v>62142502.969999999</v>
      </c>
      <c r="F13" s="29">
        <v>-305954113.39999998</v>
      </c>
      <c r="G13" s="42"/>
    </row>
    <row r="14" spans="1:10" ht="19.5" customHeight="1" thickBot="1">
      <c r="A14" s="80">
        <v>2001</v>
      </c>
      <c r="B14" s="29">
        <v>-1433346588</v>
      </c>
      <c r="C14" s="116">
        <v>618037013.5</v>
      </c>
      <c r="D14" s="29">
        <v>2472338.21</v>
      </c>
      <c r="E14" s="116">
        <v>23119861.41</v>
      </c>
      <c r="F14" s="29">
        <v>-789717374.88</v>
      </c>
      <c r="G14" s="42"/>
    </row>
    <row r="15" spans="1:10" ht="19.5" customHeight="1" thickBot="1">
      <c r="A15" s="80">
        <v>2002</v>
      </c>
      <c r="B15" s="29">
        <v>-1276900302</v>
      </c>
      <c r="C15" s="116">
        <v>976642734.75999999</v>
      </c>
      <c r="D15" s="29">
        <v>4263892.6399999997</v>
      </c>
      <c r="E15" s="116">
        <v>72321311.689999998</v>
      </c>
      <c r="F15" s="29">
        <v>-223672362.91000003</v>
      </c>
      <c r="G15" s="42"/>
    </row>
    <row r="16" spans="1:10" ht="30" customHeight="1" thickBot="1">
      <c r="A16" s="705">
        <v>2003</v>
      </c>
      <c r="B16" s="356">
        <v>-1199959344</v>
      </c>
      <c r="C16" s="357">
        <v>1406688222.5</v>
      </c>
      <c r="D16" s="356">
        <v>4842490.32</v>
      </c>
      <c r="E16" s="357">
        <v>188158567.50999999</v>
      </c>
      <c r="F16" s="356">
        <v>399729936.32999998</v>
      </c>
      <c r="G16" s="811"/>
    </row>
    <row r="17" spans="1:6" ht="20" customHeight="1">
      <c r="A17" s="9" t="s">
        <v>1334</v>
      </c>
      <c r="B17" s="9"/>
      <c r="C17" s="9"/>
      <c r="D17" s="9"/>
      <c r="E17" s="9"/>
      <c r="F17" s="9"/>
    </row>
    <row r="18" spans="1:6" ht="12.75" customHeight="1">
      <c r="A18" s="37"/>
      <c r="B18" s="37"/>
      <c r="C18" s="37"/>
      <c r="D18" s="37"/>
      <c r="E18" s="37"/>
      <c r="F18" s="37"/>
    </row>
    <row r="19" spans="1:6" ht="12" customHeight="1">
      <c r="A19" s="37" t="s">
        <v>1386</v>
      </c>
    </row>
    <row r="21" spans="1:6">
      <c r="A21" s="3" t="s">
        <v>767</v>
      </c>
    </row>
    <row r="24" spans="1:6">
      <c r="A24" s="3" t="s">
        <v>256</v>
      </c>
    </row>
  </sheetData>
  <mergeCells count="1">
    <mergeCell ref="A2:E2"/>
  </mergeCells>
  <phoneticPr fontId="0" type="noConversion"/>
  <pageMargins left="0.6" right="0.65" top="1.01" bottom="0.49" header="0.53" footer="0.4921259845"/>
  <pageSetup paperSize="9" scale="96" orientation="portrait" horizontalDpi="4294967292" verticalDpi="4294967292"/>
  <headerFooter alignWithMargins="0">
    <oddHeader>&amp;L&amp;"Arial,Bold"Versicherte und Finanzen in der OKP</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35218-4230-AA4D-B6A6-D80AD0DFA4F0}">
  <sheetPr>
    <pageSetUpPr fitToPage="1"/>
  </sheetPr>
  <dimension ref="A1:J24"/>
  <sheetViews>
    <sheetView zoomScale="75" workbookViewId="0">
      <selection activeCell="F2" sqref="F2"/>
    </sheetView>
  </sheetViews>
  <sheetFormatPr baseColWidth="10" defaultColWidth="11.3984375" defaultRowHeight="13"/>
  <cols>
    <col min="1" max="1" width="14.3984375" style="3" customWidth="1"/>
    <col min="2" max="6" width="15.3984375" style="3" customWidth="1"/>
    <col min="7" max="16384" width="11.3984375" style="3"/>
  </cols>
  <sheetData>
    <row r="1" spans="1:10" s="1" customFormat="1" ht="14" customHeight="1"/>
    <row r="2" spans="1:10" s="1" customFormat="1" ht="36.75" customHeight="1">
      <c r="A2" s="1473" t="s">
        <v>764</v>
      </c>
      <c r="B2" s="1474"/>
      <c r="C2" s="1474"/>
      <c r="D2" s="1474"/>
      <c r="E2" s="1474"/>
      <c r="F2" s="321">
        <v>2003</v>
      </c>
    </row>
    <row r="3" spans="1:10" ht="24" customHeight="1">
      <c r="A3" s="2" t="s">
        <v>2102</v>
      </c>
      <c r="B3" s="69" t="s">
        <v>1848</v>
      </c>
      <c r="C3" s="16" t="s">
        <v>509</v>
      </c>
      <c r="D3" s="69" t="s">
        <v>510</v>
      </c>
      <c r="E3" s="16" t="s">
        <v>511</v>
      </c>
      <c r="F3" s="69" t="s">
        <v>22</v>
      </c>
    </row>
    <row r="4" spans="1:10" ht="15" customHeight="1">
      <c r="A4" s="77"/>
      <c r="B4" s="70" t="s">
        <v>1850</v>
      </c>
      <c r="C4" s="17" t="s">
        <v>512</v>
      </c>
      <c r="D4" s="70" t="s">
        <v>1851</v>
      </c>
      <c r="E4" s="61" t="s">
        <v>513</v>
      </c>
      <c r="F4" s="70"/>
    </row>
    <row r="5" spans="1:10" ht="15" customHeight="1">
      <c r="A5" s="77"/>
      <c r="B5" s="70" t="s">
        <v>1852</v>
      </c>
      <c r="C5" s="17" t="s">
        <v>514</v>
      </c>
      <c r="D5" s="70" t="s">
        <v>1405</v>
      </c>
      <c r="E5" s="61" t="s">
        <v>515</v>
      </c>
      <c r="F5" s="70"/>
    </row>
    <row r="6" spans="1:10" ht="24" customHeight="1">
      <c r="A6" s="78"/>
      <c r="B6" s="73"/>
      <c r="C6" s="18"/>
      <c r="D6" s="73"/>
      <c r="E6" s="62" t="s">
        <v>516</v>
      </c>
      <c r="F6" s="73"/>
    </row>
    <row r="7" spans="1:10" ht="30" customHeight="1" thickBot="1">
      <c r="A7" s="79">
        <v>1994</v>
      </c>
      <c r="B7" s="675" t="s">
        <v>258</v>
      </c>
      <c r="C7" s="762" t="s">
        <v>258</v>
      </c>
      <c r="D7" s="675" t="s">
        <v>258</v>
      </c>
      <c r="E7" s="762" t="s">
        <v>258</v>
      </c>
      <c r="F7" s="87">
        <v>17.72315240239535</v>
      </c>
      <c r="G7" s="42"/>
    </row>
    <row r="8" spans="1:10" ht="20" customHeight="1" thickBot="1">
      <c r="A8" s="80">
        <v>1995</v>
      </c>
      <c r="B8" s="29" t="s">
        <v>258</v>
      </c>
      <c r="C8" s="116" t="s">
        <v>258</v>
      </c>
      <c r="D8" s="29" t="s">
        <v>258</v>
      </c>
      <c r="E8" s="116" t="s">
        <v>258</v>
      </c>
      <c r="F8" s="29">
        <v>-11.414345192935228</v>
      </c>
      <c r="G8" s="42"/>
    </row>
    <row r="9" spans="1:10" ht="20" customHeight="1" thickBot="1">
      <c r="A9" s="80">
        <v>1996</v>
      </c>
      <c r="B9" s="29">
        <v>-209.25119249563258</v>
      </c>
      <c r="C9" s="116">
        <v>287.88798918153714</v>
      </c>
      <c r="D9" s="29">
        <v>113.8133893919793</v>
      </c>
      <c r="E9" s="116">
        <v>40.26296485139558</v>
      </c>
      <c r="F9" s="29">
        <v>-44.467447531910054</v>
      </c>
    </row>
    <row r="10" spans="1:10" ht="20" customHeight="1" thickBot="1">
      <c r="A10" s="80">
        <v>1997</v>
      </c>
      <c r="B10" s="29">
        <v>-214.61582270081155</v>
      </c>
      <c r="C10" s="116">
        <v>306.33942450638875</v>
      </c>
      <c r="D10" s="29">
        <v>-176.63955107012353</v>
      </c>
      <c r="E10" s="116">
        <v>288.19554520703849</v>
      </c>
      <c r="F10" s="29">
        <v>9.7260962701001628</v>
      </c>
      <c r="H10" s="43"/>
      <c r="I10" s="43"/>
      <c r="J10" s="43"/>
    </row>
    <row r="11" spans="1:10" ht="20" customHeight="1" thickBot="1">
      <c r="A11" s="80">
        <v>1998</v>
      </c>
      <c r="B11" s="29">
        <v>-107.28033046607707</v>
      </c>
      <c r="C11" s="116">
        <v>131.29687859897859</v>
      </c>
      <c r="D11" s="29">
        <v>384.2379945891106</v>
      </c>
      <c r="E11" s="116">
        <v>138.27149421099506</v>
      </c>
      <c r="F11" s="29">
        <v>-4.5935747895146139E-3</v>
      </c>
    </row>
    <row r="12" spans="1:10" ht="20" customHeight="1" thickBot="1">
      <c r="A12" s="80">
        <v>1999</v>
      </c>
      <c r="B12" s="29">
        <v>-231.94750851767455</v>
      </c>
      <c r="C12" s="116">
        <v>303.95700464199626</v>
      </c>
      <c r="D12" s="29">
        <v>352.33505556638721</v>
      </c>
      <c r="E12" s="116">
        <v>90.53364520474635</v>
      </c>
      <c r="F12" s="29">
        <v>-6.7964685777290796</v>
      </c>
    </row>
    <row r="13" spans="1:10" ht="20" customHeight="1" thickBot="1">
      <c r="A13" s="80">
        <v>2000</v>
      </c>
      <c r="B13" s="29">
        <v>-281.80831964955939</v>
      </c>
      <c r="C13" s="116">
        <v>265.81296038591444</v>
      </c>
      <c r="D13" s="29">
        <v>395.23503618387525</v>
      </c>
      <c r="E13" s="116">
        <v>107.54256442516194</v>
      </c>
      <c r="F13" s="29">
        <v>-42.095410127886048</v>
      </c>
    </row>
    <row r="14" spans="1:10" ht="20" customHeight="1" thickBot="1">
      <c r="A14" s="80">
        <v>2001</v>
      </c>
      <c r="B14" s="29">
        <v>-369.21073383560986</v>
      </c>
      <c r="C14" s="116">
        <v>218.09355776804139</v>
      </c>
      <c r="D14" s="29">
        <v>264.67596724119471</v>
      </c>
      <c r="E14" s="116">
        <v>38.795684474417683</v>
      </c>
      <c r="F14" s="29">
        <v>-107.86592232759077</v>
      </c>
    </row>
    <row r="15" spans="1:10" ht="20" customHeight="1" thickBot="1">
      <c r="A15" s="80">
        <v>2002</v>
      </c>
      <c r="B15" s="29">
        <v>-334.90929649130862</v>
      </c>
      <c r="C15" s="116">
        <v>327.64230472151957</v>
      </c>
      <c r="D15" s="29">
        <v>482.61376796830785</v>
      </c>
      <c r="E15" s="116">
        <v>129.83261678350553</v>
      </c>
      <c r="F15" s="29">
        <v>-30.392888912290669</v>
      </c>
    </row>
    <row r="16" spans="1:10" s="35" customFormat="1" ht="30" customHeight="1" thickBot="1">
      <c r="A16" s="705">
        <v>2003</v>
      </c>
      <c r="B16" s="356">
        <v>-326.58442193959615</v>
      </c>
      <c r="C16" s="357">
        <v>452.73392575127201</v>
      </c>
      <c r="D16" s="356">
        <v>582.24002885655887</v>
      </c>
      <c r="E16" s="357">
        <v>311.77683579562023</v>
      </c>
      <c r="F16" s="356">
        <v>54.067330132819563</v>
      </c>
    </row>
    <row r="17" spans="1:6" ht="20" customHeight="1">
      <c r="A17" s="9" t="s">
        <v>1334</v>
      </c>
      <c r="B17" s="9"/>
      <c r="C17" s="9"/>
      <c r="D17" s="9"/>
      <c r="E17" s="9"/>
      <c r="F17" s="9"/>
    </row>
    <row r="18" spans="1:6" ht="15.75" customHeight="1">
      <c r="A18" s="37"/>
      <c r="B18" s="37"/>
      <c r="C18" s="37"/>
      <c r="D18" s="37"/>
      <c r="E18" s="37"/>
      <c r="F18" s="37"/>
    </row>
    <row r="19" spans="1:6">
      <c r="A19" s="37" t="s">
        <v>1386</v>
      </c>
    </row>
    <row r="21" spans="1:6">
      <c r="A21" s="3" t="s">
        <v>765</v>
      </c>
    </row>
    <row r="24" spans="1:6">
      <c r="A24" s="3" t="s">
        <v>256</v>
      </c>
    </row>
  </sheetData>
  <mergeCells count="1">
    <mergeCell ref="A2:E2"/>
  </mergeCells>
  <phoneticPr fontId="0" type="noConversion"/>
  <pageMargins left="0.57999999999999996" right="0.72" top="1.1000000000000001" bottom="0.49" header="0.57999999999999996" footer="0.4921259845"/>
  <pageSetup paperSize="9" scale="98" orientation="portrait" horizontalDpi="4294967292" verticalDpi="4294967292"/>
  <headerFooter alignWithMargins="0">
    <oddHeader>&amp;L&amp;"Arial,Bold"Versicherte und Finanzen in der OKP</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5FD89-A015-5A49-BA16-526132E3BC19}">
  <sheetPr>
    <pageSetUpPr fitToPage="1"/>
  </sheetPr>
  <dimension ref="A1:E39"/>
  <sheetViews>
    <sheetView zoomScale="75" workbookViewId="0"/>
  </sheetViews>
  <sheetFormatPr baseColWidth="10" defaultColWidth="11.3984375" defaultRowHeight="13"/>
  <cols>
    <col min="1" max="1" width="8.796875" style="3" customWidth="1"/>
    <col min="2" max="2" width="48.796875" style="100" customWidth="1"/>
    <col min="3" max="3" width="17.796875" style="3" customWidth="1"/>
    <col min="4" max="4" width="16.796875" style="42" customWidth="1"/>
    <col min="5" max="5" width="18" style="42" customWidth="1"/>
    <col min="6" max="16384" width="11.3984375" style="3"/>
  </cols>
  <sheetData>
    <row r="1" spans="1:5" s="1" customFormat="1" ht="14" customHeight="1">
      <c r="B1" s="90"/>
      <c r="D1" s="101"/>
      <c r="E1" s="101"/>
    </row>
    <row r="2" spans="1:5" s="1" customFormat="1" ht="39" customHeight="1">
      <c r="A2" s="1473" t="s">
        <v>1846</v>
      </c>
      <c r="B2" s="1475"/>
      <c r="C2" s="1475"/>
      <c r="D2" s="1475"/>
      <c r="E2" s="76">
        <v>2003</v>
      </c>
    </row>
    <row r="3" spans="1:5" ht="39" customHeight="1">
      <c r="A3" s="2" t="s">
        <v>1335</v>
      </c>
      <c r="B3" s="2"/>
      <c r="C3" s="69" t="s">
        <v>1336</v>
      </c>
      <c r="D3" s="60" t="s">
        <v>1337</v>
      </c>
      <c r="E3" s="404" t="s">
        <v>22</v>
      </c>
    </row>
    <row r="4" spans="1:5" ht="38" customHeight="1">
      <c r="A4" s="405"/>
      <c r="B4" s="390"/>
      <c r="C4" s="73" t="s">
        <v>1925</v>
      </c>
      <c r="D4" s="62" t="s">
        <v>1925</v>
      </c>
      <c r="E4" s="341" t="s">
        <v>1925</v>
      </c>
    </row>
    <row r="5" spans="1:5" ht="30" customHeight="1" thickBot="1">
      <c r="A5" s="6">
        <v>61</v>
      </c>
      <c r="B5" s="6" t="s">
        <v>336</v>
      </c>
      <c r="C5" s="19">
        <v>16104822613</v>
      </c>
      <c r="D5" s="86">
        <v>715288537.33000004</v>
      </c>
      <c r="E5" s="406">
        <v>16820111150</v>
      </c>
    </row>
    <row r="6" spans="1:5" ht="20" customHeight="1" thickBot="1">
      <c r="A6" s="7">
        <v>64</v>
      </c>
      <c r="B6" s="7" t="s">
        <v>1338</v>
      </c>
      <c r="C6" s="29">
        <v>-59665315.560000002</v>
      </c>
      <c r="D6" s="116">
        <v>-2665665.14</v>
      </c>
      <c r="E6" s="84">
        <v>-62330980.700000003</v>
      </c>
    </row>
    <row r="7" spans="1:5" ht="20" customHeight="1" thickBot="1">
      <c r="A7" s="7">
        <v>65</v>
      </c>
      <c r="B7" s="7" t="s">
        <v>1339</v>
      </c>
      <c r="C7" s="29">
        <v>1870387.84</v>
      </c>
      <c r="D7" s="116">
        <v>56909.48</v>
      </c>
      <c r="E7" s="84">
        <v>1927297.32</v>
      </c>
    </row>
    <row r="8" spans="1:5" ht="27" customHeight="1" thickBot="1">
      <c r="A8" s="65" t="s">
        <v>1340</v>
      </c>
      <c r="B8" s="65" t="s">
        <v>1341</v>
      </c>
      <c r="C8" s="407">
        <v>16047027685</v>
      </c>
      <c r="D8" s="408">
        <v>712679781.70000005</v>
      </c>
      <c r="E8" s="33">
        <v>16759707467</v>
      </c>
    </row>
    <row r="9" spans="1:5" ht="20" customHeight="1" thickBot="1">
      <c r="A9" s="7">
        <v>66</v>
      </c>
      <c r="B9" s="7" t="s">
        <v>1342</v>
      </c>
      <c r="C9" s="29">
        <v>-30993591.949999999</v>
      </c>
      <c r="D9" s="116">
        <v>-1146629.44</v>
      </c>
      <c r="E9" s="84">
        <v>-32140221.390000001</v>
      </c>
    </row>
    <row r="10" spans="1:5" ht="27" customHeight="1" thickBot="1">
      <c r="A10" s="65" t="s">
        <v>1343</v>
      </c>
      <c r="B10" s="65" t="s">
        <v>1344</v>
      </c>
      <c r="C10" s="407">
        <v>16016034093</v>
      </c>
      <c r="D10" s="408">
        <v>711533152.25999999</v>
      </c>
      <c r="E10" s="33">
        <v>16727567245</v>
      </c>
    </row>
    <row r="11" spans="1:5" ht="20" customHeight="1" thickBot="1">
      <c r="A11" s="7">
        <v>67</v>
      </c>
      <c r="B11" s="7" t="s">
        <v>1345</v>
      </c>
      <c r="C11" s="29">
        <v>1450215430.0999999</v>
      </c>
      <c r="D11" s="116">
        <v>70213108.730000004</v>
      </c>
      <c r="E11" s="84">
        <v>1520428538.8</v>
      </c>
    </row>
    <row r="12" spans="1:5" ht="20" customHeight="1" thickBot="1">
      <c r="A12" s="7">
        <v>68</v>
      </c>
      <c r="B12" s="7" t="s">
        <v>1346</v>
      </c>
      <c r="C12" s="29">
        <v>-1434970212</v>
      </c>
      <c r="D12" s="116">
        <v>-69057175.340000004</v>
      </c>
      <c r="E12" s="84">
        <v>-1504027387</v>
      </c>
    </row>
    <row r="13" spans="1:5" ht="20" customHeight="1" thickBot="1">
      <c r="A13" s="7">
        <v>69</v>
      </c>
      <c r="B13" s="7" t="s">
        <v>1347</v>
      </c>
      <c r="C13" s="29">
        <v>41457060.259999998</v>
      </c>
      <c r="D13" s="116">
        <v>982572.85</v>
      </c>
      <c r="E13" s="84">
        <v>42439633.109999999</v>
      </c>
    </row>
    <row r="14" spans="1:5" ht="27" customHeight="1" thickBot="1">
      <c r="A14" s="65">
        <v>6</v>
      </c>
      <c r="B14" s="65" t="s">
        <v>1348</v>
      </c>
      <c r="C14" s="407">
        <v>16072736371</v>
      </c>
      <c r="D14" s="408">
        <v>713671658.49000001</v>
      </c>
      <c r="E14" s="33">
        <v>16786408030</v>
      </c>
    </row>
    <row r="15" spans="1:5" ht="20" customHeight="1" thickBot="1">
      <c r="A15" s="7">
        <v>31</v>
      </c>
      <c r="B15" s="7" t="s">
        <v>338</v>
      </c>
      <c r="C15" s="29">
        <v>17323593721</v>
      </c>
      <c r="D15" s="116">
        <v>600525635.44000006</v>
      </c>
      <c r="E15" s="84">
        <v>17924119356</v>
      </c>
    </row>
    <row r="16" spans="1:5" ht="20" customHeight="1" thickBot="1">
      <c r="A16" s="7">
        <v>32</v>
      </c>
      <c r="B16" s="7" t="s">
        <v>1349</v>
      </c>
      <c r="C16" s="29">
        <v>-2514493680</v>
      </c>
      <c r="D16" s="116">
        <v>-74005971.719999999</v>
      </c>
      <c r="E16" s="84">
        <v>-2588499652</v>
      </c>
    </row>
    <row r="17" spans="1:5" ht="27" customHeight="1" thickBot="1">
      <c r="A17" s="65" t="s">
        <v>1350</v>
      </c>
      <c r="B17" s="65" t="s">
        <v>1351</v>
      </c>
      <c r="C17" s="407">
        <v>14809100041</v>
      </c>
      <c r="D17" s="408">
        <v>526519663.72000003</v>
      </c>
      <c r="E17" s="33">
        <v>15335619704</v>
      </c>
    </row>
    <row r="18" spans="1:5" ht="20" customHeight="1" thickBot="1">
      <c r="A18" s="7">
        <v>34</v>
      </c>
      <c r="B18" s="7" t="s">
        <v>1352</v>
      </c>
      <c r="C18" s="29">
        <v>46124908.990000002</v>
      </c>
      <c r="D18" s="116">
        <v>1442039.48</v>
      </c>
      <c r="E18" s="84">
        <v>47566948.469999999</v>
      </c>
    </row>
    <row r="19" spans="1:5" ht="20" customHeight="1" thickBot="1">
      <c r="A19" s="7">
        <v>35</v>
      </c>
      <c r="B19" s="7" t="s">
        <v>1353</v>
      </c>
      <c r="C19" s="29">
        <v>243572474.13999999</v>
      </c>
      <c r="D19" s="116">
        <v>8617006.9000000004</v>
      </c>
      <c r="E19" s="84">
        <v>252189481.03999999</v>
      </c>
    </row>
    <row r="20" spans="1:5" ht="27" customHeight="1" thickBot="1">
      <c r="A20" s="65" t="s">
        <v>1354</v>
      </c>
      <c r="B20" s="65" t="s">
        <v>1355</v>
      </c>
      <c r="C20" s="407">
        <v>15098797424</v>
      </c>
      <c r="D20" s="408">
        <v>536578710.10000002</v>
      </c>
      <c r="E20" s="33">
        <v>15635376134</v>
      </c>
    </row>
    <row r="21" spans="1:5" ht="20" customHeight="1" thickBot="1">
      <c r="A21" s="7">
        <v>36</v>
      </c>
      <c r="B21" s="7" t="s">
        <v>1356</v>
      </c>
      <c r="C21" s="29">
        <v>-30933041.039999999</v>
      </c>
      <c r="D21" s="116">
        <v>-1025003.87</v>
      </c>
      <c r="E21" s="84">
        <v>-31958044.91</v>
      </c>
    </row>
    <row r="22" spans="1:5" ht="20" customHeight="1" thickBot="1">
      <c r="A22" s="7">
        <v>37</v>
      </c>
      <c r="B22" s="7" t="s">
        <v>1357</v>
      </c>
      <c r="C22" s="29">
        <v>81439655.400000006</v>
      </c>
      <c r="D22" s="116">
        <v>-9984711.1400000006</v>
      </c>
      <c r="E22" s="84">
        <v>71454944.260000005</v>
      </c>
    </row>
    <row r="23" spans="1:5" ht="27" customHeight="1" thickBot="1">
      <c r="A23" s="65">
        <v>3</v>
      </c>
      <c r="B23" s="65" t="s">
        <v>1358</v>
      </c>
      <c r="C23" s="407">
        <v>15149304038</v>
      </c>
      <c r="D23" s="408">
        <v>525568995.10000002</v>
      </c>
      <c r="E23" s="33">
        <v>15674873033</v>
      </c>
    </row>
    <row r="24" spans="1:5" ht="21" customHeight="1" thickBot="1">
      <c r="A24" s="7" t="s">
        <v>1359</v>
      </c>
      <c r="B24" s="7" t="s">
        <v>1835</v>
      </c>
      <c r="C24" s="29">
        <v>828560987.84000003</v>
      </c>
      <c r="D24" s="116">
        <v>34820700.020000003</v>
      </c>
      <c r="E24" s="84">
        <v>863381687.86000001</v>
      </c>
    </row>
    <row r="25" spans="1:5" ht="21" customHeight="1" thickBot="1">
      <c r="A25" s="7">
        <v>48</v>
      </c>
      <c r="B25" s="7" t="s">
        <v>1836</v>
      </c>
      <c r="C25" s="29">
        <v>81979472.650000006</v>
      </c>
      <c r="D25" s="116">
        <v>3772698.2</v>
      </c>
      <c r="E25" s="84">
        <v>85752170.849999994</v>
      </c>
    </row>
    <row r="26" spans="1:5" ht="21" customHeight="1" thickBot="1">
      <c r="A26" s="7">
        <v>49</v>
      </c>
      <c r="B26" s="7" t="s">
        <v>1837</v>
      </c>
      <c r="C26" s="29">
        <v>-2292978.16</v>
      </c>
      <c r="D26" s="116">
        <v>-93066.14</v>
      </c>
      <c r="E26" s="84">
        <v>-2386044.2999999998</v>
      </c>
    </row>
    <row r="27" spans="1:5" ht="27" customHeight="1" thickBot="1">
      <c r="A27" s="65">
        <v>4</v>
      </c>
      <c r="B27" s="65" t="s">
        <v>1838</v>
      </c>
      <c r="C27" s="407">
        <v>908247482.35000002</v>
      </c>
      <c r="D27" s="408">
        <v>38500332.07</v>
      </c>
      <c r="E27" s="33">
        <v>946747814.41999996</v>
      </c>
    </row>
    <row r="28" spans="1:5" ht="27" customHeight="1" thickBot="1">
      <c r="A28" s="65" t="s">
        <v>1839</v>
      </c>
      <c r="B28" s="65" t="s">
        <v>1840</v>
      </c>
      <c r="C28" s="407">
        <v>16057551520</v>
      </c>
      <c r="D28" s="408">
        <v>564069327.15999997</v>
      </c>
      <c r="E28" s="33">
        <v>16621620848</v>
      </c>
    </row>
    <row r="29" spans="1:5" ht="27" customHeight="1" thickBot="1">
      <c r="A29" s="65"/>
      <c r="B29" s="65" t="s">
        <v>1841</v>
      </c>
      <c r="C29" s="407">
        <v>15184850.91</v>
      </c>
      <c r="D29" s="408">
        <v>149602331.34999999</v>
      </c>
      <c r="E29" s="33">
        <v>164787182.25999999</v>
      </c>
    </row>
    <row r="30" spans="1:5" ht="27" customHeight="1" thickBot="1">
      <c r="A30" s="65">
        <v>7</v>
      </c>
      <c r="B30" s="65" t="s">
        <v>1842</v>
      </c>
      <c r="C30" s="407">
        <v>224982723.75999999</v>
      </c>
      <c r="D30" s="408">
        <v>9960030.0199999996</v>
      </c>
      <c r="E30" s="33">
        <v>234942753.78</v>
      </c>
    </row>
    <row r="31" spans="1:5" ht="34.5" customHeight="1" thickBot="1">
      <c r="A31" s="409"/>
      <c r="B31" s="409" t="s">
        <v>1843</v>
      </c>
      <c r="C31" s="410">
        <v>240167574.66999999</v>
      </c>
      <c r="D31" s="411">
        <v>159562361.36000001</v>
      </c>
      <c r="E31" s="412">
        <v>399729936.02999997</v>
      </c>
    </row>
    <row r="32" spans="1:5" ht="19.5" customHeight="1">
      <c r="A32" s="3" t="s">
        <v>1334</v>
      </c>
    </row>
    <row r="34" spans="1:1">
      <c r="A34" s="413" t="s">
        <v>1844</v>
      </c>
    </row>
    <row r="35" spans="1:1">
      <c r="A35" s="414"/>
    </row>
    <row r="36" spans="1:1">
      <c r="A36" s="3" t="s">
        <v>1845</v>
      </c>
    </row>
    <row r="39" spans="1:1">
      <c r="A39" s="3" t="s">
        <v>256</v>
      </c>
    </row>
  </sheetData>
  <mergeCells count="1">
    <mergeCell ref="A2:D2"/>
  </mergeCells>
  <phoneticPr fontId="0" type="noConversion"/>
  <pageMargins left="0.62" right="0.69" top="0.71" bottom="0.49" header="0.42" footer="0.4921259845"/>
  <pageSetup paperSize="9" scale="82" orientation="portrait" horizontalDpi="1200" verticalDpi="1200"/>
  <headerFooter alignWithMargins="0">
    <oddHeader>&amp;L&amp;"Arial,Bold"Versicherte und Finanzen in der OKP</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57624-B9FF-CE40-BB37-090FEC8CE164}">
  <sheetPr>
    <pageSetUpPr fitToPage="1"/>
  </sheetPr>
  <dimension ref="A1:E39"/>
  <sheetViews>
    <sheetView topLeftCell="A29" zoomScale="75" workbookViewId="0">
      <selection activeCell="A39" sqref="A1:E39"/>
    </sheetView>
  </sheetViews>
  <sheetFormatPr baseColWidth="10" defaultColWidth="11.3984375" defaultRowHeight="13"/>
  <cols>
    <col min="1" max="1" width="8.796875" style="3" customWidth="1"/>
    <col min="2" max="2" width="48.796875" style="100" customWidth="1"/>
    <col min="3" max="3" width="16.796875" style="3" customWidth="1"/>
    <col min="4" max="4" width="16.796875" style="42" customWidth="1"/>
    <col min="5" max="5" width="18.19921875" style="42" customWidth="1"/>
    <col min="6" max="16384" width="11.3984375" style="3"/>
  </cols>
  <sheetData>
    <row r="1" spans="1:5" s="1" customFormat="1" ht="14" customHeight="1">
      <c r="B1" s="90"/>
      <c r="D1" s="101"/>
      <c r="E1" s="101"/>
    </row>
    <row r="2" spans="1:5" s="1" customFormat="1" ht="28" customHeight="1">
      <c r="A2" s="76" t="s">
        <v>1526</v>
      </c>
      <c r="B2" s="90"/>
      <c r="D2" s="101"/>
      <c r="E2" s="76">
        <v>2003</v>
      </c>
    </row>
    <row r="3" spans="1:5" ht="39" customHeight="1">
      <c r="A3" s="2" t="s">
        <v>1335</v>
      </c>
      <c r="B3" s="2"/>
      <c r="C3" s="69" t="s">
        <v>1336</v>
      </c>
      <c r="D3" s="60" t="s">
        <v>1337</v>
      </c>
      <c r="E3" s="404" t="s">
        <v>22</v>
      </c>
    </row>
    <row r="4" spans="1:5" ht="39" customHeight="1">
      <c r="A4" s="405"/>
      <c r="B4" s="390"/>
      <c r="C4" s="73" t="s">
        <v>1925</v>
      </c>
      <c r="D4" s="62" t="s">
        <v>1925</v>
      </c>
      <c r="E4" s="341" t="s">
        <v>1925</v>
      </c>
    </row>
    <row r="5" spans="1:5" ht="30" customHeight="1" thickBot="1">
      <c r="A5" s="6">
        <v>61</v>
      </c>
      <c r="B5" s="6" t="s">
        <v>336</v>
      </c>
      <c r="C5" s="19">
        <v>7727752931.8999996</v>
      </c>
      <c r="D5" s="86">
        <v>391940983.5</v>
      </c>
      <c r="E5" s="406">
        <v>8119693915.3999996</v>
      </c>
    </row>
    <row r="6" spans="1:5" ht="19.5" customHeight="1" thickBot="1">
      <c r="A6" s="7">
        <v>64</v>
      </c>
      <c r="B6" s="7" t="s">
        <v>1338</v>
      </c>
      <c r="C6" s="29">
        <v>-28933628.59</v>
      </c>
      <c r="D6" s="116">
        <v>-1466549.68</v>
      </c>
      <c r="E6" s="84">
        <v>-30400178.27</v>
      </c>
    </row>
    <row r="7" spans="1:5" ht="19.5" customHeight="1" thickBot="1">
      <c r="A7" s="7">
        <v>65</v>
      </c>
      <c r="B7" s="7" t="s">
        <v>1339</v>
      </c>
      <c r="C7" s="29">
        <v>1900402.73</v>
      </c>
      <c r="D7" s="116">
        <v>71073.83</v>
      </c>
      <c r="E7" s="84">
        <v>1971476.56</v>
      </c>
    </row>
    <row r="8" spans="1:5" ht="27" customHeight="1" thickBot="1">
      <c r="A8" s="65" t="s">
        <v>1340</v>
      </c>
      <c r="B8" s="65" t="s">
        <v>1341</v>
      </c>
      <c r="C8" s="407">
        <v>7700719706</v>
      </c>
      <c r="D8" s="408">
        <v>390545507.67000002</v>
      </c>
      <c r="E8" s="33">
        <v>8091265213.6999998</v>
      </c>
    </row>
    <row r="9" spans="1:5" ht="19.5" customHeight="1" thickBot="1">
      <c r="A9" s="7">
        <v>66</v>
      </c>
      <c r="B9" s="7" t="s">
        <v>1342</v>
      </c>
      <c r="C9" s="29">
        <v>-16717773.59</v>
      </c>
      <c r="D9" s="116">
        <v>-699914.48</v>
      </c>
      <c r="E9" s="84">
        <v>-17417688.07</v>
      </c>
    </row>
    <row r="10" spans="1:5" ht="27" customHeight="1" thickBot="1">
      <c r="A10" s="65" t="s">
        <v>1343</v>
      </c>
      <c r="B10" s="65" t="s">
        <v>1344</v>
      </c>
      <c r="C10" s="407">
        <v>7684001932.3999996</v>
      </c>
      <c r="D10" s="408">
        <v>389845593.19</v>
      </c>
      <c r="E10" s="33">
        <v>8073847525.6000004</v>
      </c>
    </row>
    <row r="11" spans="1:5" ht="19.5" customHeight="1" thickBot="1">
      <c r="A11" s="7">
        <v>67</v>
      </c>
      <c r="B11" s="7" t="s">
        <v>1345</v>
      </c>
      <c r="C11" s="29">
        <v>803290600.36000001</v>
      </c>
      <c r="D11" s="116">
        <v>43180304.990000002</v>
      </c>
      <c r="E11" s="84">
        <v>846470905.35000002</v>
      </c>
    </row>
    <row r="12" spans="1:5" ht="19.5" customHeight="1" thickBot="1">
      <c r="A12" s="7">
        <v>68</v>
      </c>
      <c r="B12" s="7" t="s">
        <v>1346</v>
      </c>
      <c r="C12" s="29">
        <v>-793262377.39999998</v>
      </c>
      <c r="D12" s="116">
        <v>-42297665.189999998</v>
      </c>
      <c r="E12" s="84">
        <v>-835560042.60000002</v>
      </c>
    </row>
    <row r="13" spans="1:5" ht="19.5" customHeight="1" thickBot="1">
      <c r="A13" s="7">
        <v>69</v>
      </c>
      <c r="B13" s="7" t="s">
        <v>1347</v>
      </c>
      <c r="C13" s="29">
        <v>21269536.710000001</v>
      </c>
      <c r="D13" s="116">
        <v>1158632.05</v>
      </c>
      <c r="E13" s="84">
        <v>22428168.760000002</v>
      </c>
    </row>
    <row r="14" spans="1:5" ht="27" customHeight="1" thickBot="1">
      <c r="A14" s="65">
        <v>6</v>
      </c>
      <c r="B14" s="65" t="s">
        <v>1348</v>
      </c>
      <c r="C14" s="407">
        <v>7715299692.1000004</v>
      </c>
      <c r="D14" s="408">
        <v>391886865.01999998</v>
      </c>
      <c r="E14" s="33">
        <v>8107186557.1000004</v>
      </c>
    </row>
    <row r="15" spans="1:5" ht="20" customHeight="1" thickBot="1">
      <c r="A15" s="7">
        <v>31</v>
      </c>
      <c r="B15" s="7" t="s">
        <v>338</v>
      </c>
      <c r="C15" s="29">
        <v>10033269888</v>
      </c>
      <c r="D15" s="116">
        <v>367137062.31999999</v>
      </c>
      <c r="E15" s="84">
        <v>10400406950</v>
      </c>
    </row>
    <row r="16" spans="1:5" ht="20" customHeight="1" thickBot="1">
      <c r="A16" s="7">
        <v>32</v>
      </c>
      <c r="B16" s="7" t="s">
        <v>1349</v>
      </c>
      <c r="C16" s="29">
        <v>-1046850079</v>
      </c>
      <c r="D16" s="116">
        <v>-33075787.030000001</v>
      </c>
      <c r="E16" s="84">
        <v>-1079925866</v>
      </c>
    </row>
    <row r="17" spans="1:5" ht="27" customHeight="1" thickBot="1">
      <c r="A17" s="65" t="s">
        <v>1350</v>
      </c>
      <c r="B17" s="65" t="s">
        <v>1351</v>
      </c>
      <c r="C17" s="407">
        <v>8986419808.7000008</v>
      </c>
      <c r="D17" s="408">
        <v>334061275.29000002</v>
      </c>
      <c r="E17" s="33">
        <v>9320481084</v>
      </c>
    </row>
    <row r="18" spans="1:5" ht="20" customHeight="1" thickBot="1">
      <c r="A18" s="7">
        <v>34</v>
      </c>
      <c r="B18" s="7" t="s">
        <v>1352</v>
      </c>
      <c r="C18" s="29">
        <v>35725497.619999997</v>
      </c>
      <c r="D18" s="116">
        <v>1152948.82</v>
      </c>
      <c r="E18" s="84">
        <v>36878446.439999998</v>
      </c>
    </row>
    <row r="19" spans="1:5" ht="20" customHeight="1" thickBot="1">
      <c r="A19" s="7">
        <v>35</v>
      </c>
      <c r="B19" s="7" t="s">
        <v>1353</v>
      </c>
      <c r="C19" s="29">
        <v>158236891.72</v>
      </c>
      <c r="D19" s="116">
        <v>6056620.1900000004</v>
      </c>
      <c r="E19" s="84">
        <v>164293511.91</v>
      </c>
    </row>
    <row r="20" spans="1:5" ht="27" customHeight="1" thickBot="1">
      <c r="A20" s="65" t="s">
        <v>1354</v>
      </c>
      <c r="B20" s="65" t="s">
        <v>1355</v>
      </c>
      <c r="C20" s="407">
        <v>9180382198</v>
      </c>
      <c r="D20" s="408">
        <v>341270844.30000001</v>
      </c>
      <c r="E20" s="33">
        <v>9521653042.2999992</v>
      </c>
    </row>
    <row r="21" spans="1:5" ht="19.5" customHeight="1" thickBot="1">
      <c r="A21" s="7">
        <v>36</v>
      </c>
      <c r="B21" s="7" t="s">
        <v>1356</v>
      </c>
      <c r="C21" s="29">
        <v>-18493716.66</v>
      </c>
      <c r="D21" s="116">
        <v>-700015.54</v>
      </c>
      <c r="E21" s="84">
        <v>-19193732.199999999</v>
      </c>
    </row>
    <row r="22" spans="1:5" ht="19.5" customHeight="1" thickBot="1">
      <c r="A22" s="7">
        <v>37</v>
      </c>
      <c r="B22" s="7" t="s">
        <v>1357</v>
      </c>
      <c r="C22" s="29">
        <v>-520033727.60000002</v>
      </c>
      <c r="D22" s="116">
        <v>-20311657.309999999</v>
      </c>
      <c r="E22" s="84">
        <v>-540345384.89999998</v>
      </c>
    </row>
    <row r="23" spans="1:5" ht="27" customHeight="1" thickBot="1">
      <c r="A23" s="65">
        <v>3</v>
      </c>
      <c r="B23" s="65" t="s">
        <v>1358</v>
      </c>
      <c r="C23" s="407">
        <v>8641854753.7999992</v>
      </c>
      <c r="D23" s="408">
        <v>320259171.45999998</v>
      </c>
      <c r="E23" s="33">
        <v>8962113925.2000008</v>
      </c>
    </row>
    <row r="24" spans="1:5" ht="20" customHeight="1" thickBot="1">
      <c r="A24" s="7" t="s">
        <v>1359</v>
      </c>
      <c r="B24" s="7" t="s">
        <v>1835</v>
      </c>
      <c r="C24" s="29">
        <v>405518593.14999998</v>
      </c>
      <c r="D24" s="116">
        <v>19416158.359999999</v>
      </c>
      <c r="E24" s="84">
        <v>424934751.50999999</v>
      </c>
    </row>
    <row r="25" spans="1:5" ht="20" customHeight="1" thickBot="1">
      <c r="A25" s="7">
        <v>48</v>
      </c>
      <c r="B25" s="7" t="s">
        <v>1836</v>
      </c>
      <c r="C25" s="29">
        <v>43789667.219999999</v>
      </c>
      <c r="D25" s="116">
        <v>2245879.13</v>
      </c>
      <c r="E25" s="84">
        <v>46035546.350000001</v>
      </c>
    </row>
    <row r="26" spans="1:5" ht="20" customHeight="1" thickBot="1">
      <c r="A26" s="7">
        <v>49</v>
      </c>
      <c r="B26" s="7" t="s">
        <v>1837</v>
      </c>
      <c r="C26" s="29">
        <v>-788740.58</v>
      </c>
      <c r="D26" s="116">
        <v>-45754.720000000001</v>
      </c>
      <c r="E26" s="84">
        <v>-834495.3</v>
      </c>
    </row>
    <row r="27" spans="1:5" ht="27" customHeight="1" thickBot="1">
      <c r="A27" s="65">
        <v>4</v>
      </c>
      <c r="B27" s="65" t="s">
        <v>1838</v>
      </c>
      <c r="C27" s="407">
        <v>448519519.79000002</v>
      </c>
      <c r="D27" s="408">
        <v>21616282.760000002</v>
      </c>
      <c r="E27" s="33">
        <v>470135802.55000001</v>
      </c>
    </row>
    <row r="28" spans="1:5" ht="27" customHeight="1" thickBot="1">
      <c r="A28" s="65" t="s">
        <v>1839</v>
      </c>
      <c r="B28" s="65" t="s">
        <v>1840</v>
      </c>
      <c r="C28" s="407">
        <v>9090374273.6000004</v>
      </c>
      <c r="D28" s="408">
        <v>341875454.22000003</v>
      </c>
      <c r="E28" s="33">
        <v>9432249727.7999992</v>
      </c>
    </row>
    <row r="29" spans="1:5" ht="27" customHeight="1" thickBot="1">
      <c r="A29" s="65"/>
      <c r="B29" s="65" t="s">
        <v>1841</v>
      </c>
      <c r="C29" s="407">
        <v>-1375074581</v>
      </c>
      <c r="D29" s="408">
        <v>50011410.810000002</v>
      </c>
      <c r="E29" s="33">
        <v>-1325063171</v>
      </c>
    </row>
    <row r="30" spans="1:5" ht="27" customHeight="1" thickBot="1">
      <c r="A30" s="65">
        <v>7</v>
      </c>
      <c r="B30" s="65" t="s">
        <v>1842</v>
      </c>
      <c r="C30" s="407">
        <v>119342598.83</v>
      </c>
      <c r="D30" s="408">
        <v>5761227.54</v>
      </c>
      <c r="E30" s="33">
        <v>125103826.37</v>
      </c>
    </row>
    <row r="31" spans="1:5" ht="34.5" customHeight="1" thickBot="1">
      <c r="A31" s="409"/>
      <c r="B31" s="409" t="s">
        <v>1843</v>
      </c>
      <c r="C31" s="410">
        <v>-1255731983</v>
      </c>
      <c r="D31" s="411">
        <v>55772638.350000001</v>
      </c>
      <c r="E31" s="412">
        <v>-1199959344</v>
      </c>
    </row>
    <row r="32" spans="1:5" ht="19.5" customHeight="1">
      <c r="A32" s="3" t="s">
        <v>1334</v>
      </c>
    </row>
    <row r="33" spans="1:1" ht="14.25" customHeight="1"/>
    <row r="34" spans="1:1" ht="19.5" customHeight="1">
      <c r="A34" s="3" t="s">
        <v>1518</v>
      </c>
    </row>
    <row r="36" spans="1:1">
      <c r="A36" s="3" t="s">
        <v>1525</v>
      </c>
    </row>
    <row r="39" spans="1:1">
      <c r="A39" s="3" t="s">
        <v>256</v>
      </c>
    </row>
  </sheetData>
  <phoneticPr fontId="0" type="noConversion"/>
  <pageMargins left="0.64" right="0.7" top="0.94" bottom="0.49" header="0.57999999999999996" footer="0.4921259845"/>
  <pageSetup paperSize="9" scale="82" orientation="portrait" horizontalDpi="1200" verticalDpi="1200"/>
  <headerFooter alignWithMargins="0">
    <oddHeader>&amp;L&amp;"Arial,Bold"Versicherte und Finanzen in der OKP</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4B3A1-82FB-4846-AAAB-B3A7CCDEEB51}">
  <sheetPr>
    <pageSetUpPr fitToPage="1"/>
  </sheetPr>
  <dimension ref="A1:E39"/>
  <sheetViews>
    <sheetView zoomScale="75" workbookViewId="0">
      <selection sqref="A1:E45"/>
    </sheetView>
  </sheetViews>
  <sheetFormatPr baseColWidth="10" defaultColWidth="11.3984375" defaultRowHeight="13"/>
  <cols>
    <col min="1" max="1" width="8.796875" style="3" customWidth="1"/>
    <col min="2" max="2" width="50.19921875" style="100" customWidth="1"/>
    <col min="3" max="3" width="16.796875" style="3" customWidth="1"/>
    <col min="4" max="4" width="16.796875" style="42" customWidth="1"/>
    <col min="5" max="5" width="17.3984375" style="42" customWidth="1"/>
    <col min="6" max="16384" width="11.3984375" style="3"/>
  </cols>
  <sheetData>
    <row r="1" spans="1:5" s="1" customFormat="1" ht="14" customHeight="1">
      <c r="B1" s="90"/>
      <c r="D1" s="101"/>
      <c r="E1" s="101"/>
    </row>
    <row r="2" spans="1:5" s="1" customFormat="1" ht="28" customHeight="1">
      <c r="A2" s="76" t="s">
        <v>1524</v>
      </c>
      <c r="B2" s="90"/>
      <c r="D2" s="101"/>
      <c r="E2" s="76">
        <v>2003</v>
      </c>
    </row>
    <row r="3" spans="1:5" ht="39" customHeight="1">
      <c r="A3" s="2" t="s">
        <v>1335</v>
      </c>
      <c r="B3" s="2"/>
      <c r="C3" s="69" t="s">
        <v>1336</v>
      </c>
      <c r="D3" s="60" t="s">
        <v>1337</v>
      </c>
      <c r="E3" s="13" t="s">
        <v>22</v>
      </c>
    </row>
    <row r="4" spans="1:5" ht="39" customHeight="1">
      <c r="A4" s="405"/>
      <c r="B4" s="390"/>
      <c r="C4" s="73" t="s">
        <v>1925</v>
      </c>
      <c r="D4" s="62" t="s">
        <v>1925</v>
      </c>
      <c r="E4" s="15" t="s">
        <v>1925</v>
      </c>
    </row>
    <row r="5" spans="1:5" ht="30" customHeight="1" thickBot="1">
      <c r="A5" s="6">
        <v>61</v>
      </c>
      <c r="B5" s="6" t="s">
        <v>336</v>
      </c>
      <c r="C5" s="19">
        <v>7237968770.8000002</v>
      </c>
      <c r="D5" s="86">
        <v>281675524.37</v>
      </c>
      <c r="E5" s="406">
        <v>7519644295.1000004</v>
      </c>
    </row>
    <row r="6" spans="1:5" ht="20" customHeight="1" thickBot="1">
      <c r="A6" s="7">
        <v>64</v>
      </c>
      <c r="B6" s="7" t="s">
        <v>1338</v>
      </c>
      <c r="C6" s="29">
        <v>-26689509.969999999</v>
      </c>
      <c r="D6" s="116">
        <v>-1042170.37</v>
      </c>
      <c r="E6" s="84">
        <v>-27731680.34</v>
      </c>
    </row>
    <row r="7" spans="1:5" ht="20" customHeight="1" thickBot="1">
      <c r="A7" s="7">
        <v>65</v>
      </c>
      <c r="B7" s="7" t="s">
        <v>1339</v>
      </c>
      <c r="C7" s="29">
        <v>-217082.85</v>
      </c>
      <c r="D7" s="116">
        <v>-17223.310000000001</v>
      </c>
      <c r="E7" s="84">
        <v>-234306.16</v>
      </c>
    </row>
    <row r="8" spans="1:5" ht="27" customHeight="1" thickBot="1">
      <c r="A8" s="65" t="s">
        <v>1340</v>
      </c>
      <c r="B8" s="65" t="s">
        <v>1341</v>
      </c>
      <c r="C8" s="407">
        <v>7211062177.8999996</v>
      </c>
      <c r="D8" s="408">
        <v>280616130.69</v>
      </c>
      <c r="E8" s="33">
        <v>7491678308.6000004</v>
      </c>
    </row>
    <row r="9" spans="1:5" ht="20" customHeight="1" thickBot="1">
      <c r="A9" s="7">
        <v>66</v>
      </c>
      <c r="B9" s="7" t="s">
        <v>1342</v>
      </c>
      <c r="C9" s="29">
        <v>-13158840.560000001</v>
      </c>
      <c r="D9" s="116">
        <v>-406957.41</v>
      </c>
      <c r="E9" s="84">
        <v>-13565797.970000001</v>
      </c>
    </row>
    <row r="10" spans="1:5" ht="27" customHeight="1" thickBot="1">
      <c r="A10" s="65" t="s">
        <v>1343</v>
      </c>
      <c r="B10" s="65" t="s">
        <v>1344</v>
      </c>
      <c r="C10" s="407">
        <v>7197903337.3999996</v>
      </c>
      <c r="D10" s="408">
        <v>280209173.27999997</v>
      </c>
      <c r="E10" s="33">
        <v>7478112510.6999998</v>
      </c>
    </row>
    <row r="11" spans="1:5" ht="20" customHeight="1" thickBot="1">
      <c r="A11" s="7">
        <v>67</v>
      </c>
      <c r="B11" s="7" t="s">
        <v>1345</v>
      </c>
      <c r="C11" s="29">
        <v>551524612.59000003</v>
      </c>
      <c r="D11" s="116">
        <v>23511073.82</v>
      </c>
      <c r="E11" s="84">
        <v>575035686.40999997</v>
      </c>
    </row>
    <row r="12" spans="1:5" ht="20" customHeight="1" thickBot="1">
      <c r="A12" s="7">
        <v>68</v>
      </c>
      <c r="B12" s="7" t="s">
        <v>1346</v>
      </c>
      <c r="C12" s="29">
        <v>-548932279.70000005</v>
      </c>
      <c r="D12" s="116">
        <v>-23366622.18</v>
      </c>
      <c r="E12" s="84">
        <v>-572298901.79999995</v>
      </c>
    </row>
    <row r="13" spans="1:5" ht="20" customHeight="1" thickBot="1">
      <c r="A13" s="7">
        <v>69</v>
      </c>
      <c r="B13" s="7" t="s">
        <v>1347</v>
      </c>
      <c r="C13" s="29">
        <v>15986400.32</v>
      </c>
      <c r="D13" s="116">
        <v>-369423.17</v>
      </c>
      <c r="E13" s="84">
        <v>15616977.15</v>
      </c>
    </row>
    <row r="14" spans="1:5" ht="27" customHeight="1" thickBot="1">
      <c r="A14" s="65">
        <v>6</v>
      </c>
      <c r="B14" s="65" t="s">
        <v>1348</v>
      </c>
      <c r="C14" s="407">
        <v>7216482070.6000004</v>
      </c>
      <c r="D14" s="408">
        <v>279984201.75999999</v>
      </c>
      <c r="E14" s="33">
        <v>7496466272.3999996</v>
      </c>
    </row>
    <row r="15" spans="1:5" ht="20" customHeight="1" thickBot="1">
      <c r="A15" s="7">
        <v>31</v>
      </c>
      <c r="B15" s="7" t="s">
        <v>338</v>
      </c>
      <c r="C15" s="29">
        <v>6279002603.3999996</v>
      </c>
      <c r="D15" s="116">
        <v>195092469.31</v>
      </c>
      <c r="E15" s="84">
        <v>6474095072.6999998</v>
      </c>
    </row>
    <row r="16" spans="1:5" ht="20" customHeight="1" thickBot="1">
      <c r="A16" s="7">
        <v>32</v>
      </c>
      <c r="B16" s="7" t="s">
        <v>1349</v>
      </c>
      <c r="C16" s="29">
        <v>-1305228417</v>
      </c>
      <c r="D16" s="116">
        <v>-36262943.670000002</v>
      </c>
      <c r="E16" s="84">
        <v>-1341491360</v>
      </c>
    </row>
    <row r="17" spans="1:5" ht="27" customHeight="1" thickBot="1">
      <c r="A17" s="65" t="s">
        <v>1350</v>
      </c>
      <c r="B17" s="65" t="s">
        <v>1351</v>
      </c>
      <c r="C17" s="407">
        <v>4973774186.6000004</v>
      </c>
      <c r="D17" s="408">
        <v>158829525.63999999</v>
      </c>
      <c r="E17" s="33">
        <v>5132603712.3000002</v>
      </c>
    </row>
    <row r="18" spans="1:5" ht="20" customHeight="1" thickBot="1">
      <c r="A18" s="7">
        <v>34</v>
      </c>
      <c r="B18" s="7" t="s">
        <v>1352</v>
      </c>
      <c r="C18" s="29">
        <v>18576402.239999998</v>
      </c>
      <c r="D18" s="116">
        <v>573468.43999999994</v>
      </c>
      <c r="E18" s="84">
        <v>19149870.68</v>
      </c>
    </row>
    <row r="19" spans="1:5" ht="20" customHeight="1" thickBot="1">
      <c r="A19" s="7">
        <v>35</v>
      </c>
      <c r="B19" s="7" t="s">
        <v>1353</v>
      </c>
      <c r="C19" s="29">
        <v>94946305.359999999</v>
      </c>
      <c r="D19" s="116">
        <v>2949816.5</v>
      </c>
      <c r="E19" s="84">
        <v>97896121.859999999</v>
      </c>
    </row>
    <row r="20" spans="1:5" ht="27" customHeight="1" thickBot="1">
      <c r="A20" s="65" t="s">
        <v>1354</v>
      </c>
      <c r="B20" s="65" t="s">
        <v>1355</v>
      </c>
      <c r="C20" s="407">
        <v>5087296894.1999998</v>
      </c>
      <c r="D20" s="408">
        <v>162352810.56999999</v>
      </c>
      <c r="E20" s="33">
        <v>5249649704.8000002</v>
      </c>
    </row>
    <row r="21" spans="1:5" ht="20" customHeight="1" thickBot="1">
      <c r="A21" s="7">
        <v>36</v>
      </c>
      <c r="B21" s="7" t="s">
        <v>1356</v>
      </c>
      <c r="C21" s="29">
        <v>-11805497.449999999</v>
      </c>
      <c r="D21" s="116">
        <v>-297488.33</v>
      </c>
      <c r="E21" s="84">
        <v>-12102985.779999999</v>
      </c>
    </row>
    <row r="22" spans="1:5" ht="20" customHeight="1" thickBot="1">
      <c r="A22" s="7">
        <v>37</v>
      </c>
      <c r="B22" s="7" t="s">
        <v>1357</v>
      </c>
      <c r="C22" s="29">
        <v>526660718.44999999</v>
      </c>
      <c r="D22" s="116">
        <v>8231470.7999999998</v>
      </c>
      <c r="E22" s="84">
        <v>534892189.25</v>
      </c>
    </row>
    <row r="23" spans="1:5" ht="27" customHeight="1" thickBot="1">
      <c r="A23" s="65">
        <v>3</v>
      </c>
      <c r="B23" s="65" t="s">
        <v>1358</v>
      </c>
      <c r="C23" s="407">
        <v>5602152115.1999998</v>
      </c>
      <c r="D23" s="408">
        <v>170286793.03999999</v>
      </c>
      <c r="E23" s="33">
        <v>5772438908.3000002</v>
      </c>
    </row>
    <row r="24" spans="1:5" ht="20" customHeight="1" thickBot="1">
      <c r="A24" s="7" t="s">
        <v>1359</v>
      </c>
      <c r="B24" s="7" t="s">
        <v>1835</v>
      </c>
      <c r="C24" s="29">
        <v>359824876.45999998</v>
      </c>
      <c r="D24" s="116">
        <v>13102774.76</v>
      </c>
      <c r="E24" s="84">
        <v>372927651.22000003</v>
      </c>
    </row>
    <row r="25" spans="1:5" ht="20" customHeight="1" thickBot="1">
      <c r="A25" s="7">
        <v>48</v>
      </c>
      <c r="B25" s="7" t="s">
        <v>1836</v>
      </c>
      <c r="C25" s="29">
        <v>34298966.909999996</v>
      </c>
      <c r="D25" s="116">
        <v>1368166.13</v>
      </c>
      <c r="E25" s="84">
        <v>35667133.039999999</v>
      </c>
    </row>
    <row r="26" spans="1:5" ht="20" customHeight="1" thickBot="1">
      <c r="A26" s="7">
        <v>49</v>
      </c>
      <c r="B26" s="7" t="s">
        <v>1837</v>
      </c>
      <c r="C26" s="29">
        <v>-1118196.07</v>
      </c>
      <c r="D26" s="116">
        <v>-38390.660000000003</v>
      </c>
      <c r="E26" s="84">
        <v>-1156586.73</v>
      </c>
    </row>
    <row r="27" spans="1:5" ht="27" customHeight="1" thickBot="1">
      <c r="A27" s="65">
        <v>4</v>
      </c>
      <c r="B27" s="65" t="s">
        <v>1838</v>
      </c>
      <c r="C27" s="407">
        <v>393005647.31</v>
      </c>
      <c r="D27" s="408">
        <v>14432550.23</v>
      </c>
      <c r="E27" s="33">
        <v>407438197.54000002</v>
      </c>
    </row>
    <row r="28" spans="1:5" ht="27" customHeight="1" thickBot="1">
      <c r="A28" s="65" t="s">
        <v>1839</v>
      </c>
      <c r="B28" s="65" t="s">
        <v>1840</v>
      </c>
      <c r="C28" s="407">
        <v>5995157762.5</v>
      </c>
      <c r="D28" s="408">
        <v>184719343.27000001</v>
      </c>
      <c r="E28" s="33">
        <v>6179877105.8000002</v>
      </c>
    </row>
    <row r="29" spans="1:5" ht="27" customHeight="1" thickBot="1">
      <c r="A29" s="65"/>
      <c r="B29" s="65" t="s">
        <v>1841</v>
      </c>
      <c r="C29" s="407">
        <v>1221324308.0999999</v>
      </c>
      <c r="D29" s="408">
        <v>95264858.5</v>
      </c>
      <c r="E29" s="33">
        <v>1316589166.5999999</v>
      </c>
    </row>
    <row r="30" spans="1:5" ht="27" customHeight="1" thickBot="1">
      <c r="A30" s="65">
        <v>7</v>
      </c>
      <c r="B30" s="65" t="s">
        <v>1842</v>
      </c>
      <c r="C30" s="407">
        <v>86611449.730000004</v>
      </c>
      <c r="D30" s="408">
        <v>3487606.2</v>
      </c>
      <c r="E30" s="33">
        <v>90099055.930000007</v>
      </c>
    </row>
    <row r="31" spans="1:5" ht="34.5" customHeight="1" thickBot="1">
      <c r="A31" s="409"/>
      <c r="B31" s="409" t="s">
        <v>1843</v>
      </c>
      <c r="C31" s="410">
        <v>1307935757.8</v>
      </c>
      <c r="D31" s="411">
        <v>98752464.689999998</v>
      </c>
      <c r="E31" s="412">
        <v>1406688222.5</v>
      </c>
    </row>
    <row r="32" spans="1:5" ht="19.5" customHeight="1">
      <c r="A32" s="3" t="s">
        <v>1334</v>
      </c>
    </row>
    <row r="34" spans="1:1">
      <c r="A34" s="3" t="s">
        <v>1518</v>
      </c>
    </row>
    <row r="36" spans="1:1">
      <c r="A36" s="3" t="s">
        <v>1523</v>
      </c>
    </row>
    <row r="39" spans="1:1">
      <c r="A39" s="3" t="s">
        <v>256</v>
      </c>
    </row>
  </sheetData>
  <phoneticPr fontId="0" type="noConversion"/>
  <pageMargins left="0.59" right="0.66" top="1.01" bottom="0.49" header="0.61" footer="0.4921259845"/>
  <pageSetup paperSize="9" scale="82" orientation="portrait" horizontalDpi="4294967292" verticalDpi="4294967292"/>
  <headerFooter alignWithMargins="0">
    <oddHeader>&amp;L&amp;"Arial,Bold"Versicherte und Finanzen in der OKP</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CBC00-3C4C-9341-900A-78CA879143C2}">
  <sheetPr>
    <pageSetUpPr fitToPage="1"/>
  </sheetPr>
  <dimension ref="A1:E39"/>
  <sheetViews>
    <sheetView zoomScale="75" workbookViewId="0">
      <selection sqref="A1:E306"/>
    </sheetView>
  </sheetViews>
  <sheetFormatPr baseColWidth="10" defaultColWidth="11.3984375" defaultRowHeight="13"/>
  <cols>
    <col min="1" max="1" width="8.796875" style="3" customWidth="1"/>
    <col min="2" max="2" width="52.19921875" style="100" customWidth="1"/>
    <col min="3" max="3" width="16.796875" style="3" customWidth="1"/>
    <col min="4" max="5" width="16.796875" style="42" customWidth="1"/>
    <col min="6" max="16384" width="11.3984375" style="3"/>
  </cols>
  <sheetData>
    <row r="1" spans="1:5" s="1" customFormat="1" ht="14" customHeight="1">
      <c r="B1" s="90"/>
      <c r="D1" s="101"/>
      <c r="E1" s="101"/>
    </row>
    <row r="2" spans="1:5" s="1" customFormat="1" ht="28" customHeight="1">
      <c r="A2" s="76" t="s">
        <v>1522</v>
      </c>
      <c r="B2" s="90"/>
      <c r="D2" s="101"/>
      <c r="E2" s="76">
        <v>2003</v>
      </c>
    </row>
    <row r="3" spans="1:5" ht="39" customHeight="1">
      <c r="A3" s="2" t="s">
        <v>1335</v>
      </c>
      <c r="B3" s="2"/>
      <c r="C3" s="69" t="s">
        <v>1336</v>
      </c>
      <c r="D3" s="60" t="s">
        <v>1337</v>
      </c>
      <c r="E3" s="404" t="s">
        <v>22</v>
      </c>
    </row>
    <row r="4" spans="1:5" ht="39" customHeight="1">
      <c r="A4" s="405"/>
      <c r="B4" s="390"/>
      <c r="C4" s="73" t="s">
        <v>1925</v>
      </c>
      <c r="D4" s="62" t="s">
        <v>1925</v>
      </c>
      <c r="E4" s="341" t="s">
        <v>1925</v>
      </c>
    </row>
    <row r="5" spans="1:5" ht="30" customHeight="1" thickBot="1">
      <c r="A5" s="6">
        <v>61</v>
      </c>
      <c r="B5" s="6" t="s">
        <v>336</v>
      </c>
      <c r="C5" s="19">
        <v>15897213.869999999</v>
      </c>
      <c r="D5" s="86">
        <v>502019.66</v>
      </c>
      <c r="E5" s="406">
        <v>16399233.529999999</v>
      </c>
    </row>
    <row r="6" spans="1:5" ht="20" customHeight="1" thickBot="1">
      <c r="A6" s="7">
        <v>64</v>
      </c>
      <c r="B6" s="7" t="s">
        <v>1338</v>
      </c>
      <c r="C6" s="29">
        <v>-53184.73</v>
      </c>
      <c r="D6" s="116">
        <v>-1681.79</v>
      </c>
      <c r="E6" s="84">
        <v>-54866.52</v>
      </c>
    </row>
    <row r="7" spans="1:5" ht="20" customHeight="1" thickBot="1">
      <c r="A7" s="7">
        <v>65</v>
      </c>
      <c r="B7" s="7" t="s">
        <v>1339</v>
      </c>
      <c r="C7" s="29">
        <v>2302.85</v>
      </c>
      <c r="D7" s="116">
        <v>64.45</v>
      </c>
      <c r="E7" s="84">
        <v>2367.3000000000002</v>
      </c>
    </row>
    <row r="8" spans="1:5" ht="26.25" customHeight="1" thickBot="1">
      <c r="A8" s="65" t="s">
        <v>1340</v>
      </c>
      <c r="B8" s="65" t="s">
        <v>1341</v>
      </c>
      <c r="C8" s="407">
        <v>15846331.99</v>
      </c>
      <c r="D8" s="408">
        <v>500402.32</v>
      </c>
      <c r="E8" s="33">
        <v>16346734.310000001</v>
      </c>
    </row>
    <row r="9" spans="1:5" ht="20" customHeight="1" thickBot="1">
      <c r="A9" s="7">
        <v>66</v>
      </c>
      <c r="B9" s="7" t="s">
        <v>1342</v>
      </c>
      <c r="C9" s="29">
        <v>0</v>
      </c>
      <c r="D9" s="116">
        <v>0</v>
      </c>
      <c r="E9" s="84">
        <v>0</v>
      </c>
    </row>
    <row r="10" spans="1:5" ht="27" customHeight="1" thickBot="1">
      <c r="A10" s="65" t="s">
        <v>1343</v>
      </c>
      <c r="B10" s="65" t="s">
        <v>1344</v>
      </c>
      <c r="C10" s="407">
        <v>15846331.99</v>
      </c>
      <c r="D10" s="408">
        <v>500402.32</v>
      </c>
      <c r="E10" s="33">
        <v>16346734.310000001</v>
      </c>
    </row>
    <row r="11" spans="1:5" ht="20" customHeight="1" thickBot="1">
      <c r="A11" s="7">
        <v>67</v>
      </c>
      <c r="B11" s="7" t="s">
        <v>1345</v>
      </c>
      <c r="C11" s="29">
        <v>665673.65</v>
      </c>
      <c r="D11" s="116">
        <v>23818.75</v>
      </c>
      <c r="E11" s="84">
        <v>689492.4</v>
      </c>
    </row>
    <row r="12" spans="1:5" ht="20" customHeight="1" thickBot="1">
      <c r="A12" s="7">
        <v>68</v>
      </c>
      <c r="B12" s="7" t="s">
        <v>1346</v>
      </c>
      <c r="C12" s="29">
        <v>-668133.11</v>
      </c>
      <c r="D12" s="116">
        <v>-23897.79</v>
      </c>
      <c r="E12" s="84">
        <v>-692030.9</v>
      </c>
    </row>
    <row r="13" spans="1:5" ht="20" customHeight="1" thickBot="1">
      <c r="A13" s="7">
        <v>69</v>
      </c>
      <c r="B13" s="7" t="s">
        <v>1347</v>
      </c>
      <c r="C13" s="29">
        <v>13004.65</v>
      </c>
      <c r="D13" s="116">
        <v>482.67</v>
      </c>
      <c r="E13" s="84">
        <v>13487.32</v>
      </c>
    </row>
    <row r="14" spans="1:5" ht="27" customHeight="1" thickBot="1">
      <c r="A14" s="65">
        <v>6</v>
      </c>
      <c r="B14" s="65" t="s">
        <v>1348</v>
      </c>
      <c r="C14" s="407">
        <v>15856877.18</v>
      </c>
      <c r="D14" s="408">
        <v>500805.95</v>
      </c>
      <c r="E14" s="33">
        <v>16357683.130000001</v>
      </c>
    </row>
    <row r="15" spans="1:5" ht="20" customHeight="1" thickBot="1">
      <c r="A15" s="7">
        <v>31</v>
      </c>
      <c r="B15" s="7" t="s">
        <v>338</v>
      </c>
      <c r="C15" s="29">
        <v>8006441.2699999996</v>
      </c>
      <c r="D15" s="116">
        <v>282566.13</v>
      </c>
      <c r="E15" s="84">
        <v>8289007.4000000004</v>
      </c>
    </row>
    <row r="16" spans="1:5" ht="20" customHeight="1" thickBot="1">
      <c r="A16" s="7">
        <v>32</v>
      </c>
      <c r="B16" s="7" t="s">
        <v>1349</v>
      </c>
      <c r="C16" s="29">
        <v>-1180204.93</v>
      </c>
      <c r="D16" s="116">
        <v>-40447.39</v>
      </c>
      <c r="E16" s="84">
        <v>-1220652.32</v>
      </c>
    </row>
    <row r="17" spans="1:5" ht="27" customHeight="1" thickBot="1">
      <c r="A17" s="65" t="s">
        <v>1350</v>
      </c>
      <c r="B17" s="65" t="s">
        <v>1351</v>
      </c>
      <c r="C17" s="407">
        <v>6826236.3399999999</v>
      </c>
      <c r="D17" s="408">
        <v>242118.74</v>
      </c>
      <c r="E17" s="33">
        <v>7068355.0800000001</v>
      </c>
    </row>
    <row r="18" spans="1:5" ht="20" customHeight="1" thickBot="1">
      <c r="A18" s="7">
        <v>34</v>
      </c>
      <c r="B18" s="7" t="s">
        <v>1352</v>
      </c>
      <c r="C18" s="29">
        <v>6919.46</v>
      </c>
      <c r="D18" s="116">
        <v>213.32</v>
      </c>
      <c r="E18" s="84">
        <v>7132.78</v>
      </c>
    </row>
    <row r="19" spans="1:5" ht="20" customHeight="1" thickBot="1">
      <c r="A19" s="7">
        <v>35</v>
      </c>
      <c r="B19" s="7" t="s">
        <v>1353</v>
      </c>
      <c r="C19" s="29">
        <v>44702.3</v>
      </c>
      <c r="D19" s="116">
        <v>1539.39</v>
      </c>
      <c r="E19" s="84">
        <v>46241.69</v>
      </c>
    </row>
    <row r="20" spans="1:5" ht="27" customHeight="1" thickBot="1">
      <c r="A20" s="65" t="s">
        <v>1354</v>
      </c>
      <c r="B20" s="65" t="s">
        <v>1355</v>
      </c>
      <c r="C20" s="407">
        <v>6877858.0999999996</v>
      </c>
      <c r="D20" s="408">
        <v>243871.45</v>
      </c>
      <c r="E20" s="33">
        <v>7121729.5499999998</v>
      </c>
    </row>
    <row r="21" spans="1:5" ht="20" customHeight="1" thickBot="1">
      <c r="A21" s="7">
        <v>36</v>
      </c>
      <c r="B21" s="7" t="s">
        <v>1356</v>
      </c>
      <c r="C21" s="29">
        <v>0</v>
      </c>
      <c r="D21" s="116">
        <v>0</v>
      </c>
      <c r="E21" s="84">
        <v>0</v>
      </c>
    </row>
    <row r="22" spans="1:5" ht="20" customHeight="1" thickBot="1">
      <c r="A22" s="7">
        <v>37</v>
      </c>
      <c r="B22" s="7" t="s">
        <v>1357</v>
      </c>
      <c r="C22" s="29">
        <v>3788259.12</v>
      </c>
      <c r="D22" s="116">
        <v>138411.9</v>
      </c>
      <c r="E22" s="84">
        <v>3926671.02</v>
      </c>
    </row>
    <row r="23" spans="1:5" ht="26.25" customHeight="1" thickBot="1">
      <c r="A23" s="65">
        <v>3</v>
      </c>
      <c r="B23" s="65" t="s">
        <v>1358</v>
      </c>
      <c r="C23" s="407">
        <v>10666117.220000001</v>
      </c>
      <c r="D23" s="408">
        <v>382283.35</v>
      </c>
      <c r="E23" s="33">
        <v>11048400.57</v>
      </c>
    </row>
    <row r="24" spans="1:5" ht="20" customHeight="1" thickBot="1">
      <c r="A24" s="7" t="s">
        <v>1359</v>
      </c>
      <c r="B24" s="7" t="s">
        <v>1835</v>
      </c>
      <c r="C24" s="29">
        <v>549168.57999999996</v>
      </c>
      <c r="D24" s="116">
        <v>17805.52</v>
      </c>
      <c r="E24" s="84">
        <v>566974.1</v>
      </c>
    </row>
    <row r="25" spans="1:5" ht="20" customHeight="1" thickBot="1">
      <c r="A25" s="7">
        <v>48</v>
      </c>
      <c r="B25" s="7" t="s">
        <v>1836</v>
      </c>
      <c r="C25" s="29">
        <v>121083.95</v>
      </c>
      <c r="D25" s="116">
        <v>4311.24</v>
      </c>
      <c r="E25" s="84">
        <v>125395.19</v>
      </c>
    </row>
    <row r="26" spans="1:5" ht="20" customHeight="1" thickBot="1">
      <c r="A26" s="7">
        <v>49</v>
      </c>
      <c r="B26" s="7" t="s">
        <v>1837</v>
      </c>
      <c r="C26" s="29">
        <v>-5825.61</v>
      </c>
      <c r="D26" s="116">
        <v>-220.36</v>
      </c>
      <c r="E26" s="84">
        <v>-6045.97</v>
      </c>
    </row>
    <row r="27" spans="1:5" ht="27" customHeight="1" thickBot="1">
      <c r="A27" s="65">
        <v>4</v>
      </c>
      <c r="B27" s="65" t="s">
        <v>1838</v>
      </c>
      <c r="C27" s="407">
        <v>664426.92000000004</v>
      </c>
      <c r="D27" s="408">
        <v>21896.400000000001</v>
      </c>
      <c r="E27" s="33">
        <v>686323.32</v>
      </c>
    </row>
    <row r="28" spans="1:5" ht="27" customHeight="1" thickBot="1">
      <c r="A28" s="65" t="s">
        <v>1839</v>
      </c>
      <c r="B28" s="65" t="s">
        <v>1840</v>
      </c>
      <c r="C28" s="407">
        <v>11330544.140000001</v>
      </c>
      <c r="D28" s="408">
        <v>404179.75</v>
      </c>
      <c r="E28" s="33">
        <v>11734723.890000001</v>
      </c>
    </row>
    <row r="29" spans="1:5" ht="27" customHeight="1" thickBot="1">
      <c r="A29" s="65"/>
      <c r="B29" s="65" t="s">
        <v>1841</v>
      </c>
      <c r="C29" s="407">
        <v>4526333.04</v>
      </c>
      <c r="D29" s="408">
        <v>96626.2</v>
      </c>
      <c r="E29" s="33">
        <v>4622959.24</v>
      </c>
    </row>
    <row r="30" spans="1:5" ht="27" customHeight="1" thickBot="1">
      <c r="A30" s="65">
        <v>7</v>
      </c>
      <c r="B30" s="65" t="s">
        <v>1842</v>
      </c>
      <c r="C30" s="407">
        <v>212636.08</v>
      </c>
      <c r="D30" s="408">
        <v>6895</v>
      </c>
      <c r="E30" s="33">
        <v>219531.08</v>
      </c>
    </row>
    <row r="31" spans="1:5" ht="34.5" customHeight="1" thickBot="1">
      <c r="A31" s="409"/>
      <c r="B31" s="409" t="s">
        <v>1843</v>
      </c>
      <c r="C31" s="410">
        <v>4738969.12</v>
      </c>
      <c r="D31" s="411">
        <v>103521.2</v>
      </c>
      <c r="E31" s="412">
        <v>4842490.32</v>
      </c>
    </row>
    <row r="32" spans="1:5" ht="20.25" customHeight="1">
      <c r="A32" s="3" t="s">
        <v>1334</v>
      </c>
    </row>
    <row r="34" spans="1:1">
      <c r="A34" s="3" t="s">
        <v>1518</v>
      </c>
    </row>
    <row r="36" spans="1:1">
      <c r="A36" s="3" t="s">
        <v>1521</v>
      </c>
    </row>
    <row r="39" spans="1:1">
      <c r="A39" s="3" t="s">
        <v>256</v>
      </c>
    </row>
  </sheetData>
  <phoneticPr fontId="0" type="noConversion"/>
  <pageMargins left="0.64" right="0.7" top="0.9" bottom="0.49" header="0.51" footer="0.4921259845"/>
  <pageSetup paperSize="9" scale="80" orientation="portrait" horizontalDpi="4294967292" verticalDpi="4294967292"/>
  <headerFooter alignWithMargins="0">
    <oddHeader>&amp;L&amp;"Arial,Bold"Versicherte und Finanzen in der OKP</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BB630-504F-574A-B349-8ECD9B477675}">
  <sheetPr>
    <pageSetUpPr fitToPage="1"/>
  </sheetPr>
  <dimension ref="A1:E39"/>
  <sheetViews>
    <sheetView zoomScale="75" workbookViewId="0">
      <selection sqref="A1:E43"/>
    </sheetView>
  </sheetViews>
  <sheetFormatPr baseColWidth="10" defaultColWidth="11.3984375" defaultRowHeight="13"/>
  <cols>
    <col min="1" max="1" width="8.796875" style="3" customWidth="1"/>
    <col min="2" max="2" width="48.796875" style="100" customWidth="1"/>
    <col min="3" max="3" width="16.796875" style="3" customWidth="1"/>
    <col min="4" max="5" width="16.796875" style="42" customWidth="1"/>
    <col min="6" max="16384" width="11.3984375" style="3"/>
  </cols>
  <sheetData>
    <row r="1" spans="1:5" s="1" customFormat="1" ht="14" customHeight="1">
      <c r="B1" s="90"/>
      <c r="D1" s="101"/>
      <c r="E1" s="101"/>
    </row>
    <row r="2" spans="1:5" s="1" customFormat="1" ht="42" customHeight="1">
      <c r="A2" s="1473" t="s">
        <v>1520</v>
      </c>
      <c r="B2" s="1475"/>
      <c r="C2" s="1475"/>
      <c r="D2" s="1475"/>
      <c r="E2" s="76">
        <v>2003</v>
      </c>
    </row>
    <row r="3" spans="1:5" ht="39" customHeight="1">
      <c r="A3" s="2" t="s">
        <v>1335</v>
      </c>
      <c r="B3" s="2"/>
      <c r="C3" s="69" t="s">
        <v>1336</v>
      </c>
      <c r="D3" s="60" t="s">
        <v>1337</v>
      </c>
      <c r="E3" s="404" t="s">
        <v>22</v>
      </c>
    </row>
    <row r="4" spans="1:5" ht="39" customHeight="1">
      <c r="A4" s="405"/>
      <c r="B4" s="390"/>
      <c r="C4" s="73" t="s">
        <v>1925</v>
      </c>
      <c r="D4" s="62" t="s">
        <v>1925</v>
      </c>
      <c r="E4" s="341" t="s">
        <v>1925</v>
      </c>
    </row>
    <row r="5" spans="1:5" ht="30" customHeight="1" thickBot="1">
      <c r="A5" s="6">
        <v>61</v>
      </c>
      <c r="B5" s="6" t="s">
        <v>336</v>
      </c>
      <c r="C5" s="19">
        <v>1123203696.2</v>
      </c>
      <c r="D5" s="86">
        <v>41170009.799999997</v>
      </c>
      <c r="E5" s="406">
        <v>1164373706</v>
      </c>
    </row>
    <row r="6" spans="1:5" ht="20" customHeight="1" thickBot="1">
      <c r="A6" s="7">
        <v>64</v>
      </c>
      <c r="B6" s="7" t="s">
        <v>1338</v>
      </c>
      <c r="C6" s="29">
        <v>-3988992.27</v>
      </c>
      <c r="D6" s="116">
        <v>-155263.29999999999</v>
      </c>
      <c r="E6" s="84">
        <v>-4144255.57</v>
      </c>
    </row>
    <row r="7" spans="1:5" ht="20" customHeight="1" thickBot="1">
      <c r="A7" s="7">
        <v>65</v>
      </c>
      <c r="B7" s="7" t="s">
        <v>1339</v>
      </c>
      <c r="C7" s="29">
        <v>184765.11</v>
      </c>
      <c r="D7" s="116">
        <v>2994.51</v>
      </c>
      <c r="E7" s="84">
        <v>187759.62</v>
      </c>
    </row>
    <row r="8" spans="1:5" ht="27" customHeight="1" thickBot="1">
      <c r="A8" s="65" t="s">
        <v>1340</v>
      </c>
      <c r="B8" s="65" t="s">
        <v>1341</v>
      </c>
      <c r="C8" s="407">
        <v>1119399469</v>
      </c>
      <c r="D8" s="408">
        <v>41017741.020000003</v>
      </c>
      <c r="E8" s="33">
        <v>1160417210</v>
      </c>
    </row>
    <row r="9" spans="1:5" ht="20" customHeight="1" thickBot="1">
      <c r="A9" s="7">
        <v>66</v>
      </c>
      <c r="B9" s="7" t="s">
        <v>1342</v>
      </c>
      <c r="C9" s="29">
        <v>-1116977.8</v>
      </c>
      <c r="D9" s="116">
        <v>-39757.550000000003</v>
      </c>
      <c r="E9" s="84">
        <v>-1156735.3500000001</v>
      </c>
    </row>
    <row r="10" spans="1:5" ht="30" customHeight="1" thickBot="1">
      <c r="A10" s="65" t="s">
        <v>1343</v>
      </c>
      <c r="B10" s="65" t="s">
        <v>1344</v>
      </c>
      <c r="C10" s="407">
        <v>1118282491.2</v>
      </c>
      <c r="D10" s="408">
        <v>40977983.469999999</v>
      </c>
      <c r="E10" s="33">
        <v>1159260474.7</v>
      </c>
    </row>
    <row r="11" spans="1:5" ht="20" customHeight="1" thickBot="1">
      <c r="A11" s="7">
        <v>67</v>
      </c>
      <c r="B11" s="7" t="s">
        <v>1345</v>
      </c>
      <c r="C11" s="29">
        <v>94734543.5</v>
      </c>
      <c r="D11" s="116">
        <v>3497911.17</v>
      </c>
      <c r="E11" s="84">
        <v>98232454.670000002</v>
      </c>
    </row>
    <row r="12" spans="1:5" ht="20" customHeight="1" thickBot="1">
      <c r="A12" s="7">
        <v>68</v>
      </c>
      <c r="B12" s="7" t="s">
        <v>1346</v>
      </c>
      <c r="C12" s="29">
        <v>-92107421.859999999</v>
      </c>
      <c r="D12" s="116">
        <v>-3368990.18</v>
      </c>
      <c r="E12" s="84">
        <v>-95476412.040000007</v>
      </c>
    </row>
    <row r="13" spans="1:5" ht="20" customHeight="1" thickBot="1">
      <c r="A13" s="7">
        <v>69</v>
      </c>
      <c r="B13" s="7" t="s">
        <v>1347</v>
      </c>
      <c r="C13" s="29">
        <v>4188118.58</v>
      </c>
      <c r="D13" s="116">
        <v>192881.3</v>
      </c>
      <c r="E13" s="84">
        <v>4380999.88</v>
      </c>
    </row>
    <row r="14" spans="1:5" ht="27" customHeight="1" thickBot="1">
      <c r="A14" s="65">
        <v>6</v>
      </c>
      <c r="B14" s="65" t="s">
        <v>1348</v>
      </c>
      <c r="C14" s="407">
        <v>1125097731.4000001</v>
      </c>
      <c r="D14" s="408">
        <v>41299785.759999998</v>
      </c>
      <c r="E14" s="33">
        <v>1166397517.2</v>
      </c>
    </row>
    <row r="15" spans="1:5" ht="20" customHeight="1" thickBot="1">
      <c r="A15" s="7">
        <v>31</v>
      </c>
      <c r="B15" s="7" t="s">
        <v>338</v>
      </c>
      <c r="C15" s="29">
        <v>1003314788.6</v>
      </c>
      <c r="D15" s="116">
        <v>38013537.68</v>
      </c>
      <c r="E15" s="84">
        <v>1041328326.3</v>
      </c>
    </row>
    <row r="16" spans="1:5" ht="20" customHeight="1" thickBot="1">
      <c r="A16" s="7">
        <v>32</v>
      </c>
      <c r="B16" s="7" t="s">
        <v>1349</v>
      </c>
      <c r="C16" s="29">
        <v>-161234979.59999999</v>
      </c>
      <c r="D16" s="116">
        <v>-4626793.63</v>
      </c>
      <c r="E16" s="84">
        <v>-165861773.30000001</v>
      </c>
    </row>
    <row r="17" spans="1:5" ht="27" customHeight="1" thickBot="1">
      <c r="A17" s="65" t="s">
        <v>1350</v>
      </c>
      <c r="B17" s="65" t="s">
        <v>1351</v>
      </c>
      <c r="C17" s="407">
        <v>842079808.95000005</v>
      </c>
      <c r="D17" s="408">
        <v>33386744.050000001</v>
      </c>
      <c r="E17" s="33">
        <v>875466553</v>
      </c>
    </row>
    <row r="18" spans="1:5" ht="20" customHeight="1" thickBot="1">
      <c r="A18" s="7">
        <v>34</v>
      </c>
      <c r="B18" s="7" t="s">
        <v>1352</v>
      </c>
      <c r="C18" s="29">
        <v>-8183910.3300000001</v>
      </c>
      <c r="D18" s="116">
        <v>-284591.09999999998</v>
      </c>
      <c r="E18" s="84">
        <v>-8468501.4299999997</v>
      </c>
    </row>
    <row r="19" spans="1:5" ht="20" customHeight="1" thickBot="1">
      <c r="A19" s="7">
        <v>35</v>
      </c>
      <c r="B19" s="7" t="s">
        <v>1353</v>
      </c>
      <c r="C19" s="29">
        <v>-9655425.2400000002</v>
      </c>
      <c r="D19" s="116">
        <v>-390969.18</v>
      </c>
      <c r="E19" s="84">
        <v>-10046394.42</v>
      </c>
    </row>
    <row r="20" spans="1:5" ht="27" customHeight="1" thickBot="1">
      <c r="A20" s="65" t="s">
        <v>1354</v>
      </c>
      <c r="B20" s="65" t="s">
        <v>1355</v>
      </c>
      <c r="C20" s="407">
        <v>824240473.38</v>
      </c>
      <c r="D20" s="408">
        <v>32711183.780000001</v>
      </c>
      <c r="E20" s="33">
        <v>856951657.15999997</v>
      </c>
    </row>
    <row r="21" spans="1:5" ht="20" customHeight="1" thickBot="1">
      <c r="A21" s="7">
        <v>36</v>
      </c>
      <c r="B21" s="7" t="s">
        <v>1356</v>
      </c>
      <c r="C21" s="29">
        <v>-633826.93000000005</v>
      </c>
      <c r="D21" s="116">
        <v>-27500</v>
      </c>
      <c r="E21" s="84">
        <v>-661326.93000000005</v>
      </c>
    </row>
    <row r="22" spans="1:5" ht="20" customHeight="1" thickBot="1">
      <c r="A22" s="7">
        <v>37</v>
      </c>
      <c r="B22" s="7" t="s">
        <v>1357</v>
      </c>
      <c r="C22" s="29">
        <v>71024405.400000006</v>
      </c>
      <c r="D22" s="116">
        <v>1957063.47</v>
      </c>
      <c r="E22" s="84">
        <v>72981468.870000005</v>
      </c>
    </row>
    <row r="23" spans="1:5" ht="27" customHeight="1" thickBot="1">
      <c r="A23" s="65">
        <v>3</v>
      </c>
      <c r="B23" s="65" t="s">
        <v>1358</v>
      </c>
      <c r="C23" s="407">
        <v>894631051.84000003</v>
      </c>
      <c r="D23" s="408">
        <v>34640747.25</v>
      </c>
      <c r="E23" s="33">
        <v>929271799.09000003</v>
      </c>
    </row>
    <row r="24" spans="1:5" ht="20" customHeight="1" thickBot="1">
      <c r="A24" s="7" t="s">
        <v>1359</v>
      </c>
      <c r="B24" s="7" t="s">
        <v>1835</v>
      </c>
      <c r="C24" s="29">
        <v>62668349.649999999</v>
      </c>
      <c r="D24" s="116">
        <v>2283961.38</v>
      </c>
      <c r="E24" s="84">
        <v>64952311.030000001</v>
      </c>
    </row>
    <row r="25" spans="1:5" ht="20" customHeight="1" thickBot="1">
      <c r="A25" s="7">
        <v>48</v>
      </c>
      <c r="B25" s="7" t="s">
        <v>1836</v>
      </c>
      <c r="C25" s="29">
        <v>3769754.57</v>
      </c>
      <c r="D25" s="116">
        <v>154341.70000000001</v>
      </c>
      <c r="E25" s="84">
        <v>3924096.27</v>
      </c>
    </row>
    <row r="26" spans="1:5" ht="20" customHeight="1" thickBot="1">
      <c r="A26" s="7">
        <v>49</v>
      </c>
      <c r="B26" s="7" t="s">
        <v>1837</v>
      </c>
      <c r="C26" s="29">
        <v>-380215.9</v>
      </c>
      <c r="D26" s="116">
        <v>-8700.4</v>
      </c>
      <c r="E26" s="84">
        <v>-388916.3</v>
      </c>
    </row>
    <row r="27" spans="1:5" ht="27" customHeight="1" thickBot="1">
      <c r="A27" s="65">
        <v>4</v>
      </c>
      <c r="B27" s="65" t="s">
        <v>1838</v>
      </c>
      <c r="C27" s="407">
        <v>66057888.329999998</v>
      </c>
      <c r="D27" s="408">
        <v>2429602.6800000002</v>
      </c>
      <c r="E27" s="33">
        <v>68487491.010000005</v>
      </c>
    </row>
    <row r="28" spans="1:5" ht="27" customHeight="1" thickBot="1">
      <c r="A28" s="65" t="s">
        <v>1839</v>
      </c>
      <c r="B28" s="65" t="s">
        <v>1840</v>
      </c>
      <c r="C28" s="407">
        <v>960688940.17999995</v>
      </c>
      <c r="D28" s="408">
        <v>37070349.920000002</v>
      </c>
      <c r="E28" s="33">
        <v>997759290.10000002</v>
      </c>
    </row>
    <row r="29" spans="1:5" ht="27" customHeight="1" thickBot="1">
      <c r="A29" s="65"/>
      <c r="B29" s="65" t="s">
        <v>1841</v>
      </c>
      <c r="C29" s="407">
        <v>164408791.25999999</v>
      </c>
      <c r="D29" s="408">
        <v>4229435.84</v>
      </c>
      <c r="E29" s="33">
        <v>168638227.09999999</v>
      </c>
    </row>
    <row r="30" spans="1:5" ht="27" customHeight="1" thickBot="1">
      <c r="A30" s="65">
        <v>7</v>
      </c>
      <c r="B30" s="65" t="s">
        <v>1842</v>
      </c>
      <c r="C30" s="407">
        <v>18816039.120000001</v>
      </c>
      <c r="D30" s="408">
        <v>704301.28</v>
      </c>
      <c r="E30" s="33">
        <v>19520340.399999999</v>
      </c>
    </row>
    <row r="31" spans="1:5" ht="34.5" customHeight="1" thickBot="1">
      <c r="A31" s="409"/>
      <c r="B31" s="409" t="s">
        <v>1843</v>
      </c>
      <c r="C31" s="410">
        <v>183224830.38999999</v>
      </c>
      <c r="D31" s="411">
        <v>4933737.12</v>
      </c>
      <c r="E31" s="412">
        <v>188158567.50999999</v>
      </c>
    </row>
    <row r="32" spans="1:5">
      <c r="A32" s="3" t="s">
        <v>1334</v>
      </c>
    </row>
    <row r="34" spans="1:1">
      <c r="A34" s="3" t="s">
        <v>1518</v>
      </c>
    </row>
    <row r="36" spans="1:1">
      <c r="A36" s="3" t="s">
        <v>1519</v>
      </c>
    </row>
    <row r="39" spans="1:1">
      <c r="A39" s="3" t="s">
        <v>256</v>
      </c>
    </row>
  </sheetData>
  <mergeCells count="1">
    <mergeCell ref="A2:D2"/>
  </mergeCells>
  <phoneticPr fontId="0" type="noConversion"/>
  <pageMargins left="0.64" right="0.56000000000000005" top="0.96" bottom="0.49" header="0.53" footer="0.4921259845"/>
  <pageSetup paperSize="9" scale="84" orientation="portrait" horizontalDpi="4294967292" verticalDpi="4294967292"/>
  <headerFooter alignWithMargins="0">
    <oddHeader>&amp;L&amp;"Arial,Bold"Versicherte und Finanzen in der OKP</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B7470-1DE1-6244-B17D-9DB6ED5A46E9}">
  <sheetPr>
    <pageSetUpPr fitToPage="1"/>
  </sheetPr>
  <dimension ref="A1:K26"/>
  <sheetViews>
    <sheetView topLeftCell="A7" zoomScale="75" workbookViewId="0">
      <selection activeCell="A4" sqref="A4"/>
    </sheetView>
  </sheetViews>
  <sheetFormatPr baseColWidth="10" defaultColWidth="11.3984375" defaultRowHeight="13"/>
  <cols>
    <col min="1" max="1" width="14.3984375" style="3" customWidth="1"/>
    <col min="2" max="2" width="15.59765625" style="3" customWidth="1"/>
    <col min="3" max="5" width="15.3984375" style="3" customWidth="1"/>
    <col min="6" max="6" width="15.3984375" style="460" customWidth="1"/>
    <col min="7" max="7" width="15.3984375" style="3" customWidth="1"/>
    <col min="8" max="16384" width="11.3984375" style="3"/>
  </cols>
  <sheetData>
    <row r="1" spans="1:11" s="1" customFormat="1" ht="14" customHeight="1">
      <c r="F1" s="440"/>
    </row>
    <row r="2" spans="1:11" s="1" customFormat="1" ht="28" customHeight="1">
      <c r="A2" s="59" t="s">
        <v>756</v>
      </c>
      <c r="F2" s="440"/>
    </row>
    <row r="3" spans="1:11" ht="24" customHeight="1">
      <c r="A3" s="2" t="s">
        <v>2102</v>
      </c>
      <c r="B3" s="69" t="s">
        <v>742</v>
      </c>
      <c r="C3" s="16" t="s">
        <v>24</v>
      </c>
      <c r="D3" s="69" t="s">
        <v>762</v>
      </c>
      <c r="E3" s="16" t="s">
        <v>24</v>
      </c>
      <c r="F3" s="441" t="s">
        <v>757</v>
      </c>
      <c r="G3" s="16" t="s">
        <v>24</v>
      </c>
    </row>
    <row r="4" spans="1:11" ht="15" customHeight="1">
      <c r="A4" s="77"/>
      <c r="B4" s="14" t="s">
        <v>342</v>
      </c>
      <c r="C4" s="17" t="s">
        <v>25</v>
      </c>
      <c r="D4" s="14" t="s">
        <v>758</v>
      </c>
      <c r="E4" s="17" t="s">
        <v>25</v>
      </c>
      <c r="F4" s="442" t="s">
        <v>763</v>
      </c>
      <c r="G4" s="17" t="s">
        <v>25</v>
      </c>
    </row>
    <row r="5" spans="1:11" ht="15" customHeight="1">
      <c r="A5" s="77"/>
      <c r="B5" s="70" t="s">
        <v>1925</v>
      </c>
      <c r="C5" s="17" t="s">
        <v>26</v>
      </c>
      <c r="D5" s="70" t="s">
        <v>759</v>
      </c>
      <c r="E5" s="17" t="s">
        <v>26</v>
      </c>
      <c r="F5" s="442"/>
      <c r="G5" s="17" t="s">
        <v>26</v>
      </c>
    </row>
    <row r="6" spans="1:11" ht="24" customHeight="1">
      <c r="A6" s="78"/>
      <c r="B6" s="73"/>
      <c r="C6" s="18"/>
      <c r="D6" s="73" t="s">
        <v>1921</v>
      </c>
      <c r="E6" s="18"/>
      <c r="F6" s="443"/>
      <c r="G6" s="18"/>
    </row>
    <row r="7" spans="1:11" ht="30" customHeight="1" thickBot="1">
      <c r="A7" s="79">
        <v>1994</v>
      </c>
      <c r="B7" s="675" t="s">
        <v>258</v>
      </c>
      <c r="C7" s="300" t="s">
        <v>258</v>
      </c>
      <c r="D7" s="675" t="s">
        <v>258</v>
      </c>
      <c r="E7" s="300" t="s">
        <v>258</v>
      </c>
      <c r="F7" s="301" t="s">
        <v>258</v>
      </c>
      <c r="G7" s="300" t="s">
        <v>258</v>
      </c>
      <c r="H7" s="42"/>
    </row>
    <row r="8" spans="1:11" ht="20" customHeight="1" thickBot="1">
      <c r="A8" s="80">
        <v>1995</v>
      </c>
      <c r="B8" s="29" t="s">
        <v>258</v>
      </c>
      <c r="C8" s="25" t="s">
        <v>258</v>
      </c>
      <c r="D8" s="29" t="s">
        <v>258</v>
      </c>
      <c r="E8" s="25" t="s">
        <v>258</v>
      </c>
      <c r="F8" s="381" t="s">
        <v>258</v>
      </c>
      <c r="G8" s="25" t="s">
        <v>258</v>
      </c>
      <c r="H8" s="42"/>
    </row>
    <row r="9" spans="1:11" ht="20" customHeight="1" thickBot="1">
      <c r="A9" s="80">
        <v>1996</v>
      </c>
      <c r="B9" s="29">
        <v>2856077149.5999999</v>
      </c>
      <c r="C9" s="25" t="s">
        <v>258</v>
      </c>
      <c r="D9" s="29">
        <v>396.96661617617502</v>
      </c>
      <c r="E9" s="25" t="s">
        <v>258</v>
      </c>
      <c r="F9" s="381">
        <v>0.25659604678130066</v>
      </c>
      <c r="G9" s="25" t="s">
        <v>258</v>
      </c>
    </row>
    <row r="10" spans="1:11" ht="20" customHeight="1" thickBot="1">
      <c r="A10" s="80">
        <v>1997</v>
      </c>
      <c r="B10" s="29">
        <v>2991879965.3000002</v>
      </c>
      <c r="C10" s="25">
        <v>4.7548721055738909E-2</v>
      </c>
      <c r="D10" s="29">
        <v>414.68618560030387</v>
      </c>
      <c r="E10" s="25">
        <v>4.4637429703320061E-2</v>
      </c>
      <c r="F10" s="381">
        <v>0.24848089473110047</v>
      </c>
      <c r="G10" s="25">
        <v>-3.1626177222897033E-2</v>
      </c>
      <c r="I10" s="43"/>
      <c r="J10" s="43"/>
      <c r="K10" s="43"/>
    </row>
    <row r="11" spans="1:11" ht="20" customHeight="1" thickBot="1">
      <c r="A11" s="80">
        <v>1998</v>
      </c>
      <c r="B11" s="29">
        <v>2985530959.1999998</v>
      </c>
      <c r="C11" s="25">
        <v>-2.1220791521172401E-3</v>
      </c>
      <c r="D11" s="29">
        <v>411.87673806939074</v>
      </c>
      <c r="E11" s="25">
        <v>-6.7748761074501391E-3</v>
      </c>
      <c r="F11" s="381">
        <v>0.23492819435144413</v>
      </c>
      <c r="G11" s="25">
        <v>-5.4542223032167977E-2</v>
      </c>
    </row>
    <row r="12" spans="1:11" ht="20" customHeight="1" thickBot="1">
      <c r="A12" s="80">
        <v>1999</v>
      </c>
      <c r="B12" s="29">
        <v>3077412147.1999998</v>
      </c>
      <c r="C12" s="25">
        <v>3.0775493289347901E-2</v>
      </c>
      <c r="D12" s="29">
        <v>423.5048163539866</v>
      </c>
      <c r="E12" s="25">
        <v>2.823193739734052E-2</v>
      </c>
      <c r="F12" s="381">
        <v>0.23610935015841622</v>
      </c>
      <c r="G12" s="25">
        <v>5.0277311764680014E-3</v>
      </c>
    </row>
    <row r="13" spans="1:11" ht="20" customHeight="1" thickBot="1">
      <c r="A13" s="80">
        <v>2000</v>
      </c>
      <c r="B13" s="29">
        <v>2832106458.9000001</v>
      </c>
      <c r="C13" s="25">
        <v>-7.971167869834804E-2</v>
      </c>
      <c r="D13" s="29">
        <v>389.66197116417186</v>
      </c>
      <c r="E13" s="25">
        <v>-7.9911358461451809E-2</v>
      </c>
      <c r="F13" s="381">
        <v>0.21069626660407667</v>
      </c>
      <c r="G13" s="25">
        <v>-0.10763268602996361</v>
      </c>
    </row>
    <row r="14" spans="1:11" ht="20" customHeight="1" thickBot="1">
      <c r="A14" s="80">
        <v>2001</v>
      </c>
      <c r="B14" s="29">
        <v>2102639270.2</v>
      </c>
      <c r="C14" s="25">
        <v>-0.25757053955638648</v>
      </c>
      <c r="D14" s="29">
        <v>287.19530735511393</v>
      </c>
      <c r="E14" s="25">
        <v>-0.26296295607940356</v>
      </c>
      <c r="F14" s="381">
        <v>0.15021735666544661</v>
      </c>
      <c r="G14" s="25">
        <v>-0.28704310196571786</v>
      </c>
    </row>
    <row r="15" spans="1:11" ht="20" customHeight="1" thickBot="1">
      <c r="A15" s="80">
        <v>2002</v>
      </c>
      <c r="B15" s="29">
        <v>1965532086</v>
      </c>
      <c r="C15" s="25">
        <v>-6.5207183249725284E-2</v>
      </c>
      <c r="D15" s="29">
        <v>267.07903276981096</v>
      </c>
      <c r="E15" s="25">
        <v>-7.0043883274281363E-2</v>
      </c>
      <c r="F15" s="381">
        <v>0.12800562007019203</v>
      </c>
      <c r="G15" s="25">
        <v>-0.14786398248721</v>
      </c>
    </row>
    <row r="16" spans="1:11" ht="30" customHeight="1" thickBot="1">
      <c r="A16" s="705">
        <v>2003</v>
      </c>
      <c r="B16" s="356">
        <v>2393706072.8000002</v>
      </c>
      <c r="C16" s="34">
        <v>0.2178412603130612</v>
      </c>
      <c r="D16" s="356">
        <v>323.77183872505339</v>
      </c>
      <c r="E16" s="34">
        <v>0.21226977410879197</v>
      </c>
      <c r="F16" s="488">
        <v>0.14231214354211111</v>
      </c>
      <c r="G16" s="34">
        <v>0.11176480738950427</v>
      </c>
    </row>
    <row r="17" spans="1:7" ht="20" customHeight="1">
      <c r="A17" s="9" t="s">
        <v>1334</v>
      </c>
      <c r="B17" s="9"/>
      <c r="C17" s="9"/>
      <c r="D17" s="9"/>
      <c r="E17" s="9"/>
      <c r="F17" s="458"/>
      <c r="G17" s="9"/>
    </row>
    <row r="18" spans="1:7" ht="14.25" customHeight="1">
      <c r="A18" s="37"/>
      <c r="B18" s="37"/>
      <c r="C18" s="37"/>
      <c r="D18" s="37"/>
      <c r="E18" s="37"/>
      <c r="F18" s="459"/>
      <c r="G18" s="37"/>
    </row>
    <row r="19" spans="1:7" ht="12.75" customHeight="1">
      <c r="A19" s="37" t="s">
        <v>750</v>
      </c>
      <c r="B19" s="37"/>
      <c r="C19" s="37"/>
      <c r="D19" s="37"/>
      <c r="E19" s="37"/>
      <c r="F19" s="459"/>
      <c r="G19" s="37"/>
    </row>
    <row r="20" spans="1:7" ht="12.75" customHeight="1">
      <c r="A20" s="37" t="s">
        <v>751</v>
      </c>
      <c r="B20" s="37"/>
      <c r="C20" s="37"/>
      <c r="D20" s="37"/>
      <c r="E20" s="37"/>
      <c r="F20" s="459"/>
      <c r="G20" s="37"/>
    </row>
    <row r="21" spans="1:7">
      <c r="A21" s="3" t="s">
        <v>760</v>
      </c>
    </row>
    <row r="23" spans="1:7">
      <c r="A23" s="3" t="s">
        <v>761</v>
      </c>
    </row>
    <row r="26" spans="1:7">
      <c r="A26" s="3" t="s">
        <v>256</v>
      </c>
    </row>
  </sheetData>
  <phoneticPr fontId="0" type="noConversion"/>
  <pageMargins left="0.57999999999999996" right="0.69" top="0.94" bottom="0.49" header="0.53" footer="0.4921259845"/>
  <pageSetup paperSize="9" scale="84" orientation="portrait" horizontalDpi="4294967292" verticalDpi="4294967292"/>
  <headerFooter alignWithMargins="0">
    <oddHeader>&amp;L&amp;"Arial,Bold"Versicherte und Finanzen in der OKP</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B858C-92C5-C442-B7F2-6D9FA06F07CA}">
  <sheetPr>
    <pageSetUpPr fitToPage="1"/>
  </sheetPr>
  <dimension ref="A1:K26"/>
  <sheetViews>
    <sheetView zoomScale="75" workbookViewId="0">
      <selection activeCell="A26" sqref="A1:G26"/>
    </sheetView>
  </sheetViews>
  <sheetFormatPr baseColWidth="10" defaultColWidth="11.3984375" defaultRowHeight="13"/>
  <cols>
    <col min="1" max="1" width="15.19921875" style="3" customWidth="1"/>
    <col min="2" max="2" width="16.796875" style="3" customWidth="1"/>
    <col min="3" max="5" width="15.19921875" style="3" customWidth="1"/>
    <col min="6" max="6" width="15.19921875" style="460" customWidth="1"/>
    <col min="7" max="7" width="15.19921875" style="3" customWidth="1"/>
    <col min="8" max="16384" width="11.3984375" style="3"/>
  </cols>
  <sheetData>
    <row r="1" spans="1:11" s="1" customFormat="1" ht="14" customHeight="1">
      <c r="F1" s="440"/>
    </row>
    <row r="2" spans="1:11" s="1" customFormat="1" ht="37.5" customHeight="1">
      <c r="A2" s="1473" t="s">
        <v>741</v>
      </c>
      <c r="B2" s="1474"/>
      <c r="C2" s="1474"/>
      <c r="D2" s="1474"/>
      <c r="E2" s="1474"/>
      <c r="F2" s="1474"/>
      <c r="G2" s="321">
        <v>2003</v>
      </c>
    </row>
    <row r="3" spans="1:11" ht="24" customHeight="1">
      <c r="A3" s="2" t="s">
        <v>2102</v>
      </c>
      <c r="B3" s="69" t="s">
        <v>742</v>
      </c>
      <c r="C3" s="16" t="s">
        <v>24</v>
      </c>
      <c r="D3" s="69" t="s">
        <v>743</v>
      </c>
      <c r="E3" s="16" t="s">
        <v>24</v>
      </c>
      <c r="F3" s="441" t="s">
        <v>744</v>
      </c>
      <c r="G3" s="16" t="s">
        <v>24</v>
      </c>
    </row>
    <row r="4" spans="1:11" ht="15" customHeight="1">
      <c r="A4" s="77"/>
      <c r="B4" s="14" t="s">
        <v>745</v>
      </c>
      <c r="C4" s="17" t="s">
        <v>25</v>
      </c>
      <c r="D4" s="14" t="s">
        <v>746</v>
      </c>
      <c r="E4" s="17" t="s">
        <v>25</v>
      </c>
      <c r="F4" s="442" t="s">
        <v>747</v>
      </c>
      <c r="G4" s="17" t="s">
        <v>25</v>
      </c>
    </row>
    <row r="5" spans="1:11" ht="15" customHeight="1">
      <c r="A5" s="77"/>
      <c r="B5" s="70" t="s">
        <v>748</v>
      </c>
      <c r="C5" s="17" t="s">
        <v>26</v>
      </c>
      <c r="D5" s="70" t="s">
        <v>355</v>
      </c>
      <c r="E5" s="17" t="s">
        <v>26</v>
      </c>
      <c r="F5" s="442" t="s">
        <v>749</v>
      </c>
      <c r="G5" s="17" t="s">
        <v>26</v>
      </c>
    </row>
    <row r="6" spans="1:11" ht="24" customHeight="1">
      <c r="A6" s="78"/>
      <c r="B6" s="73" t="s">
        <v>1925</v>
      </c>
      <c r="C6" s="18"/>
      <c r="D6" s="73" t="s">
        <v>754</v>
      </c>
      <c r="E6" s="18"/>
      <c r="F6" s="443" t="s">
        <v>755</v>
      </c>
      <c r="G6" s="18"/>
    </row>
    <row r="7" spans="1:11" ht="30" customHeight="1" thickBot="1">
      <c r="A7" s="79">
        <v>1994</v>
      </c>
      <c r="B7" s="675" t="s">
        <v>258</v>
      </c>
      <c r="C7" s="300" t="s">
        <v>258</v>
      </c>
      <c r="D7" s="675" t="s">
        <v>258</v>
      </c>
      <c r="E7" s="300" t="s">
        <v>258</v>
      </c>
      <c r="F7" s="301" t="s">
        <v>258</v>
      </c>
      <c r="G7" s="300" t="s">
        <v>258</v>
      </c>
      <c r="H7" s="42"/>
    </row>
    <row r="8" spans="1:11" ht="20" customHeight="1" thickBot="1">
      <c r="A8" s="80">
        <v>1995</v>
      </c>
      <c r="B8" s="29" t="s">
        <v>258</v>
      </c>
      <c r="C8" s="25" t="s">
        <v>258</v>
      </c>
      <c r="D8" s="29" t="s">
        <v>258</v>
      </c>
      <c r="E8" s="25" t="s">
        <v>258</v>
      </c>
      <c r="F8" s="381" t="s">
        <v>258</v>
      </c>
      <c r="G8" s="25" t="s">
        <v>258</v>
      </c>
      <c r="H8" s="42"/>
    </row>
    <row r="9" spans="1:11" ht="20" customHeight="1" thickBot="1">
      <c r="A9" s="80">
        <v>1996</v>
      </c>
      <c r="B9" s="29">
        <v>3454536792</v>
      </c>
      <c r="C9" s="25" t="s">
        <v>258</v>
      </c>
      <c r="D9" s="29">
        <v>480.14661682664899</v>
      </c>
      <c r="E9" s="25" t="s">
        <v>258</v>
      </c>
      <c r="F9" s="381">
        <v>0.3204435263250443</v>
      </c>
      <c r="G9" s="25" t="s">
        <v>258</v>
      </c>
    </row>
    <row r="10" spans="1:11" ht="20" customHeight="1" thickBot="1">
      <c r="A10" s="80">
        <v>1997</v>
      </c>
      <c r="B10" s="29">
        <v>3507897754</v>
      </c>
      <c r="C10" s="25">
        <v>1.5446632996809605E-2</v>
      </c>
      <c r="D10" s="29">
        <v>486.20825566318149</v>
      </c>
      <c r="E10" s="25">
        <v>1.2624558049777898E-2</v>
      </c>
      <c r="F10" s="381">
        <v>0.30878035637656381</v>
      </c>
      <c r="G10" s="25">
        <v>-3.6396959184158598E-2</v>
      </c>
      <c r="I10" s="43"/>
      <c r="J10" s="43"/>
      <c r="K10" s="43"/>
    </row>
    <row r="11" spans="1:11" ht="20" customHeight="1" thickBot="1">
      <c r="A11" s="80">
        <v>1998</v>
      </c>
      <c r="B11" s="29">
        <v>3693957839</v>
      </c>
      <c r="C11" s="25">
        <v>5.3040338700818361E-2</v>
      </c>
      <c r="D11" s="29">
        <v>509.60962257141136</v>
      </c>
      <c r="E11" s="25">
        <v>4.8130336405560879E-2</v>
      </c>
      <c r="F11" s="381">
        <v>0.30971755221728081</v>
      </c>
      <c r="G11" s="25">
        <v>3.0351536986182783E-3</v>
      </c>
    </row>
    <row r="12" spans="1:11" ht="20" customHeight="1" thickBot="1">
      <c r="A12" s="80">
        <v>1999</v>
      </c>
      <c r="B12" s="29">
        <v>3810018376.6999998</v>
      </c>
      <c r="C12" s="25">
        <v>3.1419020670636247E-2</v>
      </c>
      <c r="D12" s="29">
        <v>524.32402803041998</v>
      </c>
      <c r="E12" s="25">
        <v>2.8873876801544685E-2</v>
      </c>
      <c r="F12" s="381">
        <v>0.30650294561819263</v>
      </c>
      <c r="G12" s="25">
        <v>-1.037915538229808E-2</v>
      </c>
    </row>
    <row r="13" spans="1:11" ht="20" customHeight="1" thickBot="1">
      <c r="A13" s="80">
        <v>2000</v>
      </c>
      <c r="B13" s="29">
        <v>3956218486.3000002</v>
      </c>
      <c r="C13" s="25">
        <v>3.8372547096906601E-2</v>
      </c>
      <c r="D13" s="29">
        <v>544.32554570231525</v>
      </c>
      <c r="E13" s="25">
        <v>3.8147245982659471E-2</v>
      </c>
      <c r="F13" s="381">
        <v>0.29993370263899466</v>
      </c>
      <c r="G13" s="25">
        <v>-2.1432886936692642E-2</v>
      </c>
    </row>
    <row r="14" spans="1:11" ht="20" customHeight="1" thickBot="1">
      <c r="A14" s="80">
        <v>2001</v>
      </c>
      <c r="B14" s="29">
        <v>3996358840.3000002</v>
      </c>
      <c r="C14" s="25">
        <v>1.0146141862235905E-2</v>
      </c>
      <c r="D14" s="29">
        <v>545.85468925067414</v>
      </c>
      <c r="E14" s="25">
        <v>2.8092445053004324E-3</v>
      </c>
      <c r="F14" s="381">
        <v>0.28573440049664334</v>
      </c>
      <c r="G14" s="25">
        <v>-4.7341469189415654E-2</v>
      </c>
    </row>
    <row r="15" spans="1:11" ht="20" customHeight="1" thickBot="1">
      <c r="A15" s="80">
        <v>2002</v>
      </c>
      <c r="B15" s="29">
        <v>4018023804.0999999</v>
      </c>
      <c r="C15" s="25">
        <v>5.4211757917047706E-3</v>
      </c>
      <c r="D15" s="29">
        <v>545.974252411723</v>
      </c>
      <c r="E15" s="25">
        <v>2.1903844265401507E-4</v>
      </c>
      <c r="F15" s="381">
        <v>0.27534370592196139</v>
      </c>
      <c r="G15" s="25">
        <v>-3.6364870861266885E-2</v>
      </c>
    </row>
    <row r="16" spans="1:11" ht="30" customHeight="1" thickBot="1">
      <c r="A16" s="705">
        <v>2003</v>
      </c>
      <c r="B16" s="356">
        <v>4264253540.5999999</v>
      </c>
      <c r="C16" s="34">
        <v>6.1281303572354812E-2</v>
      </c>
      <c r="D16" s="356">
        <v>576.78142914802106</v>
      </c>
      <c r="E16" s="34">
        <v>5.6426061485892479E-2</v>
      </c>
      <c r="F16" s="488">
        <v>0.27806202962780097</v>
      </c>
      <c r="G16" s="34">
        <v>9.8724744650963998E-3</v>
      </c>
    </row>
    <row r="17" spans="1:7" ht="20" customHeight="1">
      <c r="A17" s="9" t="s">
        <v>1334</v>
      </c>
      <c r="B17" s="9"/>
      <c r="C17" s="9"/>
      <c r="D17" s="9"/>
      <c r="E17" s="9"/>
      <c r="F17" s="458"/>
      <c r="G17" s="9"/>
    </row>
    <row r="18" spans="1:7" ht="12.75" customHeight="1">
      <c r="A18" s="37"/>
      <c r="B18" s="37"/>
      <c r="C18" s="37"/>
      <c r="D18" s="37"/>
      <c r="E18" s="37"/>
      <c r="F18" s="459"/>
      <c r="G18" s="37"/>
    </row>
    <row r="19" spans="1:7" ht="12.75" customHeight="1">
      <c r="A19" s="37" t="s">
        <v>750</v>
      </c>
      <c r="B19" s="37"/>
      <c r="C19" s="37"/>
      <c r="D19" s="37"/>
      <c r="E19" s="37"/>
      <c r="F19" s="459"/>
      <c r="G19" s="37"/>
    </row>
    <row r="20" spans="1:7" ht="12.75" customHeight="1">
      <c r="A20" s="3" t="s">
        <v>751</v>
      </c>
      <c r="B20" s="37"/>
      <c r="C20" s="37"/>
      <c r="D20" s="37"/>
      <c r="E20" s="37"/>
      <c r="F20" s="459"/>
      <c r="G20" s="37"/>
    </row>
    <row r="21" spans="1:7" ht="12.75" customHeight="1">
      <c r="A21" s="3" t="s">
        <v>752</v>
      </c>
    </row>
    <row r="23" spans="1:7">
      <c r="A23" s="3" t="s">
        <v>753</v>
      </c>
    </row>
    <row r="26" spans="1:7">
      <c r="A26" s="3" t="s">
        <v>256</v>
      </c>
    </row>
  </sheetData>
  <mergeCells count="1">
    <mergeCell ref="A2:F2"/>
  </mergeCells>
  <phoneticPr fontId="0" type="noConversion"/>
  <pageMargins left="0.62" right="0.78740157480314965" top="0.99" bottom="0.49" header="0.6" footer="0.4921259845"/>
  <pageSetup paperSize="9" scale="82" orientation="portrait" horizontalDpi="4294967292" verticalDpi="4294967292"/>
  <headerFooter alignWithMargins="0">
    <oddHeader>&amp;L&amp;"Arial,Bold"Versicherte und Finanzen in der OKP</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1DAA4-CE2B-8D43-B8DF-622CF5F18C53}">
  <sheetPr>
    <pageSetUpPr fitToPage="1"/>
  </sheetPr>
  <dimension ref="A1:G22"/>
  <sheetViews>
    <sheetView topLeftCell="A12" zoomScale="75" workbookViewId="0">
      <selection activeCell="A22" sqref="A1:F22"/>
    </sheetView>
  </sheetViews>
  <sheetFormatPr baseColWidth="10" defaultColWidth="11.3984375" defaultRowHeight="13"/>
  <cols>
    <col min="1" max="1" width="18.19921875" style="3" customWidth="1"/>
    <col min="2" max="6" width="14.796875" style="3" customWidth="1"/>
    <col min="7" max="16384" width="11.3984375" style="3"/>
  </cols>
  <sheetData>
    <row r="1" spans="1:7" s="1" customFormat="1" ht="14" customHeight="1"/>
    <row r="2" spans="1:7" s="1" customFormat="1" ht="39.75" customHeight="1">
      <c r="A2" s="1473" t="s">
        <v>739</v>
      </c>
      <c r="B2" s="1474"/>
      <c r="C2" s="1474"/>
      <c r="D2" s="1474"/>
      <c r="E2" s="1474"/>
      <c r="F2" s="76">
        <v>2003</v>
      </c>
    </row>
    <row r="3" spans="1:7" ht="24" customHeight="1">
      <c r="A3" s="2" t="s">
        <v>1847</v>
      </c>
      <c r="B3" s="69" t="s">
        <v>1848</v>
      </c>
      <c r="C3" s="16" t="s">
        <v>509</v>
      </c>
      <c r="D3" s="69" t="s">
        <v>510</v>
      </c>
      <c r="E3" s="60" t="s">
        <v>511</v>
      </c>
      <c r="F3" s="69" t="s">
        <v>22</v>
      </c>
    </row>
    <row r="4" spans="1:7" ht="15" customHeight="1">
      <c r="A4" s="77"/>
      <c r="B4" s="70" t="s">
        <v>1850</v>
      </c>
      <c r="C4" s="17" t="s">
        <v>512</v>
      </c>
      <c r="D4" s="70" t="s">
        <v>1851</v>
      </c>
      <c r="E4" s="61" t="s">
        <v>513</v>
      </c>
      <c r="F4" s="70"/>
    </row>
    <row r="5" spans="1:7" ht="15" customHeight="1">
      <c r="A5" s="77"/>
      <c r="B5" s="70" t="s">
        <v>1852</v>
      </c>
      <c r="C5" s="17" t="s">
        <v>514</v>
      </c>
      <c r="D5" s="70" t="s">
        <v>1405</v>
      </c>
      <c r="E5" s="61" t="s">
        <v>515</v>
      </c>
      <c r="F5" s="70"/>
    </row>
    <row r="6" spans="1:7" ht="24" customHeight="1">
      <c r="A6" s="78"/>
      <c r="B6" s="73"/>
      <c r="C6" s="18"/>
      <c r="D6" s="73"/>
      <c r="E6" s="62" t="s">
        <v>516</v>
      </c>
      <c r="F6" s="73"/>
    </row>
    <row r="7" spans="1:7" ht="30" customHeight="1" thickBot="1">
      <c r="A7" s="79">
        <v>1994</v>
      </c>
      <c r="B7" s="301">
        <v>0.90407679678189612</v>
      </c>
      <c r="C7" s="299">
        <v>9.0300383375354912E-2</v>
      </c>
      <c r="D7" s="301">
        <v>2.1450847370167898E-3</v>
      </c>
      <c r="E7" s="300">
        <v>3.4777351057321492E-3</v>
      </c>
      <c r="F7" s="298">
        <v>1</v>
      </c>
      <c r="G7" s="42"/>
    </row>
    <row r="8" spans="1:7" ht="20" customHeight="1" thickBot="1">
      <c r="A8" s="80">
        <v>1995</v>
      </c>
      <c r="B8" s="381">
        <v>0.89299454657113275</v>
      </c>
      <c r="C8" s="810">
        <v>9.7504338700060297E-2</v>
      </c>
      <c r="D8" s="381">
        <v>4.5637110387385877E-3</v>
      </c>
      <c r="E8" s="25">
        <v>4.9374036900684129E-3</v>
      </c>
      <c r="F8" s="556">
        <v>1</v>
      </c>
      <c r="G8" s="42"/>
    </row>
    <row r="9" spans="1:7" ht="20" customHeight="1" thickBot="1">
      <c r="A9" s="80">
        <v>1996</v>
      </c>
      <c r="B9" s="381">
        <v>0.65876331560467527</v>
      </c>
      <c r="C9" s="25">
        <v>0.32046794094697328</v>
      </c>
      <c r="D9" s="381">
        <v>3.8678181352691143E-3</v>
      </c>
      <c r="E9" s="25">
        <v>1.6900925313082283E-2</v>
      </c>
      <c r="F9" s="556">
        <v>1</v>
      </c>
    </row>
    <row r="10" spans="1:7" ht="20" customHeight="1" thickBot="1">
      <c r="A10" s="80">
        <v>1997</v>
      </c>
      <c r="B10" s="381">
        <v>0.56603802874783171</v>
      </c>
      <c r="C10" s="25">
        <v>0.37927068021935451</v>
      </c>
      <c r="D10" s="381">
        <v>1.5931130501794573E-3</v>
      </c>
      <c r="E10" s="25">
        <v>5.3098177982634318E-2</v>
      </c>
      <c r="F10" s="381">
        <v>1</v>
      </c>
    </row>
    <row r="11" spans="1:7" ht="20" customHeight="1" thickBot="1">
      <c r="A11" s="80">
        <v>1998</v>
      </c>
      <c r="B11" s="381">
        <v>0.55407462651768902</v>
      </c>
      <c r="C11" s="25">
        <v>0.37613702943863803</v>
      </c>
      <c r="D11" s="381">
        <v>1.6317626996539885E-3</v>
      </c>
      <c r="E11" s="25">
        <v>6.8156581344018974E-2</v>
      </c>
      <c r="F11" s="381">
        <v>1</v>
      </c>
    </row>
    <row r="12" spans="1:7" ht="20" customHeight="1" thickBot="1">
      <c r="A12" s="80">
        <v>1999</v>
      </c>
      <c r="B12" s="381">
        <v>0.55029591824658086</v>
      </c>
      <c r="C12" s="25">
        <v>0.37371902477852575</v>
      </c>
      <c r="D12" s="381">
        <v>1.4116771489681326E-3</v>
      </c>
      <c r="E12" s="25">
        <v>7.4573379825925268E-2</v>
      </c>
      <c r="F12" s="381">
        <v>1</v>
      </c>
    </row>
    <row r="13" spans="1:7" ht="20" customHeight="1" thickBot="1">
      <c r="A13" s="80">
        <v>2000</v>
      </c>
      <c r="B13" s="381">
        <v>0.53960650848618019</v>
      </c>
      <c r="C13" s="25">
        <v>0.37954002078394233</v>
      </c>
      <c r="D13" s="381">
        <v>1.3498693126728527E-3</v>
      </c>
      <c r="E13" s="25">
        <v>7.9503601417204556E-2</v>
      </c>
      <c r="F13" s="381">
        <v>1</v>
      </c>
    </row>
    <row r="14" spans="1:7" ht="20" customHeight="1" thickBot="1">
      <c r="A14" s="80">
        <v>2001</v>
      </c>
      <c r="B14" s="381">
        <v>0.53026073148068087</v>
      </c>
      <c r="C14" s="25">
        <v>0.38706527964277321</v>
      </c>
      <c r="D14" s="381">
        <v>1.2758685733806091E-3</v>
      </c>
      <c r="E14" s="25">
        <v>8.1398120303165275E-2</v>
      </c>
      <c r="F14" s="381">
        <v>1</v>
      </c>
    </row>
    <row r="15" spans="1:7" ht="20" customHeight="1" thickBot="1">
      <c r="A15" s="80">
        <v>2002</v>
      </c>
      <c r="B15" s="381">
        <v>0.51807119228357335</v>
      </c>
      <c r="C15" s="25">
        <v>0.40503766289618737</v>
      </c>
      <c r="D15" s="381">
        <v>1.2005111854079802E-3</v>
      </c>
      <c r="E15" s="25">
        <v>7.5690633634831264E-2</v>
      </c>
      <c r="F15" s="381">
        <v>1</v>
      </c>
    </row>
    <row r="16" spans="1:7" ht="30" customHeight="1" thickBot="1">
      <c r="A16" s="705">
        <v>2003</v>
      </c>
      <c r="B16" s="488">
        <v>0.49698046363760801</v>
      </c>
      <c r="C16" s="489">
        <v>0.42026484379945434</v>
      </c>
      <c r="D16" s="488">
        <v>1.1249544851287428E-3</v>
      </c>
      <c r="E16" s="489">
        <v>8.1629738077808919E-2</v>
      </c>
      <c r="F16" s="488">
        <v>1</v>
      </c>
    </row>
    <row r="17" spans="1:6" ht="19.5" customHeight="1">
      <c r="A17" s="9" t="s">
        <v>1334</v>
      </c>
      <c r="B17" s="9"/>
      <c r="C17" s="9"/>
      <c r="D17" s="9"/>
      <c r="E17" s="9"/>
      <c r="F17" s="9"/>
    </row>
    <row r="19" spans="1:6">
      <c r="A19" s="3" t="s">
        <v>740</v>
      </c>
    </row>
    <row r="22" spans="1:6">
      <c r="A22" s="3" t="s">
        <v>256</v>
      </c>
    </row>
  </sheetData>
  <mergeCells count="1">
    <mergeCell ref="A2:E2"/>
  </mergeCells>
  <phoneticPr fontId="0" type="noConversion"/>
  <pageMargins left="0.65" right="0.72" top="1.05" bottom="0.49" header="0.6" footer="0.4921259845"/>
  <pageSetup paperSize="9" scale="97" orientation="portrait" horizontalDpi="4294967292" verticalDpi="4294967292"/>
  <headerFooter alignWithMargins="0">
    <oddHeader>&amp;L&amp;"Arial,Bold"Versicherte und Finanzen in der OKP</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06EE4-D628-9C4D-AC70-3B5E21FC1B95}">
  <sheetPr>
    <pageSetUpPr fitToPage="1"/>
  </sheetPr>
  <dimension ref="A1:I21"/>
  <sheetViews>
    <sheetView zoomScale="75" workbookViewId="0"/>
  </sheetViews>
  <sheetFormatPr baseColWidth="10" defaultColWidth="11.3984375" defaultRowHeight="13"/>
  <cols>
    <col min="1" max="1" width="14.796875" style="3" customWidth="1"/>
    <col min="2" max="2" width="14.796875" style="35" customWidth="1"/>
    <col min="3" max="3" width="12.3984375" style="3" customWidth="1"/>
    <col min="4" max="4" width="13.19921875" style="3" customWidth="1"/>
    <col min="5" max="5" width="12.796875" style="3" customWidth="1"/>
    <col min="6" max="6" width="13.59765625" style="3" customWidth="1"/>
    <col min="7" max="7" width="14.796875" style="428" customWidth="1"/>
    <col min="8" max="8" width="14.59765625" style="35" customWidth="1"/>
    <col min="9" max="9" width="12.19921875" style="3" customWidth="1"/>
    <col min="10" max="16384" width="11.3984375" style="3"/>
  </cols>
  <sheetData>
    <row r="1" spans="1:9" s="1" customFormat="1" ht="14" customHeight="1">
      <c r="B1" s="58"/>
      <c r="G1" s="415"/>
      <c r="H1" s="58"/>
    </row>
    <row r="2" spans="1:9" s="1" customFormat="1" ht="28" customHeight="1">
      <c r="A2" s="59" t="s">
        <v>1577</v>
      </c>
      <c r="B2" s="58"/>
      <c r="G2" s="415"/>
      <c r="H2" s="58"/>
      <c r="I2" s="59">
        <v>2003</v>
      </c>
    </row>
    <row r="3" spans="1:9" ht="27" customHeight="1">
      <c r="A3" s="2" t="s">
        <v>1847</v>
      </c>
      <c r="B3" s="339" t="s">
        <v>1848</v>
      </c>
      <c r="C3" s="1476" t="s">
        <v>1330</v>
      </c>
      <c r="D3" s="1477"/>
      <c r="E3" s="1477"/>
      <c r="F3" s="1477"/>
      <c r="G3" s="1477"/>
      <c r="H3" s="339" t="s">
        <v>1849</v>
      </c>
      <c r="I3" s="16" t="s">
        <v>22</v>
      </c>
    </row>
    <row r="4" spans="1:9" ht="15" customHeight="1">
      <c r="A4" s="4"/>
      <c r="B4" s="416" t="s">
        <v>1850</v>
      </c>
      <c r="C4" s="4"/>
      <c r="D4" s="71"/>
      <c r="E4" s="17"/>
      <c r="F4" s="70"/>
      <c r="G4" s="417" t="s">
        <v>22</v>
      </c>
      <c r="H4" s="416" t="s">
        <v>1851</v>
      </c>
      <c r="I4" s="4"/>
    </row>
    <row r="5" spans="1:9" ht="15" customHeight="1">
      <c r="A5" s="4"/>
      <c r="B5" s="416" t="s">
        <v>1852</v>
      </c>
      <c r="C5" s="4" t="s">
        <v>1853</v>
      </c>
      <c r="D5" s="71" t="s">
        <v>1854</v>
      </c>
      <c r="E5" s="17" t="s">
        <v>1855</v>
      </c>
      <c r="F5" s="70" t="s">
        <v>1856</v>
      </c>
      <c r="G5" s="418"/>
      <c r="H5" s="416" t="s">
        <v>1857</v>
      </c>
      <c r="I5" s="4"/>
    </row>
    <row r="6" spans="1:9" ht="24" customHeight="1">
      <c r="A6" s="5"/>
      <c r="B6" s="419" t="s">
        <v>1858</v>
      </c>
      <c r="C6" s="5"/>
      <c r="D6" s="72"/>
      <c r="E6" s="18"/>
      <c r="F6" s="73"/>
      <c r="G6" s="420"/>
      <c r="H6" s="419"/>
      <c r="I6" s="5"/>
    </row>
    <row r="7" spans="1:9" ht="20" customHeight="1" thickBot="1">
      <c r="A7" s="421" t="s">
        <v>1578</v>
      </c>
      <c r="B7" s="422">
        <v>0.47310000000000002</v>
      </c>
      <c r="C7" s="300">
        <v>0.2923</v>
      </c>
      <c r="D7" s="301">
        <v>8.3000000000000004E-2</v>
      </c>
      <c r="E7" s="300">
        <v>2.1299999999999999E-2</v>
      </c>
      <c r="F7" s="301">
        <v>5.2400000000000002E-2</v>
      </c>
      <c r="G7" s="423">
        <v>0.44900000000000001</v>
      </c>
      <c r="H7" s="422">
        <v>7.7799999999999994E-2</v>
      </c>
      <c r="I7" s="300">
        <v>1</v>
      </c>
    </row>
    <row r="8" spans="1:9" ht="20" customHeight="1" thickBot="1">
      <c r="A8" s="7">
        <v>1998</v>
      </c>
      <c r="B8" s="422">
        <v>0.47549999999999998</v>
      </c>
      <c r="C8" s="300">
        <v>0.30769999999999997</v>
      </c>
      <c r="D8" s="301">
        <v>7.5800000000000006E-2</v>
      </c>
      <c r="E8" s="300">
        <v>3.1699999999999999E-2</v>
      </c>
      <c r="F8" s="301">
        <v>3.9199999999999999E-2</v>
      </c>
      <c r="G8" s="423">
        <v>0.45440000000000003</v>
      </c>
      <c r="H8" s="422">
        <v>7.0099999999999996E-2</v>
      </c>
      <c r="I8" s="300">
        <v>1</v>
      </c>
    </row>
    <row r="9" spans="1:9" ht="20" customHeight="1" thickBot="1">
      <c r="A9" s="7">
        <v>1999</v>
      </c>
      <c r="B9" s="422">
        <v>0.47310000000000002</v>
      </c>
      <c r="C9" s="300">
        <v>0.2923</v>
      </c>
      <c r="D9" s="301">
        <v>8.3000000000000004E-2</v>
      </c>
      <c r="E9" s="300">
        <v>2.1299999999999999E-2</v>
      </c>
      <c r="F9" s="301">
        <v>5.2400000000000002E-2</v>
      </c>
      <c r="G9" s="423">
        <v>0.44900000000000001</v>
      </c>
      <c r="H9" s="422">
        <v>7.7799999999999994E-2</v>
      </c>
      <c r="I9" s="300">
        <v>1</v>
      </c>
    </row>
    <row r="10" spans="1:9" ht="20" customHeight="1" thickBot="1">
      <c r="A10" s="65">
        <v>2000</v>
      </c>
      <c r="B10" s="422">
        <v>0.45929999999999999</v>
      </c>
      <c r="C10" s="300">
        <v>0.27900000000000003</v>
      </c>
      <c r="D10" s="301">
        <v>8.9399999999999993E-2</v>
      </c>
      <c r="E10" s="300">
        <v>2.23E-2</v>
      </c>
      <c r="F10" s="301">
        <v>6.8099999999999994E-2</v>
      </c>
      <c r="G10" s="423">
        <v>0.4587</v>
      </c>
      <c r="H10" s="422">
        <v>8.2000000000000003E-2</v>
      </c>
      <c r="I10" s="300">
        <v>1</v>
      </c>
    </row>
    <row r="11" spans="1:9" ht="20" customHeight="1" thickBot="1">
      <c r="A11" s="65">
        <v>2001</v>
      </c>
      <c r="B11" s="422">
        <v>0.45299999999999996</v>
      </c>
      <c r="C11" s="300">
        <v>0.26100000000000001</v>
      </c>
      <c r="D11" s="301">
        <v>9.1999999999999998E-2</v>
      </c>
      <c r="E11" s="300">
        <v>2.3E-2</v>
      </c>
      <c r="F11" s="301">
        <v>8.8000000000000009E-2</v>
      </c>
      <c r="G11" s="423">
        <v>0.46299999999999997</v>
      </c>
      <c r="H11" s="422">
        <v>8.4000000000000005E-2</v>
      </c>
      <c r="I11" s="300">
        <v>1</v>
      </c>
    </row>
    <row r="12" spans="1:9" ht="20" customHeight="1" thickBot="1">
      <c r="A12" s="65">
        <v>2002</v>
      </c>
      <c r="B12" s="422">
        <v>0.436</v>
      </c>
      <c r="C12" s="300">
        <v>0.24199999999999999</v>
      </c>
      <c r="D12" s="301">
        <v>9.9000000000000005E-2</v>
      </c>
      <c r="E12" s="300">
        <v>2.5000000000000001E-2</v>
      </c>
      <c r="F12" s="301">
        <v>0.114</v>
      </c>
      <c r="G12" s="423">
        <v>0.47899999999999998</v>
      </c>
      <c r="H12" s="422">
        <v>8.4000000000000005E-2</v>
      </c>
      <c r="I12" s="300">
        <v>1</v>
      </c>
    </row>
    <row r="13" spans="1:9" ht="30" customHeight="1" thickBot="1">
      <c r="A13" s="424">
        <v>2003</v>
      </c>
      <c r="B13" s="425">
        <v>0.41799999999999998</v>
      </c>
      <c r="C13" s="306">
        <v>0.221</v>
      </c>
      <c r="D13" s="425">
        <v>0.10199999999999999</v>
      </c>
      <c r="E13" s="306">
        <v>2.6000000000000002E-2</v>
      </c>
      <c r="F13" s="425">
        <v>0.15</v>
      </c>
      <c r="G13" s="306">
        <v>0.5</v>
      </c>
      <c r="H13" s="307">
        <v>8.3000000000000004E-2</v>
      </c>
      <c r="I13" s="383">
        <v>1</v>
      </c>
    </row>
    <row r="14" spans="1:9" ht="20" customHeight="1">
      <c r="A14" s="183" t="s">
        <v>1859</v>
      </c>
      <c r="B14" s="426"/>
      <c r="C14" s="9"/>
      <c r="D14" s="9"/>
      <c r="E14" s="9"/>
      <c r="F14" s="9"/>
      <c r="G14" s="427"/>
      <c r="I14" s="92"/>
    </row>
    <row r="15" spans="1:9" ht="17.25" customHeight="1">
      <c r="A15" s="37"/>
    </row>
    <row r="16" spans="1:9" ht="12" customHeight="1">
      <c r="A16" s="3" t="s">
        <v>1860</v>
      </c>
    </row>
    <row r="17" spans="1:1" ht="12" customHeight="1"/>
    <row r="18" spans="1:1" ht="12" customHeight="1">
      <c r="A18" s="3" t="s">
        <v>1861</v>
      </c>
    </row>
    <row r="21" spans="1:1">
      <c r="A21" s="3" t="s">
        <v>256</v>
      </c>
    </row>
  </sheetData>
  <mergeCells count="1">
    <mergeCell ref="C3:G3"/>
  </mergeCells>
  <phoneticPr fontId="0" type="noConversion"/>
  <pageMargins left="0.51" right="0.57999999999999996" top="0.85" bottom="0.49" header="0.4" footer="0.4921259845"/>
  <pageSetup paperSize="9" scale="75" orientation="portrait" horizontalDpi="4294967292" verticalDpi="4294967292"/>
  <headerFooter alignWithMargins="0">
    <oddHeader>&amp;L&amp;"Arial,Bold"Versicherte und Finanzen in der OKP</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5369B-53A7-A948-8625-C58AA1F33B10}">
  <sheetPr>
    <pageSetUpPr fitToPage="1"/>
  </sheetPr>
  <dimension ref="A1:I39"/>
  <sheetViews>
    <sheetView zoomScale="75" workbookViewId="0"/>
  </sheetViews>
  <sheetFormatPr baseColWidth="10" defaultColWidth="11.3984375" defaultRowHeight="13"/>
  <cols>
    <col min="1" max="1" width="14.796875" style="3" customWidth="1"/>
    <col min="2" max="2" width="14.796875" style="35" customWidth="1"/>
    <col min="3" max="3" width="12.3984375" style="3" customWidth="1"/>
    <col min="4" max="4" width="13.19921875" style="3" customWidth="1"/>
    <col min="5" max="5" width="12.796875" style="3" customWidth="1"/>
    <col min="6" max="6" width="13.59765625" style="3" customWidth="1"/>
    <col min="7" max="7" width="14.796875" style="428" customWidth="1"/>
    <col min="8" max="8" width="15.19921875" style="35" customWidth="1"/>
    <col min="9" max="9" width="12.19921875" style="3" customWidth="1"/>
    <col min="10" max="16384" width="11.3984375" style="3"/>
  </cols>
  <sheetData>
    <row r="1" spans="1:9" s="1" customFormat="1" ht="14" customHeight="1">
      <c r="B1" s="58"/>
      <c r="G1" s="415"/>
      <c r="H1" s="58"/>
    </row>
    <row r="2" spans="1:9" s="1" customFormat="1" ht="28" customHeight="1">
      <c r="A2" s="59" t="s">
        <v>1579</v>
      </c>
      <c r="B2" s="58"/>
      <c r="G2" s="415"/>
      <c r="H2" s="58"/>
      <c r="I2" s="59">
        <v>2003</v>
      </c>
    </row>
    <row r="3" spans="1:9" ht="27" customHeight="1">
      <c r="A3" s="2" t="s">
        <v>70</v>
      </c>
      <c r="B3" s="339" t="s">
        <v>1580</v>
      </c>
      <c r="C3" s="1478" t="s">
        <v>1330</v>
      </c>
      <c r="D3" s="1479"/>
      <c r="E3" s="1479"/>
      <c r="F3" s="1479"/>
      <c r="G3" s="1479"/>
      <c r="H3" s="339" t="s">
        <v>1849</v>
      </c>
      <c r="I3" s="16" t="s">
        <v>22</v>
      </c>
    </row>
    <row r="4" spans="1:9" ht="15" customHeight="1">
      <c r="A4" s="4"/>
      <c r="B4" s="416" t="s">
        <v>1850</v>
      </c>
      <c r="C4" s="4"/>
      <c r="D4" s="71"/>
      <c r="E4" s="17"/>
      <c r="F4" s="70"/>
      <c r="G4" s="417" t="s">
        <v>22</v>
      </c>
      <c r="H4" s="416" t="s">
        <v>1851</v>
      </c>
      <c r="I4" s="4"/>
    </row>
    <row r="5" spans="1:9" ht="15" customHeight="1">
      <c r="A5" s="4"/>
      <c r="B5" s="416" t="s">
        <v>1852</v>
      </c>
      <c r="C5" s="4" t="s">
        <v>1853</v>
      </c>
      <c r="D5" s="71" t="s">
        <v>1854</v>
      </c>
      <c r="E5" s="17" t="s">
        <v>1855</v>
      </c>
      <c r="F5" s="70" t="s">
        <v>1856</v>
      </c>
      <c r="G5" s="418"/>
      <c r="H5" s="416" t="s">
        <v>1857</v>
      </c>
      <c r="I5" s="4"/>
    </row>
    <row r="6" spans="1:9" ht="24" customHeight="1">
      <c r="A6" s="5"/>
      <c r="B6" s="419" t="s">
        <v>1858</v>
      </c>
      <c r="C6" s="5"/>
      <c r="D6" s="72"/>
      <c r="E6" s="18"/>
      <c r="F6" s="73"/>
      <c r="G6" s="420"/>
      <c r="H6" s="419"/>
      <c r="I6" s="5"/>
    </row>
    <row r="7" spans="1:9" ht="30" customHeight="1" thickBot="1">
      <c r="A7" s="6" t="s">
        <v>78</v>
      </c>
      <c r="B7" s="422">
        <v>0.42200000000000004</v>
      </c>
      <c r="C7" s="300">
        <v>0.2</v>
      </c>
      <c r="D7" s="301">
        <v>9.3000000000000013E-2</v>
      </c>
      <c r="E7" s="300">
        <v>2.6000000000000002E-2</v>
      </c>
      <c r="F7" s="301">
        <v>0.16</v>
      </c>
      <c r="G7" s="423">
        <v>0.47899999999999998</v>
      </c>
      <c r="H7" s="422">
        <v>9.9000000000000005E-2</v>
      </c>
      <c r="I7" s="300">
        <v>1</v>
      </c>
    </row>
    <row r="8" spans="1:9" ht="20" customHeight="1" thickBot="1">
      <c r="A8" s="7" t="s">
        <v>79</v>
      </c>
      <c r="B8" s="422">
        <v>0.32500000000000001</v>
      </c>
      <c r="C8" s="300">
        <v>0.33600000000000002</v>
      </c>
      <c r="D8" s="301">
        <v>0.114</v>
      </c>
      <c r="E8" s="300">
        <v>2.7999999999999997E-2</v>
      </c>
      <c r="F8" s="301">
        <v>0.13600000000000001</v>
      </c>
      <c r="G8" s="423">
        <v>0.61499999999999999</v>
      </c>
      <c r="H8" s="422">
        <v>0.06</v>
      </c>
      <c r="I8" s="300">
        <v>1</v>
      </c>
    </row>
    <row r="9" spans="1:9" ht="20" customHeight="1" thickBot="1">
      <c r="A9" s="7" t="s">
        <v>80</v>
      </c>
      <c r="B9" s="422">
        <v>0.57200000000000006</v>
      </c>
      <c r="C9" s="300">
        <v>0.159</v>
      </c>
      <c r="D9" s="301">
        <v>7.400000000000001E-2</v>
      </c>
      <c r="E9" s="300">
        <v>1.9E-2</v>
      </c>
      <c r="F9" s="301">
        <v>0.128</v>
      </c>
      <c r="G9" s="423">
        <v>0.38</v>
      </c>
      <c r="H9" s="422">
        <v>4.8000000000000001E-2</v>
      </c>
      <c r="I9" s="300">
        <v>1</v>
      </c>
    </row>
    <row r="10" spans="1:9" ht="20" customHeight="1" thickBot="1">
      <c r="A10" s="7" t="s">
        <v>81</v>
      </c>
      <c r="B10" s="422">
        <v>0.495</v>
      </c>
      <c r="C10" s="300">
        <v>0.29100000000000004</v>
      </c>
      <c r="D10" s="301">
        <v>8.5999999999999993E-2</v>
      </c>
      <c r="E10" s="300">
        <v>2.4E-2</v>
      </c>
      <c r="F10" s="301">
        <v>0.10199999999999999</v>
      </c>
      <c r="G10" s="423">
        <v>0.502</v>
      </c>
      <c r="H10" s="422">
        <v>3.0000000000000001E-3</v>
      </c>
      <c r="I10" s="300">
        <v>1</v>
      </c>
    </row>
    <row r="11" spans="1:9" ht="20" customHeight="1" thickBot="1">
      <c r="A11" s="7" t="s">
        <v>82</v>
      </c>
      <c r="B11" s="422">
        <v>0.51500000000000001</v>
      </c>
      <c r="C11" s="300">
        <v>0.21299999999999999</v>
      </c>
      <c r="D11" s="301">
        <v>8.199999999999999E-2</v>
      </c>
      <c r="E11" s="300">
        <v>0.02</v>
      </c>
      <c r="F11" s="301">
        <v>0.14099999999999999</v>
      </c>
      <c r="G11" s="423">
        <v>0.45700000000000002</v>
      </c>
      <c r="H11" s="422">
        <v>2.7999999999999997E-2</v>
      </c>
      <c r="I11" s="300">
        <v>1</v>
      </c>
    </row>
    <row r="12" spans="1:9" ht="20" customHeight="1" thickBot="1">
      <c r="A12" s="7" t="s">
        <v>83</v>
      </c>
      <c r="B12" s="422">
        <v>0.503</v>
      </c>
      <c r="C12" s="300">
        <v>0.26899999999999996</v>
      </c>
      <c r="D12" s="301">
        <v>8.5000000000000006E-2</v>
      </c>
      <c r="E12" s="300">
        <v>0.02</v>
      </c>
      <c r="F12" s="301">
        <v>0.114</v>
      </c>
      <c r="G12" s="423">
        <v>0.48899999999999999</v>
      </c>
      <c r="H12" s="422">
        <v>8.0000000000000002E-3</v>
      </c>
      <c r="I12" s="300">
        <v>1</v>
      </c>
    </row>
    <row r="13" spans="1:9" ht="20" customHeight="1" thickBot="1">
      <c r="A13" s="7" t="s">
        <v>84</v>
      </c>
      <c r="B13" s="422">
        <v>0.54700000000000004</v>
      </c>
      <c r="C13" s="300">
        <v>0.20899999999999999</v>
      </c>
      <c r="D13" s="301">
        <v>7.4999999999999997E-2</v>
      </c>
      <c r="E13" s="300">
        <v>2.1000000000000001E-2</v>
      </c>
      <c r="F13" s="301">
        <v>0.13800000000000001</v>
      </c>
      <c r="G13" s="423">
        <v>0.442</v>
      </c>
      <c r="H13" s="422">
        <v>1.1000000000000001E-2</v>
      </c>
      <c r="I13" s="300">
        <v>1</v>
      </c>
    </row>
    <row r="14" spans="1:9" ht="20" customHeight="1" thickBot="1">
      <c r="A14" s="7" t="s">
        <v>85</v>
      </c>
      <c r="B14" s="422">
        <v>0.58700000000000008</v>
      </c>
      <c r="C14" s="300">
        <v>0.184</v>
      </c>
      <c r="D14" s="301">
        <v>8.4000000000000005E-2</v>
      </c>
      <c r="E14" s="300">
        <v>1.8000000000000002E-2</v>
      </c>
      <c r="F14" s="301">
        <v>0.106</v>
      </c>
      <c r="G14" s="423">
        <v>0.39200000000000002</v>
      </c>
      <c r="H14" s="422">
        <v>0.02</v>
      </c>
      <c r="I14" s="300">
        <v>1</v>
      </c>
    </row>
    <row r="15" spans="1:9" ht="20" customHeight="1" thickBot="1">
      <c r="A15" s="7" t="s">
        <v>86</v>
      </c>
      <c r="B15" s="422">
        <v>0.47700000000000004</v>
      </c>
      <c r="C15" s="300">
        <v>0.23699999999999999</v>
      </c>
      <c r="D15" s="301">
        <v>9.6999999999999989E-2</v>
      </c>
      <c r="E15" s="300">
        <v>2.7000000000000003E-2</v>
      </c>
      <c r="F15" s="301">
        <v>0.14099999999999999</v>
      </c>
      <c r="G15" s="423">
        <v>0.502</v>
      </c>
      <c r="H15" s="422">
        <v>2.1000000000000001E-2</v>
      </c>
      <c r="I15" s="300">
        <v>1</v>
      </c>
    </row>
    <row r="16" spans="1:9" ht="20" customHeight="1" thickBot="1">
      <c r="A16" s="7" t="s">
        <v>87</v>
      </c>
      <c r="B16" s="422">
        <v>0.371</v>
      </c>
      <c r="C16" s="300">
        <v>0.30599999999999999</v>
      </c>
      <c r="D16" s="301">
        <v>0.13200000000000001</v>
      </c>
      <c r="E16" s="300">
        <v>3.1E-2</v>
      </c>
      <c r="F16" s="301">
        <v>0.128</v>
      </c>
      <c r="G16" s="423">
        <v>0.59699999999999998</v>
      </c>
      <c r="H16" s="422">
        <v>3.2000000000000001E-2</v>
      </c>
      <c r="I16" s="300">
        <v>1</v>
      </c>
    </row>
    <row r="17" spans="1:9" ht="20" customHeight="1" thickBot="1">
      <c r="A17" s="7" t="s">
        <v>88</v>
      </c>
      <c r="B17" s="422">
        <v>0.42799999999999999</v>
      </c>
      <c r="C17" s="300">
        <v>0.30299999999999999</v>
      </c>
      <c r="D17" s="301">
        <v>9.0999999999999998E-2</v>
      </c>
      <c r="E17" s="300">
        <v>2.3E-2</v>
      </c>
      <c r="F17" s="301">
        <v>0.127</v>
      </c>
      <c r="G17" s="423">
        <v>0.54400000000000004</v>
      </c>
      <c r="H17" s="422">
        <v>2.7999999999999997E-2</v>
      </c>
      <c r="I17" s="300">
        <v>1</v>
      </c>
    </row>
    <row r="18" spans="1:9" ht="20" customHeight="1" thickBot="1">
      <c r="A18" s="7" t="s">
        <v>89</v>
      </c>
      <c r="B18" s="422">
        <v>0.45899999999999996</v>
      </c>
      <c r="C18" s="300">
        <v>0.13100000000000001</v>
      </c>
      <c r="D18" s="301">
        <v>8.5000000000000006E-2</v>
      </c>
      <c r="E18" s="300">
        <v>2.3E-2</v>
      </c>
      <c r="F18" s="301">
        <v>0.17800000000000002</v>
      </c>
      <c r="G18" s="423">
        <v>0.41700000000000004</v>
      </c>
      <c r="H18" s="422">
        <v>0.12300000000000001</v>
      </c>
      <c r="I18" s="300">
        <v>1</v>
      </c>
    </row>
    <row r="19" spans="1:9" ht="20" customHeight="1" thickBot="1">
      <c r="A19" s="7" t="s">
        <v>90</v>
      </c>
      <c r="B19" s="422">
        <v>0.40299999999999997</v>
      </c>
      <c r="C19" s="300">
        <v>0.217</v>
      </c>
      <c r="D19" s="301">
        <v>0.10400000000000001</v>
      </c>
      <c r="E19" s="300">
        <v>2.7000000000000003E-2</v>
      </c>
      <c r="F19" s="301">
        <v>0.16699999999999998</v>
      </c>
      <c r="G19" s="423">
        <v>0.51500000000000001</v>
      </c>
      <c r="H19" s="422">
        <v>8.199999999999999E-2</v>
      </c>
      <c r="I19" s="300">
        <v>1</v>
      </c>
    </row>
    <row r="20" spans="1:9" ht="20" customHeight="1" thickBot="1">
      <c r="A20" s="7" t="s">
        <v>91</v>
      </c>
      <c r="B20" s="422">
        <v>0.39100000000000001</v>
      </c>
      <c r="C20" s="300">
        <v>0.20399999999999999</v>
      </c>
      <c r="D20" s="301">
        <v>6.3E-2</v>
      </c>
      <c r="E20" s="300">
        <v>1.8000000000000002E-2</v>
      </c>
      <c r="F20" s="301">
        <v>0.11599999999999999</v>
      </c>
      <c r="G20" s="423">
        <v>0.40100000000000002</v>
      </c>
      <c r="H20" s="422">
        <v>0.20699999999999999</v>
      </c>
      <c r="I20" s="300">
        <v>1</v>
      </c>
    </row>
    <row r="21" spans="1:9" ht="20" customHeight="1" thickBot="1">
      <c r="A21" s="7" t="s">
        <v>92</v>
      </c>
      <c r="B21" s="422">
        <v>0.52</v>
      </c>
      <c r="C21" s="300">
        <v>0.14199999999999999</v>
      </c>
      <c r="D21" s="301">
        <v>8.6999999999999994E-2</v>
      </c>
      <c r="E21" s="300">
        <v>1.8000000000000002E-2</v>
      </c>
      <c r="F21" s="301">
        <v>0.1</v>
      </c>
      <c r="G21" s="423">
        <v>0.34700000000000003</v>
      </c>
      <c r="H21" s="422">
        <v>0.13300000000000001</v>
      </c>
      <c r="I21" s="300">
        <v>1</v>
      </c>
    </row>
    <row r="22" spans="1:9" ht="20" customHeight="1" thickBot="1">
      <c r="A22" s="7" t="s">
        <v>93</v>
      </c>
      <c r="B22" s="422">
        <v>0.59299999999999997</v>
      </c>
      <c r="C22" s="300">
        <v>0.13100000000000001</v>
      </c>
      <c r="D22" s="301">
        <v>7.8E-2</v>
      </c>
      <c r="E22" s="300">
        <v>1.3999999999999999E-2</v>
      </c>
      <c r="F22" s="301">
        <v>8.5000000000000006E-2</v>
      </c>
      <c r="G22" s="423">
        <v>0.308</v>
      </c>
      <c r="H22" s="422">
        <v>9.9000000000000005E-2</v>
      </c>
      <c r="I22" s="300">
        <v>1</v>
      </c>
    </row>
    <row r="23" spans="1:9" ht="20" customHeight="1" thickBot="1">
      <c r="A23" s="7" t="s">
        <v>94</v>
      </c>
      <c r="B23" s="422">
        <v>0.49099999999999999</v>
      </c>
      <c r="C23" s="300">
        <v>0.154</v>
      </c>
      <c r="D23" s="301">
        <v>6.9000000000000006E-2</v>
      </c>
      <c r="E23" s="300">
        <v>1.6E-2</v>
      </c>
      <c r="F23" s="301">
        <v>0.1</v>
      </c>
      <c r="G23" s="423">
        <v>0.33799999999999997</v>
      </c>
      <c r="H23" s="422">
        <v>0.17100000000000001</v>
      </c>
      <c r="I23" s="300">
        <v>1</v>
      </c>
    </row>
    <row r="24" spans="1:9" ht="20" customHeight="1" thickBot="1">
      <c r="A24" s="7" t="s">
        <v>95</v>
      </c>
      <c r="B24" s="422">
        <v>0.61499999999999999</v>
      </c>
      <c r="C24" s="300">
        <v>9.4E-2</v>
      </c>
      <c r="D24" s="301">
        <v>5.2000000000000005E-2</v>
      </c>
      <c r="E24" s="300">
        <v>1.3999999999999999E-2</v>
      </c>
      <c r="F24" s="301">
        <v>9.9000000000000005E-2</v>
      </c>
      <c r="G24" s="423">
        <v>0.25900000000000001</v>
      </c>
      <c r="H24" s="422">
        <v>0.126</v>
      </c>
      <c r="I24" s="300">
        <v>1</v>
      </c>
    </row>
    <row r="25" spans="1:9" ht="20" customHeight="1" thickBot="1">
      <c r="A25" s="7" t="s">
        <v>96</v>
      </c>
      <c r="B25" s="422">
        <v>0.47</v>
      </c>
      <c r="C25" s="300">
        <v>0.16399999999999998</v>
      </c>
      <c r="D25" s="301">
        <v>7.0000000000000007E-2</v>
      </c>
      <c r="E25" s="300">
        <v>1.9E-2</v>
      </c>
      <c r="F25" s="301">
        <v>0.11</v>
      </c>
      <c r="G25" s="423">
        <v>0.36399999999999999</v>
      </c>
      <c r="H25" s="422">
        <v>0.16600000000000001</v>
      </c>
      <c r="I25" s="300">
        <v>1</v>
      </c>
    </row>
    <row r="26" spans="1:9" ht="20" customHeight="1" thickBot="1">
      <c r="A26" s="7" t="s">
        <v>97</v>
      </c>
      <c r="B26" s="422">
        <v>0.40799999999999997</v>
      </c>
      <c r="C26" s="300">
        <v>0.106</v>
      </c>
      <c r="D26" s="301">
        <v>6.9000000000000006E-2</v>
      </c>
      <c r="E26" s="300">
        <v>1.8000000000000002E-2</v>
      </c>
      <c r="F26" s="301">
        <v>0.11900000000000001</v>
      </c>
      <c r="G26" s="423">
        <v>0.311</v>
      </c>
      <c r="H26" s="422">
        <v>0.28100000000000003</v>
      </c>
      <c r="I26" s="300">
        <v>1</v>
      </c>
    </row>
    <row r="27" spans="1:9" ht="20" customHeight="1" thickBot="1">
      <c r="A27" s="7" t="s">
        <v>98</v>
      </c>
      <c r="B27" s="422">
        <v>0.36099999999999999</v>
      </c>
      <c r="C27" s="300">
        <v>0.253</v>
      </c>
      <c r="D27" s="301">
        <v>0.111</v>
      </c>
      <c r="E27" s="300">
        <v>2.8999999999999998E-2</v>
      </c>
      <c r="F27" s="301">
        <v>0.23100000000000001</v>
      </c>
      <c r="G27" s="423">
        <v>0.624</v>
      </c>
      <c r="H27" s="422">
        <v>1.4999999999999999E-2</v>
      </c>
      <c r="I27" s="300">
        <v>1</v>
      </c>
    </row>
    <row r="28" spans="1:9" ht="20" customHeight="1" thickBot="1">
      <c r="A28" s="7" t="s">
        <v>99</v>
      </c>
      <c r="B28" s="422">
        <v>0.29899999999999999</v>
      </c>
      <c r="C28" s="300">
        <v>0.20600000000000002</v>
      </c>
      <c r="D28" s="301">
        <v>0.17800000000000002</v>
      </c>
      <c r="E28" s="300">
        <v>5.0999999999999997E-2</v>
      </c>
      <c r="F28" s="301">
        <v>0.22399999999999998</v>
      </c>
      <c r="G28" s="423">
        <v>0.65799999999999992</v>
      </c>
      <c r="H28" s="422">
        <v>4.2999999999999997E-2</v>
      </c>
      <c r="I28" s="300">
        <v>1</v>
      </c>
    </row>
    <row r="29" spans="1:9" ht="20" customHeight="1" thickBot="1">
      <c r="A29" s="7" t="s">
        <v>100</v>
      </c>
      <c r="B29" s="422">
        <v>0.55799999999999994</v>
      </c>
      <c r="C29" s="300">
        <v>0.27399999999999997</v>
      </c>
      <c r="D29" s="301">
        <v>7.5999999999999998E-2</v>
      </c>
      <c r="E29" s="300">
        <v>0.02</v>
      </c>
      <c r="F29" s="301">
        <v>6.9000000000000006E-2</v>
      </c>
      <c r="G29" s="423">
        <v>0.439</v>
      </c>
      <c r="H29" s="422">
        <v>4.0000000000000001E-3</v>
      </c>
      <c r="I29" s="300">
        <v>1</v>
      </c>
    </row>
    <row r="30" spans="1:9" ht="20" customHeight="1" thickBot="1">
      <c r="A30" s="7" t="s">
        <v>101</v>
      </c>
      <c r="B30" s="422">
        <v>0.34</v>
      </c>
      <c r="C30" s="300">
        <v>0.25900000000000001</v>
      </c>
      <c r="D30" s="301">
        <v>0.14699999999999999</v>
      </c>
      <c r="E30" s="300">
        <v>2.7999999999999997E-2</v>
      </c>
      <c r="F30" s="301">
        <v>0.21299999999999999</v>
      </c>
      <c r="G30" s="423">
        <v>0.64700000000000002</v>
      </c>
      <c r="H30" s="422">
        <v>1.3000000000000001E-2</v>
      </c>
      <c r="I30" s="300">
        <v>1</v>
      </c>
    </row>
    <row r="31" spans="1:9" ht="20" customHeight="1" thickBot="1">
      <c r="A31" s="7" t="s">
        <v>102</v>
      </c>
      <c r="B31" s="422">
        <v>0.32500000000000001</v>
      </c>
      <c r="C31" s="300">
        <v>0.24100000000000002</v>
      </c>
      <c r="D31" s="301">
        <v>0.13800000000000001</v>
      </c>
      <c r="E31" s="300">
        <v>3.5000000000000003E-2</v>
      </c>
      <c r="F31" s="301">
        <v>0.19600000000000001</v>
      </c>
      <c r="G31" s="423">
        <v>0.61</v>
      </c>
      <c r="H31" s="422">
        <v>6.5000000000000002E-2</v>
      </c>
      <c r="I31" s="300">
        <v>1</v>
      </c>
    </row>
    <row r="32" spans="1:9" ht="20" customHeight="1" thickBot="1">
      <c r="A32" s="65" t="s">
        <v>103</v>
      </c>
      <c r="B32" s="422">
        <v>0.31900000000000001</v>
      </c>
      <c r="C32" s="300">
        <v>0.245</v>
      </c>
      <c r="D32" s="301">
        <v>0.16</v>
      </c>
      <c r="E32" s="300">
        <v>2.7000000000000003E-2</v>
      </c>
      <c r="F32" s="301">
        <v>0.24100000000000002</v>
      </c>
      <c r="G32" s="423">
        <v>0.67299999999999993</v>
      </c>
      <c r="H32" s="422">
        <v>6.9999999999999993E-3</v>
      </c>
      <c r="I32" s="300">
        <v>1</v>
      </c>
    </row>
    <row r="33" spans="1:9" ht="30" customHeight="1" thickBot="1">
      <c r="A33" s="424" t="s">
        <v>104</v>
      </c>
      <c r="B33" s="425">
        <v>0.41799999999999998</v>
      </c>
      <c r="C33" s="306">
        <v>0.221</v>
      </c>
      <c r="D33" s="425">
        <v>0.10199999999999999</v>
      </c>
      <c r="E33" s="306">
        <v>2.6000000000000002E-2</v>
      </c>
      <c r="F33" s="425">
        <v>0.15</v>
      </c>
      <c r="G33" s="306">
        <v>0.5</v>
      </c>
      <c r="H33" s="307">
        <v>8.3000000000000004E-2</v>
      </c>
      <c r="I33" s="383">
        <v>1</v>
      </c>
    </row>
    <row r="34" spans="1:9" ht="20" customHeight="1">
      <c r="A34" s="183" t="s">
        <v>1000</v>
      </c>
      <c r="B34" s="426"/>
      <c r="C34" s="9"/>
      <c r="D34" s="9"/>
      <c r="E34" s="9"/>
      <c r="F34" s="9"/>
      <c r="G34" s="427"/>
      <c r="I34" s="92"/>
    </row>
    <row r="35" spans="1:9" ht="11.25" customHeight="1">
      <c r="A35" s="118"/>
      <c r="B35" s="429"/>
      <c r="C35" s="37"/>
      <c r="D35" s="37"/>
      <c r="E35" s="37"/>
      <c r="F35" s="37"/>
      <c r="G35" s="207"/>
      <c r="I35" s="92"/>
    </row>
    <row r="36" spans="1:9" ht="12" customHeight="1">
      <c r="A36" s="37" t="s">
        <v>1581</v>
      </c>
    </row>
    <row r="37" spans="1:9" ht="12" customHeight="1"/>
    <row r="38" spans="1:9" ht="12" customHeight="1"/>
    <row r="39" spans="1:9" ht="12" customHeight="1">
      <c r="A39" s="3" t="s">
        <v>256</v>
      </c>
    </row>
  </sheetData>
  <mergeCells count="1">
    <mergeCell ref="C3:G3"/>
  </mergeCells>
  <phoneticPr fontId="0" type="noConversion"/>
  <pageMargins left="0.49" right="0.48" top="0.65" bottom="0.49" header="0.35" footer="0.4921259845"/>
  <pageSetup paperSize="9" scale="76" orientation="portrait" horizontalDpi="4294967292" verticalDpi="4294967292"/>
  <headerFooter alignWithMargins="0">
    <oddHeader>&amp;L&amp;"Arial,Bold"Versicherte und Finanzen in der OKP</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54FC7-ABFF-1449-B477-724DC2A6F88B}">
  <sheetPr>
    <pageSetUpPr fitToPage="1"/>
  </sheetPr>
  <dimension ref="A1:H19"/>
  <sheetViews>
    <sheetView zoomScale="75" workbookViewId="0"/>
  </sheetViews>
  <sheetFormatPr baseColWidth="10" defaultColWidth="11.3984375" defaultRowHeight="13"/>
  <cols>
    <col min="1" max="1" width="14.796875" style="3" customWidth="1"/>
    <col min="2" max="2" width="14.796875" style="35" customWidth="1"/>
    <col min="3" max="4" width="12.19921875" style="3" customWidth="1"/>
    <col min="5" max="5" width="12.59765625" style="3" customWidth="1"/>
    <col min="6" max="6" width="15.19921875" style="35" customWidth="1"/>
    <col min="7" max="7" width="16" style="428" customWidth="1"/>
    <col min="8" max="8" width="13.796875" style="3" customWidth="1"/>
    <col min="9" max="16384" width="11.3984375" style="3"/>
  </cols>
  <sheetData>
    <row r="1" spans="1:8" s="1" customFormat="1" ht="14" customHeight="1">
      <c r="A1" s="372"/>
      <c r="B1" s="430"/>
      <c r="C1" s="372"/>
      <c r="D1" s="372"/>
      <c r="E1" s="372"/>
      <c r="F1" s="430"/>
      <c r="G1" s="431"/>
    </row>
    <row r="2" spans="1:8" s="1" customFormat="1" ht="28" customHeight="1">
      <c r="A2" s="374" t="s">
        <v>1582</v>
      </c>
      <c r="B2" s="430"/>
      <c r="C2" s="372"/>
      <c r="D2" s="372"/>
      <c r="E2" s="372"/>
      <c r="F2" s="432"/>
      <c r="G2" s="433"/>
      <c r="H2" s="374">
        <v>2003</v>
      </c>
    </row>
    <row r="3" spans="1:8" ht="27" customHeight="1">
      <c r="A3" s="2" t="s">
        <v>1847</v>
      </c>
      <c r="B3" s="339" t="s">
        <v>1580</v>
      </c>
      <c r="C3" s="1476" t="s">
        <v>1330</v>
      </c>
      <c r="D3" s="1476"/>
      <c r="E3" s="1476"/>
      <c r="F3" s="416"/>
      <c r="G3" s="323" t="s">
        <v>1849</v>
      </c>
      <c r="H3" s="69" t="s">
        <v>22</v>
      </c>
    </row>
    <row r="4" spans="1:8" ht="15" customHeight="1">
      <c r="A4" s="4"/>
      <c r="B4" s="416" t="s">
        <v>1850</v>
      </c>
      <c r="C4" s="4"/>
      <c r="D4" s="71"/>
      <c r="E4" s="17"/>
      <c r="F4" s="416" t="s">
        <v>22</v>
      </c>
      <c r="G4" s="417" t="s">
        <v>1851</v>
      </c>
      <c r="H4" s="70"/>
    </row>
    <row r="5" spans="1:8" ht="15" customHeight="1">
      <c r="A5" s="4"/>
      <c r="B5" s="416" t="s">
        <v>1852</v>
      </c>
      <c r="C5" s="4" t="s">
        <v>1583</v>
      </c>
      <c r="D5" s="71" t="s">
        <v>1584</v>
      </c>
      <c r="E5" s="17" t="s">
        <v>1585</v>
      </c>
      <c r="F5" s="416"/>
      <c r="G5" s="417" t="s">
        <v>1857</v>
      </c>
      <c r="H5" s="70"/>
    </row>
    <row r="6" spans="1:8" ht="24" customHeight="1">
      <c r="A6" s="5"/>
      <c r="B6" s="419" t="s">
        <v>1587</v>
      </c>
      <c r="C6" s="5"/>
      <c r="D6" s="72"/>
      <c r="E6" s="18"/>
      <c r="F6" s="419"/>
      <c r="G6" s="420"/>
      <c r="H6" s="73"/>
    </row>
    <row r="7" spans="1:8" ht="20" customHeight="1" thickBot="1">
      <c r="A7" s="421">
        <v>1997</v>
      </c>
      <c r="B7" s="422">
        <v>0.8206</v>
      </c>
      <c r="C7" s="300">
        <v>9.915910780669146E-2</v>
      </c>
      <c r="D7" s="301">
        <v>2.4563271375464685E-2</v>
      </c>
      <c r="E7" s="300">
        <v>1.1677620817843865E-2</v>
      </c>
      <c r="F7" s="422">
        <v>0.13550000000000001</v>
      </c>
      <c r="G7" s="423">
        <v>4.3900000000000002E-2</v>
      </c>
      <c r="H7" s="301">
        <v>1</v>
      </c>
    </row>
    <row r="8" spans="1:8" ht="20" customHeight="1" thickBot="1">
      <c r="A8" s="7">
        <v>1998</v>
      </c>
      <c r="B8" s="422">
        <v>0.8075</v>
      </c>
      <c r="C8" s="300">
        <v>8.9319669551534225E-2</v>
      </c>
      <c r="D8" s="301">
        <v>2.1300078678206137E-2</v>
      </c>
      <c r="E8" s="300">
        <v>1.7080251770259638E-2</v>
      </c>
      <c r="F8" s="422">
        <v>0.12759999999999999</v>
      </c>
      <c r="G8" s="423">
        <v>6.4899999999999999E-2</v>
      </c>
      <c r="H8" s="301">
        <v>1</v>
      </c>
    </row>
    <row r="9" spans="1:8" ht="20" customHeight="1" thickBot="1">
      <c r="A9" s="7">
        <v>1999</v>
      </c>
      <c r="B9" s="422">
        <v>0.80579999999999996</v>
      </c>
      <c r="C9" s="300">
        <v>8.0600000000000005E-2</v>
      </c>
      <c r="D9" s="301">
        <v>1.9599999999999999E-2</v>
      </c>
      <c r="E9" s="300">
        <v>2.2200000000000001E-2</v>
      </c>
      <c r="F9" s="422">
        <v>0.1226</v>
      </c>
      <c r="G9" s="423">
        <v>7.17E-2</v>
      </c>
      <c r="H9" s="301">
        <v>1</v>
      </c>
    </row>
    <row r="10" spans="1:8" ht="20" customHeight="1" thickBot="1">
      <c r="A10" s="65">
        <v>2000</v>
      </c>
      <c r="B10" s="422">
        <v>0.8034</v>
      </c>
      <c r="C10" s="300">
        <v>7.5622923588039861E-2</v>
      </c>
      <c r="D10" s="301">
        <v>1.9056976744186046E-2</v>
      </c>
      <c r="E10" s="300">
        <v>2.6720099667774087E-2</v>
      </c>
      <c r="F10" s="422">
        <v>0.12139999999999999</v>
      </c>
      <c r="G10" s="423">
        <v>7.5200000000000003E-2</v>
      </c>
      <c r="H10" s="301">
        <v>1</v>
      </c>
    </row>
    <row r="11" spans="1:8" ht="20" customHeight="1" thickBot="1">
      <c r="A11" s="65">
        <v>2001</v>
      </c>
      <c r="B11" s="422">
        <v>0.80599999999999994</v>
      </c>
      <c r="C11" s="300">
        <v>7.0999999999999994E-2</v>
      </c>
      <c r="D11" s="301">
        <v>1.6E-2</v>
      </c>
      <c r="E11" s="300">
        <v>2.8999999999999998E-2</v>
      </c>
      <c r="F11" s="422">
        <v>0.11599999999999999</v>
      </c>
      <c r="G11" s="423">
        <v>7.8E-2</v>
      </c>
      <c r="H11" s="301">
        <v>1</v>
      </c>
    </row>
    <row r="12" spans="1:8" ht="20" customHeight="1" thickBot="1">
      <c r="A12" s="65">
        <v>2002</v>
      </c>
      <c r="B12" s="422">
        <v>0.80900000000000005</v>
      </c>
      <c r="C12" s="300">
        <v>6.5000000000000002E-2</v>
      </c>
      <c r="D12" s="301">
        <v>1.4999999999999999E-2</v>
      </c>
      <c r="E12" s="300">
        <v>3.2000000000000001E-2</v>
      </c>
      <c r="F12" s="422">
        <v>0.111</v>
      </c>
      <c r="G12" s="423">
        <v>0.08</v>
      </c>
      <c r="H12" s="301">
        <v>1</v>
      </c>
    </row>
    <row r="13" spans="1:8" ht="30" customHeight="1" thickBot="1">
      <c r="A13" s="424">
        <v>2003</v>
      </c>
      <c r="B13" s="425">
        <v>0.80299999999999994</v>
      </c>
      <c r="C13" s="306">
        <v>6.0999999999999999E-2</v>
      </c>
      <c r="D13" s="425">
        <v>1.3999999999999999E-2</v>
      </c>
      <c r="E13" s="306">
        <v>0.04</v>
      </c>
      <c r="F13" s="425">
        <v>0.114</v>
      </c>
      <c r="G13" s="306">
        <v>8.3000000000000004E-2</v>
      </c>
      <c r="H13" s="434">
        <v>1</v>
      </c>
    </row>
    <row r="14" spans="1:8" ht="20" customHeight="1">
      <c r="A14" s="183" t="s">
        <v>1859</v>
      </c>
      <c r="B14" s="435"/>
      <c r="C14" s="436"/>
      <c r="D14" s="436"/>
      <c r="E14" s="436"/>
      <c r="F14" s="435"/>
      <c r="G14" s="437"/>
    </row>
    <row r="15" spans="1:8" ht="12" customHeight="1"/>
    <row r="16" spans="1:8" ht="12" customHeight="1">
      <c r="A16" s="3" t="s">
        <v>1588</v>
      </c>
    </row>
    <row r="19" spans="1:1">
      <c r="A19" s="3" t="s">
        <v>256</v>
      </c>
    </row>
  </sheetData>
  <mergeCells count="1">
    <mergeCell ref="C3:E3"/>
  </mergeCells>
  <phoneticPr fontId="0" type="noConversion"/>
  <pageMargins left="0.6" right="0.62" top="0.9" bottom="0.49" header="0.49" footer="0.4921259845"/>
  <pageSetup paperSize="9" scale="81" orientation="portrait" horizontalDpi="4294967292" verticalDpi="4294967292"/>
  <headerFooter alignWithMargins="0">
    <oddHeader>&amp;L&amp;"Arial,Bold"Versicherte und Finanzen in der OKP</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4A943-B137-9647-8358-562C7111F2C5}">
  <sheetPr>
    <pageSetUpPr fitToPage="1"/>
  </sheetPr>
  <dimension ref="A1:H39"/>
  <sheetViews>
    <sheetView zoomScale="75" workbookViewId="0"/>
  </sheetViews>
  <sheetFormatPr baseColWidth="10" defaultColWidth="11.3984375" defaultRowHeight="13"/>
  <cols>
    <col min="1" max="1" width="14.796875" style="3" customWidth="1"/>
    <col min="2" max="2" width="14.796875" style="35" customWidth="1"/>
    <col min="3" max="4" width="12.19921875" style="3" customWidth="1"/>
    <col min="5" max="5" width="12.59765625" style="3" customWidth="1"/>
    <col min="6" max="6" width="15.19921875" style="35" customWidth="1"/>
    <col min="7" max="7" width="15.3984375" style="428" customWidth="1"/>
    <col min="8" max="8" width="13.796875" style="3" customWidth="1"/>
    <col min="9" max="16384" width="11.3984375" style="3"/>
  </cols>
  <sheetData>
    <row r="1" spans="1:8" s="1" customFormat="1" ht="14" customHeight="1">
      <c r="A1" s="372"/>
      <c r="B1" s="430"/>
      <c r="C1" s="372"/>
      <c r="D1" s="372"/>
      <c r="E1" s="372"/>
      <c r="F1" s="430"/>
      <c r="G1" s="431"/>
    </row>
    <row r="2" spans="1:8" s="1" customFormat="1" ht="28" customHeight="1">
      <c r="A2" s="374" t="s">
        <v>1589</v>
      </c>
      <c r="B2" s="430"/>
      <c r="C2" s="372"/>
      <c r="D2" s="372"/>
      <c r="E2" s="372"/>
      <c r="F2" s="432"/>
      <c r="G2" s="433"/>
      <c r="H2" s="374">
        <v>2003</v>
      </c>
    </row>
    <row r="3" spans="1:8" ht="27" customHeight="1">
      <c r="A3" s="2" t="s">
        <v>70</v>
      </c>
      <c r="B3" s="339" t="s">
        <v>1580</v>
      </c>
      <c r="C3" s="1476" t="s">
        <v>1330</v>
      </c>
      <c r="D3" s="1476"/>
      <c r="E3" s="1476"/>
      <c r="F3" s="416"/>
      <c r="G3" s="323" t="s">
        <v>1849</v>
      </c>
      <c r="H3" s="69" t="s">
        <v>22</v>
      </c>
    </row>
    <row r="4" spans="1:8" ht="15" customHeight="1">
      <c r="A4" s="4"/>
      <c r="B4" s="416" t="s">
        <v>1850</v>
      </c>
      <c r="C4" s="4"/>
      <c r="D4" s="71"/>
      <c r="E4" s="17"/>
      <c r="F4" s="416" t="s">
        <v>22</v>
      </c>
      <c r="G4" s="417" t="s">
        <v>1851</v>
      </c>
      <c r="H4" s="70"/>
    </row>
    <row r="5" spans="1:8" ht="15" customHeight="1">
      <c r="A5" s="4"/>
      <c r="B5" s="416" t="s">
        <v>1852</v>
      </c>
      <c r="C5" s="4" t="s">
        <v>1583</v>
      </c>
      <c r="D5" s="71" t="s">
        <v>1584</v>
      </c>
      <c r="E5" s="17" t="s">
        <v>1585</v>
      </c>
      <c r="F5" s="416"/>
      <c r="G5" s="417" t="s">
        <v>1857</v>
      </c>
      <c r="H5" s="70"/>
    </row>
    <row r="6" spans="1:8" ht="24" customHeight="1">
      <c r="A6" s="5"/>
      <c r="B6" s="419" t="s">
        <v>1587</v>
      </c>
      <c r="C6" s="5"/>
      <c r="D6" s="72"/>
      <c r="E6" s="18"/>
      <c r="F6" s="419"/>
      <c r="G6" s="420"/>
      <c r="H6" s="73"/>
    </row>
    <row r="7" spans="1:8" ht="30" customHeight="1" thickBot="1">
      <c r="A7" s="6" t="s">
        <v>78</v>
      </c>
      <c r="B7" s="422">
        <v>0.80799999999999994</v>
      </c>
      <c r="C7" s="300">
        <v>4.8000000000000001E-2</v>
      </c>
      <c r="D7" s="301">
        <v>8.0000000000000002E-3</v>
      </c>
      <c r="E7" s="300">
        <v>3.2000000000000001E-2</v>
      </c>
      <c r="F7" s="422">
        <v>8.900000000000001E-2</v>
      </c>
      <c r="G7" s="423">
        <v>0.10300000000000001</v>
      </c>
      <c r="H7" s="301">
        <v>1</v>
      </c>
    </row>
    <row r="8" spans="1:8" ht="20" customHeight="1" thickBot="1">
      <c r="A8" s="7" t="s">
        <v>79</v>
      </c>
      <c r="B8" s="422">
        <v>0.81799999999999995</v>
      </c>
      <c r="C8" s="300">
        <v>7.5999999999999998E-2</v>
      </c>
      <c r="D8" s="301">
        <v>9.0000000000000011E-3</v>
      </c>
      <c r="E8" s="300">
        <v>2.8999999999999998E-2</v>
      </c>
      <c r="F8" s="422">
        <v>0.114</v>
      </c>
      <c r="G8" s="423">
        <v>6.9000000000000006E-2</v>
      </c>
      <c r="H8" s="301">
        <v>1</v>
      </c>
    </row>
    <row r="9" spans="1:8" ht="20" customHeight="1" thickBot="1">
      <c r="A9" s="7" t="s">
        <v>80</v>
      </c>
      <c r="B9" s="422">
        <v>0.91599999999999993</v>
      </c>
      <c r="C9" s="300">
        <v>1.6E-2</v>
      </c>
      <c r="D9" s="301">
        <v>5.0000000000000001E-3</v>
      </c>
      <c r="E9" s="300">
        <v>2.5000000000000001E-2</v>
      </c>
      <c r="F9" s="422">
        <v>4.5999999999999999E-2</v>
      </c>
      <c r="G9" s="423">
        <v>3.7999999999999999E-2</v>
      </c>
      <c r="H9" s="301">
        <v>1</v>
      </c>
    </row>
    <row r="10" spans="1:8" ht="20" customHeight="1" thickBot="1">
      <c r="A10" s="7" t="s">
        <v>81</v>
      </c>
      <c r="B10" s="422">
        <v>0.93500000000000005</v>
      </c>
      <c r="C10" s="300">
        <v>1.6E-2</v>
      </c>
      <c r="D10" s="301">
        <v>1.8000000000000002E-2</v>
      </c>
      <c r="E10" s="300">
        <v>2.8999999999999998E-2</v>
      </c>
      <c r="F10" s="422">
        <v>6.3E-2</v>
      </c>
      <c r="G10" s="423">
        <v>2E-3</v>
      </c>
      <c r="H10" s="301">
        <v>1</v>
      </c>
    </row>
    <row r="11" spans="1:8" ht="20" customHeight="1" thickBot="1">
      <c r="A11" s="7" t="s">
        <v>82</v>
      </c>
      <c r="B11" s="422">
        <v>0.91799999999999993</v>
      </c>
      <c r="C11" s="300">
        <v>2.5000000000000001E-2</v>
      </c>
      <c r="D11" s="301">
        <v>5.0000000000000001E-3</v>
      </c>
      <c r="E11" s="300">
        <v>1.9E-2</v>
      </c>
      <c r="F11" s="422">
        <v>0.05</v>
      </c>
      <c r="G11" s="423">
        <v>3.3000000000000002E-2</v>
      </c>
      <c r="H11" s="301">
        <v>1</v>
      </c>
    </row>
    <row r="12" spans="1:8" ht="20" customHeight="1" thickBot="1">
      <c r="A12" s="7" t="s">
        <v>83</v>
      </c>
      <c r="B12" s="422">
        <v>0.93799999999999994</v>
      </c>
      <c r="C12" s="300">
        <v>2.4E-2</v>
      </c>
      <c r="D12" s="301">
        <v>8.0000000000000002E-3</v>
      </c>
      <c r="E12" s="300">
        <v>0.02</v>
      </c>
      <c r="F12" s="422">
        <v>5.2000000000000005E-2</v>
      </c>
      <c r="G12" s="423">
        <v>0.01</v>
      </c>
      <c r="H12" s="301">
        <v>1</v>
      </c>
    </row>
    <row r="13" spans="1:8" ht="20" customHeight="1" thickBot="1">
      <c r="A13" s="7" t="s">
        <v>84</v>
      </c>
      <c r="B13" s="422">
        <v>0.91900000000000004</v>
      </c>
      <c r="C13" s="300">
        <v>1.7000000000000001E-2</v>
      </c>
      <c r="D13" s="301">
        <v>4.0000000000000001E-3</v>
      </c>
      <c r="E13" s="300">
        <v>5.0999999999999997E-2</v>
      </c>
      <c r="F13" s="422">
        <v>7.2000000000000008E-2</v>
      </c>
      <c r="G13" s="423">
        <v>9.0000000000000011E-3</v>
      </c>
      <c r="H13" s="301">
        <v>1</v>
      </c>
    </row>
    <row r="14" spans="1:8" ht="20" customHeight="1" thickBot="1">
      <c r="A14" s="7" t="s">
        <v>85</v>
      </c>
      <c r="B14" s="422">
        <v>0.93500000000000005</v>
      </c>
      <c r="C14" s="300">
        <v>1.9E-2</v>
      </c>
      <c r="D14" s="301">
        <v>4.0000000000000001E-3</v>
      </c>
      <c r="E14" s="300">
        <v>1.9E-2</v>
      </c>
      <c r="F14" s="422">
        <v>4.0999999999999995E-2</v>
      </c>
      <c r="G14" s="423">
        <v>2.4E-2</v>
      </c>
      <c r="H14" s="301">
        <v>1</v>
      </c>
    </row>
    <row r="15" spans="1:8" ht="20" customHeight="1" thickBot="1">
      <c r="A15" s="7" t="s">
        <v>86</v>
      </c>
      <c r="B15" s="422">
        <v>0.91900000000000004</v>
      </c>
      <c r="C15" s="300">
        <v>0.03</v>
      </c>
      <c r="D15" s="301">
        <v>5.0000000000000001E-3</v>
      </c>
      <c r="E15" s="300">
        <v>0.02</v>
      </c>
      <c r="F15" s="422">
        <v>5.5E-2</v>
      </c>
      <c r="G15" s="423">
        <v>2.6000000000000002E-2</v>
      </c>
      <c r="H15" s="301">
        <v>1</v>
      </c>
    </row>
    <row r="16" spans="1:8" ht="20" customHeight="1" thickBot="1">
      <c r="A16" s="7" t="s">
        <v>87</v>
      </c>
      <c r="B16" s="422">
        <v>0.84499999999999997</v>
      </c>
      <c r="C16" s="300">
        <v>7.5999999999999998E-2</v>
      </c>
      <c r="D16" s="301">
        <v>1.7000000000000001E-2</v>
      </c>
      <c r="E16" s="300">
        <v>3.1E-2</v>
      </c>
      <c r="F16" s="422">
        <v>0.124</v>
      </c>
      <c r="G16" s="423">
        <v>3.2000000000000001E-2</v>
      </c>
      <c r="H16" s="301">
        <v>1</v>
      </c>
    </row>
    <row r="17" spans="1:8" ht="20" customHeight="1" thickBot="1">
      <c r="A17" s="7" t="s">
        <v>88</v>
      </c>
      <c r="B17" s="422">
        <v>0.8859999999999999</v>
      </c>
      <c r="C17" s="300">
        <v>3.7000000000000005E-2</v>
      </c>
      <c r="D17" s="301">
        <v>1.1000000000000001E-2</v>
      </c>
      <c r="E17" s="300">
        <v>2.4E-2</v>
      </c>
      <c r="F17" s="422">
        <v>7.2000000000000008E-2</v>
      </c>
      <c r="G17" s="423">
        <v>4.2999999999999997E-2</v>
      </c>
      <c r="H17" s="301">
        <v>1</v>
      </c>
    </row>
    <row r="18" spans="1:8" ht="20" customHeight="1" thickBot="1">
      <c r="A18" s="7" t="s">
        <v>89</v>
      </c>
      <c r="B18" s="422">
        <v>0.72799999999999998</v>
      </c>
      <c r="C18" s="300">
        <v>4.2999999999999997E-2</v>
      </c>
      <c r="D18" s="301">
        <v>1.8000000000000002E-2</v>
      </c>
      <c r="E18" s="300">
        <v>6.2E-2</v>
      </c>
      <c r="F18" s="422">
        <v>0.12300000000000001</v>
      </c>
      <c r="G18" s="423">
        <v>0.14899999999999999</v>
      </c>
      <c r="H18" s="301">
        <v>1</v>
      </c>
    </row>
    <row r="19" spans="1:8" ht="20" customHeight="1" thickBot="1">
      <c r="A19" s="7" t="s">
        <v>90</v>
      </c>
      <c r="B19" s="422">
        <v>0.81799999999999995</v>
      </c>
      <c r="C19" s="300">
        <v>4.2000000000000003E-2</v>
      </c>
      <c r="D19" s="301">
        <v>8.0000000000000002E-3</v>
      </c>
      <c r="E19" s="300">
        <v>4.9000000000000002E-2</v>
      </c>
      <c r="F19" s="422">
        <v>9.8000000000000004E-2</v>
      </c>
      <c r="G19" s="423">
        <v>8.4000000000000005E-2</v>
      </c>
      <c r="H19" s="301">
        <v>1</v>
      </c>
    </row>
    <row r="20" spans="1:8" ht="20" customHeight="1" thickBot="1">
      <c r="A20" s="7" t="s">
        <v>91</v>
      </c>
      <c r="B20" s="422">
        <v>0.74</v>
      </c>
      <c r="C20" s="300">
        <v>2.1000000000000001E-2</v>
      </c>
      <c r="D20" s="301">
        <v>4.0000000000000001E-3</v>
      </c>
      <c r="E20" s="300">
        <v>2.6000000000000002E-2</v>
      </c>
      <c r="F20" s="422">
        <v>5.2000000000000005E-2</v>
      </c>
      <c r="G20" s="423">
        <v>0.20699999999999999</v>
      </c>
      <c r="H20" s="301">
        <v>1</v>
      </c>
    </row>
    <row r="21" spans="1:8" ht="20" customHeight="1" thickBot="1">
      <c r="A21" s="7" t="s">
        <v>92</v>
      </c>
      <c r="B21" s="422">
        <v>0.80799999999999994</v>
      </c>
      <c r="C21" s="300">
        <v>1.4999999999999999E-2</v>
      </c>
      <c r="D21" s="301">
        <v>3.0000000000000001E-3</v>
      </c>
      <c r="E21" s="300">
        <v>1.3000000000000001E-2</v>
      </c>
      <c r="F21" s="422">
        <v>3.1E-2</v>
      </c>
      <c r="G21" s="423">
        <v>0.16</v>
      </c>
      <c r="H21" s="301">
        <v>1</v>
      </c>
    </row>
    <row r="22" spans="1:8" ht="20" customHeight="1" thickBot="1">
      <c r="A22" s="7" t="s">
        <v>93</v>
      </c>
      <c r="B22" s="422">
        <v>0.84900000000000009</v>
      </c>
      <c r="C22" s="300">
        <v>6.0000000000000001E-3</v>
      </c>
      <c r="D22" s="301">
        <v>3.0000000000000001E-3</v>
      </c>
      <c r="E22" s="300">
        <v>6.0000000000000001E-3</v>
      </c>
      <c r="F22" s="422">
        <v>1.3999999999999999E-2</v>
      </c>
      <c r="G22" s="423">
        <v>0.13699999999999998</v>
      </c>
      <c r="H22" s="301">
        <v>1</v>
      </c>
    </row>
    <row r="23" spans="1:8" ht="20" customHeight="1" thickBot="1">
      <c r="A23" s="7" t="s">
        <v>94</v>
      </c>
      <c r="B23" s="422">
        <v>0.80700000000000005</v>
      </c>
      <c r="C23" s="300">
        <v>1.8000000000000002E-2</v>
      </c>
      <c r="D23" s="301">
        <v>4.0000000000000001E-3</v>
      </c>
      <c r="E23" s="300">
        <v>1.4999999999999999E-2</v>
      </c>
      <c r="F23" s="422">
        <v>3.7000000000000005E-2</v>
      </c>
      <c r="G23" s="423">
        <v>0.156</v>
      </c>
      <c r="H23" s="301">
        <v>1</v>
      </c>
    </row>
    <row r="24" spans="1:8" ht="20" customHeight="1" thickBot="1">
      <c r="A24" s="7" t="s">
        <v>95</v>
      </c>
      <c r="B24" s="422">
        <v>0.82299999999999995</v>
      </c>
      <c r="C24" s="300">
        <v>0.01</v>
      </c>
      <c r="D24" s="301">
        <v>3.0000000000000001E-3</v>
      </c>
      <c r="E24" s="300">
        <v>1.4999999999999999E-2</v>
      </c>
      <c r="F24" s="422">
        <v>2.7999999999999997E-2</v>
      </c>
      <c r="G24" s="423">
        <v>0.14800000000000002</v>
      </c>
      <c r="H24" s="301">
        <v>1</v>
      </c>
    </row>
    <row r="25" spans="1:8" ht="20" customHeight="1" thickBot="1">
      <c r="A25" s="7" t="s">
        <v>96</v>
      </c>
      <c r="B25" s="422">
        <v>0.80900000000000005</v>
      </c>
      <c r="C25" s="300">
        <v>2.7000000000000003E-2</v>
      </c>
      <c r="D25" s="301">
        <v>5.0000000000000001E-3</v>
      </c>
      <c r="E25" s="300">
        <v>1.7000000000000001E-2</v>
      </c>
      <c r="F25" s="422">
        <v>0.05</v>
      </c>
      <c r="G25" s="423">
        <v>0.14099999999999999</v>
      </c>
      <c r="H25" s="301">
        <v>1</v>
      </c>
    </row>
    <row r="26" spans="1:8" ht="20" customHeight="1" thickBot="1">
      <c r="A26" s="7" t="s">
        <v>97</v>
      </c>
      <c r="B26" s="422">
        <v>0.64400000000000002</v>
      </c>
      <c r="C26" s="300">
        <v>1.9E-2</v>
      </c>
      <c r="D26" s="301">
        <v>8.0000000000000002E-3</v>
      </c>
      <c r="E26" s="300">
        <v>3.2000000000000001E-2</v>
      </c>
      <c r="F26" s="422">
        <v>5.7999999999999996E-2</v>
      </c>
      <c r="G26" s="423">
        <v>0.29799999999999999</v>
      </c>
      <c r="H26" s="301">
        <v>1</v>
      </c>
    </row>
    <row r="27" spans="1:8" ht="20" customHeight="1" thickBot="1">
      <c r="A27" s="7" t="s">
        <v>98</v>
      </c>
      <c r="B27" s="422">
        <v>0.8</v>
      </c>
      <c r="C27" s="300">
        <v>0.09</v>
      </c>
      <c r="D27" s="301">
        <v>1.4999999999999999E-2</v>
      </c>
      <c r="E27" s="300">
        <v>7.0000000000000007E-2</v>
      </c>
      <c r="F27" s="422">
        <v>0.17499999999999999</v>
      </c>
      <c r="G27" s="423">
        <v>2.5000000000000001E-2</v>
      </c>
      <c r="H27" s="301">
        <v>1</v>
      </c>
    </row>
    <row r="28" spans="1:8" ht="20" customHeight="1" thickBot="1">
      <c r="A28" s="7" t="s">
        <v>99</v>
      </c>
      <c r="B28" s="422">
        <v>0.64599999999999991</v>
      </c>
      <c r="C28" s="300">
        <v>0.14699999999999999</v>
      </c>
      <c r="D28" s="301">
        <v>5.5E-2</v>
      </c>
      <c r="E28" s="300">
        <v>0.11199999999999999</v>
      </c>
      <c r="F28" s="422">
        <v>0.314</v>
      </c>
      <c r="G28" s="423">
        <v>0.04</v>
      </c>
      <c r="H28" s="301">
        <v>1</v>
      </c>
    </row>
    <row r="29" spans="1:8" ht="20" customHeight="1" thickBot="1">
      <c r="A29" s="7" t="s">
        <v>100</v>
      </c>
      <c r="B29" s="422">
        <v>0.88200000000000001</v>
      </c>
      <c r="C29" s="300">
        <v>9.0999999999999998E-2</v>
      </c>
      <c r="D29" s="301">
        <v>9.0000000000000011E-3</v>
      </c>
      <c r="E29" s="300">
        <v>1.7000000000000001E-2</v>
      </c>
      <c r="F29" s="422">
        <v>0.11699999999999999</v>
      </c>
      <c r="G29" s="423">
        <v>2E-3</v>
      </c>
      <c r="H29" s="301">
        <v>1</v>
      </c>
    </row>
    <row r="30" spans="1:8" ht="20" customHeight="1" thickBot="1">
      <c r="A30" s="7" t="s">
        <v>101</v>
      </c>
      <c r="B30" s="422">
        <v>0.80900000000000005</v>
      </c>
      <c r="C30" s="300">
        <v>9.3000000000000013E-2</v>
      </c>
      <c r="D30" s="301">
        <v>1.6E-2</v>
      </c>
      <c r="E30" s="300">
        <v>5.5E-2</v>
      </c>
      <c r="F30" s="422">
        <v>0.16300000000000001</v>
      </c>
      <c r="G30" s="423">
        <v>2.7999999999999997E-2</v>
      </c>
      <c r="H30" s="301">
        <v>1</v>
      </c>
    </row>
    <row r="31" spans="1:8" ht="20" customHeight="1" thickBot="1">
      <c r="A31" s="7" t="s">
        <v>102</v>
      </c>
      <c r="B31" s="422">
        <v>0.74099999999999999</v>
      </c>
      <c r="C31" s="300">
        <v>0.13100000000000001</v>
      </c>
      <c r="D31" s="301">
        <v>0.03</v>
      </c>
      <c r="E31" s="300">
        <v>7.2000000000000008E-2</v>
      </c>
      <c r="F31" s="422">
        <v>0.23399999999999999</v>
      </c>
      <c r="G31" s="423">
        <v>2.5000000000000001E-2</v>
      </c>
      <c r="H31" s="301">
        <v>1</v>
      </c>
    </row>
    <row r="32" spans="1:8" ht="20" customHeight="1" thickBot="1">
      <c r="A32" s="65" t="s">
        <v>103</v>
      </c>
      <c r="B32" s="422">
        <v>0.79099999999999993</v>
      </c>
      <c r="C32" s="300">
        <v>7.4999999999999997E-2</v>
      </c>
      <c r="D32" s="301">
        <v>2.3E-2</v>
      </c>
      <c r="E32" s="300">
        <v>0.09</v>
      </c>
      <c r="F32" s="422">
        <v>0.188</v>
      </c>
      <c r="G32" s="423">
        <v>2.2000000000000002E-2</v>
      </c>
      <c r="H32" s="301">
        <v>1</v>
      </c>
    </row>
    <row r="33" spans="1:8" ht="30" customHeight="1" thickBot="1">
      <c r="A33" s="424" t="s">
        <v>104</v>
      </c>
      <c r="B33" s="425">
        <v>0.80299999999999994</v>
      </c>
      <c r="C33" s="306">
        <v>6.0999999999999999E-2</v>
      </c>
      <c r="D33" s="425">
        <v>1.3999999999999999E-2</v>
      </c>
      <c r="E33" s="306">
        <v>0.04</v>
      </c>
      <c r="F33" s="425">
        <v>0.114</v>
      </c>
      <c r="G33" s="306">
        <v>8.3000000000000004E-2</v>
      </c>
      <c r="H33" s="434">
        <v>1</v>
      </c>
    </row>
    <row r="34" spans="1:8" ht="20" customHeight="1">
      <c r="A34" s="183" t="s">
        <v>1000</v>
      </c>
      <c r="B34" s="435"/>
      <c r="C34" s="436"/>
      <c r="D34" s="436"/>
      <c r="E34" s="436"/>
      <c r="F34" s="435"/>
      <c r="G34" s="437"/>
    </row>
    <row r="35" spans="1:8" ht="13.5" customHeight="1">
      <c r="A35" s="118"/>
      <c r="B35" s="438"/>
      <c r="C35" s="355"/>
      <c r="D35" s="355"/>
      <c r="E35" s="355"/>
      <c r="F35" s="438"/>
      <c r="G35" s="439"/>
    </row>
    <row r="36" spans="1:8" ht="12" customHeight="1">
      <c r="A36" s="37" t="s">
        <v>1581</v>
      </c>
    </row>
    <row r="37" spans="1:8" ht="12" customHeight="1"/>
    <row r="38" spans="1:8" ht="12" customHeight="1"/>
    <row r="39" spans="1:8">
      <c r="A39" s="3" t="s">
        <v>256</v>
      </c>
    </row>
  </sheetData>
  <mergeCells count="1">
    <mergeCell ref="C3:E3"/>
  </mergeCells>
  <phoneticPr fontId="0" type="noConversion"/>
  <pageMargins left="0.56000000000000005" right="0.46" top="0.81" bottom="0.49" header="0.38" footer="0.4921259845"/>
  <pageSetup paperSize="9" scale="84" orientation="portrait" horizontalDpi="1200" verticalDpi="1200"/>
  <headerFooter alignWithMargins="0">
    <oddHeader>&amp;L&amp;"Arial,Bold"Versicherte und Finanzen in der OKP</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2B3F2-3505-2940-86DF-E9F465B83E8C}">
  <sheetPr>
    <pageSetUpPr fitToPage="1"/>
  </sheetPr>
  <dimension ref="A1:I17"/>
  <sheetViews>
    <sheetView topLeftCell="A14" zoomScale="75" workbookViewId="0">
      <selection activeCell="A18" sqref="A18"/>
    </sheetView>
  </sheetViews>
  <sheetFormatPr baseColWidth="10" defaultColWidth="11.3984375" defaultRowHeight="13"/>
  <cols>
    <col min="1" max="1" width="19.3984375" style="3" customWidth="1"/>
    <col min="2" max="2" width="16.3984375" style="3" customWidth="1"/>
    <col min="3" max="4" width="17.19921875" style="3" customWidth="1"/>
    <col min="5" max="5" width="18.19921875" style="3" customWidth="1"/>
    <col min="6" max="7" width="13.3984375" style="3" customWidth="1"/>
    <col min="8" max="8" width="11.3984375" style="3"/>
    <col min="9" max="9" width="15.796875" style="3" hidden="1" customWidth="1"/>
    <col min="10" max="16384" width="11.3984375" style="3"/>
  </cols>
  <sheetData>
    <row r="1" spans="1:9" ht="14" customHeight="1">
      <c r="A1" s="388"/>
      <c r="B1" s="37"/>
      <c r="C1" s="37"/>
      <c r="D1" s="37"/>
      <c r="E1" s="37"/>
      <c r="F1" s="37"/>
      <c r="G1" s="37"/>
      <c r="I1" s="37"/>
    </row>
    <row r="2" spans="1:9" ht="33.75" customHeight="1">
      <c r="A2" s="389" t="s">
        <v>725</v>
      </c>
      <c r="B2" s="763"/>
      <c r="C2" s="763"/>
      <c r="D2" s="763"/>
      <c r="E2" s="763"/>
      <c r="F2" s="763"/>
      <c r="G2" s="321">
        <v>2003</v>
      </c>
      <c r="I2" s="37"/>
    </row>
    <row r="3" spans="1:9" ht="24" customHeight="1">
      <c r="A3" s="2" t="s">
        <v>1315</v>
      </c>
      <c r="B3" s="69" t="s">
        <v>72</v>
      </c>
      <c r="C3" s="16" t="s">
        <v>73</v>
      </c>
      <c r="D3" s="69" t="s">
        <v>71</v>
      </c>
      <c r="E3" s="16" t="s">
        <v>22</v>
      </c>
      <c r="F3" s="69" t="s">
        <v>594</v>
      </c>
      <c r="G3" s="16" t="s">
        <v>24</v>
      </c>
      <c r="I3" s="16" t="s">
        <v>22</v>
      </c>
    </row>
    <row r="4" spans="1:9" ht="15" customHeight="1">
      <c r="A4" s="77"/>
      <c r="B4" s="70"/>
      <c r="C4" s="17"/>
      <c r="D4" s="70"/>
      <c r="E4" s="61"/>
      <c r="F4" s="70" t="s">
        <v>2020</v>
      </c>
      <c r="G4" s="17" t="s">
        <v>25</v>
      </c>
      <c r="I4" s="61">
        <v>1999</v>
      </c>
    </row>
    <row r="5" spans="1:9" ht="15" customHeight="1">
      <c r="A5" s="4"/>
      <c r="B5" s="70"/>
      <c r="C5" s="17"/>
      <c r="D5" s="70"/>
      <c r="E5" s="17"/>
      <c r="F5" s="70" t="s">
        <v>1316</v>
      </c>
      <c r="G5" s="17" t="s">
        <v>26</v>
      </c>
      <c r="I5" s="17"/>
    </row>
    <row r="6" spans="1:9" ht="24" customHeight="1">
      <c r="A6" s="390"/>
      <c r="B6" s="391"/>
      <c r="C6" s="392"/>
      <c r="D6" s="391"/>
      <c r="E6" s="392"/>
      <c r="F6" s="73"/>
      <c r="G6" s="18"/>
      <c r="I6" s="392"/>
    </row>
    <row r="7" spans="1:9" ht="36" customHeight="1" thickBot="1">
      <c r="A7" s="592" t="s">
        <v>1329</v>
      </c>
      <c r="B7" s="74">
        <v>3748312852</v>
      </c>
      <c r="C7" s="106">
        <v>5699724383</v>
      </c>
      <c r="D7" s="74">
        <v>952369718</v>
      </c>
      <c r="E7" s="106">
        <v>10400406953</v>
      </c>
      <c r="F7" s="394">
        <v>0.58024646848718098</v>
      </c>
      <c r="G7" s="395">
        <v>4.2073457572952985E-2</v>
      </c>
      <c r="I7" s="755">
        <v>6794064715</v>
      </c>
    </row>
    <row r="8" spans="1:9" ht="31.5" customHeight="1" thickBot="1">
      <c r="A8" s="592" t="s">
        <v>1330</v>
      </c>
      <c r="B8" s="74">
        <v>2632646180</v>
      </c>
      <c r="C8" s="106">
        <v>3725211541</v>
      </c>
      <c r="D8" s="74">
        <v>116237355</v>
      </c>
      <c r="E8" s="106">
        <v>6474095076</v>
      </c>
      <c r="F8" s="394">
        <v>0.36119459762251555</v>
      </c>
      <c r="G8" s="395">
        <v>7.3662016575682818E-2</v>
      </c>
      <c r="I8" s="755">
        <v>5396193285</v>
      </c>
    </row>
    <row r="9" spans="1:9" ht="33" customHeight="1" thickBot="1">
      <c r="A9" s="592" t="s">
        <v>1331</v>
      </c>
      <c r="B9" s="74">
        <v>4556124</v>
      </c>
      <c r="C9" s="106">
        <v>3587890</v>
      </c>
      <c r="D9" s="74">
        <v>144992</v>
      </c>
      <c r="E9" s="106">
        <v>8289006</v>
      </c>
      <c r="F9" s="394">
        <v>4.6244983302136123E-4</v>
      </c>
      <c r="G9" s="395">
        <v>4.1300885237017325E-2</v>
      </c>
      <c r="I9" s="755">
        <v>15330070</v>
      </c>
    </row>
    <row r="10" spans="1:9" ht="34.5" customHeight="1" thickBot="1">
      <c r="A10" s="592" t="s">
        <v>1332</v>
      </c>
      <c r="B10" s="74">
        <v>398638520</v>
      </c>
      <c r="C10" s="106">
        <v>562484466</v>
      </c>
      <c r="D10" s="74">
        <v>80205342</v>
      </c>
      <c r="E10" s="106">
        <v>1041328328</v>
      </c>
      <c r="F10" s="394">
        <v>5.8096484838352544E-2</v>
      </c>
      <c r="G10" s="395">
        <v>-3.3314296062611319E-2</v>
      </c>
      <c r="I10" s="755">
        <v>828254703</v>
      </c>
    </row>
    <row r="11" spans="1:9" s="526" customFormat="1" ht="38.25" customHeight="1" thickBot="1">
      <c r="A11" s="754" t="s">
        <v>22</v>
      </c>
      <c r="B11" s="344">
        <v>6784153668</v>
      </c>
      <c r="C11" s="333">
        <v>9991008277</v>
      </c>
      <c r="D11" s="344">
        <v>1148957404</v>
      </c>
      <c r="E11" s="333">
        <v>17924119349</v>
      </c>
      <c r="F11" s="756">
        <v>1</v>
      </c>
      <c r="G11" s="598">
        <v>4.846466629835447E-2</v>
      </c>
      <c r="I11" s="757">
        <v>13033842773</v>
      </c>
    </row>
    <row r="12" spans="1:9" ht="19.5" customHeight="1">
      <c r="A12" s="9" t="s">
        <v>1334</v>
      </c>
      <c r="B12" s="9"/>
      <c r="C12" s="9"/>
      <c r="D12" s="9"/>
      <c r="E12" s="9"/>
      <c r="F12" s="9"/>
      <c r="G12" s="9"/>
      <c r="I12" s="9"/>
    </row>
    <row r="14" spans="1:9">
      <c r="A14" s="3" t="s">
        <v>726</v>
      </c>
    </row>
    <row r="17" spans="1:1">
      <c r="A17" s="3" t="s">
        <v>256</v>
      </c>
    </row>
  </sheetData>
  <phoneticPr fontId="0" type="noConversion"/>
  <pageMargins left="0.57999999999999996" right="0.63" top="1.01" bottom="0.49" header="0.59" footer="0.4921259845"/>
  <pageSetup paperSize="9" scale="79" orientation="portrait" horizontalDpi="4294967292" verticalDpi="4294967292"/>
  <headerFooter alignWithMargins="0">
    <oddHeader>&amp;L&amp;"Arial,Bold"Versicherte und Finanzen in der OKP</oddHead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345CA-2372-C340-9026-B623DB4FCD8E}">
  <sheetPr>
    <pageSetUpPr fitToPage="1"/>
  </sheetPr>
  <dimension ref="A1:G17"/>
  <sheetViews>
    <sheetView zoomScale="75" workbookViewId="0"/>
  </sheetViews>
  <sheetFormatPr baseColWidth="10" defaultColWidth="11.3984375" defaultRowHeight="13"/>
  <cols>
    <col min="1" max="1" width="19.796875" style="3" customWidth="1"/>
    <col min="2" max="6" width="14.796875" style="3" customWidth="1"/>
    <col min="7" max="7" width="12.3984375" style="3" customWidth="1"/>
    <col min="8" max="8" width="10.3984375" style="3" customWidth="1"/>
    <col min="9" max="16384" width="11.3984375" style="3"/>
  </cols>
  <sheetData>
    <row r="1" spans="1:7" ht="14" customHeight="1">
      <c r="A1" s="388"/>
      <c r="B1" s="37"/>
      <c r="C1" s="37"/>
      <c r="D1" s="37"/>
      <c r="E1" s="37"/>
      <c r="F1" s="37"/>
      <c r="G1" s="37"/>
    </row>
    <row r="2" spans="1:7" ht="36" customHeight="1">
      <c r="A2" s="1473" t="s">
        <v>489</v>
      </c>
      <c r="B2" s="1474"/>
      <c r="C2" s="1474"/>
      <c r="D2" s="1474"/>
      <c r="E2" s="1474"/>
      <c r="F2" s="1474"/>
      <c r="G2" s="321">
        <v>2003</v>
      </c>
    </row>
    <row r="3" spans="1:7" ht="24" customHeight="1">
      <c r="A3" s="2" t="s">
        <v>1315</v>
      </c>
      <c r="B3" s="69" t="s">
        <v>72</v>
      </c>
      <c r="C3" s="16" t="s">
        <v>73</v>
      </c>
      <c r="D3" s="69" t="s">
        <v>71</v>
      </c>
      <c r="E3" s="16" t="s">
        <v>22</v>
      </c>
      <c r="F3" s="69" t="s">
        <v>541</v>
      </c>
      <c r="G3" s="16" t="s">
        <v>24</v>
      </c>
    </row>
    <row r="4" spans="1:7" ht="15" customHeight="1">
      <c r="A4" s="77"/>
      <c r="B4" s="70"/>
      <c r="C4" s="17"/>
      <c r="D4" s="70"/>
      <c r="E4" s="61"/>
      <c r="F4" s="70" t="s">
        <v>542</v>
      </c>
      <c r="G4" s="17" t="s">
        <v>25</v>
      </c>
    </row>
    <row r="5" spans="1:7" ht="15" customHeight="1">
      <c r="A5" s="4"/>
      <c r="B5" s="70"/>
      <c r="C5" s="17"/>
      <c r="D5" s="70"/>
      <c r="E5" s="17"/>
      <c r="F5" s="70" t="s">
        <v>543</v>
      </c>
      <c r="G5" s="17" t="s">
        <v>26</v>
      </c>
    </row>
    <row r="6" spans="1:7" ht="24" customHeight="1">
      <c r="A6" s="390"/>
      <c r="B6" s="391"/>
      <c r="C6" s="392"/>
      <c r="D6" s="391"/>
      <c r="E6" s="392"/>
      <c r="F6" s="73"/>
      <c r="G6" s="18"/>
    </row>
    <row r="7" spans="1:7" ht="37.5" customHeight="1" thickBot="1">
      <c r="A7" s="592" t="s">
        <v>1329</v>
      </c>
      <c r="B7" s="74">
        <v>3498.58</v>
      </c>
      <c r="C7" s="106">
        <v>4270.1099999999997</v>
      </c>
      <c r="D7" s="74">
        <v>751.02</v>
      </c>
      <c r="E7" s="106">
        <v>2830.6</v>
      </c>
      <c r="F7" s="74">
        <v>406.19</v>
      </c>
      <c r="G7" s="395">
        <v>8.1326808546401189E-2</v>
      </c>
    </row>
    <row r="8" spans="1:7" ht="34.5" customHeight="1" thickBot="1">
      <c r="A8" s="592" t="s">
        <v>1330</v>
      </c>
      <c r="B8" s="74">
        <v>1755.46</v>
      </c>
      <c r="C8" s="106">
        <v>2604.08</v>
      </c>
      <c r="D8" s="74">
        <v>657.16</v>
      </c>
      <c r="E8" s="106">
        <v>2083.65</v>
      </c>
      <c r="F8" s="74">
        <v>-340.76</v>
      </c>
      <c r="G8" s="395">
        <v>3.0026051579160717E-2</v>
      </c>
    </row>
    <row r="9" spans="1:7" ht="35.25" customHeight="1" thickBot="1">
      <c r="A9" s="592" t="s">
        <v>1331</v>
      </c>
      <c r="B9" s="74">
        <v>876.68</v>
      </c>
      <c r="C9" s="106">
        <v>1283.68</v>
      </c>
      <c r="D9" s="74">
        <v>446.13</v>
      </c>
      <c r="E9" s="106">
        <v>996.63</v>
      </c>
      <c r="F9" s="74">
        <v>-1427.8</v>
      </c>
      <c r="G9" s="395">
        <v>0.10614990177471446</v>
      </c>
    </row>
    <row r="10" spans="1:7" ht="34.5" customHeight="1" thickBot="1">
      <c r="A10" s="592" t="s">
        <v>1332</v>
      </c>
      <c r="B10" s="74">
        <v>1648.16</v>
      </c>
      <c r="C10" s="106">
        <v>2395</v>
      </c>
      <c r="D10" s="74">
        <v>632.65</v>
      </c>
      <c r="E10" s="106">
        <v>1725.47</v>
      </c>
      <c r="F10" s="74">
        <v>-698.94</v>
      </c>
      <c r="G10" s="395">
        <v>-0.10774934844661394</v>
      </c>
    </row>
    <row r="11" spans="1:7" ht="36" customHeight="1" thickBot="1">
      <c r="A11" s="754" t="s">
        <v>22</v>
      </c>
      <c r="B11" s="344">
        <v>2407.3200000000002</v>
      </c>
      <c r="C11" s="333">
        <v>3327.03</v>
      </c>
      <c r="D11" s="344">
        <v>730.85</v>
      </c>
      <c r="E11" s="333">
        <v>2424.41</v>
      </c>
      <c r="F11" s="344">
        <v>0</v>
      </c>
      <c r="G11" s="598">
        <v>4.3668235061150196E-2</v>
      </c>
    </row>
    <row r="12" spans="1:7" ht="19.5" customHeight="1">
      <c r="A12" s="9" t="s">
        <v>1334</v>
      </c>
      <c r="B12" s="9"/>
      <c r="C12" s="9"/>
      <c r="D12" s="9"/>
      <c r="E12" s="9"/>
      <c r="F12" s="9"/>
      <c r="G12" s="9"/>
    </row>
    <row r="14" spans="1:7">
      <c r="A14" s="3" t="s">
        <v>724</v>
      </c>
    </row>
    <row r="17" spans="1:1">
      <c r="A17" s="3" t="s">
        <v>256</v>
      </c>
    </row>
  </sheetData>
  <mergeCells count="1">
    <mergeCell ref="A2:F2"/>
  </mergeCells>
  <phoneticPr fontId="0" type="noConversion"/>
  <pageMargins left="0.57999999999999996" right="0.53" top="1.01" bottom="0.49" header="0.59" footer="0.4921259845"/>
  <pageSetup paperSize="9" scale="87" orientation="portrait" horizontalDpi="4294967292" verticalDpi="4294967292"/>
  <headerFooter alignWithMargins="0">
    <oddHeader>&amp;L&amp;"Arial,Bold"Versicherte und Finanzen in der OKP</oddHead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9B879-E6A1-7D40-8FFD-E6CDF0D69EA8}">
  <sheetPr>
    <pageSetUpPr fitToPage="1"/>
  </sheetPr>
  <dimension ref="A1:I44"/>
  <sheetViews>
    <sheetView zoomScale="75" workbookViewId="0"/>
  </sheetViews>
  <sheetFormatPr baseColWidth="10" defaultColWidth="11.3984375" defaultRowHeight="13"/>
  <cols>
    <col min="1" max="1" width="9.796875" style="3" customWidth="1"/>
    <col min="2" max="2" width="14.3984375" style="21" customWidth="1"/>
    <col min="3" max="3" width="13.796875" style="21" customWidth="1"/>
    <col min="4" max="4" width="14.3984375" style="21" customWidth="1"/>
    <col min="5" max="5" width="14.19921875" style="21" customWidth="1"/>
    <col min="6" max="6" width="14.796875" style="21" customWidth="1"/>
    <col min="7" max="7" width="14.19921875" style="21" customWidth="1"/>
    <col min="8" max="8" width="14.19921875" style="3" customWidth="1"/>
    <col min="9" max="9" width="13.19921875" style="3" customWidth="1"/>
    <col min="10" max="16384" width="11.3984375" style="3"/>
  </cols>
  <sheetData>
    <row r="1" spans="1:9" s="1" customFormat="1" ht="14" customHeight="1">
      <c r="A1" s="372"/>
      <c r="B1" s="373"/>
      <c r="C1" s="373"/>
      <c r="D1" s="373"/>
      <c r="E1" s="373"/>
      <c r="F1" s="373"/>
      <c r="G1" s="373"/>
    </row>
    <row r="2" spans="1:9" s="1" customFormat="1" ht="30.75" customHeight="1">
      <c r="A2" s="882" t="s">
        <v>170</v>
      </c>
      <c r="B2" s="763"/>
      <c r="C2" s="763"/>
      <c r="D2" s="763"/>
      <c r="E2" s="763"/>
      <c r="F2" s="763"/>
      <c r="G2" s="389"/>
      <c r="H2" s="707"/>
      <c r="I2" s="389">
        <v>2003</v>
      </c>
    </row>
    <row r="3" spans="1:9" ht="27" customHeight="1">
      <c r="A3" s="2" t="s">
        <v>1591</v>
      </c>
      <c r="B3" s="69" t="s">
        <v>384</v>
      </c>
      <c r="C3" s="16" t="s">
        <v>24</v>
      </c>
      <c r="D3" s="69" t="s">
        <v>160</v>
      </c>
      <c r="E3" s="16" t="s">
        <v>24</v>
      </c>
      <c r="F3" s="69" t="s">
        <v>338</v>
      </c>
      <c r="G3" s="16" t="s">
        <v>24</v>
      </c>
      <c r="H3" s="69" t="s">
        <v>338</v>
      </c>
      <c r="I3" s="16" t="s">
        <v>24</v>
      </c>
    </row>
    <row r="4" spans="1:9" ht="15" customHeight="1">
      <c r="A4" s="77"/>
      <c r="B4" s="470" t="s">
        <v>345</v>
      </c>
      <c r="C4" s="471" t="s">
        <v>25</v>
      </c>
      <c r="D4" s="70" t="s">
        <v>161</v>
      </c>
      <c r="E4" s="17" t="s">
        <v>25</v>
      </c>
      <c r="F4" s="70" t="s">
        <v>162</v>
      </c>
      <c r="G4" s="17" t="s">
        <v>25</v>
      </c>
      <c r="H4" s="70" t="s">
        <v>163</v>
      </c>
      <c r="I4" s="17" t="s">
        <v>25</v>
      </c>
    </row>
    <row r="5" spans="1:9" ht="15" customHeight="1">
      <c r="A5" s="77"/>
      <c r="B5" s="470"/>
      <c r="C5" s="471" t="s">
        <v>26</v>
      </c>
      <c r="D5" s="470" t="s">
        <v>345</v>
      </c>
      <c r="E5" s="17" t="s">
        <v>26</v>
      </c>
      <c r="F5" s="470" t="s">
        <v>345</v>
      </c>
      <c r="G5" s="17" t="s">
        <v>26</v>
      </c>
      <c r="H5" s="470" t="s">
        <v>345</v>
      </c>
      <c r="I5" s="17" t="s">
        <v>26</v>
      </c>
    </row>
    <row r="6" spans="1:9" ht="27" customHeight="1">
      <c r="A6" s="405"/>
      <c r="B6" s="73"/>
      <c r="C6" s="18"/>
      <c r="D6" s="73"/>
      <c r="E6" s="18"/>
      <c r="F6" s="73" t="s">
        <v>164</v>
      </c>
      <c r="G6" s="18"/>
      <c r="H6" s="73" t="s">
        <v>165</v>
      </c>
      <c r="I6" s="18"/>
    </row>
    <row r="7" spans="1:9" ht="30" customHeight="1" thickBot="1">
      <c r="A7" s="379">
        <v>1985</v>
      </c>
      <c r="B7" s="19">
        <v>4995.701</v>
      </c>
      <c r="C7" s="300" t="s">
        <v>258</v>
      </c>
      <c r="D7" s="19">
        <v>479.85300000000007</v>
      </c>
      <c r="E7" s="300" t="s">
        <v>258</v>
      </c>
      <c r="F7" s="19">
        <v>4888.7232730000005</v>
      </c>
      <c r="G7" s="300" t="s">
        <v>258</v>
      </c>
      <c r="H7" s="19">
        <v>5368.5762730000006</v>
      </c>
      <c r="I7" s="300" t="s">
        <v>258</v>
      </c>
    </row>
    <row r="8" spans="1:9" ht="18" customHeight="1" thickBot="1">
      <c r="A8" s="380">
        <v>1986</v>
      </c>
      <c r="B8" s="29">
        <v>5219.1869999999999</v>
      </c>
      <c r="C8" s="25">
        <v>4.4735663723669584E-2</v>
      </c>
      <c r="D8" s="29">
        <v>517.38199999999961</v>
      </c>
      <c r="E8" s="25">
        <v>7.8209368285703199E-2</v>
      </c>
      <c r="F8" s="29">
        <v>5267.3928760000008</v>
      </c>
      <c r="G8" s="25">
        <v>7.7457770025838854E-2</v>
      </c>
      <c r="H8" s="29">
        <v>5784.7748760000004</v>
      </c>
      <c r="I8" s="25">
        <v>7.752494922968188E-2</v>
      </c>
    </row>
    <row r="9" spans="1:9" ht="18" customHeight="1" thickBot="1">
      <c r="A9" s="380">
        <v>1987</v>
      </c>
      <c r="B9" s="29">
        <v>5508.0529999999999</v>
      </c>
      <c r="C9" s="25">
        <v>5.5346934302219868E-2</v>
      </c>
      <c r="D9" s="29">
        <v>615.6269999999995</v>
      </c>
      <c r="E9" s="25">
        <v>0.18988870892300072</v>
      </c>
      <c r="F9" s="29">
        <v>5684.4304260000008</v>
      </c>
      <c r="G9" s="25">
        <v>7.9173427883111241E-2</v>
      </c>
      <c r="H9" s="29">
        <v>6300.0574260000003</v>
      </c>
      <c r="I9" s="25">
        <v>8.9075644436538981E-2</v>
      </c>
    </row>
    <row r="10" spans="1:9" ht="18" customHeight="1" thickBot="1">
      <c r="A10" s="380">
        <v>1988</v>
      </c>
      <c r="B10" s="29">
        <v>5863.0439999999999</v>
      </c>
      <c r="C10" s="25">
        <v>6.444945246532667E-2</v>
      </c>
      <c r="D10" s="29">
        <v>708.31500000000005</v>
      </c>
      <c r="E10" s="25">
        <v>0.15055869869255276</v>
      </c>
      <c r="F10" s="29">
        <v>5965.9517820000001</v>
      </c>
      <c r="G10" s="25">
        <v>4.952498929573481E-2</v>
      </c>
      <c r="H10" s="29">
        <v>6674.2667819999997</v>
      </c>
      <c r="I10" s="25">
        <v>5.9397769051383144E-2</v>
      </c>
    </row>
    <row r="11" spans="1:9" ht="18" customHeight="1" thickBot="1">
      <c r="A11" s="380">
        <v>1989</v>
      </c>
      <c r="B11" s="29">
        <v>6426.6729999999998</v>
      </c>
      <c r="C11" s="25">
        <v>9.613248681060553E-2</v>
      </c>
      <c r="D11" s="29">
        <v>755.38799999999992</v>
      </c>
      <c r="E11" s="25">
        <v>6.6457720082167326E-2</v>
      </c>
      <c r="F11" s="29">
        <v>6405.9268600000005</v>
      </c>
      <c r="G11" s="25">
        <v>7.3747675823907691E-2</v>
      </c>
      <c r="H11" s="29">
        <v>7161.3148600000004</v>
      </c>
      <c r="I11" s="25">
        <v>7.2974020054687214E-2</v>
      </c>
    </row>
    <row r="12" spans="1:9" ht="18" customHeight="1" thickBot="1">
      <c r="A12" s="380">
        <v>1990</v>
      </c>
      <c r="B12" s="29">
        <v>6953.5550000000003</v>
      </c>
      <c r="C12" s="25">
        <v>8.1983632899946909E-2</v>
      </c>
      <c r="D12" s="29">
        <v>801.30899999999929</v>
      </c>
      <c r="E12" s="25">
        <v>6.0791275476972592E-2</v>
      </c>
      <c r="F12" s="29">
        <v>6849.9295110000003</v>
      </c>
      <c r="G12" s="25">
        <v>6.9311227040765769E-2</v>
      </c>
      <c r="H12" s="29">
        <v>7651.2385109999996</v>
      </c>
      <c r="I12" s="25">
        <v>6.8412527668138184E-2</v>
      </c>
    </row>
    <row r="13" spans="1:9" ht="18" customHeight="1" thickBot="1">
      <c r="A13" s="380">
        <v>1991</v>
      </c>
      <c r="B13" s="29">
        <v>7507.79</v>
      </c>
      <c r="C13" s="25">
        <v>7.9705273058169476E-2</v>
      </c>
      <c r="D13" s="29">
        <v>991.54100000000017</v>
      </c>
      <c r="E13" s="25">
        <v>0.23740155171101415</v>
      </c>
      <c r="F13" s="29">
        <v>7579.4598309999992</v>
      </c>
      <c r="G13" s="25">
        <v>0.10650187258547381</v>
      </c>
      <c r="H13" s="29">
        <v>8571.0008309999994</v>
      </c>
      <c r="I13" s="25">
        <v>0.12021090685876279</v>
      </c>
    </row>
    <row r="14" spans="1:9" ht="18" customHeight="1" thickBot="1">
      <c r="A14" s="380">
        <v>1992</v>
      </c>
      <c r="B14" s="29">
        <v>8082.1289999999999</v>
      </c>
      <c r="C14" s="25">
        <v>7.6499076292757248E-2</v>
      </c>
      <c r="D14" s="29">
        <v>1108.1890000000003</v>
      </c>
      <c r="E14" s="25">
        <v>0.11764314334959433</v>
      </c>
      <c r="F14" s="29">
        <v>8288.9794139999995</v>
      </c>
      <c r="G14" s="25">
        <v>9.3610837555740359E-2</v>
      </c>
      <c r="H14" s="29">
        <v>9397.1684139999998</v>
      </c>
      <c r="I14" s="25">
        <v>9.6391028222967676E-2</v>
      </c>
    </row>
    <row r="15" spans="1:9" ht="18" customHeight="1" thickBot="1">
      <c r="A15" s="380">
        <v>1993</v>
      </c>
      <c r="B15" s="29">
        <v>8977.9629999999997</v>
      </c>
      <c r="C15" s="25">
        <v>0.1108413389590787</v>
      </c>
      <c r="D15" s="29">
        <v>1190.855</v>
      </c>
      <c r="E15" s="25">
        <v>7.4595578912980923E-2</v>
      </c>
      <c r="F15" s="29">
        <v>8887.7865050000019</v>
      </c>
      <c r="G15" s="25">
        <v>7.2241353379237913E-2</v>
      </c>
      <c r="H15" s="29">
        <v>10078.641505</v>
      </c>
      <c r="I15" s="25">
        <v>7.2518982418654343E-2</v>
      </c>
    </row>
    <row r="16" spans="1:9" ht="18" customHeight="1" thickBot="1">
      <c r="A16" s="380">
        <v>1994</v>
      </c>
      <c r="B16" s="29">
        <v>9068.8770000000004</v>
      </c>
      <c r="C16" s="25">
        <v>1.0126350487298808E-2</v>
      </c>
      <c r="D16" s="29">
        <v>1259.2739999999994</v>
      </c>
      <c r="E16" s="25">
        <v>5.7453678239585693E-2</v>
      </c>
      <c r="F16" s="29">
        <v>9549.125</v>
      </c>
      <c r="G16" s="25">
        <v>7.4409808857126461E-2</v>
      </c>
      <c r="H16" s="29">
        <v>10808.398999999999</v>
      </c>
      <c r="I16" s="25">
        <v>7.2406335182967685E-2</v>
      </c>
    </row>
    <row r="17" spans="1:9" ht="18" customHeight="1" thickBot="1">
      <c r="A17" s="380">
        <v>1995</v>
      </c>
      <c r="B17" s="29">
        <v>9160.0470000000005</v>
      </c>
      <c r="C17" s="25">
        <v>1.005306390195832E-2</v>
      </c>
      <c r="D17" s="29">
        <v>1290.1959999999999</v>
      </c>
      <c r="E17" s="25">
        <v>2.4555418439513952E-2</v>
      </c>
      <c r="F17" s="29">
        <v>10017.201999999999</v>
      </c>
      <c r="G17" s="25">
        <v>4.901778958805119E-2</v>
      </c>
      <c r="H17" s="29">
        <v>11307.397999999999</v>
      </c>
      <c r="I17" s="25">
        <v>4.6167707169211633E-2</v>
      </c>
    </row>
    <row r="18" spans="1:9" ht="18" customHeight="1" thickBot="1">
      <c r="A18" s="380">
        <v>1996</v>
      </c>
      <c r="B18" s="29">
        <v>11130.63582</v>
      </c>
      <c r="C18" s="25">
        <v>0.21512868001659805</v>
      </c>
      <c r="D18" s="29">
        <v>1678.5317379999997</v>
      </c>
      <c r="E18" s="25">
        <v>0.30098972404192836</v>
      </c>
      <c r="F18" s="29">
        <v>10780.485509</v>
      </c>
      <c r="G18" s="25">
        <v>7.6197276345231019E-2</v>
      </c>
      <c r="H18" s="29">
        <v>12459.017247</v>
      </c>
      <c r="I18" s="25">
        <v>0.10184652976750271</v>
      </c>
    </row>
    <row r="19" spans="1:9" ht="18" customHeight="1" thickBot="1">
      <c r="A19" s="380">
        <v>1997</v>
      </c>
      <c r="B19" s="29">
        <v>12040.684128000001</v>
      </c>
      <c r="C19" s="25">
        <v>8.1760675914379286E-2</v>
      </c>
      <c r="D19" s="29">
        <v>1777.9823429999997</v>
      </c>
      <c r="E19" s="25">
        <v>5.9248569895078158E-2</v>
      </c>
      <c r="F19" s="29">
        <v>11360.495192</v>
      </c>
      <c r="G19" s="25">
        <v>5.3801814632168828E-2</v>
      </c>
      <c r="H19" s="29">
        <v>13138.477535</v>
      </c>
      <c r="I19" s="25">
        <v>5.4535624642754799E-2</v>
      </c>
    </row>
    <row r="20" spans="1:9" ht="18" customHeight="1" thickBot="1">
      <c r="A20" s="380">
        <v>1998</v>
      </c>
      <c r="B20" s="29">
        <v>12708.270148</v>
      </c>
      <c r="C20" s="25">
        <v>5.5444193444752973E-2</v>
      </c>
      <c r="D20" s="29">
        <v>2097.2327999999998</v>
      </c>
      <c r="E20" s="25">
        <v>0.17955772072591394</v>
      </c>
      <c r="F20" s="29">
        <v>11926.859852</v>
      </c>
      <c r="G20" s="25">
        <v>4.9853870841724421E-2</v>
      </c>
      <c r="H20" s="29">
        <v>14024.092651999999</v>
      </c>
      <c r="I20" s="25">
        <v>6.7406220746717538E-2</v>
      </c>
    </row>
    <row r="21" spans="1:9" ht="18" customHeight="1" thickBot="1">
      <c r="A21" s="380">
        <v>1999</v>
      </c>
      <c r="B21" s="29">
        <v>13033.842773</v>
      </c>
      <c r="C21" s="25">
        <v>2.5618956884642448E-2</v>
      </c>
      <c r="D21" s="29">
        <v>2189.9011839999985</v>
      </c>
      <c r="E21" s="25">
        <v>4.4186026463060614E-2</v>
      </c>
      <c r="F21" s="29">
        <v>12430.609334000001</v>
      </c>
      <c r="G21" s="25">
        <v>4.2236555828693498E-2</v>
      </c>
      <c r="H21" s="29">
        <v>14620.510517999999</v>
      </c>
      <c r="I21" s="25">
        <v>4.2528089395854327E-2</v>
      </c>
    </row>
    <row r="22" spans="1:9" ht="18" customHeight="1" thickBot="1">
      <c r="A22" s="380">
        <v>2000</v>
      </c>
      <c r="B22" s="29">
        <v>13441.654683999999</v>
      </c>
      <c r="C22" s="25">
        <v>3.1288693450007975E-2</v>
      </c>
      <c r="D22" s="29">
        <v>2288.0175450000006</v>
      </c>
      <c r="E22" s="25">
        <v>4.4804012946733134E-2</v>
      </c>
      <c r="F22" s="29">
        <v>13190.309896999999</v>
      </c>
      <c r="G22" s="25">
        <v>6.1115311614055624E-2</v>
      </c>
      <c r="H22" s="29">
        <v>15478.327442</v>
      </c>
      <c r="I22" s="25">
        <v>5.8672159425890213E-2</v>
      </c>
    </row>
    <row r="23" spans="1:9" ht="18" customHeight="1" thickBot="1">
      <c r="A23" s="380">
        <v>2001</v>
      </c>
      <c r="B23" s="29">
        <v>13997.312406999999</v>
      </c>
      <c r="C23" s="25">
        <v>4.1338491135426661E-2</v>
      </c>
      <c r="D23" s="29">
        <v>2400.1895337599999</v>
      </c>
      <c r="E23" s="25">
        <v>4.9025842920273267E-2</v>
      </c>
      <c r="F23" s="29">
        <v>13986.271283239999</v>
      </c>
      <c r="G23" s="25">
        <v>6.0344403767271106E-2</v>
      </c>
      <c r="H23" s="29">
        <v>16386.460816999999</v>
      </c>
      <c r="I23" s="25">
        <v>5.867128592562304E-2</v>
      </c>
    </row>
    <row r="24" spans="1:9" ht="18" customHeight="1" thickBot="1">
      <c r="A24" s="380">
        <v>2002</v>
      </c>
      <c r="B24" s="29">
        <v>15355.045231</v>
      </c>
      <c r="C24" s="25">
        <v>9.6999537091206442E-2</v>
      </c>
      <c r="D24" s="29">
        <v>2502.8303660499987</v>
      </c>
      <c r="E24" s="25">
        <v>4.2763636307174266E-2</v>
      </c>
      <c r="F24" s="29">
        <v>14592.757043950001</v>
      </c>
      <c r="G24" s="25">
        <v>4.3362934153634278E-2</v>
      </c>
      <c r="H24" s="29">
        <v>17095.58741</v>
      </c>
      <c r="I24" s="25">
        <v>4.3275152634809542E-2</v>
      </c>
    </row>
    <row r="25" spans="1:9" s="35" customFormat="1" ht="30" customHeight="1">
      <c r="A25" s="474">
        <v>2003</v>
      </c>
      <c r="B25" s="356">
        <v>16820.111152000001</v>
      </c>
      <c r="C25" s="489">
        <v>9.5412673747271567E-2</v>
      </c>
      <c r="D25" s="356">
        <v>2588.4996499999979</v>
      </c>
      <c r="E25" s="489">
        <v>3.4228961383908595E-2</v>
      </c>
      <c r="F25" s="356">
        <v>15335.619704000001</v>
      </c>
      <c r="G25" s="489">
        <v>5.0906258345333175E-2</v>
      </c>
      <c r="H25" s="356">
        <v>17924.119353999999</v>
      </c>
      <c r="I25" s="489">
        <v>4.8464666590827515E-2</v>
      </c>
    </row>
    <row r="26" spans="1:9" ht="20" customHeight="1">
      <c r="A26" s="883"/>
      <c r="B26" s="385"/>
      <c r="C26" s="385"/>
      <c r="D26" s="385"/>
      <c r="E26" s="385"/>
      <c r="F26" s="385"/>
      <c r="G26" s="385"/>
      <c r="H26" s="385"/>
      <c r="I26" s="385"/>
    </row>
    <row r="27" spans="1:9" ht="20" customHeight="1" thickBot="1">
      <c r="A27" s="884" t="s">
        <v>171</v>
      </c>
      <c r="B27" s="532">
        <v>18002.784337490004</v>
      </c>
      <c r="C27" s="885">
        <v>7.0313042214906918E-2</v>
      </c>
      <c r="D27" s="532">
        <v>2901.0408075299997</v>
      </c>
      <c r="E27" s="885">
        <v>0.12074220582954379</v>
      </c>
      <c r="F27" s="532">
        <v>16182.033861129999</v>
      </c>
      <c r="G27" s="885">
        <v>5.5192693446175375E-2</v>
      </c>
      <c r="H27" s="532">
        <v>19083.07466866</v>
      </c>
      <c r="I27" s="885">
        <v>6.4658982222262712E-2</v>
      </c>
    </row>
    <row r="28" spans="1:9" ht="19.5" customHeight="1" thickBot="1">
      <c r="A28" s="886" t="s">
        <v>172</v>
      </c>
      <c r="B28" s="887">
        <v>18735.234065309996</v>
      </c>
      <c r="C28" s="888">
        <v>4.0685358114005629E-2</v>
      </c>
      <c r="D28" s="887">
        <v>3181.4874455899994</v>
      </c>
      <c r="E28" s="888">
        <v>9.6671042107393593E-2</v>
      </c>
      <c r="F28" s="887">
        <v>17179.83372852</v>
      </c>
      <c r="G28" s="888">
        <v>6.1660967709798335E-2</v>
      </c>
      <c r="H28" s="887">
        <v>20361.321174109999</v>
      </c>
      <c r="I28" s="888">
        <v>6.6983257553839284E-2</v>
      </c>
    </row>
    <row r="29" spans="1:9" ht="15.75" customHeight="1">
      <c r="A29" s="883" t="s">
        <v>1334</v>
      </c>
      <c r="B29" s="385"/>
      <c r="C29" s="385"/>
      <c r="D29" s="385"/>
      <c r="E29" s="385"/>
      <c r="F29" s="385"/>
      <c r="G29" s="385"/>
    </row>
    <row r="30" spans="1:9" ht="12.75" customHeight="1">
      <c r="A30" s="883"/>
      <c r="B30" s="385"/>
      <c r="C30" s="385"/>
      <c r="D30" s="385"/>
      <c r="E30" s="385"/>
      <c r="F30" s="385"/>
      <c r="G30" s="385"/>
    </row>
    <row r="31" spans="1:9" ht="12.75" customHeight="1">
      <c r="A31" s="883" t="s">
        <v>166</v>
      </c>
      <c r="B31" s="385"/>
      <c r="C31" s="385"/>
      <c r="D31" s="385"/>
      <c r="E31" s="385"/>
      <c r="F31" s="385"/>
      <c r="G31" s="385"/>
    </row>
    <row r="32" spans="1:9" ht="12.75" customHeight="1">
      <c r="A32" s="883" t="s">
        <v>167</v>
      </c>
      <c r="B32" s="385"/>
      <c r="C32" s="385"/>
      <c r="D32" s="385"/>
      <c r="E32" s="385"/>
      <c r="F32" s="385"/>
      <c r="G32" s="385"/>
    </row>
    <row r="33" spans="1:7" ht="12.75" customHeight="1">
      <c r="A33" s="883" t="s">
        <v>168</v>
      </c>
      <c r="B33" s="385"/>
      <c r="C33" s="385"/>
      <c r="D33" s="385"/>
      <c r="E33" s="385"/>
      <c r="F33" s="385"/>
      <c r="G33" s="385"/>
    </row>
    <row r="34" spans="1:7" ht="12.75" customHeight="1">
      <c r="A34" s="134"/>
      <c r="B34" s="494"/>
      <c r="C34" s="494"/>
      <c r="D34" s="494"/>
      <c r="E34" s="494"/>
      <c r="F34" s="494"/>
      <c r="G34" s="494"/>
    </row>
    <row r="35" spans="1:7" ht="18" customHeight="1">
      <c r="A35" s="38" t="s">
        <v>169</v>
      </c>
      <c r="B35" s="494"/>
      <c r="C35" s="494"/>
      <c r="D35" s="494"/>
      <c r="E35" s="494"/>
      <c r="F35" s="494"/>
      <c r="G35" s="494"/>
    </row>
    <row r="36" spans="1:7" ht="15.75" customHeight="1">
      <c r="A36" s="38"/>
      <c r="B36" s="494"/>
      <c r="C36" s="494"/>
      <c r="D36" s="494"/>
      <c r="E36" s="494"/>
      <c r="F36" s="494"/>
      <c r="G36" s="494"/>
    </row>
    <row r="37" spans="1:7" ht="15.75" customHeight="1">
      <c r="A37" s="38"/>
      <c r="B37" s="494"/>
      <c r="C37" s="494"/>
      <c r="D37" s="494"/>
      <c r="E37" s="494"/>
      <c r="F37" s="494"/>
      <c r="G37" s="494"/>
    </row>
    <row r="38" spans="1:7" ht="16.5" customHeight="1">
      <c r="A38" s="38" t="s">
        <v>256</v>
      </c>
      <c r="B38" s="494"/>
      <c r="C38" s="494"/>
      <c r="D38" s="494"/>
      <c r="E38" s="494"/>
      <c r="F38" s="494"/>
      <c r="G38" s="494"/>
    </row>
    <row r="39" spans="1:7" ht="31" customHeight="1">
      <c r="A39" s="38"/>
      <c r="B39" s="494"/>
      <c r="C39" s="494"/>
      <c r="D39" s="494"/>
      <c r="E39" s="494"/>
      <c r="F39" s="494"/>
      <c r="G39" s="494"/>
    </row>
    <row r="40" spans="1:7" ht="31" customHeight="1">
      <c r="A40" s="38"/>
      <c r="B40" s="494"/>
      <c r="C40" s="494"/>
      <c r="D40" s="494"/>
      <c r="E40" s="494"/>
      <c r="F40" s="494"/>
      <c r="G40" s="494"/>
    </row>
    <row r="41" spans="1:7" ht="31" customHeight="1">
      <c r="A41" s="38"/>
      <c r="B41" s="494"/>
      <c r="C41" s="494"/>
      <c r="D41" s="494"/>
      <c r="E41" s="494"/>
      <c r="F41" s="494"/>
      <c r="G41" s="494"/>
    </row>
    <row r="42" spans="1:7" ht="31" customHeight="1">
      <c r="A42" s="38"/>
      <c r="B42" s="494"/>
      <c r="C42" s="494"/>
      <c r="D42" s="494"/>
      <c r="E42" s="494"/>
      <c r="F42" s="494"/>
      <c r="G42" s="494"/>
    </row>
    <row r="43" spans="1:7" ht="31" customHeight="1">
      <c r="A43" s="38"/>
      <c r="B43" s="494"/>
      <c r="C43" s="494"/>
      <c r="D43" s="494"/>
      <c r="E43" s="494"/>
      <c r="F43" s="494"/>
      <c r="G43" s="494"/>
    </row>
    <row r="44" spans="1:7">
      <c r="A44" s="355"/>
      <c r="B44" s="482"/>
      <c r="C44" s="482"/>
      <c r="D44" s="482"/>
      <c r="E44" s="482"/>
      <c r="F44" s="482"/>
      <c r="G44" s="482"/>
    </row>
  </sheetData>
  <phoneticPr fontId="0" type="noConversion"/>
  <pageMargins left="0.53" right="0.56999999999999995" top="0.83" bottom="0.49" header="0.38" footer="0.4921259845"/>
  <pageSetup paperSize="9" scale="75" orientation="portrait" horizontalDpi="1200" verticalDpi="1200"/>
  <headerFooter alignWithMargins="0">
    <oddHeader>&amp;L&amp;"Arial,Bold"Versicherte und Finanzen in der OKP</oddHead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CAEB-53B7-534D-B443-77389687F055}">
  <sheetPr>
    <pageSetUpPr fitToPage="1"/>
  </sheetPr>
  <dimension ref="A1:K25"/>
  <sheetViews>
    <sheetView topLeftCell="A9" zoomScale="75" workbookViewId="0">
      <selection activeCell="E4" sqref="E4"/>
    </sheetView>
  </sheetViews>
  <sheetFormatPr baseColWidth="10" defaultColWidth="11.3984375" defaultRowHeight="13"/>
  <cols>
    <col min="1" max="1" width="20.796875" style="3" customWidth="1"/>
    <col min="2" max="5" width="14" style="3" customWidth="1"/>
    <col min="6" max="6" width="14.796875" style="3" customWidth="1"/>
    <col min="7" max="7" width="13.796875" style="3" customWidth="1"/>
    <col min="8" max="16384" width="11.3984375" style="3"/>
  </cols>
  <sheetData>
    <row r="1" spans="1:11" s="1" customFormat="1" ht="14" customHeight="1"/>
    <row r="2" spans="1:11" s="1" customFormat="1" ht="28" customHeight="1">
      <c r="A2" s="59" t="s">
        <v>159</v>
      </c>
      <c r="G2" s="389">
        <v>2003</v>
      </c>
    </row>
    <row r="3" spans="1:11" ht="24" customHeight="1">
      <c r="A3" s="2" t="s">
        <v>525</v>
      </c>
      <c r="B3" s="69" t="s">
        <v>72</v>
      </c>
      <c r="C3" s="16" t="s">
        <v>73</v>
      </c>
      <c r="D3" s="69" t="s">
        <v>77</v>
      </c>
      <c r="E3" s="16" t="s">
        <v>526</v>
      </c>
      <c r="F3" s="69" t="s">
        <v>22</v>
      </c>
      <c r="G3" s="16" t="s">
        <v>24</v>
      </c>
    </row>
    <row r="4" spans="1:11" ht="15" customHeight="1">
      <c r="A4" s="77"/>
      <c r="B4" s="70"/>
      <c r="C4" s="17"/>
      <c r="D4" s="70"/>
      <c r="E4" s="61"/>
      <c r="F4" s="70"/>
      <c r="G4" s="17" t="s">
        <v>25</v>
      </c>
    </row>
    <row r="5" spans="1:11" ht="15" customHeight="1">
      <c r="A5" s="77"/>
      <c r="B5" s="70"/>
      <c r="C5" s="17"/>
      <c r="D5" s="70"/>
      <c r="E5" s="61"/>
      <c r="F5" s="70"/>
      <c r="G5" s="17" t="s">
        <v>26</v>
      </c>
    </row>
    <row r="6" spans="1:11" ht="24" customHeight="1">
      <c r="A6" s="78"/>
      <c r="B6" s="73"/>
      <c r="C6" s="18"/>
      <c r="D6" s="73"/>
      <c r="E6" s="62"/>
      <c r="F6" s="73"/>
      <c r="G6" s="18"/>
    </row>
    <row r="7" spans="1:11" ht="20" customHeight="1" thickBot="1">
      <c r="A7" s="651">
        <v>1995</v>
      </c>
      <c r="B7" s="74">
        <v>2819147</v>
      </c>
      <c r="C7" s="63">
        <v>2987779</v>
      </c>
      <c r="D7" s="28">
        <v>5806926</v>
      </c>
      <c r="E7" s="63">
        <v>1295411</v>
      </c>
      <c r="F7" s="28">
        <v>7102337</v>
      </c>
      <c r="G7" s="24" t="s">
        <v>1013</v>
      </c>
      <c r="H7" s="42"/>
    </row>
    <row r="8" spans="1:11" ht="20" customHeight="1" thickBot="1">
      <c r="A8" s="80">
        <v>1996</v>
      </c>
      <c r="B8" s="29">
        <v>2792349</v>
      </c>
      <c r="C8" s="116">
        <v>2968829</v>
      </c>
      <c r="D8" s="29">
        <v>5761178</v>
      </c>
      <c r="E8" s="116">
        <v>1471489</v>
      </c>
      <c r="F8" s="29">
        <v>7232667</v>
      </c>
      <c r="G8" s="25">
        <v>1.8350297937143788E-2</v>
      </c>
    </row>
    <row r="9" spans="1:11" ht="20" customHeight="1" thickBot="1">
      <c r="A9" s="80">
        <v>1997</v>
      </c>
      <c r="B9" s="29">
        <v>2750986</v>
      </c>
      <c r="C9" s="116">
        <v>2929423</v>
      </c>
      <c r="D9" s="29">
        <v>5680409</v>
      </c>
      <c r="E9" s="116">
        <v>1556062</v>
      </c>
      <c r="F9" s="29">
        <v>7236471</v>
      </c>
      <c r="G9" s="25">
        <v>5.2594706765844463E-4</v>
      </c>
      <c r="I9" s="43"/>
      <c r="J9" s="43"/>
      <c r="K9" s="43"/>
    </row>
    <row r="10" spans="1:11" ht="20" customHeight="1" thickBot="1">
      <c r="A10" s="80">
        <v>1998</v>
      </c>
      <c r="B10" s="29">
        <v>2746839</v>
      </c>
      <c r="C10" s="116">
        <v>2927739</v>
      </c>
      <c r="D10" s="29">
        <v>5674578</v>
      </c>
      <c r="E10" s="116">
        <v>1572038</v>
      </c>
      <c r="F10" s="29">
        <v>7246616</v>
      </c>
      <c r="G10" s="25">
        <v>1.401926436242196E-3</v>
      </c>
    </row>
    <row r="11" spans="1:11" ht="20" customHeight="1" thickBot="1">
      <c r="A11" s="80">
        <v>1999</v>
      </c>
      <c r="B11" s="29">
        <v>2760031</v>
      </c>
      <c r="C11" s="116">
        <v>2940891</v>
      </c>
      <c r="D11" s="29">
        <v>5700922</v>
      </c>
      <c r="E11" s="116">
        <v>1569600</v>
      </c>
      <c r="F11" s="29">
        <v>7270522</v>
      </c>
      <c r="G11" s="25">
        <v>3.298919109278041E-3</v>
      </c>
    </row>
    <row r="12" spans="1:11" ht="20" customHeight="1" thickBot="1">
      <c r="A12" s="80">
        <v>2000</v>
      </c>
      <c r="B12" s="29">
        <v>2758998</v>
      </c>
      <c r="C12" s="116">
        <v>2947662</v>
      </c>
      <c r="D12" s="29">
        <v>5706660</v>
      </c>
      <c r="E12" s="116">
        <v>1558453</v>
      </c>
      <c r="F12" s="29">
        <v>7265113</v>
      </c>
      <c r="G12" s="25">
        <v>-7.4396308820742166E-4</v>
      </c>
    </row>
    <row r="13" spans="1:11" ht="20" customHeight="1" thickBot="1">
      <c r="A13" s="80">
        <v>2001</v>
      </c>
      <c r="B13" s="29">
        <v>2778660</v>
      </c>
      <c r="C13" s="116">
        <v>2968477</v>
      </c>
      <c r="D13" s="29">
        <v>5747137</v>
      </c>
      <c r="E13" s="116">
        <v>1553913</v>
      </c>
      <c r="F13" s="29">
        <v>7301050</v>
      </c>
      <c r="G13" s="25">
        <v>4.9465163170896312E-3</v>
      </c>
    </row>
    <row r="14" spans="1:11" ht="20" customHeight="1" thickBot="1">
      <c r="A14" s="80">
        <v>2002</v>
      </c>
      <c r="B14" s="29">
        <v>2803463</v>
      </c>
      <c r="C14" s="116">
        <v>2992002</v>
      </c>
      <c r="D14" s="29">
        <v>5795465</v>
      </c>
      <c r="E14" s="116">
        <v>1549167</v>
      </c>
      <c r="F14" s="29">
        <v>7344632</v>
      </c>
      <c r="G14" s="25">
        <v>5.9692783914642418E-3</v>
      </c>
    </row>
    <row r="15" spans="1:11" ht="30" customHeight="1" thickBot="1">
      <c r="A15" s="705">
        <v>2003</v>
      </c>
      <c r="B15" s="356">
        <v>2880411</v>
      </c>
      <c r="C15" s="357">
        <v>2950352</v>
      </c>
      <c r="D15" s="356">
        <v>5830763</v>
      </c>
      <c r="E15" s="357">
        <v>1541742</v>
      </c>
      <c r="F15" s="356">
        <v>7372505</v>
      </c>
      <c r="G15" s="34">
        <v>3.7950165508632699E-3</v>
      </c>
    </row>
    <row r="16" spans="1:11" ht="20" customHeight="1">
      <c r="A16" s="9" t="s">
        <v>1334</v>
      </c>
      <c r="B16" s="309"/>
      <c r="C16" s="309"/>
      <c r="D16" s="309"/>
      <c r="E16" s="309"/>
      <c r="F16" s="309"/>
      <c r="G16" s="671"/>
    </row>
    <row r="17" spans="1:7" ht="20" customHeight="1">
      <c r="A17" s="37"/>
      <c r="B17" s="311"/>
      <c r="C17" s="311"/>
      <c r="D17" s="311"/>
      <c r="E17" s="311"/>
      <c r="F17" s="311"/>
      <c r="G17" s="672"/>
    </row>
    <row r="18" spans="1:7" ht="12.75" customHeight="1">
      <c r="A18" s="881" t="s">
        <v>156</v>
      </c>
      <c r="B18" s="311"/>
      <c r="C18" s="311"/>
      <c r="D18" s="311"/>
      <c r="E18" s="311"/>
      <c r="F18" s="311"/>
      <c r="G18" s="672"/>
    </row>
    <row r="19" spans="1:7" ht="12.75" customHeight="1">
      <c r="A19" s="3" t="s">
        <v>519</v>
      </c>
    </row>
    <row r="20" spans="1:7" ht="12.75" customHeight="1">
      <c r="A20" s="413" t="s">
        <v>157</v>
      </c>
    </row>
    <row r="22" spans="1:7">
      <c r="A22" s="3" t="s">
        <v>158</v>
      </c>
    </row>
    <row r="25" spans="1:7">
      <c r="A25" s="3" t="s">
        <v>256</v>
      </c>
    </row>
  </sheetData>
  <phoneticPr fontId="0" type="noConversion"/>
  <pageMargins left="0.5" right="0.49" top="1.03" bottom="0.49" header="0.56000000000000005" footer="0.4921259845"/>
  <pageSetup paperSize="9" scale="89" orientation="portrait" horizontalDpi="1200" verticalDpi="1200"/>
  <headerFooter alignWithMargins="0">
    <oddHeader>&amp;L&amp;"Arial,Bold"Versicherte und Finanzen in der OKP</oddHead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32C75-D980-1D49-A96A-BEAD6A573868}">
  <sheetPr>
    <pageSetUpPr fitToPage="1"/>
  </sheetPr>
  <dimension ref="A1:Q50"/>
  <sheetViews>
    <sheetView topLeftCell="A21" zoomScale="75" workbookViewId="0">
      <selection activeCell="B33" sqref="B33"/>
    </sheetView>
  </sheetViews>
  <sheetFormatPr baseColWidth="10" defaultColWidth="11.3984375" defaultRowHeight="13"/>
  <cols>
    <col min="1" max="1" width="3.796875" style="3" customWidth="1"/>
    <col min="2" max="2" width="52.796875" style="3" customWidth="1"/>
    <col min="3" max="4" width="10.796875" style="880" customWidth="1"/>
    <col min="5" max="7" width="10.796875" style="3" customWidth="1"/>
    <col min="8" max="8" width="10.796875" style="35" customWidth="1"/>
    <col min="9" max="9" width="10.796875" style="3" customWidth="1"/>
    <col min="10" max="10" width="10.796875" style="35" customWidth="1"/>
    <col min="11" max="11" width="4.19921875" style="35" customWidth="1"/>
    <col min="12" max="12" width="12.796875" style="3" customWidth="1"/>
    <col min="13" max="14" width="12.19921875" style="3" customWidth="1"/>
    <col min="15" max="15" width="4.19921875" style="3" customWidth="1"/>
    <col min="16" max="16" width="12" style="3" customWidth="1"/>
    <col min="17" max="17" width="11.796875" style="3" customWidth="1"/>
    <col min="18" max="16384" width="11.3984375" style="3"/>
  </cols>
  <sheetData>
    <row r="1" spans="2:17" ht="18">
      <c r="B1" s="812"/>
      <c r="C1" s="813"/>
      <c r="D1" s="813"/>
      <c r="E1" s="355"/>
      <c r="F1" s="355"/>
      <c r="G1" s="355"/>
      <c r="H1" s="438"/>
      <c r="J1" s="438"/>
      <c r="K1" s="438"/>
    </row>
    <row r="2" spans="2:17" ht="26.25" customHeight="1">
      <c r="B2" s="814" t="s">
        <v>770</v>
      </c>
      <c r="C2" s="815"/>
      <c r="D2" s="815"/>
      <c r="E2" s="816"/>
      <c r="F2" s="816"/>
      <c r="G2" s="816"/>
      <c r="H2" s="817"/>
      <c r="I2" s="817"/>
      <c r="J2" s="817"/>
      <c r="K2" s="817"/>
      <c r="L2" s="818"/>
      <c r="M2" s="818"/>
      <c r="N2" s="818"/>
      <c r="O2" s="818"/>
      <c r="P2" s="818"/>
      <c r="Q2" s="389">
        <v>2003</v>
      </c>
    </row>
    <row r="3" spans="2:17" ht="72.75" customHeight="1">
      <c r="B3" s="819" t="s">
        <v>771</v>
      </c>
      <c r="C3" s="820">
        <v>1996</v>
      </c>
      <c r="D3" s="819">
        <v>1997</v>
      </c>
      <c r="E3" s="820">
        <v>1998</v>
      </c>
      <c r="F3" s="819">
        <v>1999</v>
      </c>
      <c r="G3" s="820">
        <v>2000</v>
      </c>
      <c r="H3" s="416">
        <v>2001</v>
      </c>
      <c r="I3" s="417">
        <v>2002</v>
      </c>
      <c r="J3" s="416">
        <v>2003</v>
      </c>
      <c r="K3" s="821"/>
      <c r="L3" s="822" t="s">
        <v>772</v>
      </c>
      <c r="M3" s="823" t="s">
        <v>773</v>
      </c>
      <c r="N3" s="822" t="s">
        <v>774</v>
      </c>
      <c r="O3" s="824"/>
      <c r="P3" s="825" t="s">
        <v>149</v>
      </c>
      <c r="Q3" s="826" t="s">
        <v>150</v>
      </c>
    </row>
    <row r="4" spans="2:17" ht="14" customHeight="1">
      <c r="B4" s="819"/>
      <c r="C4" s="820"/>
      <c r="D4" s="819"/>
      <c r="E4" s="820"/>
      <c r="F4" s="819"/>
      <c r="G4" s="820"/>
      <c r="H4" s="416"/>
      <c r="I4" s="827"/>
      <c r="J4" s="416"/>
      <c r="K4" s="821"/>
      <c r="L4" s="819"/>
      <c r="M4" s="820"/>
      <c r="N4" s="819"/>
      <c r="O4" s="828"/>
      <c r="P4" s="820"/>
      <c r="Q4" s="416"/>
    </row>
    <row r="5" spans="2:17" ht="9.75" customHeight="1">
      <c r="B5" s="829"/>
      <c r="C5" s="830"/>
      <c r="D5" s="829"/>
      <c r="E5" s="830"/>
      <c r="F5" s="829"/>
      <c r="G5" s="830"/>
      <c r="H5" s="419"/>
      <c r="I5" s="831"/>
      <c r="J5" s="419"/>
      <c r="K5" s="832"/>
      <c r="L5" s="833"/>
      <c r="M5" s="831"/>
      <c r="N5" s="833"/>
      <c r="O5" s="834"/>
      <c r="P5" s="831"/>
      <c r="Q5" s="419"/>
    </row>
    <row r="6" spans="2:17" ht="20" customHeight="1" thickBot="1">
      <c r="B6" s="835" t="s">
        <v>775</v>
      </c>
      <c r="C6" s="836">
        <v>145</v>
      </c>
      <c r="D6" s="837">
        <v>129</v>
      </c>
      <c r="E6" s="836">
        <v>118</v>
      </c>
      <c r="F6" s="837">
        <v>109</v>
      </c>
      <c r="G6" s="836">
        <v>101</v>
      </c>
      <c r="H6" s="837">
        <v>99</v>
      </c>
      <c r="I6" s="836">
        <v>93</v>
      </c>
      <c r="J6" s="838">
        <v>93</v>
      </c>
      <c r="K6" s="839"/>
      <c r="L6" s="840">
        <v>0</v>
      </c>
      <c r="M6" s="841">
        <v>-0.35862068965517246</v>
      </c>
      <c r="N6" s="840">
        <v>-6.1476844047299584E-2</v>
      </c>
      <c r="O6" s="842"/>
      <c r="P6" s="843" t="s">
        <v>1013</v>
      </c>
      <c r="Q6" s="532" t="s">
        <v>1013</v>
      </c>
    </row>
    <row r="7" spans="2:17" ht="16" customHeight="1" thickBot="1">
      <c r="B7" s="844" t="s">
        <v>776</v>
      </c>
      <c r="C7" s="632">
        <v>7194.7539999999999</v>
      </c>
      <c r="D7" s="622">
        <v>7214.8050000000003</v>
      </c>
      <c r="E7" s="632">
        <v>7248.6030000000001</v>
      </c>
      <c r="F7" s="622">
        <v>7266.5339999999997</v>
      </c>
      <c r="G7" s="632">
        <v>7268.1109999999999</v>
      </c>
      <c r="H7" s="622">
        <v>7321.2870000000003</v>
      </c>
      <c r="I7" s="632">
        <v>7359.3649999999998</v>
      </c>
      <c r="J7" s="845">
        <v>7393.1880000000001</v>
      </c>
      <c r="K7" s="839"/>
      <c r="L7" s="840">
        <v>4.5959128267181182E-3</v>
      </c>
      <c r="M7" s="841">
        <v>2.7580373144099113E-2</v>
      </c>
      <c r="N7" s="840">
        <v>3.8942610585206427E-3</v>
      </c>
      <c r="O7" s="842"/>
      <c r="P7" s="846">
        <v>7368.8651499999987</v>
      </c>
      <c r="Q7" s="847">
        <v>7463.2307499999997</v>
      </c>
    </row>
    <row r="8" spans="2:17" ht="16" customHeight="1" thickBot="1">
      <c r="B8" s="844" t="s">
        <v>777</v>
      </c>
      <c r="C8" s="632">
        <v>5599.991</v>
      </c>
      <c r="D8" s="622">
        <v>5669.3249999999998</v>
      </c>
      <c r="E8" s="632">
        <v>5768.6210000000001</v>
      </c>
      <c r="F8" s="622">
        <v>5833.1670000000004</v>
      </c>
      <c r="G8" s="632">
        <v>5947.0349999999999</v>
      </c>
      <c r="H8" s="622">
        <v>6043.9049999999997</v>
      </c>
      <c r="I8" s="116">
        <v>6170.7879999999996</v>
      </c>
      <c r="J8" s="845">
        <v>6105.0770000000002</v>
      </c>
      <c r="K8" s="839"/>
      <c r="L8" s="840">
        <v>-1.0648721038544751E-2</v>
      </c>
      <c r="M8" s="841">
        <v>9.0194073526189689E-2</v>
      </c>
      <c r="N8" s="840">
        <v>1.2412941689825541E-2</v>
      </c>
      <c r="O8" s="842"/>
      <c r="P8" s="785" t="s">
        <v>1013</v>
      </c>
      <c r="Q8" s="783" t="s">
        <v>1013</v>
      </c>
    </row>
    <row r="9" spans="2:17" ht="16" customHeight="1" thickBot="1">
      <c r="B9" s="844" t="s">
        <v>778</v>
      </c>
      <c r="C9" s="848">
        <v>77.834363760039608</v>
      </c>
      <c r="D9" s="849">
        <v>78.579046834945643</v>
      </c>
      <c r="E9" s="848">
        <v>79.582520935413342</v>
      </c>
      <c r="F9" s="849">
        <v>80.274405927227491</v>
      </c>
      <c r="G9" s="848">
        <v>81.823667800340417</v>
      </c>
      <c r="H9" s="849">
        <v>82.6</v>
      </c>
      <c r="I9" s="850">
        <v>83.849462556000006</v>
      </c>
      <c r="J9" s="851">
        <v>82.577056068000005</v>
      </c>
      <c r="K9" s="852"/>
      <c r="L9" s="840">
        <v>-1.5174891397189416E-2</v>
      </c>
      <c r="M9" s="841">
        <v>6.0933141595169271E-2</v>
      </c>
      <c r="N9" s="840">
        <v>8.4856353513513838E-3</v>
      </c>
      <c r="O9" s="842"/>
      <c r="P9" s="853" t="s">
        <v>1013</v>
      </c>
      <c r="Q9" s="854" t="s">
        <v>1013</v>
      </c>
    </row>
    <row r="10" spans="2:17" ht="16" customHeight="1" thickBot="1">
      <c r="B10" s="844" t="s">
        <v>779</v>
      </c>
      <c r="C10" s="632">
        <v>1117.0840000000001</v>
      </c>
      <c r="D10" s="622">
        <v>1150.1220000000001</v>
      </c>
      <c r="E10" s="632">
        <v>1154.759</v>
      </c>
      <c r="F10" s="622">
        <v>1096.0329999999999</v>
      </c>
      <c r="G10" s="632">
        <v>1097.932</v>
      </c>
      <c r="H10" s="622">
        <v>1193.3150000000001</v>
      </c>
      <c r="I10" s="116">
        <v>1207.239</v>
      </c>
      <c r="J10" s="845">
        <v>1148.028</v>
      </c>
      <c r="K10" s="839"/>
      <c r="L10" s="840">
        <v>-4.9046626227283951E-2</v>
      </c>
      <c r="M10" s="841">
        <v>2.7700692159228879E-2</v>
      </c>
      <c r="N10" s="840">
        <v>3.9110524468992658E-3</v>
      </c>
      <c r="O10" s="842"/>
      <c r="P10" s="785" t="s">
        <v>1013</v>
      </c>
      <c r="Q10" s="783" t="s">
        <v>1013</v>
      </c>
    </row>
    <row r="11" spans="2:17" ht="15.75" customHeight="1" thickBot="1">
      <c r="B11" s="844" t="s">
        <v>780</v>
      </c>
      <c r="C11" s="632">
        <v>18812.841</v>
      </c>
      <c r="D11" s="622">
        <v>18987.651000000002</v>
      </c>
      <c r="E11" s="632">
        <v>17067.058000000001</v>
      </c>
      <c r="F11" s="622">
        <v>12747.16</v>
      </c>
      <c r="G11" s="632">
        <v>12447.351000000001</v>
      </c>
      <c r="H11" s="622">
        <v>12514.1</v>
      </c>
      <c r="I11" s="116">
        <v>12391.460999999999</v>
      </c>
      <c r="J11" s="845">
        <v>11395.671</v>
      </c>
      <c r="K11" s="839"/>
      <c r="L11" s="840">
        <v>-8.0360984067980312E-2</v>
      </c>
      <c r="M11" s="841">
        <v>-0.39426102628518467</v>
      </c>
      <c r="N11" s="840">
        <v>-6.9110930049345098E-2</v>
      </c>
      <c r="O11" s="842"/>
      <c r="P11" s="785" t="s">
        <v>1013</v>
      </c>
      <c r="Q11" s="783" t="s">
        <v>1013</v>
      </c>
    </row>
    <row r="12" spans="2:17" ht="16" customHeight="1" thickBot="1">
      <c r="B12" s="844" t="s">
        <v>781</v>
      </c>
      <c r="C12" s="632">
        <v>11130.63582</v>
      </c>
      <c r="D12" s="622">
        <v>12040.684128000001</v>
      </c>
      <c r="E12" s="632">
        <v>12708.270148</v>
      </c>
      <c r="F12" s="622">
        <v>13033.842773</v>
      </c>
      <c r="G12" s="632">
        <v>13441.654683999999</v>
      </c>
      <c r="H12" s="622">
        <v>13997.312</v>
      </c>
      <c r="I12" s="632">
        <v>15355.045232</v>
      </c>
      <c r="J12" s="845">
        <v>16820.111152000001</v>
      </c>
      <c r="K12" s="839"/>
      <c r="L12" s="840">
        <v>9.5412673675932647E-2</v>
      </c>
      <c r="M12" s="841">
        <v>0.51115456690954808</v>
      </c>
      <c r="N12" s="840">
        <v>6.0756142791318579E-2</v>
      </c>
      <c r="O12" s="842"/>
      <c r="P12" s="846">
        <v>18002.784337490004</v>
      </c>
      <c r="Q12" s="847">
        <v>18735.234065309996</v>
      </c>
    </row>
    <row r="13" spans="2:17" ht="15.75" customHeight="1" thickBot="1">
      <c r="B13" s="844" t="s">
        <v>782</v>
      </c>
      <c r="C13" s="632">
        <v>1547.0488386399313</v>
      </c>
      <c r="D13" s="622">
        <v>1668.885593997343</v>
      </c>
      <c r="E13" s="632">
        <v>1753.2026720183185</v>
      </c>
      <c r="F13" s="622">
        <v>1793.6808350446031</v>
      </c>
      <c r="G13" s="632">
        <v>1849.401403473337</v>
      </c>
      <c r="H13" s="622">
        <v>1911.8649494276074</v>
      </c>
      <c r="I13" s="632">
        <v>2086.4633337251248</v>
      </c>
      <c r="J13" s="845">
        <v>2275.0822990000001</v>
      </c>
      <c r="K13" s="839"/>
      <c r="L13" s="840">
        <v>9.0401284425218886E-2</v>
      </c>
      <c r="M13" s="841">
        <v>0.47059500784739949</v>
      </c>
      <c r="N13" s="840">
        <v>5.6641305701513378E-2</v>
      </c>
      <c r="O13" s="842"/>
      <c r="P13" s="846">
        <v>2443.0877714582693</v>
      </c>
      <c r="Q13" s="847">
        <v>2510.3383096268326</v>
      </c>
    </row>
    <row r="14" spans="2:17" ht="18" customHeight="1" thickBot="1">
      <c r="B14" s="844" t="s">
        <v>151</v>
      </c>
      <c r="C14" s="632">
        <v>12459.017247</v>
      </c>
      <c r="D14" s="622">
        <v>13138.477535</v>
      </c>
      <c r="E14" s="632">
        <v>14024.092651999999</v>
      </c>
      <c r="F14" s="622">
        <v>14620.510517999999</v>
      </c>
      <c r="G14" s="632">
        <v>15478.327442</v>
      </c>
      <c r="H14" s="622">
        <v>16386.46</v>
      </c>
      <c r="I14" s="632">
        <v>17095.587409</v>
      </c>
      <c r="J14" s="845">
        <v>17924.119354999999</v>
      </c>
      <c r="K14" s="839"/>
      <c r="L14" s="840">
        <v>4.8464666710651638E-2</v>
      </c>
      <c r="M14" s="841">
        <v>0.43864632335394971</v>
      </c>
      <c r="N14" s="840">
        <v>5.33309927870389E-2</v>
      </c>
      <c r="O14" s="842"/>
      <c r="P14" s="846">
        <v>19083.074668660003</v>
      </c>
      <c r="Q14" s="847">
        <v>20361.321174109995</v>
      </c>
    </row>
    <row r="15" spans="2:17" ht="18" customHeight="1" thickBot="1">
      <c r="B15" s="844" t="s">
        <v>152</v>
      </c>
      <c r="C15" s="632">
        <v>1731.6807839434121</v>
      </c>
      <c r="D15" s="622">
        <v>1821.0440247518816</v>
      </c>
      <c r="E15" s="632">
        <v>1934.7304097079118</v>
      </c>
      <c r="F15" s="622">
        <v>2012.0335937325829</v>
      </c>
      <c r="G15" s="632">
        <v>2129.6217740758225</v>
      </c>
      <c r="H15" s="622">
        <v>2238.1939131740087</v>
      </c>
      <c r="I15" s="632">
        <v>2322.9704477220521</v>
      </c>
      <c r="J15" s="845">
        <v>2424.4100589999998</v>
      </c>
      <c r="K15" s="839"/>
      <c r="L15" s="840">
        <v>4.3668059306316787E-2</v>
      </c>
      <c r="M15" s="841">
        <v>0.40003289375256168</v>
      </c>
      <c r="N15" s="840">
        <v>4.9244959004672628E-2</v>
      </c>
      <c r="O15" s="842"/>
      <c r="P15" s="846">
        <v>2589.6897663624645</v>
      </c>
      <c r="Q15" s="847">
        <v>2728.218094303194</v>
      </c>
    </row>
    <row r="16" spans="2:17" ht="16" customHeight="1" thickBot="1">
      <c r="B16" s="844" t="s">
        <v>783</v>
      </c>
      <c r="C16" s="632">
        <v>1141.7516401488422</v>
      </c>
      <c r="D16" s="622">
        <v>1210.7956888559779</v>
      </c>
      <c r="E16" s="632">
        <v>1287.51</v>
      </c>
      <c r="F16" s="622">
        <v>1352.3238940325607</v>
      </c>
      <c r="G16" s="632">
        <v>1450.5580412847301</v>
      </c>
      <c r="H16" s="622">
        <v>1545</v>
      </c>
      <c r="I16" s="632">
        <v>1612.1984029</v>
      </c>
      <c r="J16" s="845">
        <v>1661.9584311999999</v>
      </c>
      <c r="K16" s="839"/>
      <c r="L16" s="840">
        <v>3.0864705119724833E-2</v>
      </c>
      <c r="M16" s="841">
        <v>0.45562167178786983</v>
      </c>
      <c r="N16" s="840">
        <v>5.5097623170409449E-2</v>
      </c>
      <c r="O16" s="842"/>
      <c r="P16" s="785" t="s">
        <v>1013</v>
      </c>
      <c r="Q16" s="783" t="s">
        <v>1013</v>
      </c>
    </row>
    <row r="17" spans="2:17" ht="16" customHeight="1" thickBot="1">
      <c r="B17" s="844" t="s">
        <v>784</v>
      </c>
      <c r="C17" s="632">
        <v>589.92914393356</v>
      </c>
      <c r="D17" s="622">
        <v>610.24833589590401</v>
      </c>
      <c r="E17" s="632">
        <v>647.22</v>
      </c>
      <c r="F17" s="622">
        <v>659.70969970002204</v>
      </c>
      <c r="G17" s="632">
        <v>679.06373279109243</v>
      </c>
      <c r="H17" s="622">
        <v>694</v>
      </c>
      <c r="I17" s="632">
        <v>710.77204486999995</v>
      </c>
      <c r="J17" s="845">
        <v>762.45162776999996</v>
      </c>
      <c r="K17" s="839"/>
      <c r="L17" s="840">
        <v>7.2709082008778569E-2</v>
      </c>
      <c r="M17" s="841">
        <v>0.2924461108771228</v>
      </c>
      <c r="N17" s="840">
        <v>3.7327910951714394E-2</v>
      </c>
      <c r="O17" s="842"/>
      <c r="P17" s="785" t="s">
        <v>1013</v>
      </c>
      <c r="Q17" s="783" t="s">
        <v>1013</v>
      </c>
    </row>
    <row r="18" spans="2:17" ht="16" customHeight="1" thickBot="1">
      <c r="B18" s="844" t="s">
        <v>785</v>
      </c>
      <c r="C18" s="632">
        <v>1678.5317379999999</v>
      </c>
      <c r="D18" s="622">
        <v>1777.9823429999999</v>
      </c>
      <c r="E18" s="632">
        <v>2097.2328000000002</v>
      </c>
      <c r="F18" s="622">
        <v>2189.9011839999998</v>
      </c>
      <c r="G18" s="632">
        <v>2288.0175450000002</v>
      </c>
      <c r="H18" s="622">
        <v>2400.1799999999998</v>
      </c>
      <c r="I18" s="632">
        <v>2502.8303667999999</v>
      </c>
      <c r="J18" s="845">
        <v>2588.499652</v>
      </c>
      <c r="K18" s="839"/>
      <c r="L18" s="840">
        <v>3.4228961873086439E-2</v>
      </c>
      <c r="M18" s="841">
        <v>0.54212136321249593</v>
      </c>
      <c r="N18" s="840">
        <v>6.3834521451858306E-2</v>
      </c>
      <c r="O18" s="842"/>
      <c r="P18" s="846">
        <v>2901.0408075299997</v>
      </c>
      <c r="Q18" s="847">
        <v>3181.4874455899994</v>
      </c>
    </row>
    <row r="19" spans="2:17" ht="16" customHeight="1" thickBot="1">
      <c r="B19" s="844" t="s">
        <v>786</v>
      </c>
      <c r="C19" s="632">
        <v>233.29939258520861</v>
      </c>
      <c r="D19" s="622">
        <v>246.43525958082026</v>
      </c>
      <c r="E19" s="632">
        <v>289.32924040673771</v>
      </c>
      <c r="F19" s="622">
        <v>301.36805029743203</v>
      </c>
      <c r="G19" s="632">
        <v>314.80222921746793</v>
      </c>
      <c r="H19" s="622">
        <v>327.83580263961784</v>
      </c>
      <c r="I19" s="632">
        <v>340.08781556560928</v>
      </c>
      <c r="J19" s="845">
        <v>350.11954950000001</v>
      </c>
      <c r="K19" s="839"/>
      <c r="L19" s="840">
        <v>2.9497481165876804E-2</v>
      </c>
      <c r="M19" s="841">
        <v>0.50073065180452558</v>
      </c>
      <c r="N19" s="840">
        <v>5.9707742851279777E-2</v>
      </c>
      <c r="O19" s="842"/>
      <c r="P19" s="846">
        <v>393.68895324811314</v>
      </c>
      <c r="Q19" s="847">
        <v>426.28823255799767</v>
      </c>
    </row>
    <row r="20" spans="2:17" ht="18.75" customHeight="1" thickBot="1">
      <c r="B20" s="844" t="s">
        <v>153</v>
      </c>
      <c r="C20" s="632">
        <v>10780.485509</v>
      </c>
      <c r="D20" s="622">
        <v>11360.495192</v>
      </c>
      <c r="E20" s="632">
        <v>11926.859852</v>
      </c>
      <c r="F20" s="622">
        <v>12430.609334000001</v>
      </c>
      <c r="G20" s="632">
        <v>13190.309896999999</v>
      </c>
      <c r="H20" s="622">
        <v>13986.27</v>
      </c>
      <c r="I20" s="632">
        <v>14592.757041999999</v>
      </c>
      <c r="J20" s="845">
        <v>15335.619703</v>
      </c>
      <c r="K20" s="839"/>
      <c r="L20" s="840">
        <v>5.0906258417236616E-2</v>
      </c>
      <c r="M20" s="841">
        <v>0.42253516227976773</v>
      </c>
      <c r="N20" s="840">
        <v>5.1637694263183542E-2</v>
      </c>
      <c r="O20" s="842"/>
      <c r="P20" s="846">
        <v>16182.033861129999</v>
      </c>
      <c r="Q20" s="847">
        <v>17179.83372852</v>
      </c>
    </row>
    <row r="21" spans="2:17" ht="18.75" customHeight="1" thickBot="1">
      <c r="B21" s="844" t="s">
        <v>154</v>
      </c>
      <c r="C21" s="632">
        <v>1498.3813913582035</v>
      </c>
      <c r="D21" s="622">
        <v>1574.6087651710613</v>
      </c>
      <c r="E21" s="632">
        <v>1645.4011693011744</v>
      </c>
      <c r="F21" s="622">
        <v>1710.665543435151</v>
      </c>
      <c r="G21" s="632">
        <v>1814.8195448583544</v>
      </c>
      <c r="H21" s="622">
        <v>1910.3567446543211</v>
      </c>
      <c r="I21" s="632">
        <v>1982.8826321292665</v>
      </c>
      <c r="J21" s="845">
        <v>2074.2905095000001</v>
      </c>
      <c r="K21" s="839"/>
      <c r="L21" s="840">
        <v>4.6098481014268389E-2</v>
      </c>
      <c r="M21" s="841">
        <v>0.38435415806903839</v>
      </c>
      <c r="N21" s="840">
        <v>4.7558229048688228E-2</v>
      </c>
      <c r="O21" s="842"/>
      <c r="P21" s="846">
        <v>2196.0008131143509</v>
      </c>
      <c r="Q21" s="847">
        <v>2301.9298617451964</v>
      </c>
    </row>
    <row r="22" spans="2:17" ht="15.75" customHeight="1" thickBot="1">
      <c r="B22" s="844" t="s">
        <v>937</v>
      </c>
      <c r="C22" s="632">
        <v>959.82757900000001</v>
      </c>
      <c r="D22" s="622">
        <v>893.208437</v>
      </c>
      <c r="E22" s="632">
        <v>854.94479699999999</v>
      </c>
      <c r="F22" s="622">
        <v>854.24312299999997</v>
      </c>
      <c r="G22" s="632">
        <v>863.27835700000003</v>
      </c>
      <c r="H22" s="622">
        <v>908.85</v>
      </c>
      <c r="I22" s="632">
        <v>923.57338863999996</v>
      </c>
      <c r="J22" s="845">
        <v>949.13385871000003</v>
      </c>
      <c r="K22" s="839"/>
      <c r="L22" s="840">
        <v>2.7675624248592712E-2</v>
      </c>
      <c r="M22" s="841">
        <v>-1.1141293003000929E-2</v>
      </c>
      <c r="N22" s="840">
        <v>-1.5992658204928567E-3</v>
      </c>
      <c r="O22" s="842"/>
      <c r="P22" s="846">
        <v>964.97309831000007</v>
      </c>
      <c r="Q22" s="847">
        <v>998.86856102000002</v>
      </c>
    </row>
    <row r="23" spans="2:17" ht="19.5" customHeight="1" thickBot="1">
      <c r="B23" s="844" t="s">
        <v>938</v>
      </c>
      <c r="C23" s="632">
        <v>-319.932346</v>
      </c>
      <c r="D23" s="622">
        <v>70.171887999999996</v>
      </c>
      <c r="E23" s="632">
        <v>-3.3297E-2</v>
      </c>
      <c r="F23" s="622">
        <v>-49.386769999999999</v>
      </c>
      <c r="G23" s="632">
        <v>-305.95411300000001</v>
      </c>
      <c r="H23" s="622">
        <v>-789.7</v>
      </c>
      <c r="I23" s="632">
        <v>-223.6723628</v>
      </c>
      <c r="J23" s="845">
        <v>399.72993602999998</v>
      </c>
      <c r="K23" s="839"/>
      <c r="L23" s="840" t="s">
        <v>1013</v>
      </c>
      <c r="M23" s="841" t="s">
        <v>1013</v>
      </c>
      <c r="N23" s="840" t="s">
        <v>1013</v>
      </c>
      <c r="O23" s="842"/>
      <c r="P23" s="785" t="s">
        <v>1013</v>
      </c>
      <c r="Q23" s="783" t="s">
        <v>1013</v>
      </c>
    </row>
    <row r="24" spans="2:17" ht="19.5" customHeight="1" thickBot="1">
      <c r="B24" s="844" t="s">
        <v>939</v>
      </c>
      <c r="C24" s="632">
        <v>3454.5367919999999</v>
      </c>
      <c r="D24" s="622">
        <v>3507.8977540000001</v>
      </c>
      <c r="E24" s="632">
        <v>3693.9578390000001</v>
      </c>
      <c r="F24" s="622">
        <v>3810.0183769999999</v>
      </c>
      <c r="G24" s="632">
        <v>3956.2184860000002</v>
      </c>
      <c r="H24" s="622">
        <v>3996.3</v>
      </c>
      <c r="I24" s="632">
        <v>4018.0238040999998</v>
      </c>
      <c r="J24" s="845">
        <v>4264.2535405999997</v>
      </c>
      <c r="K24" s="839"/>
      <c r="L24" s="840">
        <v>6.1281303572354728E-2</v>
      </c>
      <c r="M24" s="841">
        <v>0.23439227814135255</v>
      </c>
      <c r="N24" s="840">
        <v>3.0539736412168672E-2</v>
      </c>
      <c r="O24" s="842"/>
      <c r="P24" s="785" t="s">
        <v>1013</v>
      </c>
      <c r="Q24" s="783" t="s">
        <v>1013</v>
      </c>
    </row>
    <row r="25" spans="2:17" ht="19.5" customHeight="1" thickBot="1">
      <c r="B25" s="844" t="s">
        <v>940</v>
      </c>
      <c r="C25" s="632">
        <v>2856.0771500000001</v>
      </c>
      <c r="D25" s="622">
        <v>2991.8799650000001</v>
      </c>
      <c r="E25" s="632">
        <v>2985.5309590000002</v>
      </c>
      <c r="F25" s="622">
        <v>3077.412147</v>
      </c>
      <c r="G25" s="632">
        <v>2832.1064590000001</v>
      </c>
      <c r="H25" s="622">
        <v>2102.63</v>
      </c>
      <c r="I25" s="632">
        <v>1965.5320859999999</v>
      </c>
      <c r="J25" s="845">
        <v>2393.7060728000001</v>
      </c>
      <c r="K25" s="839"/>
      <c r="L25" s="840">
        <v>0.21784126031306128</v>
      </c>
      <c r="M25" s="841">
        <v>-0.16189026168288201</v>
      </c>
      <c r="N25" s="840">
        <v>-2.4913858919863974E-2</v>
      </c>
      <c r="O25" s="842"/>
      <c r="P25" s="846">
        <v>2984.3396210000005</v>
      </c>
      <c r="Q25" s="847">
        <v>3239.8560389999998</v>
      </c>
    </row>
    <row r="26" spans="2:17" ht="19.5" customHeight="1" thickBot="1">
      <c r="B26" s="855" t="s">
        <v>155</v>
      </c>
      <c r="C26" s="856">
        <v>0.25659604681954279</v>
      </c>
      <c r="D26" s="857">
        <v>0.24848089470618492</v>
      </c>
      <c r="E26" s="856">
        <v>0.23492819433570639</v>
      </c>
      <c r="F26" s="857">
        <v>0.23610935014307161</v>
      </c>
      <c r="G26" s="856">
        <v>0.21069626661151625</v>
      </c>
      <c r="H26" s="857">
        <v>0.15</v>
      </c>
      <c r="I26" s="856">
        <v>0.12800562009999999</v>
      </c>
      <c r="J26" s="858">
        <v>0.1423121436</v>
      </c>
      <c r="K26" s="859"/>
      <c r="L26" s="860">
        <v>0.11176480758285079</v>
      </c>
      <c r="M26" s="861">
        <v>-0.44538450469548985</v>
      </c>
      <c r="N26" s="860">
        <v>-8.0763144521949881E-2</v>
      </c>
      <c r="O26" s="862"/>
      <c r="P26" s="863">
        <v>0.16577100325449354</v>
      </c>
      <c r="Q26" s="864">
        <v>0.17292850613480673</v>
      </c>
    </row>
    <row r="27" spans="2:17" ht="17.25" customHeight="1">
      <c r="B27" s="865" t="s">
        <v>1334</v>
      </c>
      <c r="C27" s="866"/>
      <c r="D27" s="866"/>
      <c r="E27" s="866"/>
      <c r="F27" s="866"/>
      <c r="G27" s="866"/>
      <c r="H27" s="867"/>
      <c r="J27" s="867"/>
      <c r="K27" s="868"/>
    </row>
    <row r="28" spans="2:17" ht="13.5" customHeight="1">
      <c r="B28" s="429"/>
      <c r="C28" s="372"/>
      <c r="D28" s="372"/>
      <c r="E28" s="372"/>
      <c r="F28" s="372"/>
      <c r="G28" s="372"/>
      <c r="H28" s="430"/>
      <c r="J28" s="430"/>
      <c r="K28" s="430"/>
    </row>
    <row r="29" spans="2:17" ht="12" customHeight="1">
      <c r="B29" s="355" t="s">
        <v>125</v>
      </c>
      <c r="C29" s="372"/>
      <c r="D29" s="372"/>
      <c r="E29" s="372"/>
      <c r="F29" s="372"/>
      <c r="G29" s="372"/>
      <c r="H29" s="430"/>
      <c r="J29" s="430"/>
      <c r="K29" s="430"/>
    </row>
    <row r="30" spans="2:17" ht="12.75" customHeight="1">
      <c r="B30" s="355" t="s">
        <v>126</v>
      </c>
      <c r="C30" s="372"/>
      <c r="D30" s="372"/>
      <c r="E30" s="372"/>
      <c r="F30" s="372"/>
      <c r="G30" s="372"/>
      <c r="H30" s="430"/>
      <c r="J30" s="430"/>
      <c r="K30" s="430"/>
    </row>
    <row r="31" spans="2:17" ht="12" customHeight="1">
      <c r="B31" s="38" t="s">
        <v>127</v>
      </c>
      <c r="C31" s="136"/>
      <c r="D31" s="136"/>
      <c r="E31" s="1"/>
      <c r="F31" s="1"/>
      <c r="G31" s="1"/>
      <c r="H31" s="58"/>
      <c r="J31" s="58"/>
      <c r="K31" s="58"/>
    </row>
    <row r="32" spans="2:17" ht="12.75" customHeight="1">
      <c r="B32" s="38" t="s">
        <v>128</v>
      </c>
      <c r="C32" s="136"/>
      <c r="D32" s="136"/>
      <c r="E32" s="1"/>
      <c r="F32" s="1"/>
      <c r="G32" s="1"/>
      <c r="H32" s="58"/>
      <c r="J32" s="58"/>
      <c r="K32" s="58"/>
    </row>
    <row r="33" spans="1:11" ht="11.25" customHeight="1">
      <c r="B33" s="869"/>
      <c r="C33" s="870"/>
      <c r="D33" s="870"/>
      <c r="E33" s="388"/>
      <c r="F33" s="388"/>
      <c r="G33" s="388"/>
      <c r="H33" s="871"/>
      <c r="J33" s="871"/>
      <c r="K33" s="871"/>
    </row>
    <row r="34" spans="1:11">
      <c r="B34" s="38" t="s">
        <v>129</v>
      </c>
      <c r="C34" s="493"/>
      <c r="D34" s="493"/>
    </row>
    <row r="35" spans="1:11">
      <c r="B35" s="38" t="s">
        <v>130</v>
      </c>
      <c r="C35" s="493"/>
      <c r="D35" s="493"/>
    </row>
    <row r="36" spans="1:11">
      <c r="B36" s="38" t="s">
        <v>131</v>
      </c>
      <c r="C36" s="493"/>
      <c r="D36" s="493"/>
    </row>
    <row r="37" spans="1:11" ht="14">
      <c r="A37" s="872">
        <v>1</v>
      </c>
      <c r="B37" s="873" t="s">
        <v>132</v>
      </c>
      <c r="C37" s="874"/>
      <c r="D37" s="875"/>
      <c r="E37" s="873"/>
      <c r="F37" s="873"/>
      <c r="G37" s="873"/>
      <c r="H37" s="876"/>
      <c r="I37" s="873"/>
      <c r="J37" s="876"/>
      <c r="K37" s="429"/>
    </row>
    <row r="38" spans="1:11" ht="14">
      <c r="A38" s="872">
        <v>2</v>
      </c>
      <c r="B38" s="873" t="s">
        <v>133</v>
      </c>
      <c r="C38" s="874"/>
      <c r="D38" s="877">
        <v>12</v>
      </c>
      <c r="E38" s="875" t="s">
        <v>134</v>
      </c>
      <c r="F38" s="873"/>
      <c r="G38" s="873"/>
      <c r="H38" s="876"/>
      <c r="I38" s="873"/>
      <c r="J38" s="876"/>
      <c r="K38" s="429"/>
    </row>
    <row r="39" spans="1:11" ht="14">
      <c r="A39" s="872">
        <v>3</v>
      </c>
      <c r="B39" s="873" t="s">
        <v>135</v>
      </c>
      <c r="C39" s="874"/>
      <c r="D39" s="877">
        <v>13</v>
      </c>
      <c r="E39" s="875" t="s">
        <v>136</v>
      </c>
      <c r="F39" s="873"/>
      <c r="G39" s="873"/>
      <c r="H39" s="876"/>
      <c r="I39" s="873"/>
      <c r="J39" s="876"/>
      <c r="K39" s="429"/>
    </row>
    <row r="40" spans="1:11" ht="14">
      <c r="A40" s="872">
        <v>4</v>
      </c>
      <c r="B40" s="878" t="s">
        <v>137</v>
      </c>
      <c r="C40" s="874"/>
      <c r="D40" s="877">
        <v>14</v>
      </c>
      <c r="E40" s="879" t="s">
        <v>138</v>
      </c>
      <c r="F40" s="873"/>
      <c r="G40" s="873"/>
      <c r="H40" s="876"/>
      <c r="I40" s="873"/>
      <c r="J40" s="876"/>
      <c r="K40" s="429"/>
    </row>
    <row r="41" spans="1:11" ht="14">
      <c r="A41" s="872">
        <v>5</v>
      </c>
      <c r="B41" s="873" t="s">
        <v>139</v>
      </c>
      <c r="C41" s="875"/>
      <c r="D41" s="877">
        <v>15</v>
      </c>
      <c r="E41" s="879" t="s">
        <v>140</v>
      </c>
      <c r="F41" s="873"/>
      <c r="G41" s="873"/>
      <c r="H41" s="876"/>
      <c r="I41" s="873"/>
      <c r="J41" s="876"/>
      <c r="K41" s="429"/>
    </row>
    <row r="42" spans="1:11" ht="14">
      <c r="A42" s="872">
        <v>6</v>
      </c>
      <c r="B42" s="873" t="s">
        <v>139</v>
      </c>
      <c r="C42" s="875"/>
      <c r="D42" s="877">
        <v>16</v>
      </c>
      <c r="E42" s="879" t="s">
        <v>141</v>
      </c>
      <c r="F42" s="873"/>
      <c r="G42" s="873"/>
      <c r="H42" s="876"/>
      <c r="I42" s="873"/>
      <c r="J42" s="876"/>
      <c r="K42" s="429"/>
    </row>
    <row r="43" spans="1:11" ht="14">
      <c r="A43" s="872">
        <v>7</v>
      </c>
      <c r="B43" s="873" t="s">
        <v>142</v>
      </c>
      <c r="C43" s="875"/>
      <c r="D43" s="877">
        <v>17</v>
      </c>
      <c r="E43" s="875" t="s">
        <v>143</v>
      </c>
      <c r="F43" s="873"/>
      <c r="G43" s="873"/>
      <c r="H43" s="876"/>
      <c r="I43" s="873"/>
      <c r="J43" s="876"/>
      <c r="K43" s="429"/>
    </row>
    <row r="44" spans="1:11" ht="14">
      <c r="A44" s="872">
        <v>8</v>
      </c>
      <c r="B44" s="878" t="s">
        <v>144</v>
      </c>
      <c r="C44" s="875"/>
      <c r="D44" s="877">
        <v>18</v>
      </c>
      <c r="E44" s="875" t="s">
        <v>145</v>
      </c>
      <c r="F44" s="873"/>
      <c r="G44" s="873"/>
      <c r="H44" s="876"/>
      <c r="I44" s="873"/>
      <c r="J44" s="876"/>
      <c r="K44" s="429"/>
    </row>
    <row r="45" spans="1:11" ht="14">
      <c r="A45" s="872">
        <v>9</v>
      </c>
      <c r="B45" s="873" t="s">
        <v>146</v>
      </c>
      <c r="C45" s="875"/>
      <c r="D45" s="877">
        <v>19</v>
      </c>
      <c r="E45" s="875" t="s">
        <v>1054</v>
      </c>
      <c r="F45" s="873"/>
      <c r="G45" s="873"/>
      <c r="H45" s="876"/>
      <c r="I45" s="873"/>
      <c r="J45" s="876"/>
      <c r="K45" s="429"/>
    </row>
    <row r="46" spans="1:11" ht="14">
      <c r="A46" s="872">
        <v>10</v>
      </c>
      <c r="B46" s="878" t="s">
        <v>147</v>
      </c>
      <c r="C46" s="875"/>
      <c r="D46" s="877">
        <v>20</v>
      </c>
      <c r="E46" s="875" t="s">
        <v>1057</v>
      </c>
      <c r="F46" s="873"/>
      <c r="G46" s="873"/>
      <c r="H46" s="876"/>
      <c r="I46" s="873"/>
      <c r="J46" s="876"/>
      <c r="K46" s="429"/>
    </row>
    <row r="47" spans="1:11" ht="14">
      <c r="A47" s="872">
        <v>11</v>
      </c>
      <c r="B47" s="873" t="s">
        <v>134</v>
      </c>
      <c r="C47" s="875"/>
      <c r="D47" s="877">
        <v>21</v>
      </c>
      <c r="E47" s="879" t="s">
        <v>148</v>
      </c>
      <c r="F47" s="873"/>
      <c r="G47" s="873"/>
      <c r="H47" s="876"/>
      <c r="I47" s="873"/>
      <c r="J47" s="876"/>
      <c r="K47" s="429"/>
    </row>
    <row r="50" spans="1:1">
      <c r="A50" s="3" t="s">
        <v>256</v>
      </c>
    </row>
  </sheetData>
  <phoneticPr fontId="0" type="noConversion"/>
  <pageMargins left="0.38" right="0.34" top="0.39" bottom="0.4" header="0.19" footer="0.23"/>
  <pageSetup paperSize="9" scale="67" orientation="landscape" horizontalDpi="4294967292" verticalDpi="4294967292"/>
  <headerFooter alignWithMargins="0">
    <oddHeader>&amp;L&amp;"55 Helvetica Roman,Gras"Versicherte und Finanzen in der OKP</oddHead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B9AA-C45B-D445-9D34-A7221AAEC299}">
  <sheetPr>
    <pageSetUpPr fitToPage="1"/>
  </sheetPr>
  <dimension ref="A1:J66"/>
  <sheetViews>
    <sheetView topLeftCell="A54" zoomScale="75" workbookViewId="0">
      <selection activeCell="A70" sqref="A70"/>
    </sheetView>
  </sheetViews>
  <sheetFormatPr baseColWidth="10" defaultColWidth="11.3984375" defaultRowHeight="13"/>
  <cols>
    <col min="1" max="1" width="21.59765625" style="3" customWidth="1"/>
    <col min="2" max="6" width="14.3984375" style="3" customWidth="1"/>
    <col min="7" max="7" width="13.796875" style="3" customWidth="1"/>
    <col min="8" max="9" width="13.19921875" style="3" customWidth="1"/>
    <col min="10" max="10" width="13.796875" style="3" customWidth="1"/>
    <col min="11" max="16384" width="11.3984375" style="3"/>
  </cols>
  <sheetData>
    <row r="1" spans="1:10" s="1" customFormat="1" ht="14" customHeight="1"/>
    <row r="2" spans="1:10" s="1" customFormat="1" ht="39.75" customHeight="1">
      <c r="A2" s="1473" t="s">
        <v>208</v>
      </c>
      <c r="B2" s="1474"/>
      <c r="C2" s="1474"/>
      <c r="D2" s="1474"/>
      <c r="E2" s="1474"/>
      <c r="F2" s="895">
        <v>2003</v>
      </c>
    </row>
    <row r="3" spans="1:10" ht="24" customHeight="1">
      <c r="A3" s="2" t="s">
        <v>1847</v>
      </c>
      <c r="B3" s="69" t="s">
        <v>1848</v>
      </c>
      <c r="C3" s="16" t="s">
        <v>509</v>
      </c>
      <c r="D3" s="69" t="s">
        <v>510</v>
      </c>
      <c r="E3" s="16" t="s">
        <v>511</v>
      </c>
      <c r="F3" s="339" t="s">
        <v>22</v>
      </c>
    </row>
    <row r="4" spans="1:10" ht="15" customHeight="1">
      <c r="A4" s="77"/>
      <c r="B4" s="70" t="s">
        <v>1850</v>
      </c>
      <c r="C4" s="17" t="s">
        <v>512</v>
      </c>
      <c r="D4" s="70" t="s">
        <v>1851</v>
      </c>
      <c r="E4" s="61" t="s">
        <v>513</v>
      </c>
      <c r="F4" s="416"/>
    </row>
    <row r="5" spans="1:10" ht="15" customHeight="1">
      <c r="A5" s="77"/>
      <c r="B5" s="70" t="s">
        <v>1852</v>
      </c>
      <c r="C5" s="17" t="s">
        <v>514</v>
      </c>
      <c r="D5" s="70" t="s">
        <v>1405</v>
      </c>
      <c r="E5" s="61" t="s">
        <v>515</v>
      </c>
      <c r="F5" s="416"/>
    </row>
    <row r="6" spans="1:10" ht="24" customHeight="1">
      <c r="A6" s="78"/>
      <c r="B6" s="73"/>
      <c r="C6" s="18"/>
      <c r="D6" s="73"/>
      <c r="E6" s="62" t="s">
        <v>516</v>
      </c>
      <c r="F6" s="419"/>
    </row>
    <row r="7" spans="1:10" ht="20" customHeight="1" thickBot="1">
      <c r="A7" s="651">
        <v>1997</v>
      </c>
      <c r="B7" s="927">
        <v>4.5015594618225574E-2</v>
      </c>
      <c r="C7" s="24">
        <v>0.1407574971723522</v>
      </c>
      <c r="D7" s="927">
        <v>4.907593778591024E-2</v>
      </c>
      <c r="E7" s="24">
        <v>0.11495097396065668</v>
      </c>
      <c r="F7" s="928">
        <v>7.8756342716783667E-2</v>
      </c>
      <c r="H7" s="43"/>
      <c r="I7" s="43"/>
      <c r="J7" s="43"/>
    </row>
    <row r="8" spans="1:10" ht="20" customHeight="1" thickBot="1">
      <c r="A8" s="80">
        <v>1998</v>
      </c>
      <c r="B8" s="381">
        <v>3.9667326435934624E-2</v>
      </c>
      <c r="C8" s="25">
        <v>6.1040141986940633E-2</v>
      </c>
      <c r="D8" s="381">
        <v>1.0130468150422178E-2</v>
      </c>
      <c r="E8" s="25">
        <v>0.14747114984819842</v>
      </c>
      <c r="F8" s="449">
        <v>5.0518608176692181E-2</v>
      </c>
    </row>
    <row r="9" spans="1:10" ht="20" customHeight="1" thickBot="1">
      <c r="A9" s="80">
        <v>1999</v>
      </c>
      <c r="B9" s="381">
        <v>2.0389165815867027E-2</v>
      </c>
      <c r="C9" s="25">
        <v>2.5880895221869427E-2</v>
      </c>
      <c r="D9" s="381">
        <v>3.2207042311889644E-2</v>
      </c>
      <c r="E9" s="25">
        <v>4.4979387011424343E-2</v>
      </c>
      <c r="F9" s="449">
        <v>2.308920830481398E-2</v>
      </c>
    </row>
    <row r="10" spans="1:10" ht="20" customHeight="1" thickBot="1">
      <c r="A10" s="80">
        <v>2000</v>
      </c>
      <c r="B10" s="381">
        <v>3.4295635796474544E-2</v>
      </c>
      <c r="C10" s="25">
        <v>2.5283330313827346E-2</v>
      </c>
      <c r="D10" s="381">
        <v>2.6939676804175416E-2</v>
      </c>
      <c r="E10" s="25">
        <v>3.5421273700325662E-2</v>
      </c>
      <c r="F10" s="449">
        <v>3.1064626912269855E-2</v>
      </c>
    </row>
    <row r="11" spans="1:10" ht="20" customHeight="1" thickBot="1">
      <c r="A11" s="80">
        <v>2001</v>
      </c>
      <c r="B11" s="381">
        <v>4.5842532947897974E-2</v>
      </c>
      <c r="C11" s="25">
        <v>1.5363320440578754E-2</v>
      </c>
      <c r="D11" s="381">
        <v>3.6528073707736253E-2</v>
      </c>
      <c r="E11" s="25">
        <v>4.4768103121445746E-2</v>
      </c>
      <c r="F11" s="449">
        <v>3.3778522764139618E-2</v>
      </c>
    </row>
    <row r="12" spans="1:10" ht="20" customHeight="1" thickBot="1">
      <c r="A12" s="80">
        <v>2002</v>
      </c>
      <c r="B12" s="381">
        <v>8.5663917121901134E-2</v>
      </c>
      <c r="C12" s="25">
        <v>7.9076872504374895E-2</v>
      </c>
      <c r="D12" s="381">
        <v>0.13418658888462831</v>
      </c>
      <c r="E12" s="25">
        <v>0.17025613111977989</v>
      </c>
      <c r="F12" s="449">
        <v>9.131897043209003E-2</v>
      </c>
    </row>
    <row r="13" spans="1:10" ht="23.25" customHeight="1" thickBot="1">
      <c r="A13" s="81">
        <v>2003</v>
      </c>
      <c r="B13" s="449">
        <v>0.10753162400016048</v>
      </c>
      <c r="C13" s="83">
        <v>8.4199444494221121E-2</v>
      </c>
      <c r="D13" s="449">
        <v>9.2859557816908023E-2</v>
      </c>
      <c r="E13" s="83">
        <v>-2.8941166742465496E-3</v>
      </c>
      <c r="F13" s="449">
        <v>9.0401924791273292E-2</v>
      </c>
    </row>
    <row r="14" spans="1:10" ht="20" customHeight="1" thickBot="1">
      <c r="A14" s="929"/>
      <c r="B14" s="930"/>
      <c r="C14" s="930"/>
      <c r="D14" s="930"/>
      <c r="E14" s="930"/>
      <c r="F14" s="931"/>
    </row>
    <row r="15" spans="1:10" s="605" customFormat="1" ht="20" customHeight="1" thickBot="1">
      <c r="A15" s="932" t="s">
        <v>171</v>
      </c>
      <c r="B15" s="933" t="s">
        <v>1013</v>
      </c>
      <c r="C15" s="843" t="s">
        <v>1013</v>
      </c>
      <c r="D15" s="532" t="s">
        <v>1013</v>
      </c>
      <c r="E15" s="843" t="s">
        <v>1013</v>
      </c>
      <c r="F15" s="934">
        <v>7.3846973055131881E-2</v>
      </c>
    </row>
    <row r="16" spans="1:10" s="605" customFormat="1" ht="23.25" customHeight="1" thickBot="1">
      <c r="A16" s="797" t="s">
        <v>172</v>
      </c>
      <c r="B16" s="935" t="s">
        <v>1013</v>
      </c>
      <c r="C16" s="936" t="s">
        <v>1013</v>
      </c>
      <c r="D16" s="935" t="s">
        <v>1013</v>
      </c>
      <c r="E16" s="936" t="s">
        <v>1013</v>
      </c>
      <c r="F16" s="937">
        <v>2.752686127540227E-2</v>
      </c>
    </row>
    <row r="17" spans="1:9" ht="20" customHeight="1">
      <c r="A17" s="9" t="s">
        <v>1334</v>
      </c>
      <c r="B17" s="309"/>
      <c r="C17" s="309"/>
      <c r="D17" s="309"/>
      <c r="E17" s="309"/>
      <c r="F17" s="309"/>
    </row>
    <row r="18" spans="1:9" ht="13.5" customHeight="1">
      <c r="A18" s="37"/>
      <c r="B18" s="311"/>
      <c r="C18" s="311"/>
      <c r="D18" s="311"/>
      <c r="E18" s="311"/>
      <c r="F18" s="311"/>
    </row>
    <row r="19" spans="1:9">
      <c r="A19" s="3" t="s">
        <v>205</v>
      </c>
    </row>
    <row r="22" spans="1:9" ht="18">
      <c r="A22" s="177" t="s">
        <v>209</v>
      </c>
    </row>
    <row r="23" spans="1:9" ht="18.75" customHeight="1"/>
    <row r="24" spans="1:9" ht="14">
      <c r="A24" s="588" t="s">
        <v>71</v>
      </c>
      <c r="B24" s="69" t="s">
        <v>1848</v>
      </c>
      <c r="C24" s="16" t="s">
        <v>509</v>
      </c>
      <c r="D24" s="69"/>
      <c r="E24" s="16"/>
      <c r="F24" s="69"/>
      <c r="G24" s="16" t="s">
        <v>510</v>
      </c>
      <c r="H24" s="69" t="s">
        <v>511</v>
      </c>
      <c r="I24" s="16" t="s">
        <v>22</v>
      </c>
    </row>
    <row r="25" spans="1:9" ht="14">
      <c r="A25" s="925" t="s">
        <v>1713</v>
      </c>
      <c r="B25" s="70" t="s">
        <v>1850</v>
      </c>
      <c r="C25" s="17" t="s">
        <v>512</v>
      </c>
      <c r="D25" s="70"/>
      <c r="E25" s="61"/>
      <c r="F25" s="70"/>
      <c r="G25" s="17" t="s">
        <v>1851</v>
      </c>
      <c r="H25" s="14" t="s">
        <v>513</v>
      </c>
      <c r="I25" s="17"/>
    </row>
    <row r="26" spans="1:9" ht="14">
      <c r="A26" s="77"/>
      <c r="B26" s="70" t="s">
        <v>1852</v>
      </c>
      <c r="C26" s="17" t="s">
        <v>514</v>
      </c>
      <c r="D26" s="391"/>
      <c r="E26" s="579"/>
      <c r="F26" s="391"/>
      <c r="G26" s="17" t="s">
        <v>1405</v>
      </c>
      <c r="H26" s="14" t="s">
        <v>515</v>
      </c>
      <c r="I26" s="17"/>
    </row>
    <row r="27" spans="1:9" ht="18" customHeight="1">
      <c r="A27" s="405" t="s">
        <v>1591</v>
      </c>
      <c r="B27" s="73"/>
      <c r="C27" s="18"/>
      <c r="D27" s="391" t="s">
        <v>1714</v>
      </c>
      <c r="E27" s="392" t="s">
        <v>1715</v>
      </c>
      <c r="F27" s="391" t="s">
        <v>1716</v>
      </c>
      <c r="G27" s="18"/>
      <c r="H27" s="15" t="s">
        <v>516</v>
      </c>
      <c r="I27" s="18"/>
    </row>
    <row r="28" spans="1:9" ht="18" customHeight="1" thickBot="1">
      <c r="A28" s="651">
        <v>1998</v>
      </c>
      <c r="B28" s="927" t="s">
        <v>1013</v>
      </c>
      <c r="C28" s="24" t="s">
        <v>1013</v>
      </c>
      <c r="D28" s="927" t="s">
        <v>1013</v>
      </c>
      <c r="E28" s="24" t="s">
        <v>1013</v>
      </c>
      <c r="F28" s="927" t="s">
        <v>1013</v>
      </c>
      <c r="G28" s="24" t="s">
        <v>1013</v>
      </c>
      <c r="H28" s="927" t="s">
        <v>1013</v>
      </c>
      <c r="I28" s="24" t="s">
        <v>1013</v>
      </c>
    </row>
    <row r="29" spans="1:9" ht="18" customHeight="1" thickBot="1">
      <c r="A29" s="80">
        <v>1999</v>
      </c>
      <c r="B29" s="381">
        <v>2.813783851764895E-2</v>
      </c>
      <c r="C29" s="25">
        <v>1.3372559507907056E-4</v>
      </c>
      <c r="D29" s="381">
        <v>2.1300358994814639E-2</v>
      </c>
      <c r="E29" s="25">
        <v>-1.0430424328626287E-2</v>
      </c>
      <c r="F29" s="381">
        <v>6.5570904004208508E-4</v>
      </c>
      <c r="G29" s="25">
        <v>8.8992974238875977E-2</v>
      </c>
      <c r="H29" s="381">
        <v>5.0155750126283927E-2</v>
      </c>
      <c r="I29" s="25">
        <v>2.4491737011057113E-2</v>
      </c>
    </row>
    <row r="30" spans="1:9" ht="18" customHeight="1" thickBot="1">
      <c r="A30" s="80">
        <v>2000</v>
      </c>
      <c r="B30" s="381">
        <v>3.487025590005377E-2</v>
      </c>
      <c r="C30" s="25">
        <v>7.7550474662386737E-3</v>
      </c>
      <c r="D30" s="381">
        <v>1.8278394000937226E-2</v>
      </c>
      <c r="E30" s="25">
        <v>2.3613154922830226E-3</v>
      </c>
      <c r="F30" s="381">
        <v>3.839937093180712E-2</v>
      </c>
      <c r="G30" s="25">
        <v>5.0160347104319936E-2</v>
      </c>
      <c r="H30" s="381">
        <v>3.0063132578414864E-2</v>
      </c>
      <c r="I30" s="25">
        <v>3.073658382930744E-2</v>
      </c>
    </row>
    <row r="31" spans="1:9" ht="18" customHeight="1" thickBot="1">
      <c r="A31" s="80">
        <v>2001</v>
      </c>
      <c r="B31" s="381">
        <v>5.4609068414997353E-2</v>
      </c>
      <c r="C31" s="25">
        <v>1.2637654239087137E-2</v>
      </c>
      <c r="D31" s="381">
        <v>1.7121816508131493E-2</v>
      </c>
      <c r="E31" s="25">
        <v>5.3772618641176884E-3</v>
      </c>
      <c r="F31" s="381">
        <v>4.3268826251577686E-2</v>
      </c>
      <c r="G31" s="25">
        <v>4.1782679767913944E-2</v>
      </c>
      <c r="H31" s="381">
        <v>6.0453351493335861E-2</v>
      </c>
      <c r="I31" s="25">
        <v>4.9764367169028212E-2</v>
      </c>
    </row>
    <row r="32" spans="1:9" ht="18" customHeight="1" thickBot="1">
      <c r="A32" s="80">
        <v>2002</v>
      </c>
      <c r="B32" s="381">
        <v>9.5433080279753835E-2</v>
      </c>
      <c r="C32" s="25">
        <v>5.2212650266959315E-2</v>
      </c>
      <c r="D32" s="381">
        <v>7.0139978279232462E-2</v>
      </c>
      <c r="E32" s="25">
        <v>5.7560064521606114E-2</v>
      </c>
      <c r="F32" s="381">
        <v>3.9760469383228969E-2</v>
      </c>
      <c r="G32" s="25">
        <v>0.11064746960944905</v>
      </c>
      <c r="H32" s="381">
        <v>0.10051007302484316</v>
      </c>
      <c r="I32" s="25">
        <v>9.1378491427520858E-2</v>
      </c>
    </row>
    <row r="33" spans="1:10" ht="18" customHeight="1" thickBot="1">
      <c r="A33" s="926">
        <v>2003</v>
      </c>
      <c r="B33" s="938">
        <v>9.526343073858845E-2</v>
      </c>
      <c r="C33" s="939">
        <v>5.6532702425053705E-2</v>
      </c>
      <c r="D33" s="938">
        <v>7.0870803146054762E-2</v>
      </c>
      <c r="E33" s="939">
        <v>6.892510235209115E-2</v>
      </c>
      <c r="F33" s="938">
        <v>8.5826756384649761E-2</v>
      </c>
      <c r="G33" s="939">
        <v>6.3714835744892229E-2</v>
      </c>
      <c r="H33" s="938">
        <v>6.5605201733911267E-2</v>
      </c>
      <c r="I33" s="939">
        <v>8.8191938903005695E-2</v>
      </c>
    </row>
    <row r="34" spans="1:10">
      <c r="A34" s="9"/>
    </row>
    <row r="36" spans="1:10" ht="14">
      <c r="A36" s="588" t="s">
        <v>1506</v>
      </c>
      <c r="B36" s="69" t="s">
        <v>1848</v>
      </c>
      <c r="C36" s="16" t="s">
        <v>509</v>
      </c>
      <c r="D36" s="69"/>
      <c r="E36" s="16"/>
      <c r="F36" s="69"/>
      <c r="G36" s="16"/>
      <c r="H36" s="69" t="s">
        <v>510</v>
      </c>
      <c r="I36" s="16" t="s">
        <v>511</v>
      </c>
      <c r="J36" s="69" t="s">
        <v>22</v>
      </c>
    </row>
    <row r="37" spans="1:10" ht="14">
      <c r="A37" s="925" t="s">
        <v>1717</v>
      </c>
      <c r="B37" s="70" t="s">
        <v>1850</v>
      </c>
      <c r="C37" s="17" t="s">
        <v>512</v>
      </c>
      <c r="D37" s="70"/>
      <c r="E37" s="61"/>
      <c r="F37" s="70"/>
      <c r="G37" s="61"/>
      <c r="H37" s="70" t="s">
        <v>1851</v>
      </c>
      <c r="I37" s="61" t="s">
        <v>513</v>
      </c>
      <c r="J37" s="70"/>
    </row>
    <row r="38" spans="1:10" ht="14">
      <c r="A38" s="77"/>
      <c r="B38" s="70" t="s">
        <v>1852</v>
      </c>
      <c r="C38" s="392" t="s">
        <v>514</v>
      </c>
      <c r="D38" s="391"/>
      <c r="E38" s="579"/>
      <c r="F38" s="391"/>
      <c r="G38" s="579"/>
      <c r="H38" s="70" t="s">
        <v>1405</v>
      </c>
      <c r="I38" s="61" t="s">
        <v>515</v>
      </c>
      <c r="J38" s="70"/>
    </row>
    <row r="39" spans="1:10" ht="19.5" customHeight="1">
      <c r="A39" s="78" t="s">
        <v>1591</v>
      </c>
      <c r="B39" s="73"/>
      <c r="C39" s="18"/>
      <c r="D39" s="391" t="s">
        <v>1718</v>
      </c>
      <c r="E39" s="392" t="s">
        <v>1719</v>
      </c>
      <c r="F39" s="391" t="s">
        <v>1720</v>
      </c>
      <c r="G39" s="392" t="s">
        <v>1721</v>
      </c>
      <c r="H39" s="73"/>
      <c r="I39" s="62" t="s">
        <v>516</v>
      </c>
      <c r="J39" s="73"/>
    </row>
    <row r="40" spans="1:10" ht="19.5" customHeight="1" thickBot="1">
      <c r="A40" s="651">
        <v>1998</v>
      </c>
      <c r="B40" s="927" t="s">
        <v>1013</v>
      </c>
      <c r="C40" s="24" t="s">
        <v>1013</v>
      </c>
      <c r="D40" s="927" t="s">
        <v>1013</v>
      </c>
      <c r="E40" s="24" t="s">
        <v>1013</v>
      </c>
      <c r="F40" s="927" t="s">
        <v>1013</v>
      </c>
      <c r="G40" s="24" t="s">
        <v>1013</v>
      </c>
      <c r="H40" s="927" t="s">
        <v>1013</v>
      </c>
      <c r="I40" s="24" t="s">
        <v>1013</v>
      </c>
      <c r="J40" s="927" t="s">
        <v>1013</v>
      </c>
    </row>
    <row r="41" spans="1:10" ht="19.5" customHeight="1" thickBot="1">
      <c r="A41" s="80">
        <v>1999</v>
      </c>
      <c r="B41" s="381">
        <v>-1.8626839610875412E-2</v>
      </c>
      <c r="C41" s="25">
        <v>4.9376108334676649E-2</v>
      </c>
      <c r="D41" s="381">
        <v>8.2961170671437268E-2</v>
      </c>
      <c r="E41" s="25">
        <v>1.8816276495721374E-2</v>
      </c>
      <c r="F41" s="381">
        <v>-0.18057243229586495</v>
      </c>
      <c r="G41" s="25">
        <v>-1.8378223156898965E-2</v>
      </c>
      <c r="H41" s="381">
        <v>5.4900744416873204E-2</v>
      </c>
      <c r="I41" s="25">
        <v>5.0864699898269805E-3</v>
      </c>
      <c r="J41" s="381">
        <v>1.1106493174334098E-2</v>
      </c>
    </row>
    <row r="42" spans="1:10" ht="19.5" customHeight="1" thickBot="1">
      <c r="A42" s="80">
        <v>2000</v>
      </c>
      <c r="B42" s="381">
        <v>-6.9897631741150379E-3</v>
      </c>
      <c r="C42" s="25">
        <v>-8.5600865226260758E-3</v>
      </c>
      <c r="D42" s="381">
        <v>7.5405549943547978E-3</v>
      </c>
      <c r="E42" s="25">
        <v>-1.2937479557029952E-2</v>
      </c>
      <c r="F42" s="381">
        <v>-2.9687270591689963E-2</v>
      </c>
      <c r="G42" s="25">
        <v>-2.0658206065820583E-2</v>
      </c>
      <c r="H42" s="381">
        <v>4.4272692905447109E-3</v>
      </c>
      <c r="I42" s="25">
        <v>-1.1635982150772772E-2</v>
      </c>
      <c r="J42" s="381">
        <v>-9.0873447499556503E-3</v>
      </c>
    </row>
    <row r="43" spans="1:10" ht="19.5" customHeight="1" thickBot="1">
      <c r="A43" s="80">
        <v>2001</v>
      </c>
      <c r="B43" s="381">
        <v>4.5842851932195394E-2</v>
      </c>
      <c r="C43" s="25">
        <v>-3.1164194646055909E-2</v>
      </c>
      <c r="D43" s="381">
        <v>-1.0922451771949615E-2</v>
      </c>
      <c r="E43" s="25">
        <v>-3.9682117010763851E-2</v>
      </c>
      <c r="F43" s="381">
        <v>-1.4420167049993937E-2</v>
      </c>
      <c r="G43" s="25">
        <v>-2.4370958673039067E-2</v>
      </c>
      <c r="H43" s="381">
        <v>-8.8406015289138495E-2</v>
      </c>
      <c r="I43" s="25">
        <v>-6.562964845531094E-3</v>
      </c>
      <c r="J43" s="381">
        <v>8.8324451960815065E-3</v>
      </c>
    </row>
    <row r="44" spans="1:10" ht="19.5" customHeight="1" thickBot="1">
      <c r="A44" s="80">
        <v>2002</v>
      </c>
      <c r="B44" s="381">
        <v>0.14898707147096446</v>
      </c>
      <c r="C44" s="25">
        <v>0.10716456295462251</v>
      </c>
      <c r="D44" s="381">
        <v>0.13472902144812093</v>
      </c>
      <c r="E44" s="25">
        <v>0.11309593497938852</v>
      </c>
      <c r="F44" s="381">
        <v>0.117409994626545</v>
      </c>
      <c r="G44" s="25">
        <v>0.12757316524088247</v>
      </c>
      <c r="H44" s="381">
        <v>7.1840135055782905E-3</v>
      </c>
      <c r="I44" s="25">
        <v>0.13856722572101465</v>
      </c>
      <c r="J44" s="381">
        <v>0.12763871228942492</v>
      </c>
    </row>
    <row r="45" spans="1:10" ht="19.5" customHeight="1" thickBot="1">
      <c r="A45" s="926">
        <v>2003</v>
      </c>
      <c r="B45" s="938">
        <v>0.16664625346802509</v>
      </c>
      <c r="C45" s="939">
        <v>0.1140978377691233</v>
      </c>
      <c r="D45" s="938">
        <v>0.15763365597839218</v>
      </c>
      <c r="E45" s="939">
        <v>0.14238185129621739</v>
      </c>
      <c r="F45" s="938">
        <v>0.14590045684058661</v>
      </c>
      <c r="G45" s="939">
        <v>0.15779007642732212</v>
      </c>
      <c r="H45" s="938" t="s">
        <v>1013</v>
      </c>
      <c r="I45" s="939">
        <v>0.12359320376158967</v>
      </c>
      <c r="J45" s="938">
        <v>0.13713423391077995</v>
      </c>
    </row>
    <row r="46" spans="1:10">
      <c r="H46" s="38"/>
      <c r="I46" s="38"/>
      <c r="J46" s="38"/>
    </row>
    <row r="47" spans="1:10">
      <c r="H47" s="38"/>
      <c r="I47" s="38"/>
      <c r="J47" s="38"/>
    </row>
    <row r="48" spans="1:10" ht="14">
      <c r="A48" s="588" t="s">
        <v>1722</v>
      </c>
      <c r="B48" s="69" t="s">
        <v>1848</v>
      </c>
      <c r="C48" s="16" t="s">
        <v>509</v>
      </c>
      <c r="D48" s="69"/>
      <c r="E48" s="16"/>
      <c r="F48" s="69"/>
      <c r="G48" s="16"/>
      <c r="H48" s="69" t="s">
        <v>510</v>
      </c>
      <c r="I48" s="16" t="s">
        <v>511</v>
      </c>
      <c r="J48" s="69" t="s">
        <v>22</v>
      </c>
    </row>
    <row r="49" spans="1:10" ht="14">
      <c r="A49" s="925" t="s">
        <v>1723</v>
      </c>
      <c r="B49" s="70" t="s">
        <v>1850</v>
      </c>
      <c r="C49" s="17" t="s">
        <v>512</v>
      </c>
      <c r="D49" s="70"/>
      <c r="E49" s="61"/>
      <c r="F49" s="70"/>
      <c r="G49" s="61"/>
      <c r="H49" s="70" t="s">
        <v>1851</v>
      </c>
      <c r="I49" s="61" t="s">
        <v>513</v>
      </c>
      <c r="J49" s="70"/>
    </row>
    <row r="50" spans="1:10" ht="14">
      <c r="A50" s="77"/>
      <c r="B50" s="70" t="s">
        <v>1852</v>
      </c>
      <c r="C50" s="392" t="s">
        <v>514</v>
      </c>
      <c r="D50" s="391"/>
      <c r="E50" s="579"/>
      <c r="F50" s="391"/>
      <c r="G50" s="579"/>
      <c r="H50" s="70" t="s">
        <v>1405</v>
      </c>
      <c r="I50" s="61" t="s">
        <v>515</v>
      </c>
      <c r="J50" s="70"/>
    </row>
    <row r="51" spans="1:10" ht="15.75" customHeight="1">
      <c r="A51" s="78" t="s">
        <v>1591</v>
      </c>
      <c r="B51" s="73"/>
      <c r="C51" s="18"/>
      <c r="D51" s="391" t="s">
        <v>1718</v>
      </c>
      <c r="E51" s="392" t="s">
        <v>1719</v>
      </c>
      <c r="F51" s="391" t="s">
        <v>1720</v>
      </c>
      <c r="G51" s="392" t="s">
        <v>1721</v>
      </c>
      <c r="H51" s="73"/>
      <c r="I51" s="62" t="s">
        <v>516</v>
      </c>
      <c r="J51" s="73"/>
    </row>
    <row r="52" spans="1:10" ht="18.75" customHeight="1" thickBot="1">
      <c r="A52" s="651">
        <v>1998</v>
      </c>
      <c r="B52" s="927" t="s">
        <v>1013</v>
      </c>
      <c r="C52" s="24" t="s">
        <v>1013</v>
      </c>
      <c r="D52" s="927" t="s">
        <v>1013</v>
      </c>
      <c r="E52" s="24" t="s">
        <v>1013</v>
      </c>
      <c r="F52" s="927" t="s">
        <v>1013</v>
      </c>
      <c r="G52" s="24" t="s">
        <v>1013</v>
      </c>
      <c r="H52" s="927" t="s">
        <v>1013</v>
      </c>
      <c r="I52" s="24" t="s">
        <v>1013</v>
      </c>
      <c r="J52" s="927" t="s">
        <v>1013</v>
      </c>
    </row>
    <row r="53" spans="1:10" ht="18.75" customHeight="1" thickBot="1">
      <c r="A53" s="80">
        <v>1999</v>
      </c>
      <c r="B53" s="381">
        <v>2.5192004043602889E-2</v>
      </c>
      <c r="C53" s="25">
        <v>2.1418168318245501E-2</v>
      </c>
      <c r="D53" s="381">
        <v>3.441576210891184E-2</v>
      </c>
      <c r="E53" s="25">
        <v>1.9533240162099341E-2</v>
      </c>
      <c r="F53" s="381">
        <v>-2.2683126861483993E-2</v>
      </c>
      <c r="G53" s="25">
        <v>1.7317547269835698E-2</v>
      </c>
      <c r="H53" s="381">
        <v>2.129095913174428E-2</v>
      </c>
      <c r="I53" s="25">
        <v>2.8519111668589225E-2</v>
      </c>
      <c r="J53" s="381">
        <v>2.2325637842026014E-2</v>
      </c>
    </row>
    <row r="54" spans="1:10" ht="18.75" customHeight="1" thickBot="1">
      <c r="A54" s="80">
        <v>2000</v>
      </c>
      <c r="B54" s="381">
        <v>4.3347367961779515E-2</v>
      </c>
      <c r="C54" s="25">
        <v>2.0237462838184062E-2</v>
      </c>
      <c r="D54" s="381">
        <v>3.4090808885126611E-2</v>
      </c>
      <c r="E54" s="25">
        <v>2.9107563657036151E-2</v>
      </c>
      <c r="F54" s="381">
        <v>2.6610427754344856E-2</v>
      </c>
      <c r="G54" s="25">
        <v>2.4916526740393241E-2</v>
      </c>
      <c r="H54" s="381">
        <v>1.9359841358621122E-2</v>
      </c>
      <c r="I54" s="25">
        <v>3.0085749285422514E-2</v>
      </c>
      <c r="J54" s="381">
        <v>3.0344122253117334E-2</v>
      </c>
    </row>
    <row r="55" spans="1:10" ht="18.75" customHeight="1" thickBot="1">
      <c r="A55" s="80">
        <v>2001</v>
      </c>
      <c r="B55" s="381">
        <v>5.6366829757872328E-2</v>
      </c>
      <c r="C55" s="25">
        <v>3.112653862842274E-2</v>
      </c>
      <c r="D55" s="381">
        <v>5.2298561427146062E-2</v>
      </c>
      <c r="E55" s="25">
        <v>4.5449078054626169E-2</v>
      </c>
      <c r="F55" s="381">
        <v>4.7221863706762957E-2</v>
      </c>
      <c r="G55" s="25">
        <v>2.8189966857487203E-2</v>
      </c>
      <c r="H55" s="381">
        <v>4.3047224750907276E-2</v>
      </c>
      <c r="I55" s="25">
        <v>4.1733394643791444E-2</v>
      </c>
      <c r="J55" s="381">
        <v>4.2491813158326064E-2</v>
      </c>
    </row>
    <row r="56" spans="1:10" ht="18.75" customHeight="1" thickBot="1">
      <c r="A56" s="80">
        <v>2002</v>
      </c>
      <c r="B56" s="381">
        <v>9.5059954316750295E-2</v>
      </c>
      <c r="C56" s="25">
        <v>7.9699681077250339E-2</v>
      </c>
      <c r="D56" s="381">
        <v>0.10467415438971828</v>
      </c>
      <c r="E56" s="25">
        <v>9.590366169094855E-2</v>
      </c>
      <c r="F56" s="381">
        <v>9.5022415307112862E-2</v>
      </c>
      <c r="G56" s="25">
        <v>9.2947015622424578E-2</v>
      </c>
      <c r="H56" s="381">
        <v>0.1242303599823058</v>
      </c>
      <c r="I56" s="25">
        <v>8.6297609806339048E-2</v>
      </c>
      <c r="J56" s="381">
        <v>8.5617370013942207E-2</v>
      </c>
    </row>
    <row r="57" spans="1:10" ht="18.75" customHeight="1" thickBot="1">
      <c r="A57" s="926">
        <v>2003</v>
      </c>
      <c r="B57" s="938">
        <v>0.1015320545726659</v>
      </c>
      <c r="C57" s="939">
        <v>7.2216547078394866E-2</v>
      </c>
      <c r="D57" s="938">
        <v>9.5434238807502902E-2</v>
      </c>
      <c r="E57" s="939">
        <v>9.5684328813783415E-2</v>
      </c>
      <c r="F57" s="938">
        <v>9.7145429733113797E-2</v>
      </c>
      <c r="G57" s="939">
        <v>0.1044305918627253</v>
      </c>
      <c r="H57" s="938">
        <v>8.1911861667056662E-2</v>
      </c>
      <c r="I57" s="939">
        <v>7.9899675861489161E-2</v>
      </c>
      <c r="J57" s="938">
        <v>8.3630255522752828E-2</v>
      </c>
    </row>
    <row r="58" spans="1:10" ht="16.5" customHeight="1">
      <c r="A58" s="183" t="s">
        <v>1859</v>
      </c>
    </row>
    <row r="60" spans="1:10">
      <c r="A60" s="3" t="s">
        <v>206</v>
      </c>
    </row>
    <row r="62" spans="1:10" ht="13.5" customHeight="1">
      <c r="A62" s="37" t="s">
        <v>207</v>
      </c>
      <c r="B62" s="311"/>
      <c r="C62" s="311"/>
      <c r="D62" s="311"/>
      <c r="E62" s="311"/>
      <c r="F62" s="311"/>
    </row>
    <row r="63" spans="1:10" ht="13.5" customHeight="1">
      <c r="A63" s="37" t="s">
        <v>168</v>
      </c>
      <c r="B63" s="311"/>
      <c r="C63" s="311"/>
      <c r="D63" s="311"/>
      <c r="E63" s="311"/>
      <c r="F63" s="311"/>
    </row>
    <row r="66" spans="1:1">
      <c r="A66" s="3" t="s">
        <v>256</v>
      </c>
    </row>
  </sheetData>
  <mergeCells count="1">
    <mergeCell ref="A2:E2"/>
  </mergeCells>
  <phoneticPr fontId="0" type="noConversion"/>
  <pageMargins left="0.53" right="0.56999999999999995" top="0.7" bottom="0.49" header="0.38" footer="0.4921259845"/>
  <pageSetup paperSize="9" scale="63" orientation="portrait" horizontalDpi="1200" verticalDpi="1200"/>
  <headerFooter alignWithMargins="0">
    <oddHeader>&amp;L&amp;"Arial,Bold"Versicherte und Finanzen in der OKP</oddHead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5F4ED-9E97-CA4F-97BE-D44CC87B8542}">
  <sheetPr>
    <pageSetUpPr fitToPage="1"/>
  </sheetPr>
  <dimension ref="A1:J66"/>
  <sheetViews>
    <sheetView topLeftCell="A54" zoomScale="75" workbookViewId="0">
      <selection activeCell="A66" sqref="A1:L66"/>
    </sheetView>
  </sheetViews>
  <sheetFormatPr baseColWidth="10" defaultColWidth="11.3984375" defaultRowHeight="13"/>
  <cols>
    <col min="1" max="1" width="21.59765625" style="3" customWidth="1"/>
    <col min="2" max="6" width="14.3984375" style="3" customWidth="1"/>
    <col min="7" max="7" width="13.796875" style="3" customWidth="1"/>
    <col min="8" max="9" width="13.19921875" style="3" customWidth="1"/>
    <col min="10" max="10" width="13.796875" style="3" customWidth="1"/>
    <col min="11" max="16384" width="11.3984375" style="3"/>
  </cols>
  <sheetData>
    <row r="1" spans="1:10" s="1" customFormat="1" ht="14" customHeight="1"/>
    <row r="2" spans="1:10" s="1" customFormat="1" ht="39.75" customHeight="1">
      <c r="A2" s="1473" t="s">
        <v>210</v>
      </c>
      <c r="B2" s="1474"/>
      <c r="C2" s="1474"/>
      <c r="D2" s="1474"/>
      <c r="E2" s="1474"/>
      <c r="F2" s="895">
        <v>2003</v>
      </c>
    </row>
    <row r="3" spans="1:10" ht="24" customHeight="1">
      <c r="A3" s="2" t="s">
        <v>1847</v>
      </c>
      <c r="B3" s="69" t="s">
        <v>1848</v>
      </c>
      <c r="C3" s="16" t="s">
        <v>509</v>
      </c>
      <c r="D3" s="69" t="s">
        <v>510</v>
      </c>
      <c r="E3" s="16" t="s">
        <v>511</v>
      </c>
      <c r="F3" s="339" t="s">
        <v>22</v>
      </c>
    </row>
    <row r="4" spans="1:10" ht="15" customHeight="1">
      <c r="A4" s="77"/>
      <c r="B4" s="70" t="s">
        <v>1850</v>
      </c>
      <c r="C4" s="17" t="s">
        <v>512</v>
      </c>
      <c r="D4" s="70" t="s">
        <v>1851</v>
      </c>
      <c r="E4" s="61" t="s">
        <v>513</v>
      </c>
      <c r="F4" s="416"/>
    </row>
    <row r="5" spans="1:10" ht="15" customHeight="1">
      <c r="A5" s="77"/>
      <c r="B5" s="70" t="s">
        <v>1852</v>
      </c>
      <c r="C5" s="17" t="s">
        <v>514</v>
      </c>
      <c r="D5" s="70" t="s">
        <v>1405</v>
      </c>
      <c r="E5" s="61" t="s">
        <v>515</v>
      </c>
      <c r="F5" s="416"/>
    </row>
    <row r="6" spans="1:10" ht="24" customHeight="1">
      <c r="A6" s="78"/>
      <c r="B6" s="73"/>
      <c r="C6" s="18"/>
      <c r="D6" s="73"/>
      <c r="E6" s="62" t="s">
        <v>516</v>
      </c>
      <c r="F6" s="419"/>
    </row>
    <row r="7" spans="1:10" ht="20" customHeight="1" thickBot="1">
      <c r="A7" s="651">
        <v>1997</v>
      </c>
      <c r="B7" s="927">
        <v>-6.2470665243880785E-2</v>
      </c>
      <c r="C7" s="24">
        <v>0.23563182081505829</v>
      </c>
      <c r="D7" s="927">
        <v>-5.7111913415452076E-2</v>
      </c>
      <c r="E7" s="24">
        <v>2.0235393760331015</v>
      </c>
      <c r="F7" s="928">
        <v>5.629106090086311E-2</v>
      </c>
      <c r="H7" s="43"/>
      <c r="I7" s="43"/>
      <c r="J7" s="43"/>
    </row>
    <row r="8" spans="1:10" ht="20" customHeight="1" thickBot="1">
      <c r="A8" s="80">
        <v>1998</v>
      </c>
      <c r="B8" s="381">
        <v>0.17161691197767981</v>
      </c>
      <c r="C8" s="25">
        <v>0.15823546501550978</v>
      </c>
      <c r="D8" s="381">
        <v>-0.26188313056035251</v>
      </c>
      <c r="E8" s="25">
        <v>0.70470117977687186</v>
      </c>
      <c r="F8" s="449">
        <v>0.1740753192251161</v>
      </c>
    </row>
    <row r="9" spans="1:10" ht="20" customHeight="1" thickBot="1">
      <c r="A9" s="80">
        <v>1999</v>
      </c>
      <c r="B9" s="381">
        <v>1.8897066482099767E-3</v>
      </c>
      <c r="C9" s="25">
        <v>7.9488459602574002E-2</v>
      </c>
      <c r="D9" s="381">
        <v>-0.29401545629744275</v>
      </c>
      <c r="E9" s="25">
        <v>0.11057120220330274</v>
      </c>
      <c r="F9" s="449">
        <v>4.1598432610236324E-2</v>
      </c>
    </row>
    <row r="10" spans="1:10" ht="20" customHeight="1" thickBot="1">
      <c r="A10" s="80">
        <v>2000</v>
      </c>
      <c r="B10" s="381">
        <v>6.3033733489282318E-2</v>
      </c>
      <c r="C10" s="25">
        <v>1.7220798997449771E-2</v>
      </c>
      <c r="D10" s="381">
        <v>0.65076413304714165</v>
      </c>
      <c r="E10" s="25">
        <v>8.681673697130754E-2</v>
      </c>
      <c r="F10" s="449">
        <v>4.4583886098717995E-2</v>
      </c>
    </row>
    <row r="11" spans="1:10" ht="20" customHeight="1" thickBot="1">
      <c r="A11" s="80">
        <v>2001</v>
      </c>
      <c r="B11" s="381">
        <v>3.8069180018684534E-2</v>
      </c>
      <c r="C11" s="25">
        <v>3.3862208301077557E-2</v>
      </c>
      <c r="D11" s="381">
        <v>6.4521331305202878E-2</v>
      </c>
      <c r="E11" s="25">
        <v>7.5098184212788022E-2</v>
      </c>
      <c r="F11" s="449">
        <v>4.1412421039593639E-2</v>
      </c>
    </row>
    <row r="12" spans="1:10" ht="20" customHeight="1" thickBot="1">
      <c r="A12" s="80">
        <v>2002</v>
      </c>
      <c r="B12" s="381">
        <v>2.416722660348869E-2</v>
      </c>
      <c r="C12" s="25">
        <v>2.1049599528934593E-2</v>
      </c>
      <c r="D12" s="381">
        <v>5.0768772014247565E-2</v>
      </c>
      <c r="E12" s="25">
        <v>0.14202176697406843</v>
      </c>
      <c r="F12" s="449">
        <v>3.7368288088659662E-2</v>
      </c>
    </row>
    <row r="13" spans="1:10" ht="23.25" customHeight="1" thickBot="1">
      <c r="A13" s="81">
        <v>2003</v>
      </c>
      <c r="B13" s="449">
        <v>2.823959771006801E-2</v>
      </c>
      <c r="C13" s="83">
        <v>3.4413831454841004E-2</v>
      </c>
      <c r="D13" s="449">
        <v>2.8863292845559885E-2</v>
      </c>
      <c r="E13" s="83">
        <v>-8.6495533473071484E-2</v>
      </c>
      <c r="F13" s="449">
        <v>2.9497481187025221E-2</v>
      </c>
    </row>
    <row r="14" spans="1:10" ht="20" customHeight="1" thickBot="1">
      <c r="A14" s="929"/>
      <c r="B14" s="930"/>
      <c r="C14" s="930"/>
      <c r="D14" s="930"/>
      <c r="E14" s="930"/>
      <c r="F14" s="931"/>
    </row>
    <row r="15" spans="1:10" s="605" customFormat="1" ht="20" customHeight="1" thickBot="1">
      <c r="A15" s="932" t="s">
        <v>171</v>
      </c>
      <c r="B15" s="933" t="s">
        <v>1013</v>
      </c>
      <c r="C15" s="843" t="s">
        <v>1013</v>
      </c>
      <c r="D15" s="532" t="s">
        <v>1013</v>
      </c>
      <c r="E15" s="843" t="s">
        <v>1013</v>
      </c>
      <c r="F15" s="934">
        <v>0.12444150535810006</v>
      </c>
    </row>
    <row r="16" spans="1:10" s="605" customFormat="1" ht="23.25" customHeight="1" thickBot="1">
      <c r="A16" s="797" t="s">
        <v>172</v>
      </c>
      <c r="B16" s="935" t="s">
        <v>1013</v>
      </c>
      <c r="C16" s="936" t="s">
        <v>1013</v>
      </c>
      <c r="D16" s="935" t="s">
        <v>1013</v>
      </c>
      <c r="E16" s="936" t="s">
        <v>1013</v>
      </c>
      <c r="F16" s="937">
        <v>8.2804658451616886E-2</v>
      </c>
    </row>
    <row r="17" spans="1:9" ht="20" customHeight="1">
      <c r="A17" s="9" t="s">
        <v>1334</v>
      </c>
      <c r="B17" s="309"/>
      <c r="C17" s="309"/>
      <c r="D17" s="309"/>
      <c r="E17" s="309"/>
      <c r="F17" s="309"/>
    </row>
    <row r="18" spans="1:9" ht="13.5" customHeight="1">
      <c r="A18" s="37"/>
      <c r="B18" s="311"/>
      <c r="C18" s="311"/>
      <c r="D18" s="311"/>
      <c r="E18" s="311"/>
      <c r="F18" s="311"/>
    </row>
    <row r="19" spans="1:9">
      <c r="A19" s="3" t="s">
        <v>211</v>
      </c>
    </row>
    <row r="22" spans="1:9" ht="18">
      <c r="A22" s="177" t="s">
        <v>209</v>
      </c>
    </row>
    <row r="23" spans="1:9" ht="18.75" customHeight="1"/>
    <row r="24" spans="1:9" ht="14">
      <c r="A24" s="588" t="s">
        <v>71</v>
      </c>
      <c r="B24" s="69" t="s">
        <v>1848</v>
      </c>
      <c r="C24" s="16" t="s">
        <v>509</v>
      </c>
      <c r="D24" s="69"/>
      <c r="E24" s="16"/>
      <c r="F24" s="69"/>
      <c r="G24" s="16" t="s">
        <v>510</v>
      </c>
      <c r="H24" s="69" t="s">
        <v>511</v>
      </c>
      <c r="I24" s="16" t="s">
        <v>22</v>
      </c>
    </row>
    <row r="25" spans="1:9" ht="14">
      <c r="A25" s="925" t="s">
        <v>1713</v>
      </c>
      <c r="B25" s="70" t="s">
        <v>1850</v>
      </c>
      <c r="C25" s="17" t="s">
        <v>512</v>
      </c>
      <c r="D25" s="70"/>
      <c r="E25" s="61"/>
      <c r="F25" s="70"/>
      <c r="G25" s="17" t="s">
        <v>1851</v>
      </c>
      <c r="H25" s="14" t="s">
        <v>513</v>
      </c>
      <c r="I25" s="17"/>
    </row>
    <row r="26" spans="1:9" ht="14">
      <c r="A26" s="77"/>
      <c r="B26" s="70" t="s">
        <v>1852</v>
      </c>
      <c r="C26" s="17" t="s">
        <v>514</v>
      </c>
      <c r="D26" s="391"/>
      <c r="E26" s="579"/>
      <c r="F26" s="391"/>
      <c r="G26" s="17" t="s">
        <v>1405</v>
      </c>
      <c r="H26" s="14" t="s">
        <v>515</v>
      </c>
      <c r="I26" s="17"/>
    </row>
    <row r="27" spans="1:9" ht="18" customHeight="1">
      <c r="A27" s="405" t="s">
        <v>1591</v>
      </c>
      <c r="B27" s="73"/>
      <c r="C27" s="18"/>
      <c r="D27" s="391" t="s">
        <v>1714</v>
      </c>
      <c r="E27" s="392" t="s">
        <v>1715</v>
      </c>
      <c r="F27" s="391" t="s">
        <v>1716</v>
      </c>
      <c r="G27" s="18"/>
      <c r="H27" s="15" t="s">
        <v>516</v>
      </c>
      <c r="I27" s="18"/>
    </row>
    <row r="28" spans="1:9" ht="18" customHeight="1" thickBot="1">
      <c r="A28" s="651">
        <v>1998</v>
      </c>
      <c r="B28" s="927" t="s">
        <v>1013</v>
      </c>
      <c r="C28" s="24" t="s">
        <v>1013</v>
      </c>
      <c r="D28" s="927" t="s">
        <v>1013</v>
      </c>
      <c r="E28" s="24" t="s">
        <v>1013</v>
      </c>
      <c r="F28" s="927" t="s">
        <v>1013</v>
      </c>
      <c r="G28" s="24" t="s">
        <v>1013</v>
      </c>
      <c r="H28" s="927" t="s">
        <v>1013</v>
      </c>
      <c r="I28" s="24" t="s">
        <v>1013</v>
      </c>
    </row>
    <row r="29" spans="1:9" ht="18" customHeight="1" thickBot="1">
      <c r="A29" s="80">
        <v>1999</v>
      </c>
      <c r="B29" s="381">
        <v>1.5294974508375692E-2</v>
      </c>
      <c r="C29" s="25">
        <v>2.2823746539526235E-2</v>
      </c>
      <c r="D29" s="381">
        <v>9.062644704637135E-3</v>
      </c>
      <c r="E29" s="25">
        <v>-1.7204405887513374E-2</v>
      </c>
      <c r="F29" s="381">
        <v>9.3626087471148756E-2</v>
      </c>
      <c r="G29" s="25">
        <v>0.18449030644152598</v>
      </c>
      <c r="H29" s="381">
        <v>5.4791431792559075E-2</v>
      </c>
      <c r="I29" s="25">
        <v>1.1365313653136422E-2</v>
      </c>
    </row>
    <row r="30" spans="1:9" ht="18" customHeight="1" thickBot="1">
      <c r="A30" s="80">
        <v>2000</v>
      </c>
      <c r="B30" s="381">
        <v>4.5373027259684395E-2</v>
      </c>
      <c r="C30" s="25">
        <v>7.0612293997353692E-2</v>
      </c>
      <c r="D30" s="381">
        <v>3.8285039989510938E-2</v>
      </c>
      <c r="E30" s="25">
        <v>1.8398214728490014E-2</v>
      </c>
      <c r="F30" s="381">
        <v>0.16056063639807361</v>
      </c>
      <c r="G30" s="25">
        <v>-0.13621964097148898</v>
      </c>
      <c r="H30" s="381">
        <v>5.87858058999573E-2</v>
      </c>
      <c r="I30" s="25">
        <v>5.0058377116170671E-2</v>
      </c>
    </row>
    <row r="31" spans="1:9" ht="18" customHeight="1" thickBot="1">
      <c r="A31" s="80">
        <v>2001</v>
      </c>
      <c r="B31" s="381">
        <v>6.3990392863269907E-2</v>
      </c>
      <c r="C31" s="25">
        <v>2.1348314606741692E-2</v>
      </c>
      <c r="D31" s="381">
        <v>8.0818285137012058E-3</v>
      </c>
      <c r="E31" s="25">
        <v>3.3404752629528467E-2</v>
      </c>
      <c r="F31" s="381">
        <v>1.8371724330877637E-2</v>
      </c>
      <c r="G31" s="25">
        <v>0.24602689486552576</v>
      </c>
      <c r="H31" s="381">
        <v>5.6329497274379081E-2</v>
      </c>
      <c r="I31" s="25">
        <v>4.4475330090340659E-2</v>
      </c>
    </row>
    <row r="32" spans="1:9" ht="18" customHeight="1" thickBot="1">
      <c r="A32" s="80">
        <v>2002</v>
      </c>
      <c r="B32" s="381">
        <v>6.4495324089002271E-3</v>
      </c>
      <c r="C32" s="25">
        <v>-2.7502750275032462E-4</v>
      </c>
      <c r="D32" s="381">
        <v>1.0459726919704426E-2</v>
      </c>
      <c r="E32" s="25">
        <v>4.5707284893035105E-3</v>
      </c>
      <c r="F32" s="381">
        <v>-4.5558608058608119E-2</v>
      </c>
      <c r="G32" s="25">
        <v>1.447142506745136E-2</v>
      </c>
      <c r="H32" s="381">
        <v>6.3646788990825653E-2</v>
      </c>
      <c r="I32" s="25">
        <v>1.3306719893524388E-4</v>
      </c>
    </row>
    <row r="33" spans="1:10" ht="18" customHeight="1" thickBot="1">
      <c r="A33" s="926">
        <v>2003</v>
      </c>
      <c r="B33" s="938">
        <v>3.3482858058314635E-2</v>
      </c>
      <c r="C33" s="939">
        <v>2.9711141678128161E-3</v>
      </c>
      <c r="D33" s="938">
        <v>9.5456517696645982E-3</v>
      </c>
      <c r="E33" s="939">
        <v>-3.0301608893475329E-2</v>
      </c>
      <c r="F33" s="938">
        <v>-2.4226433197409358E-2</v>
      </c>
      <c r="G33" s="939">
        <v>-1.9342359767891004E-3</v>
      </c>
      <c r="H33" s="938">
        <v>4.258760107816717E-2</v>
      </c>
      <c r="I33" s="939">
        <v>3.0202235231506336E-2</v>
      </c>
    </row>
    <row r="34" spans="1:10">
      <c r="A34" s="9"/>
    </row>
    <row r="36" spans="1:10" ht="14">
      <c r="A36" s="588" t="s">
        <v>1506</v>
      </c>
      <c r="B36" s="69" t="s">
        <v>1848</v>
      </c>
      <c r="C36" s="16" t="s">
        <v>509</v>
      </c>
      <c r="D36" s="69"/>
      <c r="E36" s="16"/>
      <c r="F36" s="69"/>
      <c r="G36" s="16"/>
      <c r="H36" s="69" t="s">
        <v>510</v>
      </c>
      <c r="I36" s="16" t="s">
        <v>511</v>
      </c>
      <c r="J36" s="69" t="s">
        <v>22</v>
      </c>
    </row>
    <row r="37" spans="1:10" ht="14">
      <c r="A37" s="925" t="s">
        <v>1717</v>
      </c>
      <c r="B37" s="70" t="s">
        <v>1850</v>
      </c>
      <c r="C37" s="17" t="s">
        <v>512</v>
      </c>
      <c r="D37" s="70"/>
      <c r="E37" s="61"/>
      <c r="F37" s="70"/>
      <c r="G37" s="61"/>
      <c r="H37" s="70" t="s">
        <v>1851</v>
      </c>
      <c r="I37" s="61" t="s">
        <v>513</v>
      </c>
      <c r="J37" s="70"/>
    </row>
    <row r="38" spans="1:10" ht="14">
      <c r="A38" s="77"/>
      <c r="B38" s="70" t="s">
        <v>1852</v>
      </c>
      <c r="C38" s="392" t="s">
        <v>514</v>
      </c>
      <c r="D38" s="391"/>
      <c r="E38" s="579"/>
      <c r="F38" s="391"/>
      <c r="G38" s="579"/>
      <c r="H38" s="70" t="s">
        <v>1405</v>
      </c>
      <c r="I38" s="61" t="s">
        <v>515</v>
      </c>
      <c r="J38" s="70"/>
    </row>
    <row r="39" spans="1:10" ht="19.5" customHeight="1">
      <c r="A39" s="78" t="s">
        <v>1591</v>
      </c>
      <c r="B39" s="73"/>
      <c r="C39" s="18"/>
      <c r="D39" s="391" t="s">
        <v>1718</v>
      </c>
      <c r="E39" s="392" t="s">
        <v>1719</v>
      </c>
      <c r="F39" s="391" t="s">
        <v>1720</v>
      </c>
      <c r="G39" s="392" t="s">
        <v>1721</v>
      </c>
      <c r="H39" s="73"/>
      <c r="I39" s="62" t="s">
        <v>516</v>
      </c>
      <c r="J39" s="73"/>
    </row>
    <row r="40" spans="1:10" ht="19.5" customHeight="1" thickBot="1">
      <c r="A40" s="651">
        <v>1998</v>
      </c>
      <c r="B40" s="927" t="s">
        <v>1013</v>
      </c>
      <c r="C40" s="24" t="s">
        <v>1013</v>
      </c>
      <c r="D40" s="927" t="s">
        <v>1013</v>
      </c>
      <c r="E40" s="24" t="s">
        <v>1013</v>
      </c>
      <c r="F40" s="927" t="s">
        <v>1013</v>
      </c>
      <c r="G40" s="24" t="s">
        <v>1013</v>
      </c>
      <c r="H40" s="927" t="s">
        <v>1013</v>
      </c>
      <c r="I40" s="24" t="s">
        <v>1013</v>
      </c>
      <c r="J40" s="927" t="s">
        <v>1013</v>
      </c>
    </row>
    <row r="41" spans="1:10" ht="19.5" customHeight="1" thickBot="1">
      <c r="A41" s="80">
        <v>1999</v>
      </c>
      <c r="B41" s="381">
        <v>3.2101026654456133E-2</v>
      </c>
      <c r="C41" s="25">
        <v>9.5795459262026261E-2</v>
      </c>
      <c r="D41" s="381">
        <v>0.10376240859512231</v>
      </c>
      <c r="E41" s="25">
        <v>4.0174672489083019E-2</v>
      </c>
      <c r="F41" s="381">
        <v>0.10587462539513104</v>
      </c>
      <c r="G41" s="25">
        <v>0.21969974368363232</v>
      </c>
      <c r="H41" s="381">
        <v>2.4278006981910405E-2</v>
      </c>
      <c r="I41" s="25">
        <v>0.11264421125862345</v>
      </c>
      <c r="J41" s="381">
        <v>6.0453514739229108E-2</v>
      </c>
    </row>
    <row r="42" spans="1:10" ht="19.5" customHeight="1" thickBot="1">
      <c r="A42" s="80">
        <v>2000</v>
      </c>
      <c r="B42" s="381">
        <v>3.0869098211367074E-2</v>
      </c>
      <c r="C42" s="25">
        <v>3.742282489299642E-2</v>
      </c>
      <c r="D42" s="381">
        <v>2.2613716273733431E-2</v>
      </c>
      <c r="E42" s="25">
        <v>7.3847507096877152E-2</v>
      </c>
      <c r="F42" s="381">
        <v>4.5326304848169796E-2</v>
      </c>
      <c r="G42" s="25">
        <v>0.13389372560792556</v>
      </c>
      <c r="H42" s="381">
        <v>-7.7924089852827172E-2</v>
      </c>
      <c r="I42" s="25">
        <v>3.6994581075448174E-2</v>
      </c>
      <c r="J42" s="381">
        <v>3.2074584099559544E-2</v>
      </c>
    </row>
    <row r="43" spans="1:10" ht="19.5" customHeight="1" thickBot="1">
      <c r="A43" s="80">
        <v>2001</v>
      </c>
      <c r="B43" s="381">
        <v>4.3037057171332771E-2</v>
      </c>
      <c r="C43" s="25">
        <v>4.9545437949541693E-2</v>
      </c>
      <c r="D43" s="381">
        <v>5.3094462540716592E-2</v>
      </c>
      <c r="E43" s="25">
        <v>7.1226450219673776E-2</v>
      </c>
      <c r="F43" s="381">
        <v>2.1130011719166397E-2</v>
      </c>
      <c r="G43" s="25">
        <v>3.4381028026778671E-2</v>
      </c>
      <c r="H43" s="381">
        <v>1.2536122311827955</v>
      </c>
      <c r="I43" s="25">
        <v>6.3159481459149847E-2</v>
      </c>
      <c r="J43" s="381">
        <v>4.4917747482699832E-2</v>
      </c>
    </row>
    <row r="44" spans="1:10" ht="19.5" customHeight="1" thickBot="1">
      <c r="A44" s="80">
        <v>2002</v>
      </c>
      <c r="B44" s="381">
        <v>3.0272758860319771E-2</v>
      </c>
      <c r="C44" s="25">
        <v>-7.6532387114713885E-4</v>
      </c>
      <c r="D44" s="381">
        <v>8.4201120390416939E-3</v>
      </c>
      <c r="E44" s="25">
        <v>2.3287337944458031E-2</v>
      </c>
      <c r="F44" s="381">
        <v>1.0572442095012846E-2</v>
      </c>
      <c r="G44" s="25">
        <v>-3.8832821412900453E-2</v>
      </c>
      <c r="H44" s="381">
        <v>0.72643232564207705</v>
      </c>
      <c r="I44" s="25">
        <v>9.0977834491233089E-2</v>
      </c>
      <c r="J44" s="381">
        <v>2.6172819923067747E-2</v>
      </c>
    </row>
    <row r="45" spans="1:10" ht="19.5" customHeight="1" thickBot="1">
      <c r="A45" s="926">
        <v>2003</v>
      </c>
      <c r="B45" s="938">
        <v>2.7907761055604663E-2</v>
      </c>
      <c r="C45" s="939">
        <v>3.3456343127698185E-2</v>
      </c>
      <c r="D45" s="938">
        <v>4.3657555722173003E-2</v>
      </c>
      <c r="E45" s="939">
        <v>7.2585849665432356E-2</v>
      </c>
      <c r="F45" s="938">
        <v>1.4660334503406869E-2</v>
      </c>
      <c r="G45" s="939">
        <v>1.7081336072434006E-2</v>
      </c>
      <c r="H45" s="938" t="s">
        <v>1013</v>
      </c>
      <c r="I45" s="939">
        <v>2.3392826199966077E-3</v>
      </c>
      <c r="J45" s="938">
        <v>3.2886346949028145E-2</v>
      </c>
    </row>
    <row r="46" spans="1:10">
      <c r="H46" s="38"/>
      <c r="I46" s="38"/>
      <c r="J46" s="38"/>
    </row>
    <row r="47" spans="1:10">
      <c r="H47" s="38"/>
      <c r="I47" s="38"/>
      <c r="J47" s="38"/>
    </row>
    <row r="48" spans="1:10" ht="14">
      <c r="A48" s="588" t="s">
        <v>1722</v>
      </c>
      <c r="B48" s="69" t="s">
        <v>1848</v>
      </c>
      <c r="C48" s="16" t="s">
        <v>509</v>
      </c>
      <c r="D48" s="69"/>
      <c r="E48" s="16"/>
      <c r="F48" s="69"/>
      <c r="G48" s="16"/>
      <c r="H48" s="69" t="s">
        <v>510</v>
      </c>
      <c r="I48" s="16" t="s">
        <v>511</v>
      </c>
      <c r="J48" s="69" t="s">
        <v>22</v>
      </c>
    </row>
    <row r="49" spans="1:10" ht="14">
      <c r="A49" s="925" t="s">
        <v>1723</v>
      </c>
      <c r="B49" s="70" t="s">
        <v>1850</v>
      </c>
      <c r="C49" s="17" t="s">
        <v>512</v>
      </c>
      <c r="D49" s="70"/>
      <c r="E49" s="61"/>
      <c r="F49" s="70"/>
      <c r="G49" s="61"/>
      <c r="H49" s="70" t="s">
        <v>1851</v>
      </c>
      <c r="I49" s="61" t="s">
        <v>513</v>
      </c>
      <c r="J49" s="70"/>
    </row>
    <row r="50" spans="1:10" ht="14">
      <c r="A50" s="77"/>
      <c r="B50" s="70" t="s">
        <v>1852</v>
      </c>
      <c r="C50" s="392" t="s">
        <v>514</v>
      </c>
      <c r="D50" s="391"/>
      <c r="E50" s="579"/>
      <c r="F50" s="391"/>
      <c r="G50" s="579"/>
      <c r="H50" s="70" t="s">
        <v>1405</v>
      </c>
      <c r="I50" s="61" t="s">
        <v>515</v>
      </c>
      <c r="J50" s="70"/>
    </row>
    <row r="51" spans="1:10" ht="15.75" customHeight="1">
      <c r="A51" s="78" t="s">
        <v>1591</v>
      </c>
      <c r="B51" s="73"/>
      <c r="C51" s="18"/>
      <c r="D51" s="391" t="s">
        <v>1718</v>
      </c>
      <c r="E51" s="392" t="s">
        <v>1719</v>
      </c>
      <c r="F51" s="391" t="s">
        <v>1720</v>
      </c>
      <c r="G51" s="392" t="s">
        <v>1721</v>
      </c>
      <c r="H51" s="73"/>
      <c r="I51" s="62" t="s">
        <v>516</v>
      </c>
      <c r="J51" s="73"/>
    </row>
    <row r="52" spans="1:10" ht="18.75" customHeight="1" thickBot="1">
      <c r="A52" s="651">
        <v>1998</v>
      </c>
      <c r="B52" s="927" t="s">
        <v>1013</v>
      </c>
      <c r="C52" s="24" t="s">
        <v>1013</v>
      </c>
      <c r="D52" s="927" t="s">
        <v>1013</v>
      </c>
      <c r="E52" s="24" t="s">
        <v>1013</v>
      </c>
      <c r="F52" s="927" t="s">
        <v>1013</v>
      </c>
      <c r="G52" s="24" t="s">
        <v>1013</v>
      </c>
      <c r="H52" s="927" t="s">
        <v>1013</v>
      </c>
      <c r="I52" s="24" t="s">
        <v>1013</v>
      </c>
      <c r="J52" s="927" t="s">
        <v>1013</v>
      </c>
    </row>
    <row r="53" spans="1:10" ht="18.75" customHeight="1" thickBot="1">
      <c r="A53" s="80">
        <v>1999</v>
      </c>
      <c r="B53" s="381">
        <v>4.8738596688816305E-2</v>
      </c>
      <c r="C53" s="25">
        <v>3.2457148568287408E-2</v>
      </c>
      <c r="D53" s="381">
        <v>2.3433075325655972E-2</v>
      </c>
      <c r="E53" s="25">
        <v>4.3040833611374785E-2</v>
      </c>
      <c r="F53" s="381">
        <v>0.10495883697238351</v>
      </c>
      <c r="G53" s="25">
        <v>0.16454575633506696</v>
      </c>
      <c r="H53" s="381">
        <v>0.10845045982994961</v>
      </c>
      <c r="I53" s="25">
        <v>9.8799999999999999E-2</v>
      </c>
      <c r="J53" s="381">
        <v>4.1526891029109558E-2</v>
      </c>
    </row>
    <row r="54" spans="1:10" ht="18.75" customHeight="1" thickBot="1">
      <c r="A54" s="80">
        <v>2000</v>
      </c>
      <c r="B54" s="381">
        <v>5.3829838644722905E-2</v>
      </c>
      <c r="C54" s="25">
        <v>5.1087824592822129E-2</v>
      </c>
      <c r="D54" s="381">
        <v>4.9251769697249204E-2</v>
      </c>
      <c r="E54" s="25">
        <v>6.9143700787401619E-2</v>
      </c>
      <c r="F54" s="381">
        <v>6.792753731529233E-2</v>
      </c>
      <c r="G54" s="25">
        <v>0.11380337007474961</v>
      </c>
      <c r="H54" s="381">
        <v>-0.17611145898559799</v>
      </c>
      <c r="I54" s="25">
        <v>6.4036800476552802E-2</v>
      </c>
      <c r="J54" s="381">
        <v>5.3663731525493974E-2</v>
      </c>
    </row>
    <row r="55" spans="1:10" ht="18.75" customHeight="1" thickBot="1">
      <c r="A55" s="80">
        <v>2001</v>
      </c>
      <c r="B55" s="381">
        <v>4.4711097523693066E-2</v>
      </c>
      <c r="C55" s="25">
        <v>3.96251611714864E-2</v>
      </c>
      <c r="D55" s="381">
        <v>4.6104823645753079E-2</v>
      </c>
      <c r="E55" s="25">
        <v>5.5581127733026481E-2</v>
      </c>
      <c r="F55" s="381">
        <v>6.1390204634015344E-2</v>
      </c>
      <c r="G55" s="25">
        <v>5.8438788568178524E-2</v>
      </c>
      <c r="H55" s="381">
        <v>0.27056811704351125</v>
      </c>
      <c r="I55" s="25">
        <v>3.7820353321721845E-2</v>
      </c>
      <c r="J55" s="381">
        <v>4.1982004190805E-2</v>
      </c>
    </row>
    <row r="56" spans="1:10" ht="18.75" customHeight="1" thickBot="1">
      <c r="A56" s="80">
        <v>2002</v>
      </c>
      <c r="B56" s="381">
        <v>2.7800131684834417E-2</v>
      </c>
      <c r="C56" s="25">
        <v>1.9444998117511547E-2</v>
      </c>
      <c r="D56" s="381">
        <v>3.2434930571602738E-2</v>
      </c>
      <c r="E56" s="25">
        <v>3.0676986809113904E-2</v>
      </c>
      <c r="F56" s="381">
        <v>2.4160218079493534E-2</v>
      </c>
      <c r="G56" s="25">
        <v>3.0924234282643681E-2</v>
      </c>
      <c r="H56" s="381">
        <v>0.11417676087931783</v>
      </c>
      <c r="I56" s="25">
        <v>7.2494605610165408E-2</v>
      </c>
      <c r="J56" s="381">
        <v>2.8106368884262212E-2</v>
      </c>
    </row>
    <row r="57" spans="1:10" ht="18.75" customHeight="1" thickBot="1">
      <c r="A57" s="926">
        <v>2003</v>
      </c>
      <c r="B57" s="938">
        <v>3.8958882008209184E-2</v>
      </c>
      <c r="C57" s="939">
        <v>1.7748908344376702E-2</v>
      </c>
      <c r="D57" s="938">
        <v>3.4956355423525265E-2</v>
      </c>
      <c r="E57" s="939">
        <v>3.5814012523269545E-2</v>
      </c>
      <c r="F57" s="938">
        <v>2.8355549831498017E-2</v>
      </c>
      <c r="G57" s="939">
        <v>2.5044955826014403E-2</v>
      </c>
      <c r="H57" s="938">
        <v>-6.0398630964363376E-3</v>
      </c>
      <c r="I57" s="939">
        <v>-4.0657221896219342E-2</v>
      </c>
      <c r="J57" s="938">
        <v>2.4507547864506485E-2</v>
      </c>
    </row>
    <row r="58" spans="1:10" ht="16.5" customHeight="1">
      <c r="A58" s="183" t="s">
        <v>1859</v>
      </c>
    </row>
    <row r="60" spans="1:10">
      <c r="A60" s="3" t="s">
        <v>212</v>
      </c>
    </row>
    <row r="62" spans="1:10" ht="13.5" customHeight="1">
      <c r="A62" s="37" t="s">
        <v>213</v>
      </c>
      <c r="B62" s="311"/>
      <c r="C62" s="311"/>
      <c r="D62" s="311"/>
      <c r="E62" s="311"/>
      <c r="F62" s="311"/>
    </row>
    <row r="63" spans="1:10" ht="13.5" customHeight="1">
      <c r="A63" s="37" t="s">
        <v>168</v>
      </c>
      <c r="B63" s="311"/>
      <c r="C63" s="311"/>
      <c r="D63" s="311"/>
      <c r="E63" s="311"/>
      <c r="F63" s="311"/>
    </row>
    <row r="66" spans="1:1">
      <c r="A66" s="3" t="s">
        <v>256</v>
      </c>
    </row>
  </sheetData>
  <mergeCells count="1">
    <mergeCell ref="A2:E2"/>
  </mergeCells>
  <phoneticPr fontId="0" type="noConversion"/>
  <pageMargins left="0.53" right="0.56999999999999995" top="0.7" bottom="0.49" header="0.38" footer="0.4921259845"/>
  <pageSetup paperSize="9" scale="63" orientation="portrait" horizontalDpi="1200" verticalDpi="1200"/>
  <headerFooter alignWithMargins="0">
    <oddHeader>&amp;L&amp;"Arial,Bold"Versicherte und Finanzen in der OKP</oddHead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4B170-04DC-5347-8C2E-A2734F0EB170}">
  <sheetPr>
    <pageSetUpPr fitToPage="1"/>
  </sheetPr>
  <dimension ref="A1:J66"/>
  <sheetViews>
    <sheetView zoomScale="75" workbookViewId="0">
      <selection activeCell="A18" sqref="A18"/>
    </sheetView>
  </sheetViews>
  <sheetFormatPr baseColWidth="10" defaultColWidth="11.3984375" defaultRowHeight="13"/>
  <cols>
    <col min="1" max="1" width="21.59765625" style="3" customWidth="1"/>
    <col min="2" max="6" width="14.3984375" style="3" customWidth="1"/>
    <col min="7" max="7" width="13.796875" style="3" customWidth="1"/>
    <col min="8" max="9" width="13.19921875" style="3" customWidth="1"/>
    <col min="10" max="10" width="13.796875" style="3" customWidth="1"/>
    <col min="11" max="16384" width="11.3984375" style="3"/>
  </cols>
  <sheetData>
    <row r="1" spans="1:10" s="1" customFormat="1" ht="14" customHeight="1"/>
    <row r="2" spans="1:10" s="1" customFormat="1" ht="52.5" customHeight="1">
      <c r="A2" s="1473" t="s">
        <v>214</v>
      </c>
      <c r="B2" s="1474"/>
      <c r="C2" s="1474"/>
      <c r="D2" s="1474"/>
      <c r="E2" s="1474"/>
      <c r="F2" s="895">
        <v>2003</v>
      </c>
    </row>
    <row r="3" spans="1:10" ht="24" customHeight="1">
      <c r="A3" s="2" t="s">
        <v>1847</v>
      </c>
      <c r="B3" s="69" t="s">
        <v>1848</v>
      </c>
      <c r="C3" s="16" t="s">
        <v>509</v>
      </c>
      <c r="D3" s="69" t="s">
        <v>510</v>
      </c>
      <c r="E3" s="16" t="s">
        <v>511</v>
      </c>
      <c r="F3" s="339" t="s">
        <v>22</v>
      </c>
    </row>
    <row r="4" spans="1:10" ht="15" customHeight="1">
      <c r="A4" s="77"/>
      <c r="B4" s="70" t="s">
        <v>1850</v>
      </c>
      <c r="C4" s="17" t="s">
        <v>512</v>
      </c>
      <c r="D4" s="70" t="s">
        <v>1851</v>
      </c>
      <c r="E4" s="61" t="s">
        <v>513</v>
      </c>
      <c r="F4" s="416"/>
    </row>
    <row r="5" spans="1:10" ht="15" customHeight="1">
      <c r="A5" s="77"/>
      <c r="B5" s="70" t="s">
        <v>1852</v>
      </c>
      <c r="C5" s="17" t="s">
        <v>514</v>
      </c>
      <c r="D5" s="70" t="s">
        <v>1405</v>
      </c>
      <c r="E5" s="61" t="s">
        <v>515</v>
      </c>
      <c r="F5" s="416"/>
    </row>
    <row r="6" spans="1:10" ht="24" customHeight="1">
      <c r="A6" s="78"/>
      <c r="B6" s="73"/>
      <c r="C6" s="18"/>
      <c r="D6" s="73"/>
      <c r="E6" s="62" t="s">
        <v>516</v>
      </c>
      <c r="F6" s="419"/>
    </row>
    <row r="7" spans="1:10" ht="20" customHeight="1" thickBot="1">
      <c r="A7" s="651">
        <v>1997</v>
      </c>
      <c r="B7" s="927">
        <v>3.099902967877588E-2</v>
      </c>
      <c r="C7" s="24">
        <v>0.15364736145460922</v>
      </c>
      <c r="D7" s="927">
        <v>3.811675613305221E-2</v>
      </c>
      <c r="E7" s="24">
        <v>0.17851616782305468</v>
      </c>
      <c r="F7" s="928">
        <v>7.581247039595862E-2</v>
      </c>
      <c r="H7" s="43"/>
      <c r="I7" s="43"/>
      <c r="J7" s="43"/>
    </row>
    <row r="8" spans="1:10" ht="20" customHeight="1" thickBot="1">
      <c r="A8" s="80">
        <v>1998</v>
      </c>
      <c r="B8" s="381">
        <v>5.5314045378634047E-2</v>
      </c>
      <c r="C8" s="25">
        <v>7.5183776533967794E-2</v>
      </c>
      <c r="D8" s="381">
        <v>-1.536763399776464E-2</v>
      </c>
      <c r="E8" s="25">
        <v>0.19508372734297885</v>
      </c>
      <c r="F8" s="449">
        <v>6.6415801984907263E-2</v>
      </c>
    </row>
    <row r="9" spans="1:10" ht="20" customHeight="1" thickBot="1">
      <c r="A9" s="80">
        <v>1999</v>
      </c>
      <c r="B9" s="381">
        <v>1.7953721542131484E-2</v>
      </c>
      <c r="C9" s="25">
        <v>3.428431175345481E-2</v>
      </c>
      <c r="D9" s="381">
        <v>9.283476506914079E-3</v>
      </c>
      <c r="E9" s="25">
        <v>5.2973803275248477E-2</v>
      </c>
      <c r="F9" s="449">
        <v>2.5711081810314562E-2</v>
      </c>
    </row>
    <row r="10" spans="1:10" ht="20" customHeight="1" thickBot="1">
      <c r="A10" s="80">
        <v>2000</v>
      </c>
      <c r="B10" s="381">
        <v>3.8019287585201011E-2</v>
      </c>
      <c r="C10" s="25">
        <v>2.3964225528074756E-2</v>
      </c>
      <c r="D10" s="381">
        <v>5.7602538959256488E-2</v>
      </c>
      <c r="E10" s="25">
        <v>4.2028067224275656E-2</v>
      </c>
      <c r="F10" s="449">
        <v>3.3009322732502344E-2</v>
      </c>
    </row>
    <row r="11" spans="1:10" ht="20" customHeight="1" thickBot="1">
      <c r="A11" s="80">
        <v>2001</v>
      </c>
      <c r="B11" s="381">
        <v>4.4811052371483528E-2</v>
      </c>
      <c r="C11" s="25">
        <v>1.8369977872214838E-2</v>
      </c>
      <c r="D11" s="381">
        <v>3.8675737394110676E-2</v>
      </c>
      <c r="E11" s="25">
        <v>4.8834562345247523E-2</v>
      </c>
      <c r="F11" s="449">
        <v>3.4888934993328791E-2</v>
      </c>
    </row>
    <row r="12" spans="1:10" ht="20" customHeight="1" thickBot="1">
      <c r="A12" s="80">
        <v>2002</v>
      </c>
      <c r="B12" s="381">
        <v>7.7556305216076149E-2</v>
      </c>
      <c r="C12" s="25">
        <v>6.9502119860014089E-2</v>
      </c>
      <c r="D12" s="381">
        <v>0.12762746196616637</v>
      </c>
      <c r="E12" s="25">
        <v>0.1663758606374357</v>
      </c>
      <c r="F12" s="449">
        <v>8.3421939863121297E-2</v>
      </c>
    </row>
    <row r="13" spans="1:10" ht="23.25" customHeight="1" thickBot="1">
      <c r="A13" s="81">
        <v>2003</v>
      </c>
      <c r="B13" s="449">
        <v>9.7595851811529633E-2</v>
      </c>
      <c r="C13" s="83">
        <v>7.6356765293821516E-2</v>
      </c>
      <c r="D13" s="449">
        <v>8.8170524094351332E-2</v>
      </c>
      <c r="E13" s="83">
        <v>-1.4143623530143756E-2</v>
      </c>
      <c r="F13" s="449">
        <v>8.1865987832500098E-2</v>
      </c>
    </row>
    <row r="14" spans="1:10" ht="20" customHeight="1" thickBot="1">
      <c r="A14" s="929"/>
      <c r="B14" s="930"/>
      <c r="C14" s="930"/>
      <c r="D14" s="930"/>
      <c r="E14" s="930"/>
      <c r="F14" s="931"/>
    </row>
    <row r="15" spans="1:10" s="605" customFormat="1" ht="20" customHeight="1" thickBot="1">
      <c r="A15" s="932" t="s">
        <v>171</v>
      </c>
      <c r="B15" s="933" t="s">
        <v>1013</v>
      </c>
      <c r="C15" s="843" t="s">
        <v>1013</v>
      </c>
      <c r="D15" s="532" t="s">
        <v>1013</v>
      </c>
      <c r="E15" s="843" t="s">
        <v>1013</v>
      </c>
      <c r="F15" s="934">
        <v>8.0594701950110759E-2</v>
      </c>
    </row>
    <row r="16" spans="1:10" s="605" customFormat="1" ht="23.25" customHeight="1" thickBot="1">
      <c r="A16" s="797" t="s">
        <v>172</v>
      </c>
      <c r="B16" s="935" t="s">
        <v>1013</v>
      </c>
      <c r="C16" s="936" t="s">
        <v>1013</v>
      </c>
      <c r="D16" s="935" t="s">
        <v>1013</v>
      </c>
      <c r="E16" s="936" t="s">
        <v>1013</v>
      </c>
      <c r="F16" s="937">
        <v>3.5198335000715453E-2</v>
      </c>
    </row>
    <row r="17" spans="1:9" ht="20" customHeight="1">
      <c r="A17" s="9" t="s">
        <v>1334</v>
      </c>
      <c r="B17" s="309"/>
      <c r="C17" s="309"/>
      <c r="D17" s="309"/>
      <c r="E17" s="309"/>
      <c r="F17" s="309"/>
    </row>
    <row r="18" spans="1:9" ht="13.5" customHeight="1">
      <c r="A18" s="37"/>
      <c r="B18" s="311"/>
      <c r="C18" s="311"/>
      <c r="D18" s="311"/>
      <c r="E18" s="311"/>
      <c r="F18" s="311"/>
    </row>
    <row r="19" spans="1:9">
      <c r="A19" s="3" t="s">
        <v>215</v>
      </c>
    </row>
    <row r="22" spans="1:9" ht="18">
      <c r="A22" s="177" t="s">
        <v>209</v>
      </c>
    </row>
    <row r="23" spans="1:9" ht="18.75" customHeight="1"/>
    <row r="24" spans="1:9" ht="14">
      <c r="A24" s="588" t="s">
        <v>71</v>
      </c>
      <c r="B24" s="69" t="s">
        <v>1848</v>
      </c>
      <c r="C24" s="16" t="s">
        <v>509</v>
      </c>
      <c r="D24" s="69"/>
      <c r="E24" s="16"/>
      <c r="F24" s="69"/>
      <c r="G24" s="16" t="s">
        <v>510</v>
      </c>
      <c r="H24" s="69" t="s">
        <v>511</v>
      </c>
      <c r="I24" s="16" t="s">
        <v>22</v>
      </c>
    </row>
    <row r="25" spans="1:9" ht="14">
      <c r="A25" s="925" t="s">
        <v>1713</v>
      </c>
      <c r="B25" s="70" t="s">
        <v>1850</v>
      </c>
      <c r="C25" s="17" t="s">
        <v>512</v>
      </c>
      <c r="D25" s="70"/>
      <c r="E25" s="61"/>
      <c r="F25" s="70"/>
      <c r="G25" s="17" t="s">
        <v>1851</v>
      </c>
      <c r="H25" s="14" t="s">
        <v>513</v>
      </c>
      <c r="I25" s="17"/>
    </row>
    <row r="26" spans="1:9" ht="14">
      <c r="A26" s="77"/>
      <c r="B26" s="70" t="s">
        <v>1852</v>
      </c>
      <c r="C26" s="17" t="s">
        <v>514</v>
      </c>
      <c r="D26" s="391"/>
      <c r="E26" s="579"/>
      <c r="F26" s="391"/>
      <c r="G26" s="17" t="s">
        <v>1405</v>
      </c>
      <c r="H26" s="14" t="s">
        <v>515</v>
      </c>
      <c r="I26" s="17"/>
    </row>
    <row r="27" spans="1:9" ht="18" customHeight="1">
      <c r="A27" s="405" t="s">
        <v>1591</v>
      </c>
      <c r="B27" s="73"/>
      <c r="C27" s="18"/>
      <c r="D27" s="391" t="s">
        <v>1714</v>
      </c>
      <c r="E27" s="392" t="s">
        <v>1715</v>
      </c>
      <c r="F27" s="391" t="s">
        <v>1716</v>
      </c>
      <c r="G27" s="18"/>
      <c r="H27" s="15" t="s">
        <v>516</v>
      </c>
      <c r="I27" s="18"/>
    </row>
    <row r="28" spans="1:9" ht="18" customHeight="1" thickBot="1">
      <c r="A28" s="651">
        <v>1998</v>
      </c>
      <c r="B28" s="927" t="s">
        <v>1013</v>
      </c>
      <c r="C28" s="24" t="s">
        <v>1013</v>
      </c>
      <c r="D28" s="927" t="s">
        <v>1013</v>
      </c>
      <c r="E28" s="24" t="s">
        <v>1013</v>
      </c>
      <c r="F28" s="927" t="s">
        <v>1013</v>
      </c>
      <c r="G28" s="24" t="s">
        <v>1013</v>
      </c>
      <c r="H28" s="927" t="s">
        <v>1013</v>
      </c>
      <c r="I28" s="24" t="s">
        <v>1013</v>
      </c>
    </row>
    <row r="29" spans="1:9" ht="18" customHeight="1" thickBot="1">
      <c r="A29" s="80">
        <v>1999</v>
      </c>
      <c r="B29" s="381">
        <v>2.7054831329555995E-2</v>
      </c>
      <c r="C29" s="25">
        <v>4.98166379684295E-3</v>
      </c>
      <c r="D29" s="381">
        <v>1.8922254216371837E-2</v>
      </c>
      <c r="E29" s="25">
        <v>-1.2177038303005983E-2</v>
      </c>
      <c r="F29" s="381">
        <v>2.5730658111063232E-2</v>
      </c>
      <c r="G29" s="25">
        <v>9.4880098696892734E-2</v>
      </c>
      <c r="H29" s="381">
        <v>5.0551523668354248E-2</v>
      </c>
      <c r="I29" s="25">
        <v>2.3137147383171852E-2</v>
      </c>
    </row>
    <row r="30" spans="1:9" ht="18" customHeight="1" thickBot="1">
      <c r="A30" s="80">
        <v>2000</v>
      </c>
      <c r="B30" s="381">
        <v>3.574578779769455E-2</v>
      </c>
      <c r="C30" s="25">
        <v>2.1423526642077917E-2</v>
      </c>
      <c r="D30" s="381">
        <v>2.2128582963262033E-2</v>
      </c>
      <c r="E30" s="25">
        <v>6.4752502957752256E-3</v>
      </c>
      <c r="F30" s="381">
        <v>7.3528267533963021E-2</v>
      </c>
      <c r="G30" s="25">
        <v>3.7730201767667948E-2</v>
      </c>
      <c r="H30" s="381">
        <v>3.2525241419749662E-2</v>
      </c>
      <c r="I30" s="25">
        <v>3.2707567253725589E-2</v>
      </c>
    </row>
    <row r="31" spans="1:9" ht="18" customHeight="1" thickBot="1">
      <c r="A31" s="80">
        <v>2001</v>
      </c>
      <c r="B31" s="381">
        <v>5.5398383371824567E-2</v>
      </c>
      <c r="C31" s="25">
        <v>1.4623028068018851E-2</v>
      </c>
      <c r="D31" s="381">
        <v>1.5354612555234626E-2</v>
      </c>
      <c r="E31" s="25">
        <v>1.2652308003438195E-2</v>
      </c>
      <c r="F31" s="381">
        <v>3.5528947902472963E-2</v>
      </c>
      <c r="G31" s="25">
        <v>5.3120917527696987E-2</v>
      </c>
      <c r="H31" s="381">
        <v>6.0090863917086734E-2</v>
      </c>
      <c r="I31" s="25">
        <v>4.9215776727020932E-2</v>
      </c>
    </row>
    <row r="32" spans="1:9" ht="18" customHeight="1" thickBot="1">
      <c r="A32" s="80">
        <v>2002</v>
      </c>
      <c r="B32" s="381">
        <v>8.7885336032167194E-2</v>
      </c>
      <c r="C32" s="25">
        <v>4.0170120396779252E-2</v>
      </c>
      <c r="D32" s="381">
        <v>5.8556806301816255E-2</v>
      </c>
      <c r="E32" s="25">
        <v>4.3523846374676989E-2</v>
      </c>
      <c r="F32" s="381">
        <v>1.3676386186430189E-2</v>
      </c>
      <c r="G32" s="25">
        <v>0.1043304549555355</v>
      </c>
      <c r="H32" s="381">
        <v>9.7281280342853105E-2</v>
      </c>
      <c r="I32" s="25">
        <v>8.1957077299332326E-2</v>
      </c>
    </row>
    <row r="33" spans="1:10" ht="18" customHeight="1" thickBot="1">
      <c r="A33" s="926">
        <v>2003</v>
      </c>
      <c r="B33" s="938">
        <v>9.0415367595293228E-2</v>
      </c>
      <c r="C33" s="939">
        <v>4.4721612210480322E-2</v>
      </c>
      <c r="D33" s="938">
        <v>5.9509181318113447E-2</v>
      </c>
      <c r="E33" s="939">
        <v>4.3622314721783573E-2</v>
      </c>
      <c r="F33" s="938">
        <v>5.4146988151462239E-2</v>
      </c>
      <c r="G33" s="939">
        <v>5.9753749197642314E-2</v>
      </c>
      <c r="H33" s="938">
        <v>6.3650926844152966E-2</v>
      </c>
      <c r="I33" s="939">
        <v>8.2657117096524457E-2</v>
      </c>
    </row>
    <row r="34" spans="1:10">
      <c r="A34" s="9"/>
    </row>
    <row r="36" spans="1:10" ht="14">
      <c r="A36" s="588" t="s">
        <v>1506</v>
      </c>
      <c r="B36" s="69" t="s">
        <v>1848</v>
      </c>
      <c r="C36" s="16" t="s">
        <v>509</v>
      </c>
      <c r="D36" s="69"/>
      <c r="E36" s="16"/>
      <c r="F36" s="69"/>
      <c r="G36" s="16"/>
      <c r="H36" s="69" t="s">
        <v>510</v>
      </c>
      <c r="I36" s="16" t="s">
        <v>511</v>
      </c>
      <c r="J36" s="69" t="s">
        <v>22</v>
      </c>
    </row>
    <row r="37" spans="1:10" ht="14">
      <c r="A37" s="925" t="s">
        <v>1717</v>
      </c>
      <c r="B37" s="70" t="s">
        <v>1850</v>
      </c>
      <c r="C37" s="17" t="s">
        <v>512</v>
      </c>
      <c r="D37" s="70"/>
      <c r="E37" s="61"/>
      <c r="F37" s="70"/>
      <c r="G37" s="61"/>
      <c r="H37" s="70" t="s">
        <v>1851</v>
      </c>
      <c r="I37" s="61" t="s">
        <v>513</v>
      </c>
      <c r="J37" s="70"/>
    </row>
    <row r="38" spans="1:10" ht="14">
      <c r="A38" s="77"/>
      <c r="B38" s="70" t="s">
        <v>1852</v>
      </c>
      <c r="C38" s="392" t="s">
        <v>514</v>
      </c>
      <c r="D38" s="391"/>
      <c r="E38" s="579"/>
      <c r="F38" s="391"/>
      <c r="G38" s="579"/>
      <c r="H38" s="70" t="s">
        <v>1405</v>
      </c>
      <c r="I38" s="61" t="s">
        <v>515</v>
      </c>
      <c r="J38" s="70"/>
    </row>
    <row r="39" spans="1:10" ht="19.5" customHeight="1">
      <c r="A39" s="78" t="s">
        <v>1591</v>
      </c>
      <c r="B39" s="73"/>
      <c r="C39" s="18"/>
      <c r="D39" s="391" t="s">
        <v>1718</v>
      </c>
      <c r="E39" s="392" t="s">
        <v>1719</v>
      </c>
      <c r="F39" s="391" t="s">
        <v>1720</v>
      </c>
      <c r="G39" s="392" t="s">
        <v>1721</v>
      </c>
      <c r="H39" s="73"/>
      <c r="I39" s="62" t="s">
        <v>516</v>
      </c>
      <c r="J39" s="73"/>
    </row>
    <row r="40" spans="1:10" ht="19.5" customHeight="1" thickBot="1">
      <c r="A40" s="651">
        <v>1998</v>
      </c>
      <c r="B40" s="927" t="s">
        <v>1013</v>
      </c>
      <c r="C40" s="24" t="s">
        <v>1013</v>
      </c>
      <c r="D40" s="927" t="s">
        <v>1013</v>
      </c>
      <c r="E40" s="24" t="s">
        <v>1013</v>
      </c>
      <c r="F40" s="927" t="s">
        <v>1013</v>
      </c>
      <c r="G40" s="24" t="s">
        <v>1013</v>
      </c>
      <c r="H40" s="927" t="s">
        <v>1013</v>
      </c>
      <c r="I40" s="24" t="s">
        <v>1013</v>
      </c>
      <c r="J40" s="927" t="s">
        <v>1013</v>
      </c>
    </row>
    <row r="41" spans="1:10" ht="19.5" customHeight="1" thickBot="1">
      <c r="A41" s="80">
        <v>1999</v>
      </c>
      <c r="B41" s="381">
        <v>-1.2815628330213547E-2</v>
      </c>
      <c r="C41" s="25">
        <v>5.5618190748347951E-2</v>
      </c>
      <c r="D41" s="381">
        <v>8.579195783785587E-2</v>
      </c>
      <c r="E41" s="25">
        <v>2.1489814723230083E-2</v>
      </c>
      <c r="F41" s="381">
        <v>-0.14396344118742688</v>
      </c>
      <c r="G41" s="25">
        <v>1.4718073270408194E-2</v>
      </c>
      <c r="H41" s="381">
        <v>5.1823921431076725E-2</v>
      </c>
      <c r="I41" s="25">
        <v>1.7298578199052006E-2</v>
      </c>
      <c r="J41" s="381">
        <v>1.7204180559836191E-2</v>
      </c>
    </row>
    <row r="42" spans="1:10" ht="19.5" customHeight="1" thickBot="1">
      <c r="A42" s="80">
        <v>2000</v>
      </c>
      <c r="B42" s="381">
        <v>-2.4554495318426239E-3</v>
      </c>
      <c r="C42" s="25">
        <v>-2.141350266743336E-3</v>
      </c>
      <c r="D42" s="381">
        <v>9.6257724938428879E-3</v>
      </c>
      <c r="E42" s="25">
        <v>-1.8754554859621297E-3</v>
      </c>
      <c r="F42" s="381">
        <v>-1.7302246901776175E-2</v>
      </c>
      <c r="G42" s="25">
        <v>5.1669031546057731E-3</v>
      </c>
      <c r="H42" s="381">
        <v>-3.6303005039978187E-3</v>
      </c>
      <c r="I42" s="25">
        <v>-5.5969666381966432E-3</v>
      </c>
      <c r="J42" s="381">
        <v>-3.784811172630298E-3</v>
      </c>
    </row>
    <row r="43" spans="1:10" ht="19.5" customHeight="1" thickBot="1">
      <c r="A43" s="80">
        <v>2001</v>
      </c>
      <c r="B43" s="381">
        <v>4.5495578843490536E-2</v>
      </c>
      <c r="C43" s="25">
        <v>-1.9451273790852541E-2</v>
      </c>
      <c r="D43" s="381">
        <v>-1.9524415662131034E-3</v>
      </c>
      <c r="E43" s="25">
        <v>-2.4472685868338728E-2</v>
      </c>
      <c r="F43" s="381">
        <v>-8.1766301805593633E-3</v>
      </c>
      <c r="G43" s="25">
        <v>-1.3296450239906554E-2</v>
      </c>
      <c r="H43" s="381">
        <v>3.311122267354305E-2</v>
      </c>
      <c r="I43" s="25">
        <v>2.4661153152918391E-3</v>
      </c>
      <c r="J43" s="381">
        <v>1.364832879863731E-2</v>
      </c>
    </row>
    <row r="44" spans="1:10" ht="19.5" customHeight="1" thickBot="1">
      <c r="A44" s="80">
        <v>2002</v>
      </c>
      <c r="B44" s="381">
        <v>0.13432835820895517</v>
      </c>
      <c r="C44" s="25">
        <v>9.0399174308456232E-2</v>
      </c>
      <c r="D44" s="381">
        <v>0.11605455173675328</v>
      </c>
      <c r="E44" s="25">
        <v>9.9571857760470728E-2</v>
      </c>
      <c r="F44" s="381">
        <v>9.8092111882483124E-2</v>
      </c>
      <c r="G44" s="25">
        <v>9.4690674720733004E-2</v>
      </c>
      <c r="H44" s="381">
        <v>0.14925010491904667</v>
      </c>
      <c r="I44" s="25">
        <v>0.13203126014202082</v>
      </c>
      <c r="J44" s="381">
        <v>0.11367951291899425</v>
      </c>
    </row>
    <row r="45" spans="1:10" ht="19.5" customHeight="1" thickBot="1">
      <c r="A45" s="926">
        <v>2003</v>
      </c>
      <c r="B45" s="938">
        <v>0.15108648372638389</v>
      </c>
      <c r="C45" s="939">
        <v>0.10261861576125209</v>
      </c>
      <c r="D45" s="938">
        <v>0.14240771430132404</v>
      </c>
      <c r="E45" s="939">
        <v>0.13260060357384273</v>
      </c>
      <c r="F45" s="938">
        <v>0.12406154973857952</v>
      </c>
      <c r="G45" s="939">
        <v>0.13337689682712539</v>
      </c>
      <c r="H45" s="938" t="s">
        <v>1013</v>
      </c>
      <c r="I45" s="939">
        <v>0.1075440216051331</v>
      </c>
      <c r="J45" s="938">
        <v>0.12391920953496016</v>
      </c>
    </row>
    <row r="46" spans="1:10">
      <c r="H46" s="38"/>
      <c r="I46" s="38"/>
      <c r="J46" s="38"/>
    </row>
    <row r="47" spans="1:10">
      <c r="H47" s="38"/>
      <c r="I47" s="38"/>
      <c r="J47" s="38"/>
    </row>
    <row r="48" spans="1:10" ht="14">
      <c r="A48" s="588" t="s">
        <v>1722</v>
      </c>
      <c r="B48" s="69" t="s">
        <v>1848</v>
      </c>
      <c r="C48" s="16" t="s">
        <v>509</v>
      </c>
      <c r="D48" s="69"/>
      <c r="E48" s="16"/>
      <c r="F48" s="69"/>
      <c r="G48" s="16"/>
      <c r="H48" s="69" t="s">
        <v>510</v>
      </c>
      <c r="I48" s="16" t="s">
        <v>511</v>
      </c>
      <c r="J48" s="69" t="s">
        <v>22</v>
      </c>
    </row>
    <row r="49" spans="1:10" ht="14">
      <c r="A49" s="925" t="s">
        <v>1723</v>
      </c>
      <c r="B49" s="70" t="s">
        <v>1850</v>
      </c>
      <c r="C49" s="17" t="s">
        <v>512</v>
      </c>
      <c r="D49" s="70"/>
      <c r="E49" s="61"/>
      <c r="F49" s="70"/>
      <c r="G49" s="61"/>
      <c r="H49" s="70" t="s">
        <v>1851</v>
      </c>
      <c r="I49" s="61" t="s">
        <v>513</v>
      </c>
      <c r="J49" s="70"/>
    </row>
    <row r="50" spans="1:10" ht="14">
      <c r="A50" s="77"/>
      <c r="B50" s="70" t="s">
        <v>1852</v>
      </c>
      <c r="C50" s="392" t="s">
        <v>514</v>
      </c>
      <c r="D50" s="391"/>
      <c r="E50" s="579"/>
      <c r="F50" s="391"/>
      <c r="G50" s="579"/>
      <c r="H50" s="70" t="s">
        <v>1405</v>
      </c>
      <c r="I50" s="61" t="s">
        <v>515</v>
      </c>
      <c r="J50" s="70"/>
    </row>
    <row r="51" spans="1:10" ht="15.75" customHeight="1">
      <c r="A51" s="78" t="s">
        <v>1591</v>
      </c>
      <c r="B51" s="73"/>
      <c r="C51" s="18"/>
      <c r="D51" s="391" t="s">
        <v>1718</v>
      </c>
      <c r="E51" s="392" t="s">
        <v>1719</v>
      </c>
      <c r="F51" s="391" t="s">
        <v>1720</v>
      </c>
      <c r="G51" s="392" t="s">
        <v>1721</v>
      </c>
      <c r="H51" s="73"/>
      <c r="I51" s="62" t="s">
        <v>516</v>
      </c>
      <c r="J51" s="73"/>
    </row>
    <row r="52" spans="1:10" ht="18.75" customHeight="1" thickBot="1">
      <c r="A52" s="651">
        <v>1998</v>
      </c>
      <c r="B52" s="927" t="s">
        <v>1013</v>
      </c>
      <c r="C52" s="24" t="s">
        <v>1013</v>
      </c>
      <c r="D52" s="927" t="s">
        <v>1013</v>
      </c>
      <c r="E52" s="24" t="s">
        <v>1013</v>
      </c>
      <c r="F52" s="927" t="s">
        <v>1013</v>
      </c>
      <c r="G52" s="24" t="s">
        <v>1013</v>
      </c>
      <c r="H52" s="927" t="s">
        <v>1013</v>
      </c>
      <c r="I52" s="24" t="s">
        <v>1013</v>
      </c>
      <c r="J52" s="927" t="s">
        <v>1013</v>
      </c>
    </row>
    <row r="53" spans="1:10" ht="18.75" customHeight="1" thickBot="1">
      <c r="A53" s="80">
        <v>1999</v>
      </c>
      <c r="B53" s="381">
        <v>2.8419902809567743E-2</v>
      </c>
      <c r="C53" s="25">
        <v>2.3184500487758219E-2</v>
      </c>
      <c r="D53" s="381">
        <v>3.2636945986026511E-2</v>
      </c>
      <c r="E53" s="25">
        <v>2.3154848046309739E-2</v>
      </c>
      <c r="F53" s="381">
        <v>-1.7685141323225961E-3</v>
      </c>
      <c r="G53" s="25">
        <v>3.9504402347918965E-2</v>
      </c>
      <c r="H53" s="381">
        <v>2.7358046164438043E-2</v>
      </c>
      <c r="I53" s="25">
        <v>3.7897535932299053E-2</v>
      </c>
      <c r="J53" s="381">
        <v>2.5151073637948773E-2</v>
      </c>
    </row>
    <row r="54" spans="1:10" ht="18.75" customHeight="1" thickBot="1">
      <c r="A54" s="80">
        <v>2000</v>
      </c>
      <c r="B54" s="381">
        <v>4.4812754745873429E-2</v>
      </c>
      <c r="C54" s="25">
        <v>2.5218522758798434E-2</v>
      </c>
      <c r="D54" s="381">
        <v>3.6524474877394297E-2</v>
      </c>
      <c r="E54" s="25">
        <v>3.5395459920699368E-2</v>
      </c>
      <c r="F54" s="381">
        <v>3.4104210826030545E-2</v>
      </c>
      <c r="G54" s="25">
        <v>3.9922785290704699E-2</v>
      </c>
      <c r="H54" s="381">
        <v>4.6792701279156912E-3</v>
      </c>
      <c r="I54" s="25">
        <v>3.4882090026742363E-2</v>
      </c>
      <c r="J54" s="381">
        <v>3.3830382106244228E-2</v>
      </c>
    </row>
    <row r="55" spans="1:10" ht="18.75" customHeight="1" thickBot="1">
      <c r="A55" s="80">
        <v>2001</v>
      </c>
      <c r="B55" s="381">
        <v>5.4723365734853591E-2</v>
      </c>
      <c r="C55" s="25">
        <v>3.2533339431428887E-2</v>
      </c>
      <c r="D55" s="381">
        <v>5.1292122995396872E-2</v>
      </c>
      <c r="E55" s="25">
        <v>4.7092239876679987E-2</v>
      </c>
      <c r="F55" s="381">
        <v>4.9875660485382944E-2</v>
      </c>
      <c r="G55" s="25">
        <v>3.3659507293921642E-2</v>
      </c>
      <c r="H55" s="381">
        <v>5.7059938680459554E-2</v>
      </c>
      <c r="I55" s="25">
        <v>4.1165016963854217E-2</v>
      </c>
      <c r="J55" s="381">
        <v>4.2414135040115264E-2</v>
      </c>
    </row>
    <row r="56" spans="1:10" ht="18.75" customHeight="1" thickBot="1">
      <c r="A56" s="80">
        <v>2002</v>
      </c>
      <c r="B56" s="381">
        <v>8.5666312462535865E-2</v>
      </c>
      <c r="C56" s="25">
        <v>6.9657048572788982E-2</v>
      </c>
      <c r="D56" s="381">
        <v>9.2993712785361948E-2</v>
      </c>
      <c r="E56" s="25">
        <v>8.5239789262060883E-2</v>
      </c>
      <c r="F56" s="381">
        <v>8.1604022962188827E-2</v>
      </c>
      <c r="G56" s="25">
        <v>8.146331514304328E-2</v>
      </c>
      <c r="H56" s="381">
        <v>0.12348610649839475</v>
      </c>
      <c r="I56" s="25">
        <v>8.4299134358796213E-2</v>
      </c>
      <c r="J56" s="381">
        <v>7.6858217667661322E-2</v>
      </c>
    </row>
    <row r="57" spans="1:10" ht="18.75" customHeight="1" thickBot="1">
      <c r="A57" s="926">
        <v>2003</v>
      </c>
      <c r="B57" s="938">
        <v>9.3258754772264529E-2</v>
      </c>
      <c r="C57" s="939">
        <v>6.3564586036496173E-2</v>
      </c>
      <c r="D57" s="938">
        <v>8.6197305654396539E-2</v>
      </c>
      <c r="E57" s="939">
        <v>8.6388285799685161E-2</v>
      </c>
      <c r="F57" s="938">
        <v>8.4811256850791272E-2</v>
      </c>
      <c r="G57" s="939">
        <v>9.041899916742957E-2</v>
      </c>
      <c r="H57" s="938">
        <v>7.5454872418940777E-2</v>
      </c>
      <c r="I57" s="939">
        <v>6.2634807697694805E-2</v>
      </c>
      <c r="J57" s="938">
        <v>7.5033293849170679E-2</v>
      </c>
    </row>
    <row r="58" spans="1:10" ht="16.5" customHeight="1">
      <c r="A58" s="183" t="s">
        <v>1859</v>
      </c>
    </row>
    <row r="60" spans="1:10">
      <c r="A60" s="3" t="s">
        <v>216</v>
      </c>
    </row>
    <row r="62" spans="1:10" ht="13.5" customHeight="1">
      <c r="A62" s="37" t="s">
        <v>217</v>
      </c>
      <c r="B62" s="311"/>
      <c r="C62" s="311"/>
      <c r="D62" s="311"/>
      <c r="E62" s="311"/>
      <c r="F62" s="311"/>
    </row>
    <row r="63" spans="1:10" ht="13.5" customHeight="1">
      <c r="A63" s="37" t="s">
        <v>168</v>
      </c>
      <c r="B63" s="311"/>
      <c r="C63" s="311"/>
      <c r="D63" s="311"/>
      <c r="E63" s="311"/>
      <c r="F63" s="311"/>
    </row>
    <row r="66" spans="1:1">
      <c r="A66" s="3" t="s">
        <v>256</v>
      </c>
    </row>
  </sheetData>
  <mergeCells count="1">
    <mergeCell ref="A2:E2"/>
  </mergeCells>
  <phoneticPr fontId="0" type="noConversion"/>
  <pageMargins left="0.53" right="0.56999999999999995" top="0.7" bottom="0.49" header="0.38" footer="0.4921259845"/>
  <pageSetup paperSize="9" scale="63" orientation="portrait" horizontalDpi="1200" verticalDpi="1200"/>
  <headerFooter alignWithMargins="0">
    <oddHeader>&amp;L&amp;"Arial,Bold"Versicherte und Finanzen in der OKP</oddHead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9CEE5-B654-B743-A606-A17843CD9314}">
  <sheetPr>
    <pageSetUpPr fitToPage="1"/>
  </sheetPr>
  <dimension ref="A1:G31"/>
  <sheetViews>
    <sheetView topLeftCell="A17" zoomScale="75" workbookViewId="0">
      <selection activeCell="E36" sqref="E36"/>
    </sheetView>
  </sheetViews>
  <sheetFormatPr baseColWidth="10" defaultColWidth="11.3984375" defaultRowHeight="13"/>
  <cols>
    <col min="1" max="1" width="19.3984375" style="3" customWidth="1"/>
    <col min="2" max="2" width="17.3984375" style="3" customWidth="1"/>
    <col min="3" max="3" width="16.3984375" style="3" customWidth="1"/>
    <col min="4" max="4" width="17.796875" style="3" customWidth="1"/>
    <col min="5" max="5" width="18.796875" style="460" customWidth="1"/>
    <col min="6" max="6" width="13.3984375" style="460" customWidth="1"/>
    <col min="7" max="7" width="18.19921875" style="3" customWidth="1"/>
    <col min="8" max="16384" width="11.3984375" style="3"/>
  </cols>
  <sheetData>
    <row r="1" spans="1:6" ht="34.5" customHeight="1">
      <c r="A1" s="1484" t="s">
        <v>1511</v>
      </c>
      <c r="B1" s="1481"/>
      <c r="C1" s="1481"/>
      <c r="D1" s="1481"/>
      <c r="E1" s="321">
        <v>2003</v>
      </c>
      <c r="F1" s="498"/>
    </row>
    <row r="2" spans="1:6" ht="19.5" customHeight="1">
      <c r="A2" s="606"/>
      <c r="B2" s="498"/>
      <c r="C2" s="498"/>
      <c r="D2" s="498"/>
      <c r="E2" s="498"/>
      <c r="F2" s="498"/>
    </row>
    <row r="3" spans="1:6" ht="39.75" customHeight="1">
      <c r="A3" s="1480" t="s">
        <v>1516</v>
      </c>
      <c r="B3" s="1481"/>
      <c r="C3" s="1481"/>
      <c r="D3" s="1481"/>
      <c r="F3" s="607"/>
    </row>
    <row r="4" spans="1:6" ht="12.75" customHeight="1">
      <c r="A4" s="586"/>
      <c r="B4" s="497"/>
      <c r="C4" s="497"/>
      <c r="D4" s="497"/>
      <c r="E4" s="497"/>
      <c r="F4" s="587"/>
    </row>
    <row r="5" spans="1:6" ht="24" customHeight="1">
      <c r="A5" s="588" t="s">
        <v>119</v>
      </c>
      <c r="B5" s="339" t="s">
        <v>592</v>
      </c>
      <c r="C5" s="323" t="s">
        <v>593</v>
      </c>
      <c r="D5" s="339" t="s">
        <v>22</v>
      </c>
      <c r="E5" s="589" t="s">
        <v>1502</v>
      </c>
      <c r="F5" s="608"/>
    </row>
    <row r="6" spans="1:6" ht="15" customHeight="1">
      <c r="A6" s="77"/>
      <c r="B6" s="70"/>
      <c r="C6" s="17"/>
      <c r="D6" s="14"/>
      <c r="E6" s="590" t="s">
        <v>110</v>
      </c>
      <c r="F6" s="608"/>
    </row>
    <row r="7" spans="1:6" ht="15" customHeight="1">
      <c r="A7" s="4"/>
      <c r="B7" s="70"/>
      <c r="C7" s="17"/>
      <c r="D7" s="70"/>
      <c r="E7" s="590"/>
      <c r="F7" s="608"/>
    </row>
    <row r="8" spans="1:6" ht="24" customHeight="1">
      <c r="A8" s="390"/>
      <c r="B8" s="391"/>
      <c r="C8" s="392"/>
      <c r="D8" s="391"/>
      <c r="E8" s="591"/>
      <c r="F8" s="608"/>
    </row>
    <row r="9" spans="1:6" ht="45" customHeight="1" thickBot="1">
      <c r="A9" s="592" t="s">
        <v>71</v>
      </c>
      <c r="B9" s="593">
        <v>804500</v>
      </c>
      <c r="C9" s="594">
        <v>773670</v>
      </c>
      <c r="D9" s="593">
        <v>1578167</v>
      </c>
      <c r="E9" s="595">
        <v>0.21408764699841676</v>
      </c>
      <c r="F9" s="608"/>
    </row>
    <row r="10" spans="1:6" ht="34.5" customHeight="1" thickBot="1">
      <c r="A10" s="592" t="s">
        <v>1506</v>
      </c>
      <c r="B10" s="593">
        <v>307485</v>
      </c>
      <c r="C10" s="594">
        <v>306802</v>
      </c>
      <c r="D10" s="593">
        <v>614285</v>
      </c>
      <c r="E10" s="595">
        <v>8.3331377627603689E-2</v>
      </c>
      <c r="F10" s="608"/>
    </row>
    <row r="11" spans="1:6" ht="32.25" customHeight="1" thickBot="1">
      <c r="A11" s="592" t="s">
        <v>77</v>
      </c>
      <c r="B11" s="593">
        <v>2552009</v>
      </c>
      <c r="C11" s="594">
        <v>2627133</v>
      </c>
      <c r="D11" s="593">
        <v>5179141</v>
      </c>
      <c r="E11" s="595">
        <v>0.70258097537397957</v>
      </c>
      <c r="F11" s="608"/>
    </row>
    <row r="12" spans="1:6" s="109" customFormat="1" ht="36" customHeight="1" thickBot="1">
      <c r="A12" s="597" t="s">
        <v>22</v>
      </c>
      <c r="B12" s="344">
        <v>3663991</v>
      </c>
      <c r="C12" s="333">
        <v>3707600</v>
      </c>
      <c r="D12" s="344">
        <v>7371593</v>
      </c>
      <c r="E12" s="598">
        <v>1</v>
      </c>
      <c r="F12" s="608"/>
    </row>
    <row r="13" spans="1:6" ht="19.5" customHeight="1">
      <c r="B13" s="9"/>
      <c r="C13" s="9"/>
      <c r="D13" s="9"/>
      <c r="E13" s="458"/>
      <c r="F13" s="459"/>
    </row>
    <row r="14" spans="1:6" ht="19.5" customHeight="1" thickBot="1">
      <c r="A14" s="600" t="s">
        <v>1512</v>
      </c>
      <c r="B14" s="601">
        <v>28631</v>
      </c>
      <c r="C14" s="602">
        <v>32181</v>
      </c>
      <c r="D14" s="601">
        <v>60812</v>
      </c>
      <c r="E14" s="603">
        <v>8.2495059073391594E-3</v>
      </c>
      <c r="F14" s="459"/>
    </row>
    <row r="15" spans="1:6" ht="19.5" customHeight="1">
      <c r="B15" s="37"/>
      <c r="C15" s="37"/>
      <c r="D15" s="37"/>
      <c r="E15" s="459"/>
      <c r="F15" s="459"/>
    </row>
    <row r="16" spans="1:6" ht="24" customHeight="1"/>
    <row r="17" spans="1:7" ht="57" customHeight="1">
      <c r="A17" s="1482" t="s">
        <v>1517</v>
      </c>
      <c r="B17" s="1483"/>
      <c r="C17" s="1483"/>
      <c r="D17" s="1483"/>
      <c r="E17" s="607"/>
      <c r="F17" s="607"/>
    </row>
    <row r="18" spans="1:7" ht="15" customHeight="1">
      <c r="A18" s="609"/>
      <c r="B18" s="498"/>
      <c r="C18" s="498"/>
      <c r="D18" s="498"/>
      <c r="E18" s="498"/>
      <c r="F18" s="498"/>
    </row>
    <row r="19" spans="1:7" ht="38.25" customHeight="1">
      <c r="A19" s="610"/>
      <c r="B19" s="611" t="s">
        <v>72</v>
      </c>
      <c r="C19" s="612" t="s">
        <v>73</v>
      </c>
      <c r="D19" s="611" t="s">
        <v>71</v>
      </c>
      <c r="E19" s="612" t="s">
        <v>22</v>
      </c>
    </row>
    <row r="20" spans="1:7" ht="39" customHeight="1" thickBot="1">
      <c r="A20" s="613" t="s">
        <v>22</v>
      </c>
      <c r="B20" s="614">
        <v>6123</v>
      </c>
      <c r="C20" s="615">
        <v>4523</v>
      </c>
      <c r="D20" s="614">
        <v>1822</v>
      </c>
      <c r="E20" s="616">
        <v>12472</v>
      </c>
      <c r="F20" s="761"/>
      <c r="G20" s="761"/>
    </row>
    <row r="21" spans="1:7">
      <c r="D21"/>
      <c r="E21"/>
      <c r="F21"/>
      <c r="G21"/>
    </row>
    <row r="22" spans="1:7">
      <c r="A22" s="37" t="s">
        <v>1334</v>
      </c>
      <c r="D22"/>
      <c r="E22"/>
      <c r="F22"/>
      <c r="G22"/>
    </row>
    <row r="23" spans="1:7">
      <c r="D23"/>
      <c r="E23"/>
      <c r="F23"/>
      <c r="G23"/>
    </row>
    <row r="24" spans="1:7">
      <c r="A24" s="3" t="s">
        <v>1513</v>
      </c>
      <c r="D24"/>
      <c r="E24"/>
      <c r="F24"/>
      <c r="G24"/>
    </row>
    <row r="25" spans="1:7">
      <c r="A25" s="3" t="s">
        <v>1514</v>
      </c>
      <c r="D25"/>
      <c r="E25"/>
      <c r="F25"/>
      <c r="G25"/>
    </row>
    <row r="26" spans="1:7">
      <c r="A26" s="3" t="s">
        <v>1515</v>
      </c>
      <c r="D26"/>
      <c r="E26"/>
      <c r="F26"/>
      <c r="G26"/>
    </row>
    <row r="27" spans="1:7">
      <c r="D27"/>
      <c r="E27"/>
      <c r="F27"/>
      <c r="G27"/>
    </row>
    <row r="28" spans="1:7">
      <c r="A28" s="3" t="s">
        <v>564</v>
      </c>
      <c r="D28"/>
      <c r="E28"/>
      <c r="F28"/>
      <c r="G28"/>
    </row>
    <row r="31" spans="1:7">
      <c r="A31" s="118" t="s">
        <v>256</v>
      </c>
    </row>
  </sheetData>
  <mergeCells count="3">
    <mergeCell ref="A3:D3"/>
    <mergeCell ref="A17:D17"/>
    <mergeCell ref="A1:D1"/>
  </mergeCells>
  <phoneticPr fontId="0" type="noConversion"/>
  <pageMargins left="0.57999999999999996" right="0.63" top="0.96" bottom="0.49" header="0.49" footer="0.4921259845"/>
  <pageSetup paperSize="9" orientation="portrait" horizontalDpi="1200" verticalDpi="1200"/>
  <headerFooter alignWithMargins="0">
    <oddHeader>&amp;L&amp;"Arial,Bold"Versicherte und Finanzen in der OKP</oddHead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7FBF0-58F7-6347-87F6-94A9E7BE18B1}">
  <sheetPr>
    <pageSetUpPr fitToPage="1"/>
  </sheetPr>
  <dimension ref="A1:G19"/>
  <sheetViews>
    <sheetView zoomScale="75" workbookViewId="0">
      <selection activeCell="B15" sqref="B15"/>
    </sheetView>
  </sheetViews>
  <sheetFormatPr baseColWidth="10" defaultColWidth="11.3984375" defaultRowHeight="13"/>
  <cols>
    <col min="1" max="1" width="19.3984375" style="3" customWidth="1"/>
    <col min="2" max="2" width="17.3984375" style="3" customWidth="1"/>
    <col min="3" max="3" width="16.3984375" style="3" customWidth="1"/>
    <col min="4" max="4" width="17.796875" style="3" customWidth="1"/>
    <col min="5" max="5" width="18.796875" style="460" customWidth="1"/>
    <col min="6" max="6" width="13.3984375" style="460" customWidth="1"/>
    <col min="7" max="7" width="18.19921875" style="3" customWidth="1"/>
    <col min="8" max="16384" width="11.3984375" style="3"/>
  </cols>
  <sheetData>
    <row r="1" spans="1:7" ht="19.5" customHeight="1">
      <c r="A1" s="76" t="s">
        <v>1510</v>
      </c>
      <c r="B1" s="498"/>
      <c r="C1" s="498"/>
      <c r="D1" s="498"/>
      <c r="E1" s="498"/>
      <c r="F1" s="498"/>
    </row>
    <row r="2" spans="1:7" ht="19.5" customHeight="1">
      <c r="A2" s="606"/>
      <c r="B2" s="498"/>
      <c r="C2" s="498"/>
      <c r="D2" s="498"/>
      <c r="E2" s="498"/>
      <c r="F2" s="498"/>
    </row>
    <row r="3" spans="1:7" ht="42" customHeight="1">
      <c r="A3" s="1485" t="s">
        <v>329</v>
      </c>
      <c r="B3" s="1483"/>
      <c r="C3" s="1483"/>
      <c r="D3" s="1483"/>
      <c r="E3" s="1483"/>
      <c r="F3" s="607"/>
    </row>
    <row r="4" spans="1:7" ht="12.75" customHeight="1">
      <c r="A4" s="586"/>
      <c r="B4" s="497"/>
      <c r="C4" s="497"/>
      <c r="D4" s="497"/>
      <c r="E4" s="497"/>
      <c r="F4" s="587"/>
    </row>
    <row r="5" spans="1:7" ht="24" customHeight="1">
      <c r="A5" s="588" t="s">
        <v>119</v>
      </c>
      <c r="B5" s="339" t="s">
        <v>592</v>
      </c>
      <c r="C5" s="323" t="s">
        <v>593</v>
      </c>
      <c r="D5" s="339" t="s">
        <v>22</v>
      </c>
      <c r="E5" s="589" t="s">
        <v>1502</v>
      </c>
      <c r="F5" s="608"/>
    </row>
    <row r="6" spans="1:7" ht="15" customHeight="1">
      <c r="A6" s="77"/>
      <c r="B6" s="70"/>
      <c r="C6" s="17"/>
      <c r="D6" s="14"/>
      <c r="E6" s="590" t="s">
        <v>110</v>
      </c>
      <c r="F6" s="608"/>
    </row>
    <row r="7" spans="1:7" ht="15" customHeight="1">
      <c r="A7" s="4"/>
      <c r="B7" s="70"/>
      <c r="C7" s="17"/>
      <c r="D7" s="70"/>
      <c r="E7" s="590"/>
      <c r="F7" s="608"/>
    </row>
    <row r="8" spans="1:7" ht="24" customHeight="1">
      <c r="A8" s="390"/>
      <c r="B8" s="391"/>
      <c r="C8" s="392"/>
      <c r="D8" s="391"/>
      <c r="E8" s="591"/>
      <c r="F8" s="608"/>
    </row>
    <row r="9" spans="1:7" ht="45" customHeight="1" thickBot="1">
      <c r="A9" s="592" t="s">
        <v>71</v>
      </c>
      <c r="B9" s="593">
        <v>779029</v>
      </c>
      <c r="C9" s="594">
        <v>742005</v>
      </c>
      <c r="D9" s="593">
        <v>1521034</v>
      </c>
      <c r="E9" s="595">
        <v>0.20598865096971627</v>
      </c>
      <c r="F9" s="608"/>
    </row>
    <row r="10" spans="1:7" ht="34.5" customHeight="1" thickBot="1">
      <c r="A10" s="592" t="s">
        <v>1506</v>
      </c>
      <c r="B10" s="593">
        <v>314875</v>
      </c>
      <c r="C10" s="594">
        <v>303280</v>
      </c>
      <c r="D10" s="593">
        <v>618155</v>
      </c>
      <c r="E10" s="595">
        <v>8.3714706272302236E-2</v>
      </c>
      <c r="F10" s="608"/>
    </row>
    <row r="11" spans="1:7" ht="32.25" customHeight="1" thickBot="1">
      <c r="A11" s="592" t="s">
        <v>77</v>
      </c>
      <c r="B11" s="593">
        <v>2526106</v>
      </c>
      <c r="C11" s="594">
        <v>2718772</v>
      </c>
      <c r="D11" s="593">
        <v>5244878</v>
      </c>
      <c r="E11" s="595">
        <v>0.71029664275798143</v>
      </c>
      <c r="F11" s="608"/>
    </row>
    <row r="12" spans="1:7" s="109" customFormat="1" ht="36" customHeight="1" thickBot="1">
      <c r="A12" s="597" t="s">
        <v>22</v>
      </c>
      <c r="B12" s="344">
        <v>3620010</v>
      </c>
      <c r="C12" s="333">
        <v>3764057</v>
      </c>
      <c r="D12" s="344">
        <v>7384067</v>
      </c>
      <c r="E12" s="598">
        <v>1</v>
      </c>
      <c r="F12" s="608"/>
    </row>
    <row r="13" spans="1:7" ht="19.5" customHeight="1">
      <c r="B13" s="9"/>
      <c r="C13" s="9"/>
      <c r="D13" s="9"/>
      <c r="E13" s="458"/>
      <c r="F13" s="459"/>
    </row>
    <row r="14" spans="1:7">
      <c r="A14" s="37" t="s">
        <v>1576</v>
      </c>
      <c r="D14"/>
      <c r="E14"/>
      <c r="F14"/>
      <c r="G14"/>
    </row>
    <row r="15" spans="1:7">
      <c r="D15"/>
      <c r="E15"/>
      <c r="F15"/>
      <c r="G15"/>
    </row>
    <row r="16" spans="1:7">
      <c r="A16" s="3" t="s">
        <v>1509</v>
      </c>
      <c r="D16"/>
      <c r="E16"/>
      <c r="F16"/>
      <c r="G16"/>
    </row>
    <row r="19" spans="1:1">
      <c r="A19" s="118" t="s">
        <v>256</v>
      </c>
    </row>
  </sheetData>
  <mergeCells count="1">
    <mergeCell ref="A3:E3"/>
  </mergeCells>
  <phoneticPr fontId="0" type="noConversion"/>
  <pageMargins left="0.67" right="0.67" top="0.87" bottom="0.49" header="0.56000000000000005" footer="0.4921259845"/>
  <pageSetup paperSize="9" orientation="portrait" horizontalDpi="1200" verticalDpi="1200"/>
  <headerFooter alignWithMargins="0">
    <oddHeader>&amp;L&amp;"Arial,Bold"Versicherte und Finazen in der OKP</oddHead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756CC-4401-CE48-AE7A-A4DBE31AA110}">
  <sheetPr>
    <pageSetUpPr fitToPage="1"/>
  </sheetPr>
  <dimension ref="A1:G19"/>
  <sheetViews>
    <sheetView zoomScale="75" workbookViewId="0">
      <selection activeCell="A2" sqref="A2"/>
    </sheetView>
  </sheetViews>
  <sheetFormatPr baseColWidth="10" defaultColWidth="11.3984375" defaultRowHeight="13"/>
  <cols>
    <col min="1" max="1" width="21.3984375" style="3" customWidth="1"/>
    <col min="2" max="2" width="17.3984375" style="3" customWidth="1"/>
    <col min="3" max="3" width="16.3984375" style="3" customWidth="1"/>
    <col min="4" max="4" width="17.796875" style="3" customWidth="1"/>
    <col min="5" max="5" width="18.796875" style="460" customWidth="1"/>
    <col min="6" max="6" width="20.3984375" style="460" customWidth="1"/>
    <col min="7" max="7" width="18.19921875" style="3" customWidth="1"/>
    <col min="8" max="16384" width="11.3984375" style="3"/>
  </cols>
  <sheetData>
    <row r="1" spans="1:7" ht="19.5" customHeight="1">
      <c r="A1" s="76" t="s">
        <v>1501</v>
      </c>
      <c r="B1" s="498"/>
      <c r="C1" s="498"/>
      <c r="D1" s="498"/>
      <c r="E1" s="498"/>
      <c r="F1" s="321">
        <v>2003</v>
      </c>
    </row>
    <row r="2" spans="1:7" ht="24" customHeight="1">
      <c r="A2" s="586"/>
      <c r="B2" s="497"/>
      <c r="C2" s="497"/>
      <c r="D2" s="497"/>
      <c r="E2" s="497"/>
      <c r="F2" s="587"/>
    </row>
    <row r="3" spans="1:7" ht="24" customHeight="1">
      <c r="A3" s="588" t="s">
        <v>119</v>
      </c>
      <c r="B3" s="339" t="s">
        <v>592</v>
      </c>
      <c r="C3" s="323" t="s">
        <v>593</v>
      </c>
      <c r="D3" s="339" t="s">
        <v>22</v>
      </c>
      <c r="E3" s="589" t="s">
        <v>1502</v>
      </c>
      <c r="F3" s="441" t="s">
        <v>1503</v>
      </c>
    </row>
    <row r="4" spans="1:7" ht="15" customHeight="1">
      <c r="A4" s="77"/>
      <c r="B4" s="70"/>
      <c r="C4" s="17"/>
      <c r="D4" s="14"/>
      <c r="E4" s="590" t="s">
        <v>110</v>
      </c>
      <c r="F4" s="442" t="s">
        <v>1504</v>
      </c>
    </row>
    <row r="5" spans="1:7" ht="15" customHeight="1">
      <c r="A5" s="4"/>
      <c r="B5" s="70"/>
      <c r="C5" s="17"/>
      <c r="D5" s="70"/>
      <c r="E5" s="590"/>
      <c r="F5" s="442" t="s">
        <v>1505</v>
      </c>
    </row>
    <row r="6" spans="1:7" ht="24" customHeight="1">
      <c r="A6" s="390"/>
      <c r="B6" s="391"/>
      <c r="C6" s="392"/>
      <c r="D6" s="391"/>
      <c r="E6" s="591"/>
      <c r="F6" s="443"/>
    </row>
    <row r="7" spans="1:7" ht="45" customHeight="1" thickBot="1">
      <c r="A7" s="592" t="s">
        <v>71</v>
      </c>
      <c r="B7" s="593">
        <v>116006</v>
      </c>
      <c r="C7" s="594">
        <v>109472</v>
      </c>
      <c r="D7" s="593">
        <v>225478</v>
      </c>
      <c r="E7" s="595">
        <v>0.30021343196739536</v>
      </c>
      <c r="F7" s="596">
        <v>0.1428733461034225</v>
      </c>
    </row>
    <row r="8" spans="1:7" ht="34.5" customHeight="1" thickBot="1">
      <c r="A8" s="592" t="s">
        <v>1506</v>
      </c>
      <c r="B8" s="593">
        <v>47570</v>
      </c>
      <c r="C8" s="594">
        <v>44523</v>
      </c>
      <c r="D8" s="593">
        <v>92093</v>
      </c>
      <c r="E8" s="595">
        <v>0.12261753071329949</v>
      </c>
      <c r="F8" s="596">
        <v>0.14991901153373435</v>
      </c>
    </row>
    <row r="9" spans="1:7" ht="32.25" customHeight="1" thickBot="1">
      <c r="A9" s="592" t="s">
        <v>77</v>
      </c>
      <c r="B9" s="593">
        <v>221062</v>
      </c>
      <c r="C9" s="594">
        <v>212426</v>
      </c>
      <c r="D9" s="593">
        <v>433488</v>
      </c>
      <c r="E9" s="595">
        <v>0.57716903731930513</v>
      </c>
      <c r="F9" s="596">
        <v>8.369882187026767E-2</v>
      </c>
    </row>
    <row r="10" spans="1:7" s="109" customFormat="1" ht="36" customHeight="1" thickBot="1">
      <c r="A10" s="597" t="s">
        <v>22</v>
      </c>
      <c r="B10" s="344">
        <v>384638</v>
      </c>
      <c r="C10" s="333">
        <v>366421</v>
      </c>
      <c r="D10" s="344">
        <v>751059</v>
      </c>
      <c r="E10" s="598">
        <v>1</v>
      </c>
      <c r="F10" s="599">
        <v>0.10188557615701246</v>
      </c>
    </row>
    <row r="11" spans="1:7" ht="16.5" customHeight="1">
      <c r="B11" s="9"/>
      <c r="C11" s="9"/>
      <c r="D11" s="9"/>
      <c r="E11" s="458"/>
      <c r="F11" s="459"/>
    </row>
    <row r="12" spans="1:7" s="605" customFormat="1" ht="24" customHeight="1" thickBot="1">
      <c r="A12" s="600" t="s">
        <v>1507</v>
      </c>
      <c r="B12" s="601">
        <v>34598</v>
      </c>
      <c r="C12" s="602">
        <v>33081</v>
      </c>
      <c r="D12" s="601">
        <v>67679</v>
      </c>
      <c r="E12" s="603">
        <v>9.0111429328454895E-2</v>
      </c>
      <c r="F12" s="604">
        <v>9.1810548954615375E-3</v>
      </c>
    </row>
    <row r="13" spans="1:7" ht="9.75" customHeight="1">
      <c r="D13"/>
      <c r="E13"/>
      <c r="F13"/>
      <c r="G13"/>
    </row>
    <row r="14" spans="1:7">
      <c r="A14" s="37" t="s">
        <v>1334</v>
      </c>
      <c r="D14"/>
      <c r="E14"/>
      <c r="F14"/>
      <c r="G14"/>
    </row>
    <row r="15" spans="1:7">
      <c r="D15"/>
      <c r="E15"/>
      <c r="F15"/>
      <c r="G15"/>
    </row>
    <row r="16" spans="1:7">
      <c r="A16" s="3" t="s">
        <v>1508</v>
      </c>
      <c r="D16"/>
      <c r="E16"/>
      <c r="F16"/>
      <c r="G16"/>
    </row>
    <row r="19" spans="1:1">
      <c r="A19" s="118" t="s">
        <v>256</v>
      </c>
    </row>
  </sheetData>
  <phoneticPr fontId="0" type="noConversion"/>
  <pageMargins left="0.53" right="0.68" top="0.96" bottom="0.49" header="0.56000000000000005" footer="0.4921259845"/>
  <pageSetup paperSize="9" scale="81" orientation="portrait" horizontalDpi="1200" verticalDpi="1200"/>
  <headerFooter alignWithMargins="0">
    <oddHeader>&amp;L&amp;"Arial,Bold"Versicherte und Finanzen in der OKP</oddHead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47714-FD18-4C4A-827B-3B4F6F2546B2}">
  <dimension ref="A1:B18"/>
  <sheetViews>
    <sheetView workbookViewId="0">
      <selection activeCell="A18" sqref="A18"/>
    </sheetView>
  </sheetViews>
  <sheetFormatPr baseColWidth="10" defaultColWidth="11.3984375" defaultRowHeight="13"/>
  <cols>
    <col min="1" max="1" width="5.59765625" style="128" customWidth="1"/>
    <col min="2" max="16384" width="11.3984375" style="128"/>
  </cols>
  <sheetData>
    <row r="1" spans="1:2" ht="16">
      <c r="A1" s="127" t="s">
        <v>259</v>
      </c>
    </row>
    <row r="2" spans="1:2" ht="16">
      <c r="A2" s="127"/>
    </row>
    <row r="3" spans="1:2" s="129" customFormat="1">
      <c r="A3" s="130">
        <v>2.0099999999999998</v>
      </c>
      <c r="B3" s="130" t="s">
        <v>260</v>
      </c>
    </row>
    <row r="4" spans="1:2" s="129" customFormat="1">
      <c r="A4" s="130">
        <v>2.02</v>
      </c>
      <c r="B4" s="130" t="s">
        <v>261</v>
      </c>
    </row>
    <row r="5" spans="1:2" s="129" customFormat="1">
      <c r="A5" s="130">
        <v>2.0299999999999998</v>
      </c>
      <c r="B5" s="130" t="s">
        <v>262</v>
      </c>
    </row>
    <row r="6" spans="1:2" s="129" customFormat="1">
      <c r="A6" s="130">
        <v>2.04</v>
      </c>
      <c r="B6" s="130" t="s">
        <v>263</v>
      </c>
    </row>
    <row r="7" spans="1:2" s="129" customFormat="1">
      <c r="A7" s="130">
        <v>2.0499999999999998</v>
      </c>
      <c r="B7" s="130" t="s">
        <v>264</v>
      </c>
    </row>
    <row r="8" spans="1:2" s="129" customFormat="1">
      <c r="A8" s="130">
        <v>2.06</v>
      </c>
      <c r="B8" s="130" t="s">
        <v>265</v>
      </c>
    </row>
    <row r="9" spans="1:2" s="129" customFormat="1">
      <c r="A9" s="130">
        <v>2.0699999999999998</v>
      </c>
      <c r="B9" s="130" t="s">
        <v>266</v>
      </c>
    </row>
    <row r="10" spans="1:2" s="129" customFormat="1">
      <c r="A10" s="130">
        <v>2.08</v>
      </c>
      <c r="B10" s="130" t="s">
        <v>267</v>
      </c>
    </row>
    <row r="11" spans="1:2" s="129" customFormat="1">
      <c r="A11" s="130">
        <v>2.09</v>
      </c>
      <c r="B11" s="130" t="s">
        <v>268</v>
      </c>
    </row>
    <row r="12" spans="1:2">
      <c r="A12" s="286">
        <v>2.1</v>
      </c>
      <c r="B12" s="287" t="s">
        <v>269</v>
      </c>
    </row>
    <row r="13" spans="1:2">
      <c r="A13" s="286">
        <v>2.11</v>
      </c>
      <c r="B13" s="287" t="s">
        <v>270</v>
      </c>
    </row>
    <row r="14" spans="1:2">
      <c r="A14" s="130">
        <v>2.12</v>
      </c>
      <c r="B14" s="130" t="s">
        <v>271</v>
      </c>
    </row>
    <row r="15" spans="1:2">
      <c r="A15" s="130">
        <v>2.13</v>
      </c>
      <c r="B15" s="130" t="s">
        <v>272</v>
      </c>
    </row>
    <row r="18" spans="1:1">
      <c r="A18" s="288" t="s">
        <v>256</v>
      </c>
    </row>
  </sheetData>
  <phoneticPr fontId="21" type="noConversion"/>
  <pageMargins left="0.46" right="0.35" top="0.88" bottom="0.984251969" header="0.4921259845" footer="0.4921259845"/>
  <pageSetup paperSize="9" orientation="portrait"/>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16BC7-4625-B94E-840F-9F7FFA155F64}">
  <dimension ref="A1:K27"/>
  <sheetViews>
    <sheetView zoomScale="75" workbookViewId="0">
      <selection activeCell="F12" sqref="F12"/>
    </sheetView>
  </sheetViews>
  <sheetFormatPr baseColWidth="10" defaultColWidth="11.3984375" defaultRowHeight="13"/>
  <cols>
    <col min="1" max="1" width="21.796875" style="3" customWidth="1"/>
    <col min="2" max="7" width="12.796875" style="3" customWidth="1"/>
    <col min="8" max="16384" width="11.3984375" style="3"/>
  </cols>
  <sheetData>
    <row r="1" spans="1:11" s="1" customFormat="1" ht="14" customHeight="1"/>
    <row r="2" spans="1:11" s="1" customFormat="1" ht="28" customHeight="1">
      <c r="A2" s="76" t="s">
        <v>252</v>
      </c>
      <c r="G2" s="124">
        <v>2003</v>
      </c>
    </row>
    <row r="3" spans="1:11" ht="24" customHeight="1">
      <c r="A3" s="2" t="s">
        <v>106</v>
      </c>
      <c r="B3" s="69" t="s">
        <v>107</v>
      </c>
      <c r="C3" s="16" t="s">
        <v>108</v>
      </c>
      <c r="D3" s="69" t="s">
        <v>107</v>
      </c>
      <c r="E3" s="16" t="s">
        <v>108</v>
      </c>
      <c r="F3" s="69" t="s">
        <v>22</v>
      </c>
      <c r="G3" s="16" t="s">
        <v>24</v>
      </c>
    </row>
    <row r="4" spans="1:11" ht="15" customHeight="1">
      <c r="A4" s="77" t="s">
        <v>109</v>
      </c>
      <c r="B4" s="70" t="s">
        <v>253</v>
      </c>
      <c r="C4" s="17" t="s">
        <v>110</v>
      </c>
      <c r="D4" s="70" t="s">
        <v>254</v>
      </c>
      <c r="E4" s="17" t="s">
        <v>110</v>
      </c>
      <c r="F4" s="70"/>
      <c r="G4" s="17" t="s">
        <v>25</v>
      </c>
    </row>
    <row r="5" spans="1:11" ht="15" customHeight="1">
      <c r="A5" s="77" t="s">
        <v>255</v>
      </c>
      <c r="B5" s="70"/>
      <c r="C5" s="17"/>
      <c r="D5" s="70"/>
      <c r="E5" s="17"/>
      <c r="F5" s="70"/>
      <c r="G5" s="17" t="s">
        <v>26</v>
      </c>
    </row>
    <row r="6" spans="1:11" ht="14.25" customHeight="1">
      <c r="A6" s="78"/>
      <c r="B6" s="73"/>
      <c r="C6" s="18"/>
      <c r="D6" s="73"/>
      <c r="E6" s="18"/>
      <c r="F6" s="73"/>
      <c r="G6" s="18"/>
    </row>
    <row r="7" spans="1:11" ht="24.75" customHeight="1" thickBot="1">
      <c r="A7" s="79">
        <v>1993</v>
      </c>
      <c r="B7" s="74">
        <v>67</v>
      </c>
      <c r="C7" s="24">
        <v>0.36612021857923499</v>
      </c>
      <c r="D7" s="28">
        <v>116</v>
      </c>
      <c r="E7" s="24">
        <v>0.63387978142076506</v>
      </c>
      <c r="F7" s="28">
        <v>183</v>
      </c>
      <c r="G7" s="24" t="s">
        <v>258</v>
      </c>
      <c r="H7" s="42"/>
    </row>
    <row r="8" spans="1:11" ht="20" customHeight="1" thickBot="1">
      <c r="A8" s="80">
        <v>1994</v>
      </c>
      <c r="B8" s="75">
        <v>64</v>
      </c>
      <c r="C8" s="25">
        <v>0.3595505617977528</v>
      </c>
      <c r="D8" s="29">
        <v>114</v>
      </c>
      <c r="E8" s="25">
        <v>0.6404494382022472</v>
      </c>
      <c r="F8" s="29">
        <v>178</v>
      </c>
      <c r="G8" s="25">
        <v>-2.7322404371584699E-2</v>
      </c>
      <c r="H8" s="42"/>
    </row>
    <row r="9" spans="1:11" ht="20" customHeight="1" thickBot="1">
      <c r="A9" s="80">
        <v>1995</v>
      </c>
      <c r="B9" s="75">
        <v>66</v>
      </c>
      <c r="C9" s="25">
        <v>0.39759036144578314</v>
      </c>
      <c r="D9" s="29">
        <v>100</v>
      </c>
      <c r="E9" s="25">
        <v>0.60240963855421692</v>
      </c>
      <c r="F9" s="29">
        <v>166</v>
      </c>
      <c r="G9" s="25">
        <v>-6.741573033707865E-2</v>
      </c>
    </row>
    <row r="10" spans="1:11" ht="20" customHeight="1" thickBot="1">
      <c r="A10" s="80">
        <v>1996</v>
      </c>
      <c r="B10" s="75">
        <v>82</v>
      </c>
      <c r="C10" s="25">
        <v>0.56551724137931036</v>
      </c>
      <c r="D10" s="29">
        <v>63</v>
      </c>
      <c r="E10" s="25">
        <v>0.43448275862068964</v>
      </c>
      <c r="F10" s="29">
        <v>145</v>
      </c>
      <c r="G10" s="25">
        <v>-0.12650602409638553</v>
      </c>
      <c r="I10" s="43"/>
      <c r="J10" s="43"/>
      <c r="K10" s="43"/>
    </row>
    <row r="11" spans="1:11" ht="20" customHeight="1" thickBot="1">
      <c r="A11" s="80">
        <v>1997</v>
      </c>
      <c r="B11" s="75">
        <v>60</v>
      </c>
      <c r="C11" s="25">
        <v>0.46511627906976744</v>
      </c>
      <c r="D11" s="29">
        <v>69</v>
      </c>
      <c r="E11" s="25">
        <v>0.53488372093023251</v>
      </c>
      <c r="F11" s="29">
        <v>129</v>
      </c>
      <c r="G11" s="25">
        <v>-0.1103448275862069</v>
      </c>
    </row>
    <row r="12" spans="1:11" ht="20" customHeight="1" thickBot="1">
      <c r="A12" s="80">
        <v>1998</v>
      </c>
      <c r="B12" s="75">
        <v>62</v>
      </c>
      <c r="C12" s="25">
        <v>0.52542372881355937</v>
      </c>
      <c r="D12" s="29">
        <v>56</v>
      </c>
      <c r="E12" s="25">
        <v>0.47457627118644069</v>
      </c>
      <c r="F12" s="29">
        <v>118</v>
      </c>
      <c r="G12" s="25">
        <v>-8.5271317829457363E-2</v>
      </c>
    </row>
    <row r="13" spans="1:11" ht="20" customHeight="1" thickBot="1">
      <c r="A13" s="80">
        <v>1999</v>
      </c>
      <c r="B13" s="75">
        <v>59</v>
      </c>
      <c r="C13" s="25">
        <v>0.54128440366972475</v>
      </c>
      <c r="D13" s="29">
        <v>50</v>
      </c>
      <c r="E13" s="25">
        <v>0.45871559633027525</v>
      </c>
      <c r="F13" s="29">
        <v>109</v>
      </c>
      <c r="G13" s="25">
        <v>-7.6271186440677971E-2</v>
      </c>
    </row>
    <row r="14" spans="1:11" ht="19.5" customHeight="1" thickBot="1">
      <c r="A14" s="80">
        <v>2000</v>
      </c>
      <c r="B14" s="75">
        <v>59</v>
      </c>
      <c r="C14" s="25">
        <v>0.58415841584158412</v>
      </c>
      <c r="D14" s="29">
        <v>42</v>
      </c>
      <c r="E14" s="25">
        <v>0.41584158415841582</v>
      </c>
      <c r="F14" s="29">
        <v>101</v>
      </c>
      <c r="G14" s="25">
        <v>-7.3394495412844041E-2</v>
      </c>
    </row>
    <row r="15" spans="1:11" ht="20" customHeight="1" thickBot="1">
      <c r="A15" s="80">
        <v>2001</v>
      </c>
      <c r="B15" s="75">
        <v>64</v>
      </c>
      <c r="C15" s="25">
        <v>0.64646464646464652</v>
      </c>
      <c r="D15" s="29">
        <v>35</v>
      </c>
      <c r="E15" s="25">
        <v>0.35353535353535354</v>
      </c>
      <c r="F15" s="29">
        <v>99</v>
      </c>
      <c r="G15" s="25">
        <v>-1.9801980198019802E-2</v>
      </c>
    </row>
    <row r="16" spans="1:11" ht="20" customHeight="1" thickBot="1">
      <c r="A16" s="80">
        <v>2002</v>
      </c>
      <c r="B16" s="75">
        <v>68</v>
      </c>
      <c r="C16" s="25">
        <v>0.73118279569892475</v>
      </c>
      <c r="D16" s="29">
        <v>25</v>
      </c>
      <c r="E16" s="25">
        <v>0.26881720430107525</v>
      </c>
      <c r="F16" s="29">
        <v>93</v>
      </c>
      <c r="G16" s="25">
        <v>-6.0606060606060608E-2</v>
      </c>
    </row>
    <row r="17" spans="1:7" ht="24.75" customHeight="1" thickBot="1">
      <c r="A17" s="81">
        <v>2003</v>
      </c>
      <c r="B17" s="82">
        <v>70</v>
      </c>
      <c r="C17" s="83">
        <v>0.75268817204301075</v>
      </c>
      <c r="D17" s="84">
        <v>23</v>
      </c>
      <c r="E17" s="83">
        <v>0.24731182795698925</v>
      </c>
      <c r="F17" s="84">
        <v>93</v>
      </c>
      <c r="G17" s="83">
        <v>0</v>
      </c>
    </row>
    <row r="18" spans="1:7">
      <c r="A18" s="9" t="s">
        <v>257</v>
      </c>
      <c r="B18" s="9"/>
      <c r="C18" s="9"/>
      <c r="D18" s="9"/>
      <c r="E18" s="9"/>
      <c r="F18" s="9"/>
      <c r="G18" s="9"/>
    </row>
    <row r="19" spans="1:7">
      <c r="A19" s="37"/>
      <c r="B19" s="37"/>
      <c r="C19" s="37"/>
      <c r="D19" s="37"/>
      <c r="E19" s="37"/>
      <c r="F19" s="37"/>
      <c r="G19" s="37"/>
    </row>
    <row r="20" spans="1:7">
      <c r="A20" s="37" t="s">
        <v>44</v>
      </c>
      <c r="B20" s="37"/>
      <c r="C20" s="37"/>
      <c r="D20" s="37"/>
      <c r="E20" s="37"/>
      <c r="F20" s="37"/>
      <c r="G20" s="37"/>
    </row>
    <row r="21" spans="1:7">
      <c r="A21" s="37"/>
      <c r="B21" s="37"/>
      <c r="C21" s="37"/>
      <c r="D21" s="37"/>
      <c r="E21" s="37"/>
      <c r="F21" s="37"/>
      <c r="G21" s="37"/>
    </row>
    <row r="22" spans="1:7">
      <c r="A22" s="37" t="s">
        <v>111</v>
      </c>
    </row>
    <row r="23" spans="1:7">
      <c r="A23" s="3" t="s">
        <v>112</v>
      </c>
    </row>
    <row r="24" spans="1:7">
      <c r="A24" s="3" t="s">
        <v>113</v>
      </c>
    </row>
    <row r="27" spans="1:7">
      <c r="A27" s="37" t="s">
        <v>256</v>
      </c>
    </row>
  </sheetData>
  <phoneticPr fontId="0" type="noConversion"/>
  <pageMargins left="0.56000000000000005" right="0.56999999999999995" top="0.81" bottom="0.49" header="0.47" footer="0.4921259845"/>
  <pageSetup paperSize="9" scale="80" orientation="portrait" horizontalDpi="4294967292" verticalDpi="4294967292"/>
  <headerFooter alignWithMargins="0">
    <oddHeader>&amp;L&amp;"Arial,Bold"Leistungen und Kostenbeteiligung in der OKP</oddHead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6DF3C-D73A-5F41-B1E6-593AF01F9843}">
  <dimension ref="A1:K27"/>
  <sheetViews>
    <sheetView zoomScale="75" workbookViewId="0">
      <selection activeCell="I11" sqref="I11"/>
    </sheetView>
  </sheetViews>
  <sheetFormatPr baseColWidth="10" defaultColWidth="11.3984375" defaultRowHeight="13"/>
  <cols>
    <col min="1" max="1" width="21.796875" style="3" customWidth="1"/>
    <col min="2" max="2" width="15.19921875" style="3" customWidth="1"/>
    <col min="3" max="4" width="12.796875" style="3" customWidth="1"/>
    <col min="5" max="5" width="13" style="3" customWidth="1"/>
    <col min="6" max="6" width="15.19921875" style="3" customWidth="1"/>
    <col min="7" max="7" width="13" style="3" customWidth="1"/>
    <col min="8" max="16384" width="11.3984375" style="3"/>
  </cols>
  <sheetData>
    <row r="1" spans="1:11" s="1" customFormat="1" ht="14" customHeight="1"/>
    <row r="2" spans="1:11" s="1" customFormat="1" ht="39" customHeight="1">
      <c r="A2" s="1473" t="s">
        <v>249</v>
      </c>
      <c r="B2" s="1474"/>
      <c r="C2" s="1474"/>
      <c r="D2" s="1474"/>
      <c r="E2" s="1474"/>
      <c r="F2" s="1474"/>
      <c r="G2" s="124">
        <v>2003</v>
      </c>
    </row>
    <row r="3" spans="1:11" ht="24" customHeight="1">
      <c r="A3" s="2" t="s">
        <v>106</v>
      </c>
      <c r="B3" s="85" t="s">
        <v>250</v>
      </c>
      <c r="C3" s="16"/>
      <c r="D3" s="69"/>
      <c r="E3" s="16"/>
      <c r="F3" s="85" t="s">
        <v>251</v>
      </c>
      <c r="G3" s="16"/>
    </row>
    <row r="4" spans="1:11" ht="15" customHeight="1">
      <c r="A4" s="77" t="s">
        <v>109</v>
      </c>
      <c r="B4" s="70" t="s">
        <v>114</v>
      </c>
      <c r="C4" s="17" t="s">
        <v>24</v>
      </c>
      <c r="D4" s="70" t="s">
        <v>115</v>
      </c>
      <c r="E4" s="17" t="s">
        <v>24</v>
      </c>
      <c r="F4" s="70" t="s">
        <v>116</v>
      </c>
      <c r="G4" s="17" t="s">
        <v>24</v>
      </c>
    </row>
    <row r="5" spans="1:11" ht="15" customHeight="1">
      <c r="A5" s="77" t="s">
        <v>117</v>
      </c>
      <c r="B5" s="70" t="s">
        <v>118</v>
      </c>
      <c r="C5" s="17" t="s">
        <v>25</v>
      </c>
      <c r="D5" s="70" t="s">
        <v>119</v>
      </c>
      <c r="E5" s="17" t="s">
        <v>25</v>
      </c>
      <c r="F5" s="70" t="s">
        <v>120</v>
      </c>
      <c r="G5" s="17" t="s">
        <v>25</v>
      </c>
    </row>
    <row r="6" spans="1:11" ht="24" customHeight="1">
      <c r="A6" s="78"/>
      <c r="B6" s="73"/>
      <c r="C6" s="18" t="s">
        <v>26</v>
      </c>
      <c r="D6" s="73"/>
      <c r="E6" s="18" t="s">
        <v>121</v>
      </c>
      <c r="F6" s="73"/>
      <c r="G6" s="18" t="s">
        <v>121</v>
      </c>
    </row>
    <row r="7" spans="1:11" ht="30" customHeight="1" thickBot="1">
      <c r="A7" s="79">
        <v>1993</v>
      </c>
      <c r="B7" s="19" t="s">
        <v>258</v>
      </c>
      <c r="C7" s="86" t="s">
        <v>258</v>
      </c>
      <c r="D7" s="19" t="s">
        <v>258</v>
      </c>
      <c r="E7" s="86" t="s">
        <v>258</v>
      </c>
      <c r="F7" s="87">
        <v>284</v>
      </c>
      <c r="G7" s="86" t="s">
        <v>258</v>
      </c>
      <c r="H7" s="42"/>
    </row>
    <row r="8" spans="1:11" ht="20" customHeight="1" thickBot="1">
      <c r="A8" s="80">
        <v>1994</v>
      </c>
      <c r="B8" s="29">
        <v>435</v>
      </c>
      <c r="C8" s="88" t="s">
        <v>258</v>
      </c>
      <c r="D8" s="29" t="s">
        <v>258</v>
      </c>
      <c r="E8" s="88" t="s">
        <v>258</v>
      </c>
      <c r="F8" s="29">
        <v>315</v>
      </c>
      <c r="G8" s="25">
        <v>0.10915492957746478</v>
      </c>
      <c r="H8" s="42"/>
    </row>
    <row r="9" spans="1:11" ht="20" customHeight="1" thickBot="1">
      <c r="A9" s="80">
        <v>1995</v>
      </c>
      <c r="B9" s="29">
        <v>473</v>
      </c>
      <c r="C9" s="25">
        <v>8.7356321839080459E-2</v>
      </c>
      <c r="D9" s="29" t="s">
        <v>258</v>
      </c>
      <c r="E9" s="88" t="s">
        <v>258</v>
      </c>
      <c r="F9" s="29">
        <v>356</v>
      </c>
      <c r="G9" s="25">
        <v>0.13015873015873017</v>
      </c>
    </row>
    <row r="10" spans="1:11" ht="20" customHeight="1" thickBot="1">
      <c r="A10" s="80">
        <v>1996</v>
      </c>
      <c r="B10" s="29">
        <v>913.21658500000001</v>
      </c>
      <c r="C10" s="25">
        <v>0.93069045454545452</v>
      </c>
      <c r="D10" s="29">
        <v>2674.048675</v>
      </c>
      <c r="E10" s="88" t="s">
        <v>258</v>
      </c>
      <c r="F10" s="29">
        <v>530</v>
      </c>
      <c r="G10" s="25">
        <v>0.4887640449438202</v>
      </c>
      <c r="I10" s="43"/>
      <c r="J10" s="43"/>
      <c r="K10" s="43"/>
    </row>
    <row r="11" spans="1:11" ht="20" customHeight="1" thickBot="1">
      <c r="A11" s="80">
        <v>1997</v>
      </c>
      <c r="B11" s="29">
        <v>951.20448216581099</v>
      </c>
      <c r="C11" s="25">
        <v>4.1597905458332182E-2</v>
      </c>
      <c r="D11" s="29">
        <v>2894.7924399622598</v>
      </c>
      <c r="E11" s="25">
        <v>8.2550391481658339E-2</v>
      </c>
      <c r="F11" s="29">
        <v>532</v>
      </c>
      <c r="G11" s="25">
        <v>3.7735849056603774E-3</v>
      </c>
    </row>
    <row r="12" spans="1:11" ht="20" customHeight="1" thickBot="1">
      <c r="A12" s="80">
        <v>1998</v>
      </c>
      <c r="B12" s="29">
        <v>1005.42211</v>
      </c>
      <c r="C12" s="25">
        <v>5.6998919633704945E-2</v>
      </c>
      <c r="D12" s="29">
        <v>3172.9022279999999</v>
      </c>
      <c r="E12" s="25">
        <v>9.6072445194504488E-2</v>
      </c>
      <c r="F12" s="29">
        <v>609.28660000000002</v>
      </c>
      <c r="G12" s="25">
        <v>0.14527556390977447</v>
      </c>
    </row>
    <row r="13" spans="1:11" ht="20" customHeight="1" thickBot="1">
      <c r="A13" s="80">
        <v>1999</v>
      </c>
      <c r="B13" s="29">
        <v>1043.283537</v>
      </c>
      <c r="C13" s="25">
        <v>3.7657245273828376E-2</v>
      </c>
      <c r="D13" s="29">
        <v>3340.3853559999998</v>
      </c>
      <c r="E13" s="25">
        <v>5.2785467677512014E-2</v>
      </c>
      <c r="F13" s="29">
        <v>659.60795700000006</v>
      </c>
      <c r="G13" s="25">
        <v>8.2590618273896119E-2</v>
      </c>
    </row>
    <row r="14" spans="1:11" ht="23.25" customHeight="1" thickBot="1">
      <c r="A14" s="80">
        <v>2000</v>
      </c>
      <c r="B14" s="29">
        <v>1090.4996369999999</v>
      </c>
      <c r="C14" s="25">
        <v>4.5257207964549594E-2</v>
      </c>
      <c r="D14" s="29">
        <v>3554.1311930000002</v>
      </c>
      <c r="E14" s="25">
        <v>6.3988376854805129E-2</v>
      </c>
      <c r="F14" s="29">
        <v>732.09943699999997</v>
      </c>
      <c r="G14" s="25">
        <v>0.10990085736640061</v>
      </c>
    </row>
    <row r="15" spans="1:11" ht="20" customHeight="1" thickBot="1">
      <c r="A15" s="80">
        <v>2001</v>
      </c>
      <c r="B15" s="29">
        <v>1148.4065562125586</v>
      </c>
      <c r="C15" s="25">
        <v>5.3101273258432738E-2</v>
      </c>
      <c r="D15" s="29">
        <v>3804.1073437743612</v>
      </c>
      <c r="E15" s="25">
        <v>7.0333968331472624E-2</v>
      </c>
      <c r="F15" s="29">
        <v>844.73803099999998</v>
      </c>
      <c r="G15" s="25">
        <v>0.15385696028065654</v>
      </c>
    </row>
    <row r="16" spans="1:11" ht="20" customHeight="1" thickBot="1">
      <c r="A16" s="80">
        <v>2002</v>
      </c>
      <c r="B16" s="29">
        <v>1176.9857406315903</v>
      </c>
      <c r="C16" s="25">
        <v>2.4885946761994921E-2</v>
      </c>
      <c r="D16" s="29">
        <v>3992.1493332093432</v>
      </c>
      <c r="E16" s="25">
        <v>4.9431304756087785E-2</v>
      </c>
      <c r="F16" s="29">
        <v>928.34341900000004</v>
      </c>
      <c r="G16" s="25">
        <v>9.8971971110414073E-2</v>
      </c>
    </row>
    <row r="17" spans="1:7" ht="20" customHeight="1" thickBot="1">
      <c r="A17" s="81">
        <v>2003</v>
      </c>
      <c r="B17" s="84">
        <v>1165.5985248499421</v>
      </c>
      <c r="C17" s="83">
        <v>-9.6748969749944191E-3</v>
      </c>
      <c r="D17" s="84">
        <v>4231.4747261964076</v>
      </c>
      <c r="E17" s="83">
        <v>5.9949008168656705E-2</v>
      </c>
      <c r="F17" s="84">
        <v>1008.669965</v>
      </c>
      <c r="G17" s="83">
        <v>8.652675761576116E-2</v>
      </c>
    </row>
    <row r="18" spans="1:7">
      <c r="A18" s="9" t="s">
        <v>257</v>
      </c>
      <c r="B18" s="9"/>
      <c r="C18" s="9"/>
      <c r="D18" s="9"/>
      <c r="E18" s="9"/>
      <c r="F18" s="9"/>
      <c r="G18" s="9"/>
    </row>
    <row r="19" spans="1:7">
      <c r="A19" s="37"/>
      <c r="B19" s="37"/>
      <c r="C19" s="37"/>
      <c r="D19" s="37"/>
      <c r="E19" s="37"/>
      <c r="F19" s="37"/>
      <c r="G19" s="37"/>
    </row>
    <row r="20" spans="1:7">
      <c r="A20" s="37" t="s">
        <v>44</v>
      </c>
      <c r="B20" s="37"/>
      <c r="C20" s="37"/>
      <c r="D20" s="37"/>
      <c r="E20" s="37"/>
      <c r="F20" s="37"/>
      <c r="G20" s="37"/>
    </row>
    <row r="21" spans="1:7">
      <c r="A21" s="37"/>
      <c r="B21" s="37"/>
      <c r="C21" s="37"/>
      <c r="D21" s="37"/>
      <c r="E21" s="37"/>
      <c r="F21" s="37"/>
      <c r="G21" s="37"/>
    </row>
    <row r="22" spans="1:7">
      <c r="A22" s="37" t="s">
        <v>122</v>
      </c>
    </row>
    <row r="23" spans="1:7">
      <c r="A23" s="89" t="s">
        <v>123</v>
      </c>
    </row>
    <row r="24" spans="1:7">
      <c r="A24" s="89" t="s">
        <v>124</v>
      </c>
    </row>
    <row r="27" spans="1:7">
      <c r="A27" s="37" t="s">
        <v>256</v>
      </c>
    </row>
  </sheetData>
  <mergeCells count="1">
    <mergeCell ref="A2:F2"/>
  </mergeCells>
  <phoneticPr fontId="0" type="noConversion"/>
  <pageMargins left="0.62" right="0.66" top="0.89" bottom="0.49" header="0.53" footer="0.4921259845"/>
  <pageSetup paperSize="9" scale="80" orientation="portrait" horizontalDpi="4294967292" verticalDpi="4294967292"/>
  <headerFooter alignWithMargins="0">
    <oddHeader>&amp;L&amp;"Arial,Bold"Leistungen und Kostenbeteiligung in der OKP</oddHead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4B89F-8AA1-BE43-B578-4407FDE830D2}">
  <dimension ref="A1:I52"/>
  <sheetViews>
    <sheetView zoomScale="75" workbookViewId="0"/>
  </sheetViews>
  <sheetFormatPr baseColWidth="10" defaultColWidth="11.3984375" defaultRowHeight="13"/>
  <cols>
    <col min="1" max="6" width="14.796875" style="3" customWidth="1"/>
    <col min="7" max="7" width="14.796875" style="100" customWidth="1"/>
    <col min="8" max="8" width="6.796875" style="3" customWidth="1"/>
    <col min="9" max="9" width="12.19921875" style="3" customWidth="1"/>
    <col min="10" max="16384" width="11.3984375" style="3"/>
  </cols>
  <sheetData>
    <row r="1" spans="1:9" s="1" customFormat="1" ht="14" customHeight="1">
      <c r="G1" s="90"/>
    </row>
    <row r="2" spans="1:9" s="1" customFormat="1" ht="28" customHeight="1">
      <c r="A2" s="59" t="s">
        <v>248</v>
      </c>
      <c r="G2" s="59">
        <v>2003</v>
      </c>
    </row>
    <row r="3" spans="1:9" ht="27" customHeight="1">
      <c r="A3" s="2" t="s">
        <v>70</v>
      </c>
      <c r="B3" s="69" t="s">
        <v>71</v>
      </c>
      <c r="C3" s="16" t="s">
        <v>72</v>
      </c>
      <c r="D3" s="69" t="s">
        <v>73</v>
      </c>
      <c r="E3" s="16" t="s">
        <v>22</v>
      </c>
      <c r="F3" s="69" t="s">
        <v>22</v>
      </c>
      <c r="G3" s="91" t="s">
        <v>24</v>
      </c>
    </row>
    <row r="4" spans="1:9" ht="15" customHeight="1">
      <c r="A4" s="4"/>
      <c r="B4" s="70"/>
      <c r="C4" s="4"/>
      <c r="D4" s="71"/>
      <c r="E4" s="17" t="s">
        <v>74</v>
      </c>
      <c r="F4" s="70" t="s">
        <v>75</v>
      </c>
      <c r="G4" s="4" t="s">
        <v>25</v>
      </c>
    </row>
    <row r="5" spans="1:9" ht="15" customHeight="1">
      <c r="A5" s="4"/>
      <c r="B5" s="70"/>
      <c r="C5" s="4"/>
      <c r="D5" s="71"/>
      <c r="E5" s="17" t="s">
        <v>76</v>
      </c>
      <c r="F5" s="70" t="s">
        <v>77</v>
      </c>
      <c r="G5" s="4" t="s">
        <v>26</v>
      </c>
    </row>
    <row r="6" spans="1:9" ht="24" customHeight="1">
      <c r="A6" s="5"/>
      <c r="B6" s="72"/>
      <c r="C6" s="5"/>
      <c r="D6" s="72"/>
      <c r="E6" s="18"/>
      <c r="F6" s="73"/>
      <c r="G6" s="5"/>
      <c r="I6" s="92"/>
    </row>
    <row r="7" spans="1:9" ht="30" customHeight="1" thickBot="1">
      <c r="A7" s="6" t="s">
        <v>78</v>
      </c>
      <c r="B7" s="87">
        <v>242018.42</v>
      </c>
      <c r="C7" s="93">
        <v>491648.76</v>
      </c>
      <c r="D7" s="87">
        <v>524715.57999999996</v>
      </c>
      <c r="E7" s="93">
        <v>1016364.33</v>
      </c>
      <c r="F7" s="87">
        <v>1258382.75</v>
      </c>
      <c r="G7" s="94">
        <v>6.1650173759874314E-3</v>
      </c>
      <c r="I7" s="64"/>
    </row>
    <row r="8" spans="1:9" ht="20" customHeight="1" thickBot="1">
      <c r="A8" s="7" t="s">
        <v>79</v>
      </c>
      <c r="B8" s="87">
        <v>191266</v>
      </c>
      <c r="C8" s="93">
        <v>367227.68</v>
      </c>
      <c r="D8" s="87">
        <v>398798.66</v>
      </c>
      <c r="E8" s="93">
        <v>766026.33</v>
      </c>
      <c r="F8" s="87">
        <v>957292.33</v>
      </c>
      <c r="G8" s="94">
        <v>2.7942004097769955E-3</v>
      </c>
      <c r="I8" s="64"/>
    </row>
    <row r="9" spans="1:9" ht="20" customHeight="1" thickBot="1">
      <c r="A9" s="7" t="s">
        <v>80</v>
      </c>
      <c r="B9" s="87">
        <v>80494.33</v>
      </c>
      <c r="C9" s="93">
        <v>134731.5</v>
      </c>
      <c r="D9" s="87">
        <v>142037.82</v>
      </c>
      <c r="E9" s="93">
        <v>276769.33</v>
      </c>
      <c r="F9" s="87">
        <v>357263.67</v>
      </c>
      <c r="G9" s="94">
        <v>3.6133003755621134E-3</v>
      </c>
      <c r="I9" s="64"/>
    </row>
    <row r="10" spans="1:9" ht="20" customHeight="1" thickBot="1">
      <c r="A10" s="7" t="s">
        <v>81</v>
      </c>
      <c r="B10" s="87">
        <v>7902.08</v>
      </c>
      <c r="C10" s="93">
        <v>13684.06</v>
      </c>
      <c r="D10" s="87">
        <v>13824.76</v>
      </c>
      <c r="E10" s="93">
        <v>27508.83</v>
      </c>
      <c r="F10" s="87">
        <v>35410.92</v>
      </c>
      <c r="G10" s="94">
        <v>-2.8721005268036088E-3</v>
      </c>
      <c r="I10" s="64"/>
    </row>
    <row r="11" spans="1:9" ht="20" customHeight="1" thickBot="1">
      <c r="A11" s="7" t="s">
        <v>82</v>
      </c>
      <c r="B11" s="87">
        <v>30766.5</v>
      </c>
      <c r="C11" s="93">
        <v>52244.4</v>
      </c>
      <c r="D11" s="87">
        <v>51732.09</v>
      </c>
      <c r="E11" s="93">
        <v>103976.5</v>
      </c>
      <c r="F11" s="87">
        <v>134743</v>
      </c>
      <c r="G11" s="94">
        <v>1.4268876135466263E-2</v>
      </c>
      <c r="I11" s="64"/>
    </row>
    <row r="12" spans="1:9" ht="20" customHeight="1" thickBot="1">
      <c r="A12" s="7" t="s">
        <v>83</v>
      </c>
      <c r="B12" s="87">
        <v>7941.25</v>
      </c>
      <c r="C12" s="93">
        <v>12877.16</v>
      </c>
      <c r="D12" s="87">
        <v>12991.76</v>
      </c>
      <c r="E12" s="93">
        <v>25868.92</v>
      </c>
      <c r="F12" s="87">
        <v>33810.17</v>
      </c>
      <c r="G12" s="94">
        <v>6.1078364029073335E-3</v>
      </c>
      <c r="I12" s="64"/>
    </row>
    <row r="13" spans="1:9" ht="20" customHeight="1" thickBot="1">
      <c r="A13" s="7" t="s">
        <v>84</v>
      </c>
      <c r="B13" s="87">
        <v>8336.5</v>
      </c>
      <c r="C13" s="93">
        <v>15253</v>
      </c>
      <c r="D13" s="87">
        <v>15167.34</v>
      </c>
      <c r="E13" s="93">
        <v>30420.33</v>
      </c>
      <c r="F13" s="87">
        <v>38756.83</v>
      </c>
      <c r="G13" s="94">
        <v>4.8460911893769762E-3</v>
      </c>
      <c r="I13" s="64"/>
    </row>
    <row r="14" spans="1:9" ht="20" customHeight="1" thickBot="1">
      <c r="A14" s="7" t="s">
        <v>85</v>
      </c>
      <c r="B14" s="87">
        <v>8548.42</v>
      </c>
      <c r="C14" s="93">
        <v>14900.6</v>
      </c>
      <c r="D14" s="87">
        <v>15402.49</v>
      </c>
      <c r="E14" s="93">
        <v>30303.08</v>
      </c>
      <c r="F14" s="87">
        <v>38851.5</v>
      </c>
      <c r="G14" s="94">
        <v>-1.2917156683182633E-3</v>
      </c>
      <c r="I14" s="64"/>
    </row>
    <row r="15" spans="1:9" ht="20" customHeight="1" thickBot="1">
      <c r="A15" s="7" t="s">
        <v>86</v>
      </c>
      <c r="B15" s="87">
        <v>21184.5</v>
      </c>
      <c r="C15" s="93">
        <v>40242.25</v>
      </c>
      <c r="D15" s="87">
        <v>40783.14</v>
      </c>
      <c r="E15" s="93">
        <v>81025.42</v>
      </c>
      <c r="F15" s="87">
        <v>102209.92</v>
      </c>
      <c r="G15" s="94">
        <v>1.0291419039970329E-2</v>
      </c>
      <c r="I15" s="64"/>
    </row>
    <row r="16" spans="1:9" ht="20" customHeight="1" thickBot="1">
      <c r="A16" s="7" t="s">
        <v>87</v>
      </c>
      <c r="B16" s="87">
        <v>58881</v>
      </c>
      <c r="C16" s="93">
        <v>92529.83</v>
      </c>
      <c r="D16" s="87">
        <v>95885.42</v>
      </c>
      <c r="E16" s="93">
        <v>188415.25</v>
      </c>
      <c r="F16" s="87">
        <v>247296.25</v>
      </c>
      <c r="G16" s="94">
        <v>1.3908135987929678E-2</v>
      </c>
      <c r="I16" s="64"/>
    </row>
    <row r="17" spans="1:9" ht="20" customHeight="1" thickBot="1">
      <c r="A17" s="7" t="s">
        <v>88</v>
      </c>
      <c r="B17" s="87">
        <v>52320.42</v>
      </c>
      <c r="C17" s="93">
        <v>95759.16</v>
      </c>
      <c r="D17" s="87">
        <v>100776.75</v>
      </c>
      <c r="E17" s="93">
        <v>196535.92</v>
      </c>
      <c r="F17" s="87">
        <v>248856.33</v>
      </c>
      <c r="G17" s="94">
        <v>4.4715911498959112E-3</v>
      </c>
      <c r="I17" s="64"/>
    </row>
    <row r="18" spans="1:9" ht="20" customHeight="1" thickBot="1">
      <c r="A18" s="7" t="s">
        <v>89</v>
      </c>
      <c r="B18" s="87">
        <v>29589.58</v>
      </c>
      <c r="C18" s="93">
        <v>72096.17</v>
      </c>
      <c r="D18" s="87">
        <v>82179.009999999995</v>
      </c>
      <c r="E18" s="93">
        <v>154275.17000000001</v>
      </c>
      <c r="F18" s="87">
        <v>183864.75</v>
      </c>
      <c r="G18" s="94">
        <v>-7.7437628058333822E-3</v>
      </c>
      <c r="I18" s="64"/>
    </row>
    <row r="19" spans="1:9" ht="20" customHeight="1" thickBot="1">
      <c r="A19" s="7" t="s">
        <v>90</v>
      </c>
      <c r="B19" s="87">
        <v>52249.919999999998</v>
      </c>
      <c r="C19" s="93">
        <v>103416.92</v>
      </c>
      <c r="D19" s="87">
        <v>109525.82</v>
      </c>
      <c r="E19" s="93">
        <v>212942.75</v>
      </c>
      <c r="F19" s="87">
        <v>265192.67</v>
      </c>
      <c r="G19" s="94">
        <v>5.6115458924069677E-3</v>
      </c>
      <c r="I19" s="64"/>
    </row>
    <row r="20" spans="1:9" ht="20" customHeight="1" thickBot="1">
      <c r="A20" s="7" t="s">
        <v>91</v>
      </c>
      <c r="B20" s="87">
        <v>15291.33</v>
      </c>
      <c r="C20" s="93">
        <v>28954.27</v>
      </c>
      <c r="D20" s="87">
        <v>31137.51</v>
      </c>
      <c r="E20" s="93">
        <v>60091.75</v>
      </c>
      <c r="F20" s="87">
        <v>75383.08</v>
      </c>
      <c r="G20" s="94">
        <v>8.8400284134288961E-4</v>
      </c>
      <c r="I20" s="64"/>
    </row>
    <row r="21" spans="1:9" ht="20" customHeight="1" thickBot="1">
      <c r="A21" s="7" t="s">
        <v>92</v>
      </c>
      <c r="B21" s="87">
        <v>12315.5</v>
      </c>
      <c r="C21" s="93">
        <v>20225.830000000002</v>
      </c>
      <c r="D21" s="87">
        <v>21193</v>
      </c>
      <c r="E21" s="93">
        <v>41418.83</v>
      </c>
      <c r="F21" s="87">
        <v>53734.33</v>
      </c>
      <c r="G21" s="94">
        <v>-1.7308996330871443E-3</v>
      </c>
      <c r="I21" s="64"/>
    </row>
    <row r="22" spans="1:9" ht="20" customHeight="1" thickBot="1">
      <c r="A22" s="7" t="s">
        <v>93</v>
      </c>
      <c r="B22" s="87">
        <v>3886.67</v>
      </c>
      <c r="C22" s="93">
        <v>5608.66</v>
      </c>
      <c r="D22" s="87">
        <v>5507.26</v>
      </c>
      <c r="E22" s="93">
        <v>11115.92</v>
      </c>
      <c r="F22" s="87">
        <v>15002.58</v>
      </c>
      <c r="G22" s="94">
        <v>3.8583910917313379E-3</v>
      </c>
      <c r="I22" s="64"/>
    </row>
    <row r="23" spans="1:9" ht="20" customHeight="1" thickBot="1">
      <c r="A23" s="7" t="s">
        <v>94</v>
      </c>
      <c r="B23" s="87">
        <v>106057.33</v>
      </c>
      <c r="C23" s="93">
        <v>173022.67</v>
      </c>
      <c r="D23" s="87">
        <v>181591.17</v>
      </c>
      <c r="E23" s="93">
        <v>354613.83</v>
      </c>
      <c r="F23" s="87">
        <v>460671.17</v>
      </c>
      <c r="G23" s="94">
        <v>3.533215662589545E-3</v>
      </c>
      <c r="I23" s="64"/>
    </row>
    <row r="24" spans="1:9" ht="20" customHeight="1" thickBot="1">
      <c r="A24" s="7" t="s">
        <v>95</v>
      </c>
      <c r="B24" s="87">
        <v>39014.25</v>
      </c>
      <c r="C24" s="93">
        <v>76316.08</v>
      </c>
      <c r="D24" s="87">
        <v>78008.41</v>
      </c>
      <c r="E24" s="93">
        <v>154324.5</v>
      </c>
      <c r="F24" s="87">
        <v>193338.75</v>
      </c>
      <c r="G24" s="94">
        <v>-6.6804009964522161E-5</v>
      </c>
      <c r="I24" s="64"/>
    </row>
    <row r="25" spans="1:9" ht="20" customHeight="1" thickBot="1">
      <c r="A25" s="7" t="s">
        <v>96</v>
      </c>
      <c r="B25" s="87">
        <v>122867.67</v>
      </c>
      <c r="C25" s="93">
        <v>218513.34</v>
      </c>
      <c r="D25" s="87">
        <v>224847.26</v>
      </c>
      <c r="E25" s="93">
        <v>443360.58</v>
      </c>
      <c r="F25" s="87">
        <v>566228.25</v>
      </c>
      <c r="G25" s="94">
        <v>6.3963052061791993E-3</v>
      </c>
      <c r="I25" s="64"/>
    </row>
    <row r="26" spans="1:9" ht="20" customHeight="1" thickBot="1">
      <c r="A26" s="7" t="s">
        <v>97</v>
      </c>
      <c r="B26" s="87">
        <v>55024.92</v>
      </c>
      <c r="C26" s="93">
        <v>87291.07</v>
      </c>
      <c r="D26" s="87">
        <v>90478.99</v>
      </c>
      <c r="E26" s="93">
        <v>177770.08</v>
      </c>
      <c r="F26" s="87">
        <v>232795</v>
      </c>
      <c r="G26" s="94">
        <v>6.0614922197465117E-3</v>
      </c>
      <c r="I26" s="64"/>
    </row>
    <row r="27" spans="1:9" ht="20" customHeight="1" thickBot="1">
      <c r="A27" s="7" t="s">
        <v>98</v>
      </c>
      <c r="B27" s="87">
        <v>57590.17</v>
      </c>
      <c r="C27" s="93">
        <v>121514.33</v>
      </c>
      <c r="D27" s="87">
        <v>136281.01999999999</v>
      </c>
      <c r="E27" s="93">
        <v>257795.33</v>
      </c>
      <c r="F27" s="87">
        <v>315385.5</v>
      </c>
      <c r="G27" s="94">
        <v>4.0481598103871991E-3</v>
      </c>
      <c r="I27" s="64"/>
    </row>
    <row r="28" spans="1:9" ht="20" customHeight="1" thickBot="1">
      <c r="A28" s="7" t="s">
        <v>99</v>
      </c>
      <c r="B28" s="87">
        <v>139771.25</v>
      </c>
      <c r="C28" s="93">
        <v>236982.18</v>
      </c>
      <c r="D28" s="87">
        <v>260897.57</v>
      </c>
      <c r="E28" s="93">
        <v>497879.75</v>
      </c>
      <c r="F28" s="87">
        <v>637651</v>
      </c>
      <c r="G28" s="94">
        <v>8.3055478065454675E-3</v>
      </c>
      <c r="I28" s="64"/>
    </row>
    <row r="29" spans="1:9" ht="20" customHeight="1" thickBot="1">
      <c r="A29" s="7" t="s">
        <v>100</v>
      </c>
      <c r="B29" s="87">
        <v>62342.83</v>
      </c>
      <c r="C29" s="93">
        <v>111425.26</v>
      </c>
      <c r="D29" s="87">
        <v>116759.31</v>
      </c>
      <c r="E29" s="93">
        <v>228184.58</v>
      </c>
      <c r="F29" s="87">
        <v>290527.42</v>
      </c>
      <c r="G29" s="94">
        <v>1.2603498874216669E-2</v>
      </c>
      <c r="I29" s="64"/>
    </row>
    <row r="30" spans="1:9" ht="20" customHeight="1" thickBot="1">
      <c r="A30" s="7" t="s">
        <v>101</v>
      </c>
      <c r="B30" s="87">
        <v>36349.83</v>
      </c>
      <c r="C30" s="93">
        <v>63264.74</v>
      </c>
      <c r="D30" s="87">
        <v>69333.649999999994</v>
      </c>
      <c r="E30" s="93">
        <v>132598.42000000001</v>
      </c>
      <c r="F30" s="87">
        <v>168948.25</v>
      </c>
      <c r="G30" s="94">
        <v>1.6640225769523403E-3</v>
      </c>
      <c r="I30" s="64"/>
    </row>
    <row r="31" spans="1:9" ht="20" customHeight="1" thickBot="1">
      <c r="A31" s="7" t="s">
        <v>102</v>
      </c>
      <c r="B31" s="87">
        <v>84277.92</v>
      </c>
      <c r="C31" s="93">
        <v>147198</v>
      </c>
      <c r="D31" s="87">
        <v>164845.01</v>
      </c>
      <c r="E31" s="93">
        <v>312043</v>
      </c>
      <c r="F31" s="87">
        <v>396320.92</v>
      </c>
      <c r="G31" s="94">
        <v>9.3257173644922386E-4</v>
      </c>
      <c r="I31" s="64"/>
    </row>
    <row r="32" spans="1:9" ht="20" customHeight="1" thickBot="1">
      <c r="A32" s="65" t="s">
        <v>103</v>
      </c>
      <c r="B32" s="87">
        <v>16035.75</v>
      </c>
      <c r="C32" s="93">
        <v>26043.51</v>
      </c>
      <c r="D32" s="87">
        <v>27775.08</v>
      </c>
      <c r="E32" s="93">
        <v>53818.58</v>
      </c>
      <c r="F32" s="87">
        <v>69854.33</v>
      </c>
      <c r="G32" s="94">
        <v>-2.2389788283520835E-3</v>
      </c>
      <c r="I32" s="64"/>
    </row>
    <row r="33" spans="1:9" ht="30" customHeight="1" thickBot="1">
      <c r="A33" s="12" t="s">
        <v>104</v>
      </c>
      <c r="B33" s="95">
        <v>1542324.34</v>
      </c>
      <c r="C33" s="96">
        <v>2822971.43</v>
      </c>
      <c r="D33" s="95">
        <v>3012475.88</v>
      </c>
      <c r="E33" s="96">
        <v>5835447.3100000005</v>
      </c>
      <c r="F33" s="95">
        <v>7377771.6699999999</v>
      </c>
      <c r="G33" s="97">
        <v>4.9938515779883955E-3</v>
      </c>
      <c r="I33" s="64"/>
    </row>
    <row r="34" spans="1:9" ht="20" customHeight="1">
      <c r="A34" s="9" t="s">
        <v>257</v>
      </c>
      <c r="B34" s="9"/>
      <c r="C34" s="9"/>
      <c r="D34" s="9"/>
      <c r="E34" s="9"/>
      <c r="F34" s="9"/>
      <c r="G34" s="98"/>
      <c r="I34" s="92"/>
    </row>
    <row r="35" spans="1:9" ht="11.25" customHeight="1">
      <c r="A35" s="37"/>
      <c r="B35" s="37"/>
      <c r="C35" s="37"/>
      <c r="D35" s="37"/>
      <c r="E35" s="37"/>
      <c r="F35" s="37"/>
      <c r="G35" s="99"/>
      <c r="I35" s="92"/>
    </row>
    <row r="36" spans="1:9" ht="14.25" customHeight="1">
      <c r="A36" s="37" t="s">
        <v>44</v>
      </c>
      <c r="B36" s="37"/>
      <c r="C36" s="37"/>
      <c r="D36" s="37"/>
      <c r="E36" s="37"/>
      <c r="F36" s="37"/>
      <c r="G36" s="99"/>
      <c r="I36" s="92"/>
    </row>
    <row r="37" spans="1:9" ht="13.5" customHeight="1">
      <c r="A37" s="37"/>
      <c r="B37" s="37"/>
      <c r="C37" s="37"/>
      <c r="D37" s="37"/>
      <c r="E37" s="37"/>
      <c r="F37" s="37"/>
      <c r="G37" s="99"/>
      <c r="I37" s="92"/>
    </row>
    <row r="38" spans="1:9" ht="12" customHeight="1">
      <c r="A38" s="37" t="s">
        <v>45</v>
      </c>
    </row>
    <row r="39" spans="1:9" ht="12" customHeight="1"/>
    <row r="40" spans="1:9" ht="12" customHeight="1">
      <c r="A40" s="3" t="s">
        <v>2079</v>
      </c>
    </row>
    <row r="41" spans="1:9" ht="12" customHeight="1">
      <c r="A41" s="3" t="s">
        <v>1006</v>
      </c>
    </row>
    <row r="42" spans="1:9" ht="12" customHeight="1">
      <c r="A42" s="3" t="s">
        <v>2080</v>
      </c>
    </row>
    <row r="43" spans="1:9" ht="12" customHeight="1">
      <c r="A43" s="3" t="s">
        <v>2081</v>
      </c>
    </row>
    <row r="44" spans="1:9" ht="12" customHeight="1">
      <c r="A44" s="3" t="s">
        <v>2082</v>
      </c>
    </row>
    <row r="45" spans="1:9" ht="12" customHeight="1">
      <c r="A45" s="3" t="s">
        <v>2083</v>
      </c>
    </row>
    <row r="46" spans="1:9" ht="12" customHeight="1">
      <c r="A46" s="3" t="s">
        <v>2084</v>
      </c>
    </row>
    <row r="47" spans="1:9" ht="12" customHeight="1">
      <c r="A47" s="3" t="s">
        <v>2085</v>
      </c>
    </row>
    <row r="48" spans="1:9" ht="12" customHeight="1">
      <c r="A48" s="38" t="s">
        <v>2086</v>
      </c>
    </row>
    <row r="49" spans="1:1" ht="12" customHeight="1">
      <c r="A49" s="38" t="s">
        <v>2087</v>
      </c>
    </row>
    <row r="50" spans="1:1" ht="12" customHeight="1"/>
    <row r="51" spans="1:1" ht="12" customHeight="1"/>
    <row r="52" spans="1:1" ht="12" customHeight="1">
      <c r="A52" s="37" t="s">
        <v>256</v>
      </c>
    </row>
  </sheetData>
  <phoneticPr fontId="0" type="noConversion"/>
  <pageMargins left="0.65" right="0.45" top="0.87" bottom="0.49" header="0.51" footer="0.4921259845"/>
  <pageSetup paperSize="9" scale="80" orientation="portrait" horizontalDpi="1200" verticalDpi="1200"/>
  <headerFooter alignWithMargins="0">
    <oddHeader>&amp;L&amp;"Arial,Bold"Leistungen und Kostenbeteiligung in der OKP</oddHead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D5522-A847-6443-A343-45F161BF1370}">
  <dimension ref="A1:I43"/>
  <sheetViews>
    <sheetView zoomScale="75" workbookViewId="0"/>
  </sheetViews>
  <sheetFormatPr baseColWidth="10" defaultColWidth="11.3984375" defaultRowHeight="13"/>
  <cols>
    <col min="1" max="4" width="14.796875" style="3" customWidth="1"/>
    <col min="5" max="5" width="17" style="3" customWidth="1"/>
    <col min="6" max="6" width="16.3984375" style="3" customWidth="1"/>
    <col min="7" max="7" width="14.796875" style="100" customWidth="1"/>
    <col min="8" max="8" width="11.3984375" style="3"/>
    <col min="9" max="9" width="14.59765625" style="3" customWidth="1"/>
    <col min="10" max="16384" width="11.3984375" style="3"/>
  </cols>
  <sheetData>
    <row r="1" spans="1:9" s="1" customFormat="1" ht="14" customHeight="1">
      <c r="G1" s="90"/>
    </row>
    <row r="2" spans="1:9" s="1" customFormat="1" ht="28" customHeight="1">
      <c r="A2" s="59" t="s">
        <v>2078</v>
      </c>
      <c r="G2" s="59">
        <v>2003</v>
      </c>
    </row>
    <row r="3" spans="1:9" ht="27" customHeight="1">
      <c r="A3" s="2" t="s">
        <v>70</v>
      </c>
      <c r="B3" s="69" t="s">
        <v>71</v>
      </c>
      <c r="C3" s="16" t="s">
        <v>72</v>
      </c>
      <c r="D3" s="69" t="s">
        <v>73</v>
      </c>
      <c r="E3" s="16" t="s">
        <v>22</v>
      </c>
      <c r="F3" s="69" t="s">
        <v>22</v>
      </c>
      <c r="G3" s="91" t="s">
        <v>24</v>
      </c>
    </row>
    <row r="4" spans="1:9" ht="15" customHeight="1">
      <c r="A4" s="4"/>
      <c r="B4" s="70"/>
      <c r="C4" s="4"/>
      <c r="D4" s="71"/>
      <c r="E4" s="17" t="s">
        <v>74</v>
      </c>
      <c r="F4" s="70" t="s">
        <v>75</v>
      </c>
      <c r="G4" s="4" t="s">
        <v>25</v>
      </c>
    </row>
    <row r="5" spans="1:9" ht="15" customHeight="1">
      <c r="A5" s="4"/>
      <c r="B5" s="70"/>
      <c r="C5" s="4"/>
      <c r="D5" s="71"/>
      <c r="E5" s="17" t="s">
        <v>76</v>
      </c>
      <c r="F5" s="70" t="s">
        <v>77</v>
      </c>
      <c r="G5" s="4" t="s">
        <v>26</v>
      </c>
    </row>
    <row r="6" spans="1:9" ht="24" customHeight="1">
      <c r="A6" s="5"/>
      <c r="B6" s="72"/>
      <c r="C6" s="5"/>
      <c r="D6" s="72"/>
      <c r="E6" s="18"/>
      <c r="F6" s="73"/>
      <c r="G6" s="5"/>
    </row>
    <row r="7" spans="1:9" ht="30" customHeight="1" thickBot="1">
      <c r="A7" s="6" t="s">
        <v>78</v>
      </c>
      <c r="B7" s="87">
        <v>180567046</v>
      </c>
      <c r="C7" s="93">
        <v>1124125928</v>
      </c>
      <c r="D7" s="87">
        <v>1677360742</v>
      </c>
      <c r="E7" s="93">
        <v>2801486670</v>
      </c>
      <c r="F7" s="87">
        <v>2982053716</v>
      </c>
      <c r="G7" s="94">
        <v>2.1215233497472109E-2</v>
      </c>
      <c r="I7" s="64"/>
    </row>
    <row r="8" spans="1:9" ht="20" customHeight="1" thickBot="1">
      <c r="A8" s="7" t="s">
        <v>79</v>
      </c>
      <c r="B8" s="87">
        <v>126864166</v>
      </c>
      <c r="C8" s="93">
        <v>882483360</v>
      </c>
      <c r="D8" s="87">
        <v>1303291245</v>
      </c>
      <c r="E8" s="93">
        <v>2185774605</v>
      </c>
      <c r="F8" s="87">
        <v>2312638771</v>
      </c>
      <c r="G8" s="94">
        <v>6.3882469314018198E-2</v>
      </c>
      <c r="I8" s="64"/>
    </row>
    <row r="9" spans="1:9" ht="20" customHeight="1" thickBot="1">
      <c r="A9" s="7" t="s">
        <v>80</v>
      </c>
      <c r="B9" s="87">
        <v>43432037</v>
      </c>
      <c r="C9" s="93">
        <v>267810301</v>
      </c>
      <c r="D9" s="87">
        <v>381832716</v>
      </c>
      <c r="E9" s="93">
        <v>649643017</v>
      </c>
      <c r="F9" s="87">
        <v>693075054</v>
      </c>
      <c r="G9" s="94">
        <v>6.2485345843609617E-2</v>
      </c>
      <c r="I9" s="64"/>
    </row>
    <row r="10" spans="1:9" ht="20" customHeight="1" thickBot="1">
      <c r="A10" s="7" t="s">
        <v>81</v>
      </c>
      <c r="B10" s="87">
        <v>4581847</v>
      </c>
      <c r="C10" s="93">
        <v>25929822</v>
      </c>
      <c r="D10" s="87">
        <v>35061132</v>
      </c>
      <c r="E10" s="93">
        <v>60990954</v>
      </c>
      <c r="F10" s="87">
        <v>65572801</v>
      </c>
      <c r="G10" s="94">
        <v>7.6276867446892757E-2</v>
      </c>
      <c r="I10" s="64"/>
    </row>
    <row r="11" spans="1:9" ht="20" customHeight="1" thickBot="1">
      <c r="A11" s="7" t="s">
        <v>82</v>
      </c>
      <c r="B11" s="87">
        <v>21220605</v>
      </c>
      <c r="C11" s="93">
        <v>103924724</v>
      </c>
      <c r="D11" s="87">
        <v>139112143</v>
      </c>
      <c r="E11" s="93">
        <v>243036867</v>
      </c>
      <c r="F11" s="87">
        <v>264257472</v>
      </c>
      <c r="G11" s="94">
        <v>8.2130772647657446E-2</v>
      </c>
      <c r="I11" s="64"/>
    </row>
    <row r="12" spans="1:9" ht="20" customHeight="1" thickBot="1">
      <c r="A12" s="7" t="s">
        <v>83</v>
      </c>
      <c r="B12" s="87">
        <v>4357341</v>
      </c>
      <c r="C12" s="93">
        <v>21868233</v>
      </c>
      <c r="D12" s="87">
        <v>34863761</v>
      </c>
      <c r="E12" s="93">
        <v>56731994</v>
      </c>
      <c r="F12" s="87">
        <v>61089335</v>
      </c>
      <c r="G12" s="94">
        <v>8.1311223343237579E-2</v>
      </c>
      <c r="I12" s="64"/>
    </row>
    <row r="13" spans="1:9" ht="20" customHeight="1" thickBot="1">
      <c r="A13" s="7" t="s">
        <v>84</v>
      </c>
      <c r="B13" s="87">
        <v>4793979</v>
      </c>
      <c r="C13" s="93">
        <v>26236617</v>
      </c>
      <c r="D13" s="87">
        <v>37319341</v>
      </c>
      <c r="E13" s="93">
        <v>63555958</v>
      </c>
      <c r="F13" s="87">
        <v>68349937</v>
      </c>
      <c r="G13" s="94">
        <v>7.0143333580189357E-2</v>
      </c>
      <c r="I13" s="64"/>
    </row>
    <row r="14" spans="1:9" ht="20" customHeight="1" thickBot="1">
      <c r="A14" s="7" t="s">
        <v>85</v>
      </c>
      <c r="B14" s="87">
        <v>6131916</v>
      </c>
      <c r="C14" s="93">
        <v>29639699</v>
      </c>
      <c r="D14" s="87">
        <v>42597395</v>
      </c>
      <c r="E14" s="93">
        <v>72237094</v>
      </c>
      <c r="F14" s="87">
        <v>78369010</v>
      </c>
      <c r="G14" s="94">
        <v>2.893487549034874E-2</v>
      </c>
      <c r="I14" s="64"/>
    </row>
    <row r="15" spans="1:9" ht="20" customHeight="1" thickBot="1">
      <c r="A15" s="7" t="s">
        <v>86</v>
      </c>
      <c r="B15" s="87">
        <v>12037132</v>
      </c>
      <c r="C15" s="93">
        <v>75391569</v>
      </c>
      <c r="D15" s="87">
        <v>115241407</v>
      </c>
      <c r="E15" s="93">
        <v>190632976</v>
      </c>
      <c r="F15" s="87">
        <v>202670108</v>
      </c>
      <c r="G15" s="94">
        <v>3.085510919281275E-2</v>
      </c>
      <c r="I15" s="64"/>
    </row>
    <row r="16" spans="1:9" ht="20" customHeight="1" thickBot="1">
      <c r="A16" s="7" t="s">
        <v>87</v>
      </c>
      <c r="B16" s="87">
        <v>41094142</v>
      </c>
      <c r="C16" s="93">
        <v>213567995</v>
      </c>
      <c r="D16" s="87">
        <v>306240678</v>
      </c>
      <c r="E16" s="93">
        <v>519808673</v>
      </c>
      <c r="F16" s="87">
        <v>560902815</v>
      </c>
      <c r="G16" s="94">
        <v>4.225435136359957E-2</v>
      </c>
      <c r="I16" s="64"/>
    </row>
    <row r="17" spans="1:9" ht="20" customHeight="1" thickBot="1">
      <c r="A17" s="7" t="s">
        <v>88</v>
      </c>
      <c r="B17" s="87">
        <v>36125010</v>
      </c>
      <c r="C17" s="93">
        <v>221708981</v>
      </c>
      <c r="D17" s="87">
        <v>317403718</v>
      </c>
      <c r="E17" s="93">
        <v>539112699</v>
      </c>
      <c r="F17" s="87">
        <v>575237709</v>
      </c>
      <c r="G17" s="94">
        <v>8.6610067740407318E-2</v>
      </c>
      <c r="I17" s="64"/>
    </row>
    <row r="18" spans="1:9" ht="20" customHeight="1" thickBot="1">
      <c r="A18" s="7" t="s">
        <v>89</v>
      </c>
      <c r="B18" s="87">
        <v>28284092</v>
      </c>
      <c r="C18" s="93">
        <v>222105642</v>
      </c>
      <c r="D18" s="87">
        <v>360595379</v>
      </c>
      <c r="E18" s="93">
        <v>582701021</v>
      </c>
      <c r="F18" s="87">
        <v>610985113</v>
      </c>
      <c r="G18" s="94">
        <v>1.7829008849544196E-2</v>
      </c>
      <c r="I18" s="64"/>
    </row>
    <row r="19" spans="1:9" ht="20" customHeight="1" thickBot="1">
      <c r="A19" s="7" t="s">
        <v>90</v>
      </c>
      <c r="B19" s="87">
        <v>44416750</v>
      </c>
      <c r="C19" s="93">
        <v>261005456</v>
      </c>
      <c r="D19" s="87">
        <v>368392808</v>
      </c>
      <c r="E19" s="93">
        <v>629398264</v>
      </c>
      <c r="F19" s="87">
        <v>673815014</v>
      </c>
      <c r="G19" s="94">
        <v>3.9636205298969072E-2</v>
      </c>
      <c r="I19" s="64"/>
    </row>
    <row r="20" spans="1:9" ht="20" customHeight="1" thickBot="1">
      <c r="A20" s="7" t="s">
        <v>91</v>
      </c>
      <c r="B20" s="87">
        <v>9298680</v>
      </c>
      <c r="C20" s="93">
        <v>64249272</v>
      </c>
      <c r="D20" s="87">
        <v>100348335</v>
      </c>
      <c r="E20" s="93">
        <v>164597607</v>
      </c>
      <c r="F20" s="87">
        <v>173896287</v>
      </c>
      <c r="G20" s="94">
        <v>2.6261113135841424E-2</v>
      </c>
      <c r="I20" s="64"/>
    </row>
    <row r="21" spans="1:9" ht="20" customHeight="1" thickBot="1">
      <c r="A21" s="7" t="s">
        <v>92</v>
      </c>
      <c r="B21" s="87">
        <v>7116834</v>
      </c>
      <c r="C21" s="93">
        <v>37494157</v>
      </c>
      <c r="D21" s="87">
        <v>54318587</v>
      </c>
      <c r="E21" s="93">
        <v>91812744</v>
      </c>
      <c r="F21" s="87">
        <v>98929578</v>
      </c>
      <c r="G21" s="94">
        <v>7.613904985447259E-2</v>
      </c>
      <c r="I21" s="64"/>
    </row>
    <row r="22" spans="1:9" ht="20" customHeight="1" thickBot="1">
      <c r="A22" s="7" t="s">
        <v>93</v>
      </c>
      <c r="B22" s="87">
        <v>1706994</v>
      </c>
      <c r="C22" s="93">
        <v>9760017</v>
      </c>
      <c r="D22" s="87">
        <v>13306724</v>
      </c>
      <c r="E22" s="93">
        <v>23066741</v>
      </c>
      <c r="F22" s="87">
        <v>24773735</v>
      </c>
      <c r="G22" s="94">
        <v>3.5441146365230006E-2</v>
      </c>
      <c r="I22" s="64"/>
    </row>
    <row r="23" spans="1:9" ht="20" customHeight="1" thickBot="1">
      <c r="A23" s="7" t="s">
        <v>94</v>
      </c>
      <c r="B23" s="87">
        <v>67969612</v>
      </c>
      <c r="C23" s="93">
        <v>354792973</v>
      </c>
      <c r="D23" s="87">
        <v>501277489</v>
      </c>
      <c r="E23" s="93">
        <v>856070462</v>
      </c>
      <c r="F23" s="87">
        <v>924040074</v>
      </c>
      <c r="G23" s="94">
        <v>8.8021757324905081E-2</v>
      </c>
      <c r="I23" s="64"/>
    </row>
    <row r="24" spans="1:9" ht="20" customHeight="1" thickBot="1">
      <c r="A24" s="7" t="s">
        <v>95</v>
      </c>
      <c r="B24" s="87">
        <v>25340681</v>
      </c>
      <c r="C24" s="93">
        <v>151717818</v>
      </c>
      <c r="D24" s="87">
        <v>212920349</v>
      </c>
      <c r="E24" s="93">
        <v>364638167</v>
      </c>
      <c r="F24" s="87">
        <v>389978848</v>
      </c>
      <c r="G24" s="94">
        <v>6.3943310047634705E-2</v>
      </c>
      <c r="I24" s="64"/>
    </row>
    <row r="25" spans="1:9" ht="20" customHeight="1" thickBot="1">
      <c r="A25" s="7" t="s">
        <v>96</v>
      </c>
      <c r="B25" s="87">
        <v>79701421</v>
      </c>
      <c r="C25" s="93">
        <v>462486756</v>
      </c>
      <c r="D25" s="87">
        <v>656987180</v>
      </c>
      <c r="E25" s="93">
        <v>1119473936</v>
      </c>
      <c r="F25" s="87">
        <v>1199175357</v>
      </c>
      <c r="G25" s="94">
        <v>4.8498460549757802E-2</v>
      </c>
      <c r="I25" s="64"/>
    </row>
    <row r="26" spans="1:9" ht="20" customHeight="1" thickBot="1">
      <c r="A26" s="7" t="s">
        <v>97</v>
      </c>
      <c r="B26" s="87">
        <v>36025898</v>
      </c>
      <c r="C26" s="93">
        <v>194854479</v>
      </c>
      <c r="D26" s="87">
        <v>268508596</v>
      </c>
      <c r="E26" s="93">
        <v>463363075</v>
      </c>
      <c r="F26" s="87">
        <v>499388973</v>
      </c>
      <c r="G26" s="94">
        <v>4.7389388587457407E-2</v>
      </c>
      <c r="I26" s="64"/>
    </row>
    <row r="27" spans="1:9" ht="20" customHeight="1" thickBot="1">
      <c r="A27" s="7" t="s">
        <v>98</v>
      </c>
      <c r="B27" s="87">
        <v>51515584</v>
      </c>
      <c r="C27" s="93">
        <v>371777485</v>
      </c>
      <c r="D27" s="87">
        <v>530322888</v>
      </c>
      <c r="E27" s="93">
        <v>902100373</v>
      </c>
      <c r="F27" s="87">
        <v>953615957</v>
      </c>
      <c r="G27" s="94">
        <v>6.071459678311758E-2</v>
      </c>
      <c r="I27" s="64"/>
    </row>
    <row r="28" spans="1:9" ht="20" customHeight="1" thickBot="1">
      <c r="A28" s="7" t="s">
        <v>99</v>
      </c>
      <c r="B28" s="87">
        <v>134717981</v>
      </c>
      <c r="C28" s="93">
        <v>685439417</v>
      </c>
      <c r="D28" s="87">
        <v>1052577689</v>
      </c>
      <c r="E28" s="93">
        <v>1738017106</v>
      </c>
      <c r="F28" s="87">
        <v>1872735087</v>
      </c>
      <c r="G28" s="94">
        <v>4.8966091802344951E-2</v>
      </c>
      <c r="I28" s="64"/>
    </row>
    <row r="29" spans="1:9" ht="20" customHeight="1" thickBot="1">
      <c r="A29" s="7" t="s">
        <v>100</v>
      </c>
      <c r="B29" s="87">
        <v>42157729</v>
      </c>
      <c r="C29" s="93">
        <v>245007720</v>
      </c>
      <c r="D29" s="87">
        <v>346097577</v>
      </c>
      <c r="E29" s="93">
        <v>591105297</v>
      </c>
      <c r="F29" s="87">
        <v>633263026</v>
      </c>
      <c r="G29" s="94">
        <v>7.6011693343094294E-2</v>
      </c>
      <c r="I29" s="64"/>
    </row>
    <row r="30" spans="1:9" ht="20" customHeight="1" thickBot="1">
      <c r="A30" s="7" t="s">
        <v>101</v>
      </c>
      <c r="B30" s="87">
        <v>30443514</v>
      </c>
      <c r="C30" s="93">
        <v>181234395</v>
      </c>
      <c r="D30" s="87">
        <v>278978536</v>
      </c>
      <c r="E30" s="93">
        <v>460212931</v>
      </c>
      <c r="F30" s="87">
        <v>490656445</v>
      </c>
      <c r="G30" s="94">
        <v>5.991672561964221E-2</v>
      </c>
      <c r="I30" s="64"/>
    </row>
    <row r="31" spans="1:9" ht="20" customHeight="1" thickBot="1">
      <c r="A31" s="7" t="s">
        <v>102</v>
      </c>
      <c r="B31" s="87">
        <v>90504971</v>
      </c>
      <c r="C31" s="93">
        <v>474743234</v>
      </c>
      <c r="D31" s="87">
        <v>754196391</v>
      </c>
      <c r="E31" s="93">
        <v>1228939625</v>
      </c>
      <c r="F31" s="87">
        <v>1319444596</v>
      </c>
      <c r="G31" s="94">
        <v>1.2471876012406482E-2</v>
      </c>
      <c r="I31" s="64"/>
    </row>
    <row r="32" spans="1:9" ht="20" customHeight="1" thickBot="1">
      <c r="A32" s="65" t="s">
        <v>103</v>
      </c>
      <c r="B32" s="87">
        <v>11874902</v>
      </c>
      <c r="C32" s="93">
        <v>66650324</v>
      </c>
      <c r="D32" s="87">
        <v>96310902</v>
      </c>
      <c r="E32" s="93">
        <v>162961226</v>
      </c>
      <c r="F32" s="87">
        <v>174836128</v>
      </c>
      <c r="G32" s="94">
        <v>-3.2970881126070724E-2</v>
      </c>
      <c r="I32" s="64"/>
    </row>
    <row r="33" spans="1:9" ht="30" customHeight="1" thickBot="1">
      <c r="A33" s="12" t="s">
        <v>104</v>
      </c>
      <c r="B33" s="95">
        <v>1142280864</v>
      </c>
      <c r="C33" s="96">
        <v>6776006374</v>
      </c>
      <c r="D33" s="95">
        <v>9985463708</v>
      </c>
      <c r="E33" s="96">
        <v>16761470082</v>
      </c>
      <c r="F33" s="95">
        <v>17903750946</v>
      </c>
      <c r="G33" s="97">
        <v>4.6891357292862375E-2</v>
      </c>
      <c r="I33" s="64"/>
    </row>
    <row r="34" spans="1:9" ht="20" customHeight="1">
      <c r="A34" s="9" t="s">
        <v>257</v>
      </c>
      <c r="B34" s="9"/>
      <c r="C34" s="9"/>
      <c r="D34" s="9"/>
      <c r="E34" s="9"/>
      <c r="F34" s="9"/>
      <c r="G34" s="98"/>
    </row>
    <row r="35" spans="1:9" ht="13.5" customHeight="1">
      <c r="A35" s="37"/>
      <c r="B35" s="37"/>
      <c r="C35" s="37"/>
      <c r="D35" s="37"/>
      <c r="E35" s="37"/>
      <c r="F35" s="37"/>
      <c r="G35" s="99"/>
    </row>
    <row r="36" spans="1:9" ht="13.5" customHeight="1">
      <c r="A36" s="37" t="s">
        <v>44</v>
      </c>
      <c r="B36" s="37"/>
      <c r="C36" s="37"/>
      <c r="D36" s="37"/>
      <c r="E36" s="37"/>
      <c r="F36" s="37"/>
      <c r="G36" s="99"/>
    </row>
    <row r="37" spans="1:9" ht="12.75" customHeight="1">
      <c r="A37" s="37"/>
      <c r="B37" s="37"/>
      <c r="C37" s="37"/>
      <c r="D37" s="37"/>
      <c r="E37" s="37"/>
      <c r="F37" s="37"/>
      <c r="G37" s="99"/>
    </row>
    <row r="38" spans="1:9" ht="12" customHeight="1">
      <c r="A38" s="37" t="s">
        <v>366</v>
      </c>
    </row>
    <row r="39" spans="1:9" ht="12" customHeight="1">
      <c r="A39" s="3" t="s">
        <v>365</v>
      </c>
    </row>
    <row r="40" spans="1:9" ht="12" customHeight="1">
      <c r="A40" s="126" t="s">
        <v>2071</v>
      </c>
    </row>
    <row r="41" spans="1:9" ht="12" customHeight="1"/>
    <row r="42" spans="1:9" ht="12" customHeight="1"/>
    <row r="43" spans="1:9">
      <c r="A43" s="37" t="s">
        <v>256</v>
      </c>
    </row>
  </sheetData>
  <phoneticPr fontId="0" type="noConversion"/>
  <pageMargins left="0.56000000000000005" right="0.64" top="0.81" bottom="0.49" header="0.44" footer="0.4921259845"/>
  <pageSetup paperSize="9" scale="80" orientation="portrait" horizontalDpi="1200" verticalDpi="1200"/>
  <headerFooter alignWithMargins="0">
    <oddHeader>&amp;L&amp;"Arial,Bold"Leistungen und Kostenbeteiligung in der OKP</oddHead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52BB9-025D-4247-9D39-282ADCDBA182}">
  <dimension ref="A1:I41"/>
  <sheetViews>
    <sheetView zoomScale="75" workbookViewId="0">
      <selection activeCell="A2" sqref="A2:F2"/>
    </sheetView>
  </sheetViews>
  <sheetFormatPr baseColWidth="10" defaultColWidth="11.3984375" defaultRowHeight="13"/>
  <cols>
    <col min="1" max="1" width="14.796875" style="3" customWidth="1"/>
    <col min="2" max="6" width="14.796875" style="42" customWidth="1"/>
    <col min="7" max="7" width="14.796875" style="21" customWidth="1"/>
    <col min="8" max="8" width="11.3984375" style="3"/>
    <col min="9" max="9" width="0" style="3" hidden="1" customWidth="1"/>
    <col min="10" max="16384" width="11.3984375" style="3"/>
  </cols>
  <sheetData>
    <row r="1" spans="1:9" s="1" customFormat="1" ht="14" customHeight="1">
      <c r="B1" s="101"/>
      <c r="C1" s="101"/>
      <c r="D1" s="101"/>
      <c r="E1" s="101"/>
      <c r="F1" s="101"/>
      <c r="G1" s="23"/>
    </row>
    <row r="2" spans="1:9" s="1" customFormat="1" ht="39.75" customHeight="1">
      <c r="A2" s="1473" t="s">
        <v>2077</v>
      </c>
      <c r="B2" s="1474"/>
      <c r="C2" s="1474"/>
      <c r="D2" s="1474"/>
      <c r="E2" s="1474"/>
      <c r="F2" s="1474"/>
      <c r="G2" s="124">
        <v>2003</v>
      </c>
      <c r="H2" s="124"/>
    </row>
    <row r="3" spans="1:9" ht="27" customHeight="1">
      <c r="A3" s="2" t="s">
        <v>70</v>
      </c>
      <c r="B3" s="13" t="s">
        <v>71</v>
      </c>
      <c r="C3" s="60" t="s">
        <v>72</v>
      </c>
      <c r="D3" s="13" t="s">
        <v>73</v>
      </c>
      <c r="E3" s="60" t="s">
        <v>22</v>
      </c>
      <c r="F3" s="13" t="s">
        <v>22</v>
      </c>
      <c r="G3" s="16" t="s">
        <v>24</v>
      </c>
    </row>
    <row r="4" spans="1:9" ht="15" customHeight="1">
      <c r="A4" s="4"/>
      <c r="B4" s="14"/>
      <c r="C4" s="102"/>
      <c r="D4" s="103"/>
      <c r="E4" s="61" t="s">
        <v>74</v>
      </c>
      <c r="F4" s="14" t="s">
        <v>75</v>
      </c>
      <c r="G4" s="17" t="s">
        <v>25</v>
      </c>
    </row>
    <row r="5" spans="1:9" ht="15" customHeight="1">
      <c r="A5" s="4"/>
      <c r="B5" s="14"/>
      <c r="C5" s="102"/>
      <c r="D5" s="103"/>
      <c r="E5" s="61" t="s">
        <v>76</v>
      </c>
      <c r="F5" s="14" t="s">
        <v>77</v>
      </c>
      <c r="G5" s="17" t="s">
        <v>26</v>
      </c>
    </row>
    <row r="6" spans="1:9" ht="24" customHeight="1">
      <c r="A6" s="5"/>
      <c r="B6" s="104"/>
      <c r="C6" s="105"/>
      <c r="D6" s="104"/>
      <c r="E6" s="62"/>
      <c r="F6" s="15"/>
      <c r="G6" s="18"/>
    </row>
    <row r="7" spans="1:9" ht="30" customHeight="1" thickBot="1">
      <c r="A7" s="6" t="s">
        <v>78</v>
      </c>
      <c r="B7" s="74">
        <v>62.174002430613889</v>
      </c>
      <c r="C7" s="106">
        <v>190.53675771838959</v>
      </c>
      <c r="D7" s="74">
        <v>266.39205535565253</v>
      </c>
      <c r="E7" s="106">
        <v>229.69836269244124</v>
      </c>
      <c r="F7" s="74">
        <v>197.47924574882589</v>
      </c>
      <c r="G7" s="24">
        <v>1.4957999792851697E-2</v>
      </c>
      <c r="I7" s="64">
        <v>172.8785586534616</v>
      </c>
    </row>
    <row r="8" spans="1:9" ht="20" customHeight="1" thickBot="1">
      <c r="A8" s="7" t="s">
        <v>79</v>
      </c>
      <c r="B8" s="74">
        <v>55.273879483720748</v>
      </c>
      <c r="C8" s="106">
        <v>200.25799798098009</v>
      </c>
      <c r="D8" s="74">
        <v>272.33693250122752</v>
      </c>
      <c r="E8" s="106">
        <v>237.78279755736335</v>
      </c>
      <c r="F8" s="74">
        <v>201.3177078138016</v>
      </c>
      <c r="G8" s="25">
        <v>6.0918051659331958E-2</v>
      </c>
      <c r="I8" s="64">
        <v>161.49387493756916</v>
      </c>
    </row>
    <row r="9" spans="1:9" ht="20" customHeight="1" thickBot="1">
      <c r="A9" s="7" t="s">
        <v>80</v>
      </c>
      <c r="B9" s="74">
        <v>44.963867848414502</v>
      </c>
      <c r="C9" s="106">
        <v>165.64444902144882</v>
      </c>
      <c r="D9" s="74">
        <v>224.02056719822937</v>
      </c>
      <c r="E9" s="106">
        <v>195.60302466799098</v>
      </c>
      <c r="F9" s="74">
        <v>161.66282594589032</v>
      </c>
      <c r="G9" s="25">
        <v>5.8660088946625943E-2</v>
      </c>
      <c r="I9" s="64">
        <v>129.41591119853354</v>
      </c>
    </row>
    <row r="10" spans="1:9" ht="20" customHeight="1" thickBot="1">
      <c r="A10" s="7" t="s">
        <v>81</v>
      </c>
      <c r="B10" s="74">
        <v>48.318997445398338</v>
      </c>
      <c r="C10" s="106">
        <v>157.90770429243955</v>
      </c>
      <c r="D10" s="74">
        <v>211.34262005271702</v>
      </c>
      <c r="E10" s="106">
        <v>184.76174740983166</v>
      </c>
      <c r="F10" s="74">
        <v>154.31398233463952</v>
      </c>
      <c r="G10" s="25">
        <v>7.9376946543680368E-2</v>
      </c>
      <c r="I10" s="64">
        <v>126.90557061409594</v>
      </c>
    </row>
    <row r="11" spans="1:9" ht="20" customHeight="1" thickBot="1">
      <c r="A11" s="7" t="s">
        <v>82</v>
      </c>
      <c r="B11" s="74">
        <v>57.477573009604605</v>
      </c>
      <c r="C11" s="106">
        <v>165.7669274920693</v>
      </c>
      <c r="D11" s="74">
        <v>224.09066757854427</v>
      </c>
      <c r="E11" s="106">
        <v>194.7850932662669</v>
      </c>
      <c r="F11" s="74">
        <v>163.43302435005901</v>
      </c>
      <c r="G11" s="25">
        <v>6.6907205878934659E-2</v>
      </c>
      <c r="I11" s="64">
        <v>131.64111605385247</v>
      </c>
    </row>
    <row r="12" spans="1:9" ht="20" customHeight="1" thickBot="1">
      <c r="A12" s="7" t="s">
        <v>83</v>
      </c>
      <c r="B12" s="74">
        <v>45.724759955926338</v>
      </c>
      <c r="C12" s="106">
        <v>141.51821907936224</v>
      </c>
      <c r="D12" s="74">
        <v>223.62739279871755</v>
      </c>
      <c r="E12" s="106">
        <v>182.75467884498721</v>
      </c>
      <c r="F12" s="74">
        <v>150.56942679278652</v>
      </c>
      <c r="G12" s="25">
        <v>7.4746845436769072E-2</v>
      </c>
      <c r="I12" s="64">
        <v>125.19129183854066</v>
      </c>
    </row>
    <row r="13" spans="1:9" ht="20" customHeight="1" thickBot="1">
      <c r="A13" s="7" t="s">
        <v>84</v>
      </c>
      <c r="B13" s="74">
        <v>47.921579799676124</v>
      </c>
      <c r="C13" s="106">
        <v>143.34129351602965</v>
      </c>
      <c r="D13" s="74">
        <v>205.0422212024873</v>
      </c>
      <c r="E13" s="106">
        <v>174.10494341558206</v>
      </c>
      <c r="F13" s="74">
        <v>146.96320837729331</v>
      </c>
      <c r="G13" s="25">
        <v>6.4982332083835789E-2</v>
      </c>
      <c r="I13" s="64">
        <v>117.8833340734285</v>
      </c>
    </row>
    <row r="14" spans="1:9" ht="20" customHeight="1" thickBot="1">
      <c r="A14" s="7" t="s">
        <v>85</v>
      </c>
      <c r="B14" s="74">
        <v>59.776309540242522</v>
      </c>
      <c r="C14" s="106">
        <v>165.76345359694687</v>
      </c>
      <c r="D14" s="74">
        <v>230.4681201978814</v>
      </c>
      <c r="E14" s="106">
        <v>198.65168271124034</v>
      </c>
      <c r="F14" s="74">
        <v>168.09520438936292</v>
      </c>
      <c r="G14" s="25">
        <v>3.0265685819252104E-2</v>
      </c>
      <c r="I14" s="64">
        <v>140.25371771237261</v>
      </c>
    </row>
    <row r="15" spans="1:9" ht="20" customHeight="1" thickBot="1">
      <c r="A15" s="7" t="s">
        <v>86</v>
      </c>
      <c r="B15" s="74">
        <v>47.350389829041667</v>
      </c>
      <c r="C15" s="106">
        <v>156.12026539271537</v>
      </c>
      <c r="D15" s="74">
        <v>235.47599776116633</v>
      </c>
      <c r="E15" s="106">
        <v>196.06293103242581</v>
      </c>
      <c r="F15" s="74">
        <v>165.24008302390479</v>
      </c>
      <c r="G15" s="25">
        <v>2.0354216382816599E-2</v>
      </c>
      <c r="I15" s="64">
        <v>131.3336445580656</v>
      </c>
    </row>
    <row r="16" spans="1:9" ht="20" customHeight="1" thickBot="1">
      <c r="A16" s="7" t="s">
        <v>87</v>
      </c>
      <c r="B16" s="74">
        <v>58.159878964917944</v>
      </c>
      <c r="C16" s="106">
        <v>192.34157154148738</v>
      </c>
      <c r="D16" s="74">
        <v>266.15158488120511</v>
      </c>
      <c r="E16" s="106">
        <v>229.90383961312401</v>
      </c>
      <c r="F16" s="74">
        <v>189.01176726294878</v>
      </c>
      <c r="G16" s="25">
        <v>2.7957380328198826E-2</v>
      </c>
      <c r="I16" s="64">
        <v>163.19734143075968</v>
      </c>
    </row>
    <row r="17" spans="1:9" ht="20" customHeight="1" thickBot="1">
      <c r="A17" s="7" t="s">
        <v>88</v>
      </c>
      <c r="B17" s="74">
        <v>57.538098891407991</v>
      </c>
      <c r="C17" s="106">
        <v>192.93975027210627</v>
      </c>
      <c r="D17" s="74">
        <v>262.46440605926796</v>
      </c>
      <c r="E17" s="106">
        <v>228.58955375689084</v>
      </c>
      <c r="F17" s="74">
        <v>192.62711038935598</v>
      </c>
      <c r="G17" s="25">
        <v>8.177282196351722E-2</v>
      </c>
      <c r="I17" s="64">
        <v>156.59253023292777</v>
      </c>
    </row>
    <row r="18" spans="1:9" ht="20" customHeight="1" thickBot="1">
      <c r="A18" s="7" t="s">
        <v>89</v>
      </c>
      <c r="B18" s="74">
        <v>79.656678691169887</v>
      </c>
      <c r="C18" s="106">
        <v>256.72381071005577</v>
      </c>
      <c r="D18" s="74">
        <v>365.66046386621923</v>
      </c>
      <c r="E18" s="106">
        <v>314.7520007054062</v>
      </c>
      <c r="F18" s="74">
        <v>276.91782184096371</v>
      </c>
      <c r="G18" s="25">
        <v>2.5772346594353946E-2</v>
      </c>
      <c r="I18" s="64">
        <v>239.48436004651805</v>
      </c>
    </row>
    <row r="19" spans="1:9" ht="20" customHeight="1" thickBot="1">
      <c r="A19" s="7" t="s">
        <v>90</v>
      </c>
      <c r="B19" s="74">
        <v>70.840220106238121</v>
      </c>
      <c r="C19" s="106">
        <v>210.3181439426611</v>
      </c>
      <c r="D19" s="74">
        <v>280.29373043421782</v>
      </c>
      <c r="E19" s="106">
        <v>246.30965521640599</v>
      </c>
      <c r="F19" s="74">
        <v>211.73756863893209</v>
      </c>
      <c r="G19" s="25">
        <v>3.3834793907788305E-2</v>
      </c>
      <c r="I19" s="64">
        <v>177.06647582891381</v>
      </c>
    </row>
    <row r="20" spans="1:9" ht="20" customHeight="1" thickBot="1">
      <c r="A20" s="7" t="s">
        <v>91</v>
      </c>
      <c r="B20" s="74">
        <v>50.675121130732258</v>
      </c>
      <c r="C20" s="106">
        <v>184.91593813278669</v>
      </c>
      <c r="D20" s="74">
        <v>268.56229833406724</v>
      </c>
      <c r="E20" s="106">
        <v>228.25874184060208</v>
      </c>
      <c r="F20" s="74">
        <v>192.23620539250985</v>
      </c>
      <c r="G20" s="25">
        <v>2.5354696670600436E-2</v>
      </c>
      <c r="I20" s="64">
        <v>165.60622548393192</v>
      </c>
    </row>
    <row r="21" spans="1:9" ht="20" customHeight="1" thickBot="1">
      <c r="A21" s="7" t="s">
        <v>92</v>
      </c>
      <c r="B21" s="74">
        <v>48.156347691932929</v>
      </c>
      <c r="C21" s="106">
        <v>154.481328248746</v>
      </c>
      <c r="D21" s="74">
        <v>213.58698233693516</v>
      </c>
      <c r="E21" s="106">
        <v>184.72424257276217</v>
      </c>
      <c r="F21" s="74">
        <v>153.42391912209567</v>
      </c>
      <c r="G21" s="25">
        <v>7.800496825849737E-2</v>
      </c>
      <c r="I21" s="64">
        <v>125.02923450612184</v>
      </c>
    </row>
    <row r="22" spans="1:9" ht="20" customHeight="1" thickBot="1">
      <c r="A22" s="7" t="s">
        <v>93</v>
      </c>
      <c r="B22" s="74">
        <v>36.599325386513392</v>
      </c>
      <c r="C22" s="106">
        <v>145.01409427563803</v>
      </c>
      <c r="D22" s="74">
        <v>201.35124665744252</v>
      </c>
      <c r="E22" s="106">
        <v>172.92571525043959</v>
      </c>
      <c r="F22" s="74">
        <v>137.60819250200078</v>
      </c>
      <c r="G22" s="25">
        <v>3.1461365022960368E-2</v>
      </c>
      <c r="I22" s="64">
        <v>109.87124540182084</v>
      </c>
    </row>
    <row r="23" spans="1:9" ht="20" customHeight="1" thickBot="1">
      <c r="A23" s="7" t="s">
        <v>94</v>
      </c>
      <c r="B23" s="74">
        <v>53.406344788552879</v>
      </c>
      <c r="C23" s="106">
        <v>170.87981062443052</v>
      </c>
      <c r="D23" s="74">
        <v>230.03940160379673</v>
      </c>
      <c r="E23" s="106">
        <v>201.17434553149454</v>
      </c>
      <c r="F23" s="74">
        <v>167.15467455886159</v>
      </c>
      <c r="G23" s="25">
        <v>8.4191076432414219E-2</v>
      </c>
      <c r="I23" s="64">
        <v>134.24530167185685</v>
      </c>
    </row>
    <row r="24" spans="1:9" ht="20" customHeight="1" thickBot="1">
      <c r="A24" s="7" t="s">
        <v>95</v>
      </c>
      <c r="B24" s="74">
        <v>54.126977108791444</v>
      </c>
      <c r="C24" s="106">
        <v>165.66825104224429</v>
      </c>
      <c r="D24" s="74">
        <v>227.45448108308665</v>
      </c>
      <c r="E24" s="106">
        <v>196.90012873307003</v>
      </c>
      <c r="F24" s="74">
        <v>168.08962162698029</v>
      </c>
      <c r="G24" s="25">
        <v>6.4014390475578511E-2</v>
      </c>
      <c r="I24" s="64">
        <v>132.91701511018809</v>
      </c>
    </row>
    <row r="25" spans="1:9" ht="20" customHeight="1" thickBot="1">
      <c r="A25" s="7" t="s">
        <v>96</v>
      </c>
      <c r="B25" s="74">
        <v>54.056409495950675</v>
      </c>
      <c r="C25" s="106">
        <v>176.37624778423137</v>
      </c>
      <c r="D25" s="74">
        <v>243.49387965264359</v>
      </c>
      <c r="E25" s="106">
        <v>210.41449978856187</v>
      </c>
      <c r="F25" s="74">
        <v>176.48586016328218</v>
      </c>
      <c r="G25" s="25">
        <v>4.1834568674169646E-2</v>
      </c>
      <c r="I25" s="64">
        <v>145.05617363699608</v>
      </c>
    </row>
    <row r="26" spans="1:9" ht="20" customHeight="1" thickBot="1">
      <c r="A26" s="7" t="s">
        <v>97</v>
      </c>
      <c r="B26" s="74">
        <v>54.55997331148626</v>
      </c>
      <c r="C26" s="106">
        <v>186.01986720978445</v>
      </c>
      <c r="D26" s="74">
        <v>247.3028968751014</v>
      </c>
      <c r="E26" s="106">
        <v>217.21084663590935</v>
      </c>
      <c r="F26" s="74">
        <v>178.76564251809532</v>
      </c>
      <c r="G26" s="25">
        <v>4.1078896953431886E-2</v>
      </c>
      <c r="I26" s="64">
        <v>145.7338374894791</v>
      </c>
    </row>
    <row r="27" spans="1:9" ht="20" customHeight="1" thickBot="1">
      <c r="A27" s="7" t="s">
        <v>98</v>
      </c>
      <c r="B27" s="74">
        <v>74.543369698914475</v>
      </c>
      <c r="C27" s="106">
        <v>254.96134557408439</v>
      </c>
      <c r="D27" s="74">
        <v>324.28267707418098</v>
      </c>
      <c r="E27" s="106">
        <v>291.60742005424743</v>
      </c>
      <c r="F27" s="74">
        <v>251.97098920738799</v>
      </c>
      <c r="G27" s="25">
        <v>5.6437967062687125E-2</v>
      </c>
      <c r="I27" s="64">
        <v>199.67764846714121</v>
      </c>
    </row>
    <row r="28" spans="1:9" ht="20" customHeight="1" thickBot="1">
      <c r="A28" s="7" t="s">
        <v>99</v>
      </c>
      <c r="B28" s="74">
        <v>80.320512384819253</v>
      </c>
      <c r="C28" s="106">
        <v>241.03057629340177</v>
      </c>
      <c r="D28" s="74">
        <v>336.20400303715616</v>
      </c>
      <c r="E28" s="106">
        <v>290.90309222926487</v>
      </c>
      <c r="F28" s="74">
        <v>244.74400142083994</v>
      </c>
      <c r="G28" s="25">
        <v>4.0325617650574228E-2</v>
      </c>
      <c r="I28" s="64">
        <v>203.24357993536964</v>
      </c>
    </row>
    <row r="29" spans="1:9" ht="20" customHeight="1" thickBot="1">
      <c r="A29" s="7" t="s">
        <v>100</v>
      </c>
      <c r="B29" s="74">
        <v>56.352014872172681</v>
      </c>
      <c r="C29" s="106">
        <v>183.23771467977727</v>
      </c>
      <c r="D29" s="74">
        <v>247.01640280333959</v>
      </c>
      <c r="E29" s="106">
        <v>215.87249563489351</v>
      </c>
      <c r="F29" s="74">
        <v>181.64178387476588</v>
      </c>
      <c r="G29" s="25">
        <v>6.2618976271929819E-2</v>
      </c>
      <c r="I29" s="64">
        <v>144.85185631308477</v>
      </c>
    </row>
    <row r="30" spans="1:9" ht="20" customHeight="1" thickBot="1">
      <c r="A30" s="7" t="s">
        <v>101</v>
      </c>
      <c r="B30" s="74">
        <v>69.792884863560573</v>
      </c>
      <c r="C30" s="106">
        <v>238.7248607992382</v>
      </c>
      <c r="D30" s="74">
        <v>335.30920892428611</v>
      </c>
      <c r="E30" s="106">
        <v>289.22725914330903</v>
      </c>
      <c r="F30" s="74">
        <v>242.01515602164173</v>
      </c>
      <c r="G30" s="25">
        <v>5.815593026175063E-2</v>
      </c>
      <c r="I30" s="64">
        <v>184.5803903521614</v>
      </c>
    </row>
    <row r="31" spans="1:9" ht="20" customHeight="1" thickBot="1">
      <c r="A31" s="7" t="s">
        <v>102</v>
      </c>
      <c r="B31" s="74">
        <v>89.490591564987213</v>
      </c>
      <c r="C31" s="106">
        <v>268.76680502905384</v>
      </c>
      <c r="D31" s="74">
        <v>381.26540348415762</v>
      </c>
      <c r="E31" s="106">
        <v>328.1971889023842</v>
      </c>
      <c r="F31" s="74">
        <v>277.43606452400576</v>
      </c>
      <c r="G31" s="25">
        <v>1.1528553073198841E-2</v>
      </c>
      <c r="I31" s="64">
        <v>244.01642882305748</v>
      </c>
    </row>
    <row r="32" spans="1:9" ht="20" customHeight="1" thickBot="1">
      <c r="A32" s="65" t="s">
        <v>103</v>
      </c>
      <c r="B32" s="74">
        <v>61.710563376622027</v>
      </c>
      <c r="C32" s="106">
        <v>213.26594098363344</v>
      </c>
      <c r="D32" s="74">
        <v>288.96076986996985</v>
      </c>
      <c r="E32" s="106">
        <v>252.33111253895342</v>
      </c>
      <c r="F32" s="74">
        <v>208.57228654735266</v>
      </c>
      <c r="G32" s="25">
        <v>-3.0800864781860157E-2</v>
      </c>
      <c r="I32" s="64">
        <v>200.58331332206401</v>
      </c>
    </row>
    <row r="33" spans="1:9" s="109" customFormat="1" ht="30" customHeight="1" thickBot="1">
      <c r="A33" s="12" t="s">
        <v>104</v>
      </c>
      <c r="B33" s="107">
        <v>61.718582487001406</v>
      </c>
      <c r="C33" s="108">
        <v>200.02582804507287</v>
      </c>
      <c r="D33" s="107">
        <v>276.22527409801756</v>
      </c>
      <c r="E33" s="108">
        <v>239.36282846841434</v>
      </c>
      <c r="F33" s="107">
        <v>202.22626996804308</v>
      </c>
      <c r="G33" s="34">
        <v>4.1689315461073448E-2</v>
      </c>
      <c r="I33" s="110">
        <v>167.9825427102873</v>
      </c>
    </row>
    <row r="34" spans="1:9" ht="20" customHeight="1">
      <c r="A34" s="9" t="s">
        <v>257</v>
      </c>
      <c r="B34" s="111"/>
      <c r="C34" s="111"/>
      <c r="D34" s="111"/>
      <c r="E34" s="111"/>
      <c r="F34" s="111"/>
      <c r="G34" s="26"/>
    </row>
    <row r="35" spans="1:9" ht="14.25" customHeight="1">
      <c r="A35" s="37"/>
      <c r="B35" s="112"/>
      <c r="C35" s="112"/>
      <c r="D35" s="112"/>
      <c r="E35" s="112"/>
      <c r="F35" s="112"/>
      <c r="G35" s="27"/>
    </row>
    <row r="36" spans="1:9" ht="20" customHeight="1">
      <c r="A36" s="37" t="s">
        <v>367</v>
      </c>
      <c r="B36" s="112"/>
      <c r="C36" s="112"/>
      <c r="D36" s="112"/>
      <c r="E36" s="112"/>
      <c r="F36" s="112"/>
      <c r="G36" s="27"/>
    </row>
    <row r="37" spans="1:9" ht="9.75" customHeight="1">
      <c r="A37" s="37"/>
      <c r="B37" s="112"/>
      <c r="C37" s="112"/>
      <c r="D37" s="112"/>
      <c r="E37" s="112"/>
      <c r="F37" s="112"/>
      <c r="G37" s="27"/>
    </row>
    <row r="38" spans="1:9" ht="12" customHeight="1">
      <c r="A38" s="37" t="s">
        <v>364</v>
      </c>
    </row>
    <row r="39" spans="1:9" ht="12" customHeight="1"/>
    <row r="40" spans="1:9" ht="12" customHeight="1"/>
    <row r="41" spans="1:9">
      <c r="A41" s="37" t="s">
        <v>256</v>
      </c>
    </row>
  </sheetData>
  <mergeCells count="1">
    <mergeCell ref="A2:F2"/>
  </mergeCells>
  <phoneticPr fontId="0" type="noConversion"/>
  <pageMargins left="0.78740157480314965" right="0.78740157480314965" top="1.48" bottom="0.49" header="0.92" footer="0.4921259845"/>
  <pageSetup paperSize="9" scale="80" orientation="portrait" horizontalDpi="4294967292" verticalDpi="4294967292"/>
  <headerFooter alignWithMargins="0">
    <oddHeader>&amp;L&amp;"Arial,Bold"Leistungen und Kostenbetieligung in der OKP</oddHead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74B3C-D901-724A-9C18-5A104D3D7119}">
  <dimension ref="A1:K45"/>
  <sheetViews>
    <sheetView zoomScale="75" workbookViewId="0"/>
  </sheetViews>
  <sheetFormatPr baseColWidth="10" defaultColWidth="11.3984375" defaultRowHeight="13"/>
  <cols>
    <col min="1" max="1" width="13.796875" style="3" customWidth="1"/>
    <col min="2" max="2" width="14.796875" style="20" customWidth="1"/>
    <col min="3" max="3" width="14.796875" style="21" customWidth="1"/>
    <col min="4" max="4" width="14.796875" style="20" customWidth="1"/>
    <col min="5" max="5" width="14.796875" style="21" customWidth="1"/>
    <col min="6" max="6" width="14.796875" style="20" customWidth="1"/>
    <col min="7" max="7" width="14.796875" style="21" customWidth="1"/>
    <col min="8" max="8" width="7.3984375" style="3" customWidth="1"/>
    <col min="9" max="9" width="8" style="3" customWidth="1"/>
    <col min="10" max="10" width="7.796875" style="3" customWidth="1"/>
    <col min="11" max="11" width="9" style="3" customWidth="1"/>
    <col min="12" max="16384" width="11.3984375" style="3"/>
  </cols>
  <sheetData>
    <row r="1" spans="1:11" s="1" customFormat="1" ht="19.5" customHeight="1">
      <c r="A1" s="11"/>
      <c r="B1" s="22"/>
      <c r="C1" s="23"/>
      <c r="D1" s="32"/>
      <c r="E1" s="23"/>
      <c r="F1" s="32"/>
      <c r="G1" s="23"/>
    </row>
    <row r="2" spans="1:11" s="1" customFormat="1" ht="43.5" customHeight="1">
      <c r="A2" s="1486" t="s">
        <v>1005</v>
      </c>
      <c r="B2" s="1474"/>
      <c r="C2" s="1474"/>
      <c r="D2" s="1474"/>
      <c r="E2" s="1474"/>
      <c r="F2" s="1474"/>
      <c r="G2" s="124">
        <v>2003</v>
      </c>
    </row>
    <row r="3" spans="1:11" ht="27" customHeight="1">
      <c r="A3" s="2" t="s">
        <v>2063</v>
      </c>
      <c r="B3" s="13" t="s">
        <v>42</v>
      </c>
      <c r="C3" s="16" t="s">
        <v>24</v>
      </c>
      <c r="D3" s="13" t="s">
        <v>43</v>
      </c>
      <c r="E3" s="16" t="s">
        <v>24</v>
      </c>
      <c r="F3" s="13" t="s">
        <v>22</v>
      </c>
      <c r="G3" s="16" t="s">
        <v>24</v>
      </c>
    </row>
    <row r="4" spans="1:11" ht="15" customHeight="1">
      <c r="A4" s="4"/>
      <c r="B4" s="14"/>
      <c r="C4" s="17" t="s">
        <v>25</v>
      </c>
      <c r="D4" s="14"/>
      <c r="E4" s="17" t="s">
        <v>25</v>
      </c>
      <c r="F4" s="14"/>
      <c r="G4" s="17" t="s">
        <v>25</v>
      </c>
    </row>
    <row r="5" spans="1:11" ht="15" customHeight="1">
      <c r="A5" s="4"/>
      <c r="B5" s="14"/>
      <c r="C5" s="17" t="s">
        <v>26</v>
      </c>
      <c r="D5" s="14"/>
      <c r="E5" s="17" t="s">
        <v>26</v>
      </c>
      <c r="F5" s="14"/>
      <c r="G5" s="17" t="s">
        <v>26</v>
      </c>
    </row>
    <row r="6" spans="1:11" ht="19.5" customHeight="1">
      <c r="A6" s="5"/>
      <c r="B6" s="15"/>
      <c r="C6" s="18"/>
      <c r="D6" s="15"/>
      <c r="E6" s="18"/>
      <c r="F6" s="15"/>
      <c r="G6" s="18"/>
    </row>
    <row r="7" spans="1:11" ht="30" customHeight="1" thickBot="1">
      <c r="A7" s="6" t="s">
        <v>27</v>
      </c>
      <c r="B7" s="28">
        <v>63.142439822693945</v>
      </c>
      <c r="C7" s="24">
        <v>2.8482216045756816E-2</v>
      </c>
      <c r="D7" s="28">
        <v>60.222041294414275</v>
      </c>
      <c r="E7" s="24">
        <v>3.0062089925712576E-2</v>
      </c>
      <c r="F7" s="28">
        <v>61.718581686669317</v>
      </c>
      <c r="G7" s="24">
        <v>2.9231798144769956E-2</v>
      </c>
      <c r="I7" s="8"/>
      <c r="J7" s="8"/>
      <c r="K7" s="8"/>
    </row>
    <row r="8" spans="1:11" ht="20" customHeight="1" thickBot="1">
      <c r="A8" s="7" t="s">
        <v>28</v>
      </c>
      <c r="B8" s="29">
        <v>70.840436523655015</v>
      </c>
      <c r="C8" s="25">
        <v>4.7457982050911424E-2</v>
      </c>
      <c r="D8" s="29">
        <v>117.18410014025351</v>
      </c>
      <c r="E8" s="25">
        <v>2.6633444557014909E-2</v>
      </c>
      <c r="F8" s="29">
        <v>93.788209515263091</v>
      </c>
      <c r="G8" s="25">
        <v>3.434761619850344E-2</v>
      </c>
      <c r="I8" s="8"/>
      <c r="J8" s="8"/>
      <c r="K8" s="8"/>
    </row>
    <row r="9" spans="1:11" ht="20" customHeight="1" thickBot="1">
      <c r="A9" s="7" t="s">
        <v>29</v>
      </c>
      <c r="B9" s="29">
        <v>75.937606717730688</v>
      </c>
      <c r="C9" s="25">
        <v>3.7046468241795159E-2</v>
      </c>
      <c r="D9" s="29">
        <v>158.89213717270931</v>
      </c>
      <c r="E9" s="25">
        <v>2.3813965966974635E-2</v>
      </c>
      <c r="F9" s="29">
        <v>117.40866984550385</v>
      </c>
      <c r="G9" s="25">
        <v>2.8271162268534791E-2</v>
      </c>
      <c r="I9" s="8"/>
      <c r="J9" s="8"/>
      <c r="K9" s="8"/>
    </row>
    <row r="10" spans="1:11" ht="20" customHeight="1" thickBot="1">
      <c r="A10" s="7" t="s">
        <v>30</v>
      </c>
      <c r="B10" s="29">
        <v>87.860172403438682</v>
      </c>
      <c r="C10" s="25">
        <v>3.655446267716389E-2</v>
      </c>
      <c r="D10" s="29">
        <v>176.25306821655951</v>
      </c>
      <c r="E10" s="25">
        <v>3.9222810754603009E-2</v>
      </c>
      <c r="F10" s="29">
        <v>132.20118888015796</v>
      </c>
      <c r="G10" s="25">
        <v>3.8434246144796506E-2</v>
      </c>
      <c r="I10" s="8"/>
      <c r="J10" s="8"/>
      <c r="K10" s="8"/>
    </row>
    <row r="11" spans="1:11" ht="20" customHeight="1" thickBot="1">
      <c r="A11" s="7" t="s">
        <v>31</v>
      </c>
      <c r="B11" s="29">
        <v>103.44227164458658</v>
      </c>
      <c r="C11" s="25">
        <v>4.0258775982546416E-2</v>
      </c>
      <c r="D11" s="29">
        <v>165.18537679656234</v>
      </c>
      <c r="E11" s="25">
        <v>2.6466330100921334E-2</v>
      </c>
      <c r="F11" s="29">
        <v>134.0772108786563</v>
      </c>
      <c r="G11" s="25">
        <v>3.2292202365908816E-2</v>
      </c>
      <c r="I11" s="8"/>
      <c r="J11" s="8"/>
      <c r="K11" s="8"/>
    </row>
    <row r="12" spans="1:11" ht="20" customHeight="1" thickBot="1">
      <c r="A12" s="7" t="s">
        <v>32</v>
      </c>
      <c r="B12" s="29">
        <v>122.43852544142659</v>
      </c>
      <c r="C12" s="25">
        <v>4.3795607358768807E-2</v>
      </c>
      <c r="D12" s="29">
        <v>167.1488898973071</v>
      </c>
      <c r="E12" s="25">
        <v>2.4746276926763722E-2</v>
      </c>
      <c r="F12" s="29">
        <v>144.5607545341293</v>
      </c>
      <c r="G12" s="25">
        <v>3.3102526472551859E-2</v>
      </c>
      <c r="I12" s="8"/>
      <c r="J12" s="8"/>
      <c r="K12" s="8"/>
    </row>
    <row r="13" spans="1:11" ht="20" customHeight="1" thickBot="1">
      <c r="A13" s="7" t="s">
        <v>33</v>
      </c>
      <c r="B13" s="29">
        <v>149.77063767812078</v>
      </c>
      <c r="C13" s="25">
        <v>4.070305961896669E-2</v>
      </c>
      <c r="D13" s="29">
        <v>193.81526493090698</v>
      </c>
      <c r="E13" s="25">
        <v>1.3161008351975249E-2</v>
      </c>
      <c r="F13" s="29">
        <v>171.55539208079375</v>
      </c>
      <c r="G13" s="25">
        <v>2.4889290745434837E-2</v>
      </c>
      <c r="I13" s="8"/>
      <c r="J13" s="8"/>
      <c r="K13" s="8"/>
    </row>
    <row r="14" spans="1:11" ht="20" customHeight="1" thickBot="1">
      <c r="A14" s="7" t="s">
        <v>34</v>
      </c>
      <c r="B14" s="29">
        <v>188.36673283055211</v>
      </c>
      <c r="C14" s="25">
        <v>4.1861562302073836E-2</v>
      </c>
      <c r="D14" s="29">
        <v>231.37769535413892</v>
      </c>
      <c r="E14" s="25">
        <v>2.0262755434177847E-2</v>
      </c>
      <c r="F14" s="29">
        <v>209.80972179018934</v>
      </c>
      <c r="G14" s="25">
        <v>2.9971424327736241E-2</v>
      </c>
      <c r="I14" s="8"/>
      <c r="J14" s="8"/>
      <c r="K14" s="8"/>
    </row>
    <row r="15" spans="1:11" ht="20" customHeight="1" thickBot="1">
      <c r="A15" s="7" t="s">
        <v>35</v>
      </c>
      <c r="B15" s="29">
        <v>241.36233647130337</v>
      </c>
      <c r="C15" s="25">
        <v>3.6241743465829278E-2</v>
      </c>
      <c r="D15" s="29">
        <v>271.29054764389338</v>
      </c>
      <c r="E15" s="25">
        <v>2.1386819896912268E-2</v>
      </c>
      <c r="F15" s="29">
        <v>256.32817866208762</v>
      </c>
      <c r="G15" s="25">
        <v>2.8349748038229795E-2</v>
      </c>
      <c r="I15" s="8"/>
      <c r="J15" s="8"/>
      <c r="K15" s="8"/>
    </row>
    <row r="16" spans="1:11" ht="20" customHeight="1" thickBot="1">
      <c r="A16" s="7" t="s">
        <v>36</v>
      </c>
      <c r="B16" s="29">
        <v>301.13856899378163</v>
      </c>
      <c r="C16" s="25">
        <v>4.6884151105772286E-2</v>
      </c>
      <c r="D16" s="29">
        <v>310.99180611374169</v>
      </c>
      <c r="E16" s="25">
        <v>3.2966242918938279E-2</v>
      </c>
      <c r="F16" s="29">
        <v>306.20697836491428</v>
      </c>
      <c r="G16" s="25">
        <v>3.945798309527513E-2</v>
      </c>
      <c r="I16" s="8"/>
      <c r="J16" s="8"/>
      <c r="K16" s="8"/>
    </row>
    <row r="17" spans="1:11" ht="20" customHeight="1" thickBot="1">
      <c r="A17" s="7" t="s">
        <v>37</v>
      </c>
      <c r="B17" s="29">
        <v>384.93729490515904</v>
      </c>
      <c r="C17" s="25">
        <v>5.4188339810380667E-2</v>
      </c>
      <c r="D17" s="29">
        <v>367.70718273471181</v>
      </c>
      <c r="E17" s="25">
        <v>3.3401747996883273E-2</v>
      </c>
      <c r="F17" s="29">
        <v>375.71791721930606</v>
      </c>
      <c r="G17" s="25">
        <v>4.3246913580223902E-2</v>
      </c>
      <c r="I17" s="8"/>
      <c r="J17" s="8"/>
      <c r="K17" s="8"/>
    </row>
    <row r="18" spans="1:11" ht="20" customHeight="1" thickBot="1">
      <c r="A18" s="7" t="s">
        <v>38</v>
      </c>
      <c r="B18" s="29">
        <v>471.53048326861239</v>
      </c>
      <c r="C18" s="25">
        <v>4.432521887400924E-2</v>
      </c>
      <c r="D18" s="29">
        <v>444.70917783046735</v>
      </c>
      <c r="E18" s="25">
        <v>3.909472627011365E-2</v>
      </c>
      <c r="F18" s="29">
        <v>456.40343145395917</v>
      </c>
      <c r="G18" s="25">
        <v>4.1595285482401524E-2</v>
      </c>
      <c r="I18" s="8"/>
      <c r="J18" s="8"/>
      <c r="K18" s="8"/>
    </row>
    <row r="19" spans="1:11" ht="20" customHeight="1" thickBot="1">
      <c r="A19" s="7" t="s">
        <v>39</v>
      </c>
      <c r="B19" s="29">
        <v>562.44448191396407</v>
      </c>
      <c r="C19" s="25">
        <v>6.3443742317278673E-2</v>
      </c>
      <c r="D19" s="29">
        <v>554.67469348102816</v>
      </c>
      <c r="E19" s="25">
        <v>3.8703715434125152E-2</v>
      </c>
      <c r="F19" s="29">
        <v>557.77573912985508</v>
      </c>
      <c r="G19" s="25">
        <v>4.8503766204689783E-2</v>
      </c>
      <c r="I19" s="8"/>
      <c r="J19" s="8"/>
      <c r="K19" s="8"/>
    </row>
    <row r="20" spans="1:11" ht="20" customHeight="1" thickBot="1">
      <c r="A20" s="7" t="s">
        <v>40</v>
      </c>
      <c r="B20" s="29">
        <v>661.47015868530252</v>
      </c>
      <c r="C20" s="25">
        <v>6.646061976281431E-2</v>
      </c>
      <c r="D20" s="29">
        <v>713.33663537636551</v>
      </c>
      <c r="E20" s="25">
        <v>4.5643050391924407E-2</v>
      </c>
      <c r="F20" s="29">
        <v>694.44396759567451</v>
      </c>
      <c r="G20" s="25">
        <v>5.2720452257405973E-2</v>
      </c>
      <c r="I20" s="8"/>
      <c r="J20" s="8"/>
      <c r="K20" s="8"/>
    </row>
    <row r="21" spans="1:11" ht="20" customHeight="1" thickBot="1">
      <c r="A21" s="7" t="s">
        <v>41</v>
      </c>
      <c r="B21" s="29">
        <v>797.8684838592003</v>
      </c>
      <c r="C21" s="25">
        <v>5.5245700721464217E-2</v>
      </c>
      <c r="D21" s="29">
        <v>955.6838594862744</v>
      </c>
      <c r="E21" s="25">
        <v>4.1506761199350865E-2</v>
      </c>
      <c r="F21" s="29">
        <v>906.31327913933342</v>
      </c>
      <c r="G21" s="25">
        <v>4.4708426862438998E-2</v>
      </c>
      <c r="I21" s="8"/>
      <c r="J21" s="8"/>
      <c r="K21" s="8"/>
    </row>
    <row r="22" spans="1:11" ht="20" customHeight="1" thickBot="1">
      <c r="A22" s="7" t="s">
        <v>23</v>
      </c>
      <c r="B22" s="29">
        <v>1051.1152254424653</v>
      </c>
      <c r="C22" s="25">
        <v>6.5184603058205753E-2</v>
      </c>
      <c r="D22" s="29">
        <v>1324.8686226091911</v>
      </c>
      <c r="E22" s="25">
        <v>3.6816908969412226E-2</v>
      </c>
      <c r="F22" s="29">
        <v>1259.2487017705917</v>
      </c>
      <c r="G22" s="25">
        <v>4.2437998168791298E-2</v>
      </c>
      <c r="I22" s="8"/>
      <c r="J22" s="8"/>
      <c r="K22" s="8"/>
    </row>
    <row r="23" spans="1:11" s="35" customFormat="1" ht="21" customHeight="1" thickBot="1">
      <c r="A23" s="12" t="s">
        <v>22</v>
      </c>
      <c r="B23" s="33">
        <v>170.08487465720862</v>
      </c>
      <c r="C23" s="34">
        <v>5.2550741381603233E-2</v>
      </c>
      <c r="D23" s="33">
        <v>233.07738530422023</v>
      </c>
      <c r="E23" s="34">
        <v>3.428860829270567E-2</v>
      </c>
      <c r="F23" s="33">
        <v>202.22626996804308</v>
      </c>
      <c r="G23" s="34">
        <v>4.1689315461073448E-2</v>
      </c>
      <c r="I23" s="36"/>
      <c r="J23" s="36"/>
      <c r="K23" s="36"/>
    </row>
    <row r="24" spans="1:11" ht="20" customHeight="1">
      <c r="A24" s="9" t="s">
        <v>257</v>
      </c>
      <c r="B24" s="30"/>
      <c r="C24" s="26"/>
      <c r="D24" s="30"/>
      <c r="E24" s="26"/>
      <c r="F24" s="30"/>
      <c r="G24" s="26"/>
    </row>
    <row r="25" spans="1:11" ht="12.75" customHeight="1">
      <c r="A25" s="37"/>
      <c r="B25" s="31"/>
      <c r="C25" s="27"/>
      <c r="D25" s="31"/>
      <c r="E25" s="27"/>
      <c r="F25" s="31"/>
      <c r="G25" s="27"/>
    </row>
    <row r="26" spans="1:11" ht="13.5" customHeight="1">
      <c r="A26" s="37" t="s">
        <v>44</v>
      </c>
      <c r="B26" s="31"/>
      <c r="C26" s="27"/>
      <c r="D26" s="31"/>
      <c r="E26" s="27"/>
      <c r="F26" s="31"/>
      <c r="G26" s="27"/>
    </row>
    <row r="27" spans="1:11" ht="24" customHeight="1">
      <c r="A27" s="37"/>
      <c r="B27" s="31"/>
      <c r="C27" s="27"/>
      <c r="D27" s="31"/>
      <c r="E27" s="27"/>
      <c r="F27" s="31"/>
      <c r="G27" s="27"/>
    </row>
    <row r="28" spans="1:11" ht="20.25" customHeight="1">
      <c r="A28" s="177" t="s">
        <v>990</v>
      </c>
      <c r="B28" s="178"/>
      <c r="C28" s="179"/>
      <c r="D28" s="178"/>
      <c r="E28" s="179"/>
      <c r="F28" s="178"/>
      <c r="G28" s="179"/>
    </row>
    <row r="29" spans="1:11" ht="20.25" customHeight="1" thickBot="1">
      <c r="A29" s="6" t="s">
        <v>991</v>
      </c>
      <c r="B29" s="28">
        <v>76.857500000000002</v>
      </c>
      <c r="C29" s="24">
        <v>3.852130438699207E-2</v>
      </c>
      <c r="D29" s="28">
        <v>67.392499999999998</v>
      </c>
      <c r="E29" s="24">
        <v>4.7931892396205815E-2</v>
      </c>
      <c r="F29" s="28">
        <v>72.248333333333335</v>
      </c>
      <c r="G29" s="24">
        <v>4.2506884071041307E-2</v>
      </c>
    </row>
    <row r="30" spans="1:11" ht="20.25" customHeight="1" thickBot="1">
      <c r="A30" s="7" t="s">
        <v>992</v>
      </c>
      <c r="B30" s="29">
        <v>56.23416666666666</v>
      </c>
      <c r="C30" s="25">
        <v>2.4064528587767063E-3</v>
      </c>
      <c r="D30" s="29">
        <v>45.73</v>
      </c>
      <c r="E30" s="25">
        <v>2.4283714419038607E-2</v>
      </c>
      <c r="F30" s="29">
        <v>51.115000000000002</v>
      </c>
      <c r="G30" s="25">
        <v>1.209471165745412E-2</v>
      </c>
    </row>
    <row r="31" spans="1:11" ht="20.25" customHeight="1" thickBot="1">
      <c r="A31" s="7" t="s">
        <v>993</v>
      </c>
      <c r="B31" s="29">
        <v>56.00333333333333</v>
      </c>
      <c r="C31" s="25">
        <v>5.0784914628807382E-2</v>
      </c>
      <c r="D31" s="29">
        <v>53.055833333333332</v>
      </c>
      <c r="E31" s="25">
        <v>3.2214656290531787E-2</v>
      </c>
      <c r="F31" s="29">
        <v>54.563333333333333</v>
      </c>
      <c r="G31" s="25">
        <v>4.1898063427907667E-2</v>
      </c>
      <c r="I31" s="10"/>
    </row>
    <row r="32" spans="1:11" ht="20.25" customHeight="1" thickBot="1">
      <c r="A32" s="7" t="s">
        <v>994</v>
      </c>
      <c r="B32" s="29">
        <v>64.098333333333329</v>
      </c>
      <c r="C32" s="25">
        <v>6.0411381934487654E-2</v>
      </c>
      <c r="D32" s="29">
        <v>85.4</v>
      </c>
      <c r="E32" s="25">
        <v>4.7649229699751654E-2</v>
      </c>
      <c r="F32" s="29">
        <v>74.486666666666665</v>
      </c>
      <c r="G32" s="25">
        <v>5.3857762686285476E-2</v>
      </c>
    </row>
    <row r="33" spans="1:7" ht="20.25" customHeight="1" thickBot="1">
      <c r="A33" s="7" t="s">
        <v>995</v>
      </c>
      <c r="B33" s="29">
        <v>64.935000000000002</v>
      </c>
      <c r="C33" s="25">
        <v>9.7447194505636669E-3</v>
      </c>
      <c r="D33" s="29">
        <v>98.402500000000003</v>
      </c>
      <c r="E33" s="25">
        <v>2.3595495878156521E-2</v>
      </c>
      <c r="F33" s="29">
        <v>81.314166666666665</v>
      </c>
      <c r="G33" s="25">
        <v>1.6427083333333314E-2</v>
      </c>
    </row>
    <row r="34" spans="1:7" ht="20.25" customHeight="1" thickBot="1">
      <c r="A34" s="7" t="s">
        <v>996</v>
      </c>
      <c r="B34" s="29">
        <v>72.327500000000001</v>
      </c>
      <c r="C34" s="25">
        <v>4.4566133108677443E-2</v>
      </c>
      <c r="D34" s="29">
        <v>124.04083333333334</v>
      </c>
      <c r="E34" s="25">
        <v>2.3953166812275172E-2</v>
      </c>
      <c r="F34" s="29">
        <v>98.007499999999993</v>
      </c>
      <c r="G34" s="25">
        <v>3.1413612565445025E-2</v>
      </c>
    </row>
    <row r="35" spans="1:7" ht="20.25" customHeight="1" thickBot="1">
      <c r="A35" s="7" t="s">
        <v>997</v>
      </c>
      <c r="B35" s="29">
        <v>1022.4450000000001</v>
      </c>
      <c r="C35" s="25">
        <v>1.9707086472820583E-2</v>
      </c>
      <c r="D35" s="29">
        <v>1265.6033333333332</v>
      </c>
      <c r="E35" s="25">
        <v>-2.1513855923139886E-2</v>
      </c>
      <c r="F35" s="29">
        <v>1204.8166666666666</v>
      </c>
      <c r="G35" s="25">
        <v>-1.3476353264689349E-2</v>
      </c>
    </row>
    <row r="36" spans="1:7" ht="20.25" customHeight="1" thickBot="1">
      <c r="A36" s="7" t="s">
        <v>998</v>
      </c>
      <c r="B36" s="29">
        <v>1295.8358333333333</v>
      </c>
      <c r="C36" s="25">
        <v>3.7286197716373752E-2</v>
      </c>
      <c r="D36" s="29">
        <v>1681.1783333333333</v>
      </c>
      <c r="E36" s="25">
        <v>4.1700251206332577E-2</v>
      </c>
      <c r="F36" s="29">
        <v>1606.4008333333334</v>
      </c>
      <c r="G36" s="25">
        <v>4.0501531323307333E-2</v>
      </c>
    </row>
    <row r="37" spans="1:7" ht="20.25" customHeight="1" thickBot="1">
      <c r="A37" s="180" t="s">
        <v>999</v>
      </c>
      <c r="B37" s="181">
        <v>1460.7941666666666</v>
      </c>
      <c r="C37" s="182">
        <v>-5.8755526536503337E-2</v>
      </c>
      <c r="D37" s="181">
        <v>1841.8474999999999</v>
      </c>
      <c r="E37" s="182">
        <v>-0.14381423910184468</v>
      </c>
      <c r="F37" s="181">
        <v>1788.87</v>
      </c>
      <c r="G37" s="182">
        <v>-0.13048740476103676</v>
      </c>
    </row>
    <row r="38" spans="1:7">
      <c r="A38" s="183" t="s">
        <v>1000</v>
      </c>
    </row>
    <row r="39" spans="1:7">
      <c r="A39" s="118"/>
    </row>
    <row r="40" spans="1:7">
      <c r="A40" s="37" t="s">
        <v>1003</v>
      </c>
    </row>
    <row r="42" spans="1:7" ht="15.75" customHeight="1">
      <c r="A42" s="57" t="s">
        <v>364</v>
      </c>
      <c r="B42" s="31"/>
      <c r="C42" s="27"/>
      <c r="D42" s="31"/>
      <c r="E42" s="27"/>
      <c r="F42" s="31"/>
      <c r="G42" s="27"/>
    </row>
    <row r="43" spans="1:7" ht="15.75" customHeight="1">
      <c r="A43" s="57"/>
      <c r="B43" s="31"/>
      <c r="C43" s="27"/>
      <c r="D43" s="31"/>
      <c r="E43" s="27"/>
      <c r="F43" s="31"/>
      <c r="G43" s="27"/>
    </row>
    <row r="44" spans="1:7" ht="15.75" customHeight="1">
      <c r="A44" s="57"/>
      <c r="B44" s="31"/>
      <c r="C44" s="27"/>
      <c r="D44" s="31"/>
      <c r="E44" s="27"/>
      <c r="F44" s="31"/>
      <c r="G44" s="27"/>
    </row>
    <row r="45" spans="1:7" ht="18" customHeight="1">
      <c r="A45" s="37" t="s">
        <v>256</v>
      </c>
    </row>
  </sheetData>
  <mergeCells count="1">
    <mergeCell ref="A2:F2"/>
  </mergeCells>
  <phoneticPr fontId="0" type="noConversion"/>
  <pageMargins left="0.6" right="0.56999999999999995" top="0.78" bottom="0.49" header="0.38" footer="0.4921259845"/>
  <pageSetup paperSize="9" scale="80" orientation="portrait" horizontalDpi="1200" verticalDpi="1200"/>
  <headerFooter alignWithMargins="0">
    <oddHeader>&amp;L&amp;"Arial,Bold"Leistungen und Kostenbeteiligung in der OKP</oddHead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D1D38-5BD4-E045-8CC0-5B93BAD08ED2}">
  <dimension ref="A1:I43"/>
  <sheetViews>
    <sheetView zoomScale="75" workbookViewId="0">
      <selection activeCell="A3" sqref="A3"/>
    </sheetView>
  </sheetViews>
  <sheetFormatPr baseColWidth="10" defaultColWidth="11.3984375" defaultRowHeight="13"/>
  <cols>
    <col min="1" max="4" width="14.796875" style="3" customWidth="1"/>
    <col min="5" max="5" width="15.59765625" style="3" customWidth="1"/>
    <col min="6" max="6" width="16.19921875" style="3" customWidth="1"/>
    <col min="7" max="7" width="14.796875" style="21" customWidth="1"/>
    <col min="8" max="8" width="11.3984375" style="3"/>
    <col min="9" max="9" width="15.19921875" style="3" hidden="1" customWidth="1"/>
    <col min="10" max="16384" width="11.3984375" style="3"/>
  </cols>
  <sheetData>
    <row r="1" spans="1:9" s="1" customFormat="1" ht="14" customHeight="1">
      <c r="G1" s="23"/>
    </row>
    <row r="2" spans="1:9" s="1" customFormat="1" ht="28" customHeight="1">
      <c r="A2" s="59" t="s">
        <v>2076</v>
      </c>
      <c r="G2" s="59">
        <v>2003</v>
      </c>
    </row>
    <row r="3" spans="1:9" ht="27" customHeight="1">
      <c r="A3" s="2" t="s">
        <v>70</v>
      </c>
      <c r="B3" s="69" t="s">
        <v>71</v>
      </c>
      <c r="C3" s="16" t="s">
        <v>72</v>
      </c>
      <c r="D3" s="69" t="s">
        <v>73</v>
      </c>
      <c r="E3" s="16" t="s">
        <v>22</v>
      </c>
      <c r="F3" s="69" t="s">
        <v>22</v>
      </c>
      <c r="G3" s="16" t="s">
        <v>24</v>
      </c>
    </row>
    <row r="4" spans="1:9" ht="15" customHeight="1">
      <c r="A4" s="4"/>
      <c r="B4" s="70"/>
      <c r="C4" s="4"/>
      <c r="D4" s="71"/>
      <c r="E4" s="17" t="s">
        <v>74</v>
      </c>
      <c r="F4" s="70" t="s">
        <v>75</v>
      </c>
      <c r="G4" s="17" t="s">
        <v>25</v>
      </c>
    </row>
    <row r="5" spans="1:9" ht="15" customHeight="1">
      <c r="A5" s="4"/>
      <c r="B5" s="70"/>
      <c r="C5" s="4"/>
      <c r="D5" s="71"/>
      <c r="E5" s="17" t="s">
        <v>76</v>
      </c>
      <c r="F5" s="70" t="s">
        <v>77</v>
      </c>
      <c r="G5" s="17" t="s">
        <v>26</v>
      </c>
    </row>
    <row r="6" spans="1:9" ht="24" customHeight="1">
      <c r="A6" s="5"/>
      <c r="B6" s="72"/>
      <c r="C6" s="5"/>
      <c r="D6" s="72"/>
      <c r="E6" s="18"/>
      <c r="F6" s="73"/>
      <c r="G6" s="18"/>
    </row>
    <row r="7" spans="1:9" ht="30" customHeight="1" thickBot="1">
      <c r="A7" s="6" t="s">
        <v>78</v>
      </c>
      <c r="B7" s="74">
        <v>162650737</v>
      </c>
      <c r="C7" s="106">
        <v>947144173</v>
      </c>
      <c r="D7" s="74">
        <v>1434287449</v>
      </c>
      <c r="E7" s="106">
        <v>2381431622</v>
      </c>
      <c r="F7" s="74">
        <v>2544082359</v>
      </c>
      <c r="G7" s="24">
        <v>1.7967634663608185E-2</v>
      </c>
      <c r="I7" s="42">
        <v>2156035045</v>
      </c>
    </row>
    <row r="8" spans="1:9" ht="20" customHeight="1" thickBot="1">
      <c r="A8" s="7" t="s">
        <v>79</v>
      </c>
      <c r="B8" s="75">
        <v>113759382</v>
      </c>
      <c r="C8" s="113">
        <v>746316992</v>
      </c>
      <c r="D8" s="75">
        <v>1114519798</v>
      </c>
      <c r="E8" s="113">
        <v>1860836790</v>
      </c>
      <c r="F8" s="75">
        <v>1974596172</v>
      </c>
      <c r="G8" s="25">
        <v>6.8311868691134744E-2</v>
      </c>
      <c r="I8" s="42">
        <v>1563935884</v>
      </c>
    </row>
    <row r="9" spans="1:9" ht="20" customHeight="1" thickBot="1">
      <c r="A9" s="7" t="s">
        <v>80</v>
      </c>
      <c r="B9" s="75">
        <v>39355399</v>
      </c>
      <c r="C9" s="113">
        <v>227494373</v>
      </c>
      <c r="D9" s="75">
        <v>328161734</v>
      </c>
      <c r="E9" s="113">
        <v>555656107</v>
      </c>
      <c r="F9" s="75">
        <v>595011506</v>
      </c>
      <c r="G9" s="25">
        <v>6.4436058039151811E-2</v>
      </c>
      <c r="I9" s="42">
        <v>464604355</v>
      </c>
    </row>
    <row r="10" spans="1:9" ht="20" customHeight="1" thickBot="1">
      <c r="A10" s="7" t="s">
        <v>81</v>
      </c>
      <c r="B10" s="75">
        <v>4147324</v>
      </c>
      <c r="C10" s="113">
        <v>21619610</v>
      </c>
      <c r="D10" s="75">
        <v>29677996</v>
      </c>
      <c r="E10" s="113">
        <v>51297606</v>
      </c>
      <c r="F10" s="75">
        <v>55444930</v>
      </c>
      <c r="G10" s="25">
        <v>8.2397778923591E-2</v>
      </c>
      <c r="I10" s="42">
        <v>45901795</v>
      </c>
    </row>
    <row r="11" spans="1:9" ht="20" customHeight="1" thickBot="1">
      <c r="A11" s="7" t="s">
        <v>82</v>
      </c>
      <c r="B11" s="75">
        <v>19253907</v>
      </c>
      <c r="C11" s="113">
        <v>86073931</v>
      </c>
      <c r="D11" s="75">
        <v>117515278</v>
      </c>
      <c r="E11" s="113">
        <v>203589209</v>
      </c>
      <c r="F11" s="75">
        <v>222843116</v>
      </c>
      <c r="G11" s="25">
        <v>8.2279766068043131E-2</v>
      </c>
      <c r="I11" s="42">
        <v>171549320</v>
      </c>
    </row>
    <row r="12" spans="1:9" ht="20" customHeight="1" thickBot="1">
      <c r="A12" s="7" t="s">
        <v>83</v>
      </c>
      <c r="B12" s="75">
        <v>3941697</v>
      </c>
      <c r="C12" s="113">
        <v>18030772</v>
      </c>
      <c r="D12" s="75">
        <v>29793469</v>
      </c>
      <c r="E12" s="113">
        <v>47824241</v>
      </c>
      <c r="F12" s="75">
        <v>51765938</v>
      </c>
      <c r="G12" s="25">
        <v>8.9349011229298142E-2</v>
      </c>
      <c r="I12" s="42">
        <v>41764939</v>
      </c>
    </row>
    <row r="13" spans="1:9" ht="20" customHeight="1" thickBot="1">
      <c r="A13" s="7" t="s">
        <v>84</v>
      </c>
      <c r="B13" s="75">
        <v>4328418</v>
      </c>
      <c r="C13" s="113">
        <v>21783839</v>
      </c>
      <c r="D13" s="75">
        <v>31594956</v>
      </c>
      <c r="E13" s="113">
        <v>53378795</v>
      </c>
      <c r="F13" s="75">
        <v>57707213</v>
      </c>
      <c r="G13" s="25">
        <v>7.5337625922229007E-2</v>
      </c>
      <c r="I13" s="42">
        <v>44323506</v>
      </c>
    </row>
    <row r="14" spans="1:9" ht="20" customHeight="1" thickBot="1">
      <c r="A14" s="7" t="s">
        <v>85</v>
      </c>
      <c r="B14" s="75">
        <v>5574820</v>
      </c>
      <c r="C14" s="113">
        <v>24646680</v>
      </c>
      <c r="D14" s="75">
        <v>36098531</v>
      </c>
      <c r="E14" s="113">
        <v>60745211</v>
      </c>
      <c r="F14" s="75">
        <v>66320031</v>
      </c>
      <c r="G14" s="25">
        <v>2.5705066348100228E-2</v>
      </c>
      <c r="I14" s="42">
        <v>55927154</v>
      </c>
    </row>
    <row r="15" spans="1:9" ht="20" customHeight="1" thickBot="1">
      <c r="A15" s="7" t="s">
        <v>86</v>
      </c>
      <c r="B15" s="75">
        <v>10857850</v>
      </c>
      <c r="C15" s="113">
        <v>62789033</v>
      </c>
      <c r="D15" s="75">
        <v>98524547</v>
      </c>
      <c r="E15" s="113">
        <v>161313580</v>
      </c>
      <c r="F15" s="75">
        <v>172171430</v>
      </c>
      <c r="G15" s="25">
        <v>3.1877225837691467E-2</v>
      </c>
      <c r="I15" s="42">
        <v>128772453</v>
      </c>
    </row>
    <row r="16" spans="1:9" ht="20" customHeight="1" thickBot="1">
      <c r="A16" s="7" t="s">
        <v>87</v>
      </c>
      <c r="B16" s="75">
        <v>36711985</v>
      </c>
      <c r="C16" s="113">
        <v>178563746</v>
      </c>
      <c r="D16" s="75">
        <v>259829385</v>
      </c>
      <c r="E16" s="113">
        <v>438393131</v>
      </c>
      <c r="F16" s="75">
        <v>475105116</v>
      </c>
      <c r="G16" s="25">
        <v>4.3912117740241778E-2</v>
      </c>
      <c r="I16" s="42">
        <v>391250033</v>
      </c>
    </row>
    <row r="17" spans="1:9" ht="20" customHeight="1" thickBot="1">
      <c r="A17" s="7" t="s">
        <v>88</v>
      </c>
      <c r="B17" s="75">
        <v>32705095</v>
      </c>
      <c r="C17" s="113">
        <v>187029443</v>
      </c>
      <c r="D17" s="75">
        <v>271370718</v>
      </c>
      <c r="E17" s="113">
        <v>458400161</v>
      </c>
      <c r="F17" s="75">
        <v>491105256</v>
      </c>
      <c r="G17" s="25">
        <v>9.4324477086789774E-2</v>
      </c>
      <c r="I17" s="42">
        <v>393696828</v>
      </c>
    </row>
    <row r="18" spans="1:9" ht="20" customHeight="1" thickBot="1">
      <c r="A18" s="7" t="s">
        <v>89</v>
      </c>
      <c r="B18" s="75">
        <v>25496080</v>
      </c>
      <c r="C18" s="113">
        <v>191231154</v>
      </c>
      <c r="D18" s="75">
        <v>315157101</v>
      </c>
      <c r="E18" s="113">
        <v>506388255</v>
      </c>
      <c r="F18" s="75">
        <v>531884335</v>
      </c>
      <c r="G18" s="25">
        <v>1.8705750485229163E-2</v>
      </c>
      <c r="I18" s="42">
        <v>473520714</v>
      </c>
    </row>
    <row r="19" spans="1:9" ht="20" customHeight="1" thickBot="1">
      <c r="A19" s="7" t="s">
        <v>90</v>
      </c>
      <c r="B19" s="75">
        <v>39993733</v>
      </c>
      <c r="C19" s="113">
        <v>219073223</v>
      </c>
      <c r="D19" s="75">
        <v>312909076</v>
      </c>
      <c r="E19" s="113">
        <v>531982299</v>
      </c>
      <c r="F19" s="75">
        <v>571976032</v>
      </c>
      <c r="G19" s="25">
        <v>3.8349106486934167E-2</v>
      </c>
      <c r="I19" s="42">
        <v>469771093</v>
      </c>
    </row>
    <row r="20" spans="1:9" ht="20" customHeight="1" thickBot="1">
      <c r="A20" s="7" t="s">
        <v>91</v>
      </c>
      <c r="B20" s="75">
        <v>8421973</v>
      </c>
      <c r="C20" s="113">
        <v>53960577</v>
      </c>
      <c r="D20" s="75">
        <v>86009224</v>
      </c>
      <c r="E20" s="113">
        <v>139969801</v>
      </c>
      <c r="F20" s="75">
        <v>148391774</v>
      </c>
      <c r="G20" s="25">
        <v>2.5220842842225304E-2</v>
      </c>
      <c r="I20" s="42">
        <v>127694959</v>
      </c>
    </row>
    <row r="21" spans="1:9" ht="20" customHeight="1" thickBot="1">
      <c r="A21" s="7" t="s">
        <v>92</v>
      </c>
      <c r="B21" s="75">
        <v>6461256</v>
      </c>
      <c r="C21" s="113">
        <v>31279789</v>
      </c>
      <c r="D21" s="75">
        <v>46018567</v>
      </c>
      <c r="E21" s="113">
        <v>77298356</v>
      </c>
      <c r="F21" s="75">
        <v>83759612</v>
      </c>
      <c r="G21" s="25">
        <v>8.0172945568535783E-2</v>
      </c>
      <c r="I21" s="42">
        <v>69489100</v>
      </c>
    </row>
    <row r="22" spans="1:9" ht="20" customHeight="1" thickBot="1">
      <c r="A22" s="7" t="s">
        <v>93</v>
      </c>
      <c r="B22" s="75">
        <v>1546128</v>
      </c>
      <c r="C22" s="113">
        <v>8173535</v>
      </c>
      <c r="D22" s="75">
        <v>11334765</v>
      </c>
      <c r="E22" s="113">
        <v>19508300</v>
      </c>
      <c r="F22" s="75">
        <v>21054428</v>
      </c>
      <c r="G22" s="25">
        <v>3.5970482477673753E-2</v>
      </c>
      <c r="I22" s="42">
        <v>16712649</v>
      </c>
    </row>
    <row r="23" spans="1:9" ht="20" customHeight="1" thickBot="1">
      <c r="A23" s="7" t="s">
        <v>94</v>
      </c>
      <c r="B23" s="75">
        <v>61592340</v>
      </c>
      <c r="C23" s="113">
        <v>296231848</v>
      </c>
      <c r="D23" s="75">
        <v>425746777</v>
      </c>
      <c r="E23" s="113">
        <v>721978625</v>
      </c>
      <c r="F23" s="75">
        <v>783570965</v>
      </c>
      <c r="G23" s="25">
        <v>9.3767877245215889E-2</v>
      </c>
      <c r="I23" s="42">
        <v>615853738</v>
      </c>
    </row>
    <row r="24" spans="1:9" ht="20" customHeight="1" thickBot="1">
      <c r="A24" s="7" t="s">
        <v>95</v>
      </c>
      <c r="B24" s="75">
        <v>22956307</v>
      </c>
      <c r="C24" s="113">
        <v>127683258</v>
      </c>
      <c r="D24" s="75">
        <v>181827246</v>
      </c>
      <c r="E24" s="113">
        <v>309510504</v>
      </c>
      <c r="F24" s="75">
        <v>332466811</v>
      </c>
      <c r="G24" s="25">
        <v>6.7693129096465077E-2</v>
      </c>
      <c r="I24" s="42">
        <v>264690646</v>
      </c>
    </row>
    <row r="25" spans="1:9" ht="20" customHeight="1" thickBot="1">
      <c r="A25" s="7" t="s">
        <v>96</v>
      </c>
      <c r="B25" s="75">
        <v>72265266</v>
      </c>
      <c r="C25" s="113">
        <v>389711118</v>
      </c>
      <c r="D25" s="75">
        <v>561371071</v>
      </c>
      <c r="E25" s="113">
        <v>951082189</v>
      </c>
      <c r="F25" s="75">
        <v>1023347455</v>
      </c>
      <c r="G25" s="25">
        <v>5.0947520764216471E-2</v>
      </c>
      <c r="I25" s="42">
        <v>819222625</v>
      </c>
    </row>
    <row r="26" spans="1:9" ht="20" customHeight="1" thickBot="1">
      <c r="A26" s="7" t="s">
        <v>97</v>
      </c>
      <c r="B26" s="75">
        <v>32631869</v>
      </c>
      <c r="C26" s="113">
        <v>165748138</v>
      </c>
      <c r="D26" s="75">
        <v>229955027</v>
      </c>
      <c r="E26" s="113">
        <v>395703165</v>
      </c>
      <c r="F26" s="75">
        <v>428335034</v>
      </c>
      <c r="G26" s="25">
        <v>4.5166913815126122E-2</v>
      </c>
      <c r="I26" s="42">
        <v>344655658</v>
      </c>
    </row>
    <row r="27" spans="1:9" ht="20" customHeight="1" thickBot="1">
      <c r="A27" s="7" t="s">
        <v>98</v>
      </c>
      <c r="B27" s="75">
        <v>45486063</v>
      </c>
      <c r="C27" s="113">
        <v>317647234</v>
      </c>
      <c r="D27" s="75">
        <v>456889022</v>
      </c>
      <c r="E27" s="113">
        <v>774536256</v>
      </c>
      <c r="F27" s="75">
        <v>820022319</v>
      </c>
      <c r="G27" s="25">
        <v>6.7593394531589163E-2</v>
      </c>
      <c r="I27" s="42">
        <v>627641817</v>
      </c>
    </row>
    <row r="28" spans="1:9" ht="20" customHeight="1" thickBot="1">
      <c r="A28" s="7" t="s">
        <v>99</v>
      </c>
      <c r="B28" s="75">
        <v>116996646</v>
      </c>
      <c r="C28" s="113">
        <v>582112975</v>
      </c>
      <c r="D28" s="75">
        <v>904428718</v>
      </c>
      <c r="E28" s="113">
        <v>1486541693</v>
      </c>
      <c r="F28" s="75">
        <v>1603538339</v>
      </c>
      <c r="G28" s="25">
        <v>5.5654754446842127E-2</v>
      </c>
      <c r="I28" s="42">
        <v>1280335377</v>
      </c>
    </row>
    <row r="29" spans="1:9" ht="20" customHeight="1" thickBot="1">
      <c r="A29" s="7" t="s">
        <v>100</v>
      </c>
      <c r="B29" s="75">
        <v>37643134</v>
      </c>
      <c r="C29" s="113">
        <v>207198916</v>
      </c>
      <c r="D29" s="75">
        <v>295361334</v>
      </c>
      <c r="E29" s="113">
        <v>502560250</v>
      </c>
      <c r="F29" s="75">
        <v>540203384</v>
      </c>
      <c r="G29" s="25">
        <v>8.4018801030462373E-2</v>
      </c>
      <c r="I29" s="42">
        <v>410743307</v>
      </c>
    </row>
    <row r="30" spans="1:9" ht="20" customHeight="1" thickBot="1">
      <c r="A30" s="7" t="s">
        <v>101</v>
      </c>
      <c r="B30" s="75">
        <v>27188519</v>
      </c>
      <c r="C30" s="113">
        <v>155526783</v>
      </c>
      <c r="D30" s="75">
        <v>242543725</v>
      </c>
      <c r="E30" s="113">
        <v>398070508</v>
      </c>
      <c r="F30" s="75">
        <v>425259027</v>
      </c>
      <c r="G30" s="25">
        <v>6.6752227284335927E-2</v>
      </c>
      <c r="I30" s="42">
        <v>318756043</v>
      </c>
    </row>
    <row r="31" spans="1:9" ht="20" customHeight="1" thickBot="1">
      <c r="A31" s="7" t="s">
        <v>102</v>
      </c>
      <c r="B31" s="75">
        <v>80080769</v>
      </c>
      <c r="C31" s="113">
        <v>405320316</v>
      </c>
      <c r="D31" s="75">
        <v>652839041</v>
      </c>
      <c r="E31" s="113">
        <v>1058159357</v>
      </c>
      <c r="F31" s="75">
        <v>1138240126</v>
      </c>
      <c r="G31" s="25">
        <v>1.3901945961986031E-2</v>
      </c>
      <c r="I31" s="42">
        <v>966736347</v>
      </c>
    </row>
    <row r="32" spans="1:9" ht="20" customHeight="1" thickBot="1">
      <c r="A32" s="65" t="s">
        <v>103</v>
      </c>
      <c r="B32" s="75">
        <v>10530288</v>
      </c>
      <c r="C32" s="113">
        <v>56396718</v>
      </c>
      <c r="D32" s="75">
        <v>82619952</v>
      </c>
      <c r="E32" s="113">
        <v>139016670</v>
      </c>
      <c r="F32" s="75">
        <v>149546958</v>
      </c>
      <c r="G32" s="25">
        <v>-3.9199683507030139E-2</v>
      </c>
      <c r="I32" s="42">
        <v>146808815</v>
      </c>
    </row>
    <row r="33" spans="1:9" ht="30" customHeight="1" thickBot="1">
      <c r="A33" s="12" t="s">
        <v>104</v>
      </c>
      <c r="B33" s="114">
        <v>1022576985</v>
      </c>
      <c r="C33" s="115">
        <v>5728788174</v>
      </c>
      <c r="D33" s="114">
        <v>8556384507</v>
      </c>
      <c r="E33" s="115">
        <v>14285172681</v>
      </c>
      <c r="F33" s="114">
        <v>15307749666</v>
      </c>
      <c r="G33" s="34">
        <v>4.9230001681300678E-2</v>
      </c>
      <c r="I33" s="42">
        <v>12410394200</v>
      </c>
    </row>
    <row r="34" spans="1:9" ht="20" customHeight="1">
      <c r="A34" s="9" t="s">
        <v>257</v>
      </c>
      <c r="B34" s="9"/>
      <c r="C34" s="9"/>
      <c r="D34" s="9"/>
      <c r="E34" s="9"/>
      <c r="F34" s="9"/>
      <c r="G34" s="26"/>
    </row>
    <row r="35" spans="1:9" ht="12.75" customHeight="1">
      <c r="A35" s="37"/>
      <c r="B35" s="37"/>
      <c r="C35" s="37"/>
      <c r="D35" s="37"/>
      <c r="E35" s="37"/>
      <c r="F35" s="37"/>
      <c r="G35" s="27"/>
    </row>
    <row r="36" spans="1:9" ht="14.25" customHeight="1">
      <c r="A36" s="37" t="s">
        <v>44</v>
      </c>
      <c r="B36" s="37"/>
      <c r="C36" s="37"/>
      <c r="D36" s="37"/>
      <c r="E36" s="37"/>
      <c r="F36" s="37"/>
      <c r="G36" s="27"/>
    </row>
    <row r="37" spans="1:9" ht="10.5" customHeight="1">
      <c r="A37" s="37"/>
      <c r="B37" s="37"/>
      <c r="C37" s="37"/>
      <c r="D37" s="37"/>
      <c r="E37" s="37"/>
      <c r="F37" s="37"/>
      <c r="G37" s="27"/>
    </row>
    <row r="38" spans="1:9" ht="15" customHeight="1">
      <c r="A38" s="37" t="s">
        <v>369</v>
      </c>
      <c r="B38" s="37"/>
      <c r="C38" s="37"/>
      <c r="D38" s="37"/>
      <c r="E38" s="37"/>
      <c r="F38" s="37"/>
      <c r="G38" s="27"/>
    </row>
    <row r="39" spans="1:9" ht="13.5" customHeight="1">
      <c r="A39" s="3" t="s">
        <v>368</v>
      </c>
    </row>
    <row r="40" spans="1:9" ht="13.5" customHeight="1">
      <c r="A40" s="126" t="s">
        <v>2071</v>
      </c>
    </row>
    <row r="41" spans="1:9" ht="12" customHeight="1"/>
    <row r="42" spans="1:9" ht="12" customHeight="1"/>
    <row r="43" spans="1:9" ht="12" customHeight="1">
      <c r="A43" s="37" t="s">
        <v>256</v>
      </c>
    </row>
  </sheetData>
  <phoneticPr fontId="0" type="noConversion"/>
  <pageMargins left="0.6" right="0.59" top="0.76" bottom="0.49" header="0.35" footer="0.4921259845"/>
  <pageSetup paperSize="9" scale="80" orientation="portrait" horizontalDpi="4294967292" verticalDpi="4294967292"/>
  <headerFooter alignWithMargins="0">
    <oddHeader>&amp;L&amp;"Arial,Bold"Leistungen und Kostenbeteiligung in der OKP</oddHead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B9501-8D9D-CD41-BCC8-46D832D3E120}">
  <dimension ref="A1:I41"/>
  <sheetViews>
    <sheetView zoomScale="75" workbookViewId="0">
      <selection activeCell="B7" sqref="B7:F33"/>
    </sheetView>
  </sheetViews>
  <sheetFormatPr baseColWidth="10" defaultColWidth="11.3984375" defaultRowHeight="13"/>
  <cols>
    <col min="1" max="1" width="14.796875" style="3" customWidth="1"/>
    <col min="2" max="6" width="14.796875" style="20" customWidth="1"/>
    <col min="7" max="7" width="14.796875" style="21" customWidth="1"/>
    <col min="8" max="8" width="11.3984375" style="3"/>
    <col min="9" max="9" width="0" style="3" hidden="1" customWidth="1"/>
    <col min="10" max="16384" width="11.3984375" style="3"/>
  </cols>
  <sheetData>
    <row r="1" spans="1:9" s="1" customFormat="1" ht="14" customHeight="1">
      <c r="B1" s="32"/>
      <c r="C1" s="32"/>
      <c r="D1" s="32"/>
      <c r="E1" s="32"/>
      <c r="F1" s="32"/>
      <c r="G1" s="23"/>
    </row>
    <row r="2" spans="1:9" s="1" customFormat="1" ht="42" customHeight="1">
      <c r="A2" s="1473" t="s">
        <v>2075</v>
      </c>
      <c r="B2" s="1474"/>
      <c r="C2" s="1474"/>
      <c r="D2" s="1474"/>
      <c r="E2" s="1474"/>
      <c r="F2" s="1474"/>
      <c r="G2" s="124">
        <v>2003</v>
      </c>
    </row>
    <row r="3" spans="1:9" ht="27" customHeight="1">
      <c r="A3" s="2" t="s">
        <v>70</v>
      </c>
      <c r="B3" s="13" t="s">
        <v>71</v>
      </c>
      <c r="C3" s="60" t="s">
        <v>72</v>
      </c>
      <c r="D3" s="13" t="s">
        <v>73</v>
      </c>
      <c r="E3" s="60" t="s">
        <v>22</v>
      </c>
      <c r="F3" s="13" t="s">
        <v>22</v>
      </c>
      <c r="G3" s="16" t="s">
        <v>24</v>
      </c>
    </row>
    <row r="4" spans="1:9" ht="15" customHeight="1">
      <c r="A4" s="4"/>
      <c r="B4" s="14"/>
      <c r="C4" s="61"/>
      <c r="D4" s="14"/>
      <c r="E4" s="61" t="s">
        <v>74</v>
      </c>
      <c r="F4" s="14" t="s">
        <v>75</v>
      </c>
      <c r="G4" s="17" t="s">
        <v>25</v>
      </c>
    </row>
    <row r="5" spans="1:9" ht="15" customHeight="1">
      <c r="A5" s="4"/>
      <c r="B5" s="14"/>
      <c r="C5" s="61"/>
      <c r="D5" s="14"/>
      <c r="E5" s="61" t="s">
        <v>76</v>
      </c>
      <c r="F5" s="14" t="s">
        <v>77</v>
      </c>
      <c r="G5" s="17" t="s">
        <v>26</v>
      </c>
    </row>
    <row r="6" spans="1:9" ht="24" customHeight="1">
      <c r="A6" s="5"/>
      <c r="B6" s="15"/>
      <c r="C6" s="62"/>
      <c r="D6" s="15"/>
      <c r="E6" s="62"/>
      <c r="F6" s="15"/>
      <c r="G6" s="18"/>
    </row>
    <row r="7" spans="1:9" ht="30" customHeight="1" thickBot="1">
      <c r="A7" s="6" t="s">
        <v>78</v>
      </c>
      <c r="B7" s="28">
        <v>56.004944100260353</v>
      </c>
      <c r="C7" s="63">
        <v>160.53875755393616</v>
      </c>
      <c r="D7" s="28">
        <v>227.78807917869202</v>
      </c>
      <c r="E7" s="63">
        <v>195.25737898206901</v>
      </c>
      <c r="F7" s="28">
        <v>168.47565913471081</v>
      </c>
      <c r="G7" s="24">
        <v>1.1730299785616984E-2</v>
      </c>
      <c r="I7" s="64">
        <v>147.6535284720232</v>
      </c>
    </row>
    <row r="8" spans="1:9" ht="20" customHeight="1" thickBot="1">
      <c r="A8" s="7" t="s">
        <v>79</v>
      </c>
      <c r="B8" s="28">
        <v>49.564211621511397</v>
      </c>
      <c r="C8" s="63">
        <v>169.35837371155318</v>
      </c>
      <c r="D8" s="28">
        <v>232.89107800245199</v>
      </c>
      <c r="E8" s="63">
        <v>202.43394571045621</v>
      </c>
      <c r="F8" s="28">
        <v>171.89073373229681</v>
      </c>
      <c r="G8" s="24">
        <v>6.5335108893315286E-2</v>
      </c>
      <c r="I8" s="64">
        <v>136.00843900520724</v>
      </c>
    </row>
    <row r="9" spans="1:9" ht="20" customHeight="1" thickBot="1">
      <c r="A9" s="7" t="s">
        <v>80</v>
      </c>
      <c r="B9" s="28">
        <v>40.743448430881195</v>
      </c>
      <c r="C9" s="63">
        <v>140.70847883877687</v>
      </c>
      <c r="D9" s="28">
        <v>192.53189866379725</v>
      </c>
      <c r="E9" s="63">
        <v>167.3042153309882</v>
      </c>
      <c r="F9" s="28">
        <v>138.78906905554285</v>
      </c>
      <c r="G9" s="24">
        <v>6.0603778009746694E-2</v>
      </c>
      <c r="I9" s="64">
        <v>109.8632844875566</v>
      </c>
    </row>
    <row r="10" spans="1:9" ht="20" customHeight="1" thickBot="1">
      <c r="A10" s="7" t="s">
        <v>81</v>
      </c>
      <c r="B10" s="28">
        <v>43.736627993304715</v>
      </c>
      <c r="C10" s="63">
        <v>131.6593296628827</v>
      </c>
      <c r="D10" s="28">
        <v>178.89397959410022</v>
      </c>
      <c r="E10" s="63">
        <v>155.39739421851093</v>
      </c>
      <c r="F10" s="28">
        <v>130.47983032729266</v>
      </c>
      <c r="G10" s="24">
        <v>8.5515488530051864E-2</v>
      </c>
      <c r="I10" s="64">
        <v>106.3151780359856</v>
      </c>
    </row>
    <row r="11" spans="1:9" ht="20" customHeight="1" thickBot="1">
      <c r="A11" s="7" t="s">
        <v>82</v>
      </c>
      <c r="B11" s="28">
        <v>52.150626493101264</v>
      </c>
      <c r="C11" s="63">
        <v>137.2937115429277</v>
      </c>
      <c r="D11" s="28">
        <v>189.30106696507593</v>
      </c>
      <c r="E11" s="63">
        <v>163.16924898093961</v>
      </c>
      <c r="F11" s="28">
        <v>137.81984716583915</v>
      </c>
      <c r="G11" s="24">
        <v>6.7054103239083576E-2</v>
      </c>
      <c r="I11" s="64">
        <v>110.98351281141051</v>
      </c>
    </row>
    <row r="12" spans="1:9" ht="20" customHeight="1" thickBot="1">
      <c r="A12" s="7" t="s">
        <v>83</v>
      </c>
      <c r="B12" s="28">
        <v>41.363104045332911</v>
      </c>
      <c r="C12" s="63">
        <v>116.68445009096207</v>
      </c>
      <c r="D12" s="28">
        <v>191.10490675115099</v>
      </c>
      <c r="E12" s="63">
        <v>154.05952071700972</v>
      </c>
      <c r="F12" s="28">
        <v>127.58966212434503</v>
      </c>
      <c r="G12" s="24">
        <v>8.2735837864059678E-2</v>
      </c>
      <c r="I12" s="64">
        <v>105.19977836100999</v>
      </c>
    </row>
    <row r="13" spans="1:9" ht="20" customHeight="1" thickBot="1">
      <c r="A13" s="7" t="s">
        <v>84</v>
      </c>
      <c r="B13" s="28">
        <v>43.267738259461403</v>
      </c>
      <c r="C13" s="63">
        <v>119.01395900260059</v>
      </c>
      <c r="D13" s="28">
        <v>173.59095266539816</v>
      </c>
      <c r="E13" s="63">
        <v>146.22566279414676</v>
      </c>
      <c r="F13" s="28">
        <v>124.07966329203566</v>
      </c>
      <c r="G13" s="24">
        <v>7.0151573809094911E-2</v>
      </c>
      <c r="I13" s="64">
        <v>98.806061539893719</v>
      </c>
    </row>
    <row r="14" spans="1:9" ht="20" customHeight="1" thickBot="1">
      <c r="A14" s="7" t="s">
        <v>85</v>
      </c>
      <c r="B14" s="28">
        <v>54.34552038076432</v>
      </c>
      <c r="C14" s="63">
        <v>137.83941586244848</v>
      </c>
      <c r="D14" s="28">
        <v>195.30679238659897</v>
      </c>
      <c r="E14" s="63">
        <v>167.04905628954768</v>
      </c>
      <c r="F14" s="28">
        <v>142.25111643051105</v>
      </c>
      <c r="G14" s="24">
        <v>2.7031699285927389E-2</v>
      </c>
      <c r="I14" s="64">
        <v>118.50730828724598</v>
      </c>
    </row>
    <row r="15" spans="1:9" ht="20" customHeight="1" thickBot="1">
      <c r="A15" s="7" t="s">
        <v>86</v>
      </c>
      <c r="B15" s="28">
        <v>42.7114557026757</v>
      </c>
      <c r="C15" s="63">
        <v>130.02303342051368</v>
      </c>
      <c r="D15" s="28">
        <v>201.31796905943645</v>
      </c>
      <c r="E15" s="63">
        <v>165.90840668685621</v>
      </c>
      <c r="F15" s="28">
        <v>140.37403773201922</v>
      </c>
      <c r="G15" s="24">
        <v>2.1365921149991508E-2</v>
      </c>
      <c r="I15" s="64">
        <v>109.7243161119399</v>
      </c>
    </row>
    <row r="16" spans="1:9" ht="20" customHeight="1" thickBot="1">
      <c r="A16" s="7" t="s">
        <v>87</v>
      </c>
      <c r="B16" s="28">
        <v>51.957882565400269</v>
      </c>
      <c r="C16" s="63">
        <v>160.81637853075776</v>
      </c>
      <c r="D16" s="28">
        <v>225.81586178586903</v>
      </c>
      <c r="E16" s="63">
        <v>193.89492579112712</v>
      </c>
      <c r="F16" s="28">
        <v>160.09985189827989</v>
      </c>
      <c r="G16" s="24">
        <v>2.9592406537971981E-2</v>
      </c>
      <c r="I16" s="64">
        <v>137.47395057718248</v>
      </c>
    </row>
    <row r="17" spans="1:9" ht="20" customHeight="1" thickBot="1">
      <c r="A17" s="7" t="s">
        <v>88</v>
      </c>
      <c r="B17" s="28">
        <v>52.091030296265465</v>
      </c>
      <c r="C17" s="63">
        <v>162.76027188069179</v>
      </c>
      <c r="D17" s="28">
        <v>224.3992438732148</v>
      </c>
      <c r="E17" s="63">
        <v>194.36657388973308</v>
      </c>
      <c r="F17" s="28">
        <v>164.4540767759454</v>
      </c>
      <c r="G17" s="24">
        <v>8.9452889189262572E-2</v>
      </c>
      <c r="I17" s="64">
        <v>132.71022733455214</v>
      </c>
    </row>
    <row r="18" spans="1:9" ht="20" customHeight="1" thickBot="1">
      <c r="A18" s="7" t="s">
        <v>89</v>
      </c>
      <c r="B18" s="28">
        <v>71.804781728342661</v>
      </c>
      <c r="C18" s="63">
        <v>221.03711611865097</v>
      </c>
      <c r="D18" s="28">
        <v>319.58393937819403</v>
      </c>
      <c r="E18" s="63">
        <v>273.53086857723116</v>
      </c>
      <c r="F18" s="28">
        <v>241.06684170474946</v>
      </c>
      <c r="G18" s="24">
        <v>2.6655930494178224E-2</v>
      </c>
      <c r="I18" s="64">
        <v>208.35408965566106</v>
      </c>
    </row>
    <row r="19" spans="1:9" ht="20" customHeight="1" thickBot="1">
      <c r="A19" s="7" t="s">
        <v>90</v>
      </c>
      <c r="B19" s="28">
        <v>63.785955716933792</v>
      </c>
      <c r="C19" s="63">
        <v>176.52915902607299</v>
      </c>
      <c r="D19" s="28">
        <v>238.07862231328951</v>
      </c>
      <c r="E19" s="63">
        <v>208.18674620291134</v>
      </c>
      <c r="F19" s="28">
        <v>179.73599848492543</v>
      </c>
      <c r="G19" s="24">
        <v>3.2554877405941963E-2</v>
      </c>
      <c r="I19" s="64">
        <v>149.99608447175385</v>
      </c>
    </row>
    <row r="20" spans="1:9" ht="20" customHeight="1" thickBot="1">
      <c r="A20" s="7" t="s">
        <v>91</v>
      </c>
      <c r="B20" s="28">
        <v>45.897321118132517</v>
      </c>
      <c r="C20" s="63">
        <v>155.30402769608773</v>
      </c>
      <c r="D20" s="28">
        <v>230.1865285096122</v>
      </c>
      <c r="E20" s="63">
        <v>194.10568145100339</v>
      </c>
      <c r="F20" s="28">
        <v>164.04186677788525</v>
      </c>
      <c r="G20" s="24">
        <v>2.4315345166666731E-2</v>
      </c>
      <c r="I20" s="64">
        <v>141.06151978810024</v>
      </c>
    </row>
    <row r="21" spans="1:9" ht="20" customHeight="1" thickBot="1">
      <c r="A21" s="7" t="s">
        <v>92</v>
      </c>
      <c r="B21" s="28">
        <v>43.720352401445332</v>
      </c>
      <c r="C21" s="63">
        <v>128.87723684681094</v>
      </c>
      <c r="D21" s="28">
        <v>180.9503413076645</v>
      </c>
      <c r="E21" s="63">
        <v>155.52176791731361</v>
      </c>
      <c r="F21" s="28">
        <v>129.89773328646075</v>
      </c>
      <c r="G21" s="24">
        <v>8.2045858347733466E-2</v>
      </c>
      <c r="I21" s="64">
        <v>105.54236904359847</v>
      </c>
    </row>
    <row r="22" spans="1:9" ht="20" customHeight="1" thickBot="1">
      <c r="A22" s="7" t="s">
        <v>93</v>
      </c>
      <c r="B22" s="28">
        <v>33.150228859151923</v>
      </c>
      <c r="C22" s="63">
        <v>121.44218345677341</v>
      </c>
      <c r="D22" s="28">
        <v>171.51246717968647</v>
      </c>
      <c r="E22" s="63">
        <v>146.24895345294556</v>
      </c>
      <c r="F22" s="28">
        <v>116.94892922861713</v>
      </c>
      <c r="G22" s="24">
        <v>3.1988666599697985E-2</v>
      </c>
      <c r="I22" s="64">
        <v>93.290141615544769</v>
      </c>
    </row>
    <row r="23" spans="1:9" ht="20" customHeight="1" thickBot="1">
      <c r="A23" s="7" t="s">
        <v>94</v>
      </c>
      <c r="B23" s="28">
        <v>48.395476295697812</v>
      </c>
      <c r="C23" s="63">
        <v>142.67487221953823</v>
      </c>
      <c r="D23" s="28">
        <v>195.377881442877</v>
      </c>
      <c r="E23" s="63">
        <v>169.66311047898685</v>
      </c>
      <c r="F23" s="28">
        <v>141.74444738242826</v>
      </c>
      <c r="G23" s="24">
        <v>8.9916965551606776E-2</v>
      </c>
      <c r="I23" s="64">
        <v>113.07027159885389</v>
      </c>
    </row>
    <row r="24" spans="1:9" ht="20" customHeight="1" thickBot="1">
      <c r="A24" s="7" t="s">
        <v>95</v>
      </c>
      <c r="B24" s="28">
        <v>49.034021757007594</v>
      </c>
      <c r="C24" s="63">
        <v>139.42371646971387</v>
      </c>
      <c r="D24" s="28">
        <v>194.23893526351836</v>
      </c>
      <c r="E24" s="63">
        <v>167.13186823867889</v>
      </c>
      <c r="F24" s="28">
        <v>143.30064502503163</v>
      </c>
      <c r="G24" s="24">
        <v>6.7764460044093602E-2</v>
      </c>
      <c r="I24" s="64">
        <v>112.93207174435962</v>
      </c>
    </row>
    <row r="25" spans="1:9" ht="20" customHeight="1" thickBot="1">
      <c r="A25" s="7" t="s">
        <v>96</v>
      </c>
      <c r="B25" s="28">
        <v>49.0129380658069</v>
      </c>
      <c r="C25" s="63">
        <v>148.62216878841355</v>
      </c>
      <c r="D25" s="28">
        <v>208.05644944631891</v>
      </c>
      <c r="E25" s="63">
        <v>178.76386097143174</v>
      </c>
      <c r="F25" s="28">
        <v>150.60879527528576</v>
      </c>
      <c r="G25" s="24">
        <v>4.4268063512921972E-2</v>
      </c>
      <c r="I25" s="64">
        <v>123.10137008461707</v>
      </c>
    </row>
    <row r="26" spans="1:9" ht="20" customHeight="1" thickBot="1">
      <c r="A26" s="7" t="s">
        <v>97</v>
      </c>
      <c r="B26" s="28">
        <v>49.419834080025318</v>
      </c>
      <c r="C26" s="63">
        <v>158.23319422402923</v>
      </c>
      <c r="D26" s="28">
        <v>211.79412940691165</v>
      </c>
      <c r="E26" s="63">
        <v>185.49389047920775</v>
      </c>
      <c r="F26" s="28">
        <v>153.33055334808165</v>
      </c>
      <c r="G26" s="24">
        <v>3.886981252915131E-2</v>
      </c>
      <c r="I26" s="64">
        <v>124.89094208425395</v>
      </c>
    </row>
    <row r="27" spans="1:9" ht="20" customHeight="1" thickBot="1">
      <c r="A27" s="7" t="s">
        <v>98</v>
      </c>
      <c r="B27" s="28">
        <v>65.818615399121072</v>
      </c>
      <c r="C27" s="63">
        <v>217.83935140269739</v>
      </c>
      <c r="D27" s="28">
        <v>279.3792207210268</v>
      </c>
      <c r="E27" s="63">
        <v>250.37182791480359</v>
      </c>
      <c r="F27" s="28">
        <v>216.67195622500083</v>
      </c>
      <c r="G27" s="24">
        <v>6.3289030611043864E-2</v>
      </c>
      <c r="I27" s="64">
        <v>168.72622344599318</v>
      </c>
    </row>
    <row r="28" spans="1:9" ht="20" customHeight="1" thickBot="1">
      <c r="A28" s="7" t="s">
        <v>99</v>
      </c>
      <c r="B28" s="28">
        <v>69.754835132403841</v>
      </c>
      <c r="C28" s="63">
        <v>204.69646529259433</v>
      </c>
      <c r="D28" s="28">
        <v>288.88371721259546</v>
      </c>
      <c r="E28" s="63">
        <v>248.81203627314963</v>
      </c>
      <c r="F28" s="28">
        <v>209.5632170523792</v>
      </c>
      <c r="G28" s="24">
        <v>4.6959184885275396E-2</v>
      </c>
      <c r="I28" s="64">
        <v>172.20627180427857</v>
      </c>
    </row>
    <row r="29" spans="1:9" ht="20" customHeight="1" thickBot="1">
      <c r="A29" s="7" t="s">
        <v>100</v>
      </c>
      <c r="B29" s="28">
        <v>50.317379453793372</v>
      </c>
      <c r="C29" s="63">
        <v>154.96105939832077</v>
      </c>
      <c r="D29" s="28">
        <v>210.80498420211629</v>
      </c>
      <c r="E29" s="63">
        <v>183.53571846674888</v>
      </c>
      <c r="F29" s="28">
        <v>154.94905323107426</v>
      </c>
      <c r="G29" s="24">
        <v>7.0526422470042108E-2</v>
      </c>
      <c r="I29" s="64">
        <v>121.13256050394979</v>
      </c>
    </row>
    <row r="30" spans="1:9" ht="20" customHeight="1" thickBot="1">
      <c r="A30" s="7" t="s">
        <v>101</v>
      </c>
      <c r="B30" s="28">
        <v>62.330688112342386</v>
      </c>
      <c r="C30" s="63">
        <v>204.86238068788396</v>
      </c>
      <c r="D30" s="28">
        <v>291.51756878995019</v>
      </c>
      <c r="E30" s="63">
        <v>250.17298345887778</v>
      </c>
      <c r="F30" s="28">
        <v>209.75803093550837</v>
      </c>
      <c r="G30" s="24">
        <v>6.4980076393213279E-2</v>
      </c>
      <c r="I30" s="64">
        <v>157.34667902077535</v>
      </c>
    </row>
    <row r="31" spans="1:9" ht="20" customHeight="1" thickBot="1">
      <c r="A31" s="7" t="s">
        <v>102</v>
      </c>
      <c r="B31" s="28">
        <v>79.183223988758456</v>
      </c>
      <c r="C31" s="63">
        <v>229.46434734167585</v>
      </c>
      <c r="D31" s="28">
        <v>330.02669244684245</v>
      </c>
      <c r="E31" s="63">
        <v>282.58908681388999</v>
      </c>
      <c r="F31" s="28">
        <v>239.33468824540816</v>
      </c>
      <c r="G31" s="24">
        <v>1.2957290622521395E-2</v>
      </c>
      <c r="I31" s="64">
        <v>209.96444334691634</v>
      </c>
    </row>
    <row r="32" spans="1:9" ht="20" customHeight="1" thickBot="1">
      <c r="A32" s="65" t="s">
        <v>103</v>
      </c>
      <c r="B32" s="28">
        <v>54.722978345259811</v>
      </c>
      <c r="C32" s="63">
        <v>180.45672415123772</v>
      </c>
      <c r="D32" s="28">
        <v>247.88393048732897</v>
      </c>
      <c r="E32" s="63">
        <v>215.25507547765105</v>
      </c>
      <c r="F32" s="28">
        <v>178.40335022896934</v>
      </c>
      <c r="G32" s="24">
        <v>-3.7043644614695254E-2</v>
      </c>
      <c r="I32" s="64">
        <v>173.66487176423698</v>
      </c>
    </row>
    <row r="33" spans="1:9" ht="30" customHeight="1" thickBot="1">
      <c r="A33" s="12" t="s">
        <v>104</v>
      </c>
      <c r="B33" s="66">
        <v>55.250861663766521</v>
      </c>
      <c r="C33" s="67">
        <v>169.1122373491396</v>
      </c>
      <c r="D33" s="66">
        <v>236.69302947248829</v>
      </c>
      <c r="E33" s="67">
        <v>203.99996667093544</v>
      </c>
      <c r="F33" s="66">
        <v>172.90394207876048</v>
      </c>
      <c r="G33" s="68">
        <v>4.4016339039144356E-2</v>
      </c>
      <c r="I33" s="64">
        <v>142.67390401114693</v>
      </c>
    </row>
    <row r="34" spans="1:9" ht="20" customHeight="1">
      <c r="A34" s="9" t="s">
        <v>257</v>
      </c>
      <c r="B34" s="30"/>
      <c r="C34" s="30"/>
      <c r="D34" s="30"/>
      <c r="E34" s="30"/>
      <c r="F34" s="30"/>
      <c r="G34" s="26"/>
    </row>
    <row r="35" spans="1:9" ht="14.25" customHeight="1">
      <c r="A35" s="37"/>
      <c r="B35" s="31"/>
      <c r="C35" s="31"/>
      <c r="D35" s="31"/>
      <c r="E35" s="31"/>
      <c r="F35" s="31"/>
      <c r="G35" s="27"/>
    </row>
    <row r="36" spans="1:9" ht="16.5" customHeight="1">
      <c r="A36" s="37" t="s">
        <v>105</v>
      </c>
      <c r="B36" s="31"/>
      <c r="C36" s="31"/>
      <c r="D36" s="31"/>
      <c r="E36" s="31"/>
      <c r="F36" s="31"/>
      <c r="G36" s="27"/>
    </row>
    <row r="37" spans="1:9" ht="12.75" customHeight="1">
      <c r="A37" s="37"/>
      <c r="B37" s="31"/>
      <c r="C37" s="31"/>
      <c r="D37" s="31"/>
      <c r="E37" s="31"/>
      <c r="F37" s="31"/>
      <c r="G37" s="27"/>
    </row>
    <row r="38" spans="1:9" ht="15.75" customHeight="1">
      <c r="A38" s="37" t="s">
        <v>69</v>
      </c>
    </row>
    <row r="39" spans="1:9" ht="12" customHeight="1"/>
    <row r="40" spans="1:9" ht="12" customHeight="1"/>
    <row r="41" spans="1:9">
      <c r="A41" s="37" t="s">
        <v>256</v>
      </c>
    </row>
  </sheetData>
  <mergeCells count="1">
    <mergeCell ref="A2:F2"/>
  </mergeCells>
  <phoneticPr fontId="0" type="noConversion"/>
  <pageMargins left="0.6" right="0.61" top="0.74" bottom="0.49" header="0.42" footer="0.4921259845"/>
  <pageSetup paperSize="9" scale="80" orientation="portrait" horizontalDpi="4294967292" verticalDpi="4294967292"/>
  <headerFooter alignWithMargins="0">
    <oddHeader>&amp;L&amp;"Arial,Bold"Leistungen und Kostenbeteiligung in  der OKP</oddHead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91DC-79EE-6A4E-835A-56BF8249B75A}">
  <dimension ref="A1:J45"/>
  <sheetViews>
    <sheetView zoomScale="75" workbookViewId="0"/>
  </sheetViews>
  <sheetFormatPr baseColWidth="10" defaultColWidth="11.3984375" defaultRowHeight="13"/>
  <cols>
    <col min="1" max="1" width="14.796875" style="3" customWidth="1"/>
    <col min="2" max="2" width="14.796875" style="20" customWidth="1"/>
    <col min="3" max="3" width="14.796875" style="21" customWidth="1"/>
    <col min="4" max="4" width="14.796875" style="20" customWidth="1"/>
    <col min="5" max="5" width="14.796875" style="21" customWidth="1"/>
    <col min="6" max="6" width="14.796875" style="20" customWidth="1"/>
    <col min="7" max="7" width="14.796875" style="21" customWidth="1"/>
    <col min="8" max="8" width="7.59765625" style="3" customWidth="1"/>
    <col min="9" max="9" width="6.3984375" style="3" customWidth="1"/>
    <col min="10" max="10" width="8.796875" style="3" customWidth="1"/>
    <col min="11" max="16384" width="11.3984375" style="3"/>
  </cols>
  <sheetData>
    <row r="1" spans="1:10" s="1" customFormat="1" ht="18.75" customHeight="1">
      <c r="A1" s="11"/>
      <c r="B1" s="22"/>
      <c r="C1" s="54"/>
      <c r="D1" s="55"/>
      <c r="E1" s="54"/>
      <c r="F1" s="55"/>
      <c r="G1" s="54"/>
    </row>
    <row r="2" spans="1:10" s="1" customFormat="1" ht="40.5" customHeight="1">
      <c r="A2" s="1486" t="s">
        <v>1004</v>
      </c>
      <c r="B2" s="1474"/>
      <c r="C2" s="1474"/>
      <c r="D2" s="1474"/>
      <c r="E2" s="1474"/>
      <c r="F2" s="1474"/>
      <c r="G2" s="124">
        <v>2003</v>
      </c>
    </row>
    <row r="3" spans="1:10" ht="27" customHeight="1">
      <c r="A3" s="2" t="s">
        <v>2063</v>
      </c>
      <c r="B3" s="13" t="s">
        <v>42</v>
      </c>
      <c r="C3" s="16" t="s">
        <v>24</v>
      </c>
      <c r="D3" s="13" t="s">
        <v>43</v>
      </c>
      <c r="E3" s="16" t="s">
        <v>24</v>
      </c>
      <c r="F3" s="13" t="s">
        <v>22</v>
      </c>
      <c r="G3" s="16" t="s">
        <v>24</v>
      </c>
    </row>
    <row r="4" spans="1:10" ht="15" customHeight="1">
      <c r="A4" s="4"/>
      <c r="B4" s="14"/>
      <c r="C4" s="17" t="s">
        <v>25</v>
      </c>
      <c r="D4" s="14"/>
      <c r="E4" s="17" t="s">
        <v>25</v>
      </c>
      <c r="F4" s="14"/>
      <c r="G4" s="17" t="s">
        <v>25</v>
      </c>
    </row>
    <row r="5" spans="1:10" ht="15" customHeight="1">
      <c r="A5" s="4"/>
      <c r="B5" s="14"/>
      <c r="C5" s="17" t="s">
        <v>26</v>
      </c>
      <c r="D5" s="14"/>
      <c r="E5" s="17" t="s">
        <v>26</v>
      </c>
      <c r="F5" s="14"/>
      <c r="G5" s="17" t="s">
        <v>26</v>
      </c>
    </row>
    <row r="6" spans="1:10" ht="23" customHeight="1">
      <c r="A6" s="5"/>
      <c r="B6" s="15"/>
      <c r="C6" s="18"/>
      <c r="D6" s="15"/>
      <c r="E6" s="18"/>
      <c r="F6" s="15"/>
      <c r="G6" s="18"/>
    </row>
    <row r="7" spans="1:10" ht="30" customHeight="1" thickBot="1">
      <c r="A7" s="6" t="s">
        <v>27</v>
      </c>
      <c r="B7" s="28">
        <v>56.530051212027537</v>
      </c>
      <c r="C7" s="24">
        <v>2.9212571495242676E-2</v>
      </c>
      <c r="D7" s="28">
        <v>53.90637314188092</v>
      </c>
      <c r="E7" s="24">
        <v>3.0851972796516407E-2</v>
      </c>
      <c r="F7" s="28">
        <v>55.250860947304226</v>
      </c>
      <c r="G7" s="24">
        <v>2.9990350216349999E-2</v>
      </c>
      <c r="H7" s="56"/>
      <c r="I7" s="56"/>
      <c r="J7" s="56"/>
    </row>
    <row r="8" spans="1:10" ht="20" customHeight="1" thickBot="1">
      <c r="A8" s="7" t="s">
        <v>28</v>
      </c>
      <c r="B8" s="29">
        <v>52.483074288831887</v>
      </c>
      <c r="C8" s="25">
        <v>4.9741493300549056E-2</v>
      </c>
      <c r="D8" s="29">
        <v>90.365130389265232</v>
      </c>
      <c r="E8" s="25">
        <v>2.2711187357837715E-2</v>
      </c>
      <c r="F8" s="29">
        <v>71.24095305819084</v>
      </c>
      <c r="G8" s="25">
        <v>3.246132078555676E-2</v>
      </c>
      <c r="H8" s="56"/>
      <c r="I8" s="56"/>
      <c r="J8" s="56"/>
    </row>
    <row r="9" spans="1:10" ht="20" customHeight="1" thickBot="1">
      <c r="A9" s="7" t="s">
        <v>29</v>
      </c>
      <c r="B9" s="29">
        <v>56.353746381104493</v>
      </c>
      <c r="C9" s="25">
        <v>3.783462154195872E-2</v>
      </c>
      <c r="D9" s="29">
        <v>127.39498437914521</v>
      </c>
      <c r="E9" s="25">
        <v>2.1318895198696272E-2</v>
      </c>
      <c r="F9" s="29">
        <v>91.869053978329106</v>
      </c>
      <c r="G9" s="25">
        <v>2.6563630275479245E-2</v>
      </c>
      <c r="H9" s="56"/>
      <c r="I9" s="56"/>
      <c r="J9" s="56"/>
    </row>
    <row r="10" spans="1:10" ht="20" customHeight="1" thickBot="1">
      <c r="A10" s="7" t="s">
        <v>30</v>
      </c>
      <c r="B10" s="29">
        <v>66.675377358586246</v>
      </c>
      <c r="C10" s="25">
        <v>3.531954732055511E-2</v>
      </c>
      <c r="D10" s="29">
        <v>143.47674431052747</v>
      </c>
      <c r="E10" s="25">
        <v>3.8287262891992323E-2</v>
      </c>
      <c r="F10" s="29">
        <v>105.20167119842549</v>
      </c>
      <c r="G10" s="25">
        <v>3.7453581689710205E-2</v>
      </c>
      <c r="H10" s="56"/>
      <c r="I10" s="56"/>
      <c r="J10" s="56"/>
    </row>
    <row r="11" spans="1:10" ht="20" customHeight="1" thickBot="1">
      <c r="A11" s="7" t="s">
        <v>31</v>
      </c>
      <c r="B11" s="29">
        <v>80.363297959541811</v>
      </c>
      <c r="C11" s="25">
        <v>4.2856385050640107E-2</v>
      </c>
      <c r="D11" s="29">
        <v>132.417212752951</v>
      </c>
      <c r="E11" s="25">
        <v>2.5263330030509349E-2</v>
      </c>
      <c r="F11" s="29">
        <v>106.19077315157149</v>
      </c>
      <c r="G11" s="25">
        <v>3.2444760032357307E-2</v>
      </c>
      <c r="H11" s="56"/>
      <c r="I11" s="56"/>
      <c r="J11" s="56"/>
    </row>
    <row r="12" spans="1:10" ht="20" customHeight="1" thickBot="1">
      <c r="A12" s="7" t="s">
        <v>32</v>
      </c>
      <c r="B12" s="29">
        <v>97.299593577808892</v>
      </c>
      <c r="C12" s="25">
        <v>4.8730475107252612E-2</v>
      </c>
      <c r="D12" s="29">
        <v>133.58130969538948</v>
      </c>
      <c r="E12" s="25">
        <v>2.4235522271054955E-2</v>
      </c>
      <c r="F12" s="29">
        <v>115.25141404712195</v>
      </c>
      <c r="G12" s="25">
        <v>3.4842481525074402E-2</v>
      </c>
      <c r="H12" s="56"/>
      <c r="I12" s="56"/>
      <c r="J12" s="56"/>
    </row>
    <row r="13" spans="1:10" ht="20" customHeight="1" thickBot="1">
      <c r="A13" s="7" t="s">
        <v>33</v>
      </c>
      <c r="B13" s="29">
        <v>121.40486926196009</v>
      </c>
      <c r="C13" s="25">
        <v>4.4276942460736074E-2</v>
      </c>
      <c r="D13" s="29">
        <v>157.48108603741778</v>
      </c>
      <c r="E13" s="25">
        <v>1.3288699665504269E-2</v>
      </c>
      <c r="F13" s="29">
        <v>139.24839686682182</v>
      </c>
      <c r="G13" s="25">
        <v>2.6466398279549885E-2</v>
      </c>
      <c r="H13" s="56"/>
      <c r="I13" s="56"/>
      <c r="J13" s="56"/>
    </row>
    <row r="14" spans="1:10" ht="20" customHeight="1" thickBot="1">
      <c r="A14" s="7" t="s">
        <v>34</v>
      </c>
      <c r="B14" s="29">
        <v>155.82022165753253</v>
      </c>
      <c r="C14" s="25">
        <v>4.5409019157466431E-2</v>
      </c>
      <c r="D14" s="29">
        <v>191.05970145755779</v>
      </c>
      <c r="E14" s="25">
        <v>2.2538463502001969E-2</v>
      </c>
      <c r="F14" s="29">
        <v>173.38876074523409</v>
      </c>
      <c r="G14" s="25">
        <v>3.2816526457292702E-2</v>
      </c>
      <c r="H14" s="56"/>
      <c r="I14" s="56"/>
      <c r="J14" s="56"/>
    </row>
    <row r="15" spans="1:10" ht="20" customHeight="1" thickBot="1">
      <c r="A15" s="7" t="s">
        <v>35</v>
      </c>
      <c r="B15" s="29">
        <v>203.5292412379099</v>
      </c>
      <c r="C15" s="25">
        <v>3.8139934815306732E-2</v>
      </c>
      <c r="D15" s="29">
        <v>227.84451263481503</v>
      </c>
      <c r="E15" s="25">
        <v>2.2954394987648629E-2</v>
      </c>
      <c r="F15" s="29">
        <v>215.68828784626351</v>
      </c>
      <c r="G15" s="25">
        <v>3.0085289746564499E-2</v>
      </c>
      <c r="H15" s="56"/>
      <c r="I15" s="56"/>
      <c r="J15" s="56"/>
    </row>
    <row r="16" spans="1:10" ht="20" customHeight="1" thickBot="1">
      <c r="A16" s="7" t="s">
        <v>36</v>
      </c>
      <c r="B16" s="29">
        <v>258.44527959281288</v>
      </c>
      <c r="C16" s="25">
        <v>4.9681259771467985E-2</v>
      </c>
      <c r="D16" s="29">
        <v>265.58408406662642</v>
      </c>
      <c r="E16" s="25">
        <v>3.5404369483487422E-2</v>
      </c>
      <c r="F16" s="29">
        <v>262.11741120329293</v>
      </c>
      <c r="G16" s="25">
        <v>4.2093655397045758E-2</v>
      </c>
      <c r="H16" s="56"/>
      <c r="I16" s="56"/>
      <c r="J16" s="56"/>
    </row>
    <row r="17" spans="1:10" ht="20" customHeight="1" thickBot="1">
      <c r="A17" s="7" t="s">
        <v>37</v>
      </c>
      <c r="B17" s="29">
        <v>337.50221834736766</v>
      </c>
      <c r="C17" s="25">
        <v>5.7930041850401327E-2</v>
      </c>
      <c r="D17" s="29">
        <v>319.99417003512622</v>
      </c>
      <c r="E17" s="25">
        <v>3.579156950187886E-2</v>
      </c>
      <c r="F17" s="29">
        <v>328.1341243770006</v>
      </c>
      <c r="G17" s="25">
        <v>4.6319933468234008E-2</v>
      </c>
      <c r="H17" s="56"/>
      <c r="I17" s="56"/>
      <c r="J17" s="56"/>
    </row>
    <row r="18" spans="1:10" ht="20" customHeight="1" thickBot="1">
      <c r="A18" s="7" t="s">
        <v>38</v>
      </c>
      <c r="B18" s="29">
        <v>419.89523385425196</v>
      </c>
      <c r="C18" s="25">
        <v>4.7298404858578405E-2</v>
      </c>
      <c r="D18" s="29">
        <v>393.67976781884613</v>
      </c>
      <c r="E18" s="25">
        <v>4.2489236344385152E-2</v>
      </c>
      <c r="F18" s="29">
        <v>405.10987174809298</v>
      </c>
      <c r="G18" s="25">
        <v>4.4826463625851902E-2</v>
      </c>
      <c r="H18" s="56"/>
      <c r="I18" s="56"/>
      <c r="J18" s="56"/>
    </row>
    <row r="19" spans="1:10" ht="20" customHeight="1" thickBot="1">
      <c r="A19" s="7" t="s">
        <v>39</v>
      </c>
      <c r="B19" s="29">
        <v>506.87393639990813</v>
      </c>
      <c r="C19" s="25">
        <v>6.7579310734332071E-2</v>
      </c>
      <c r="D19" s="29">
        <v>499.43809446637897</v>
      </c>
      <c r="E19" s="25">
        <v>4.1721172904747743E-2</v>
      </c>
      <c r="F19" s="29">
        <v>502.40585677707321</v>
      </c>
      <c r="G19" s="25">
        <v>5.1963948901375207E-2</v>
      </c>
      <c r="H19" s="56"/>
      <c r="I19" s="56"/>
      <c r="J19" s="56"/>
    </row>
    <row r="20" spans="1:10" ht="20" customHeight="1" thickBot="1">
      <c r="A20" s="7" t="s">
        <v>40</v>
      </c>
      <c r="B20" s="29">
        <v>601.77470535649582</v>
      </c>
      <c r="C20" s="25">
        <v>7.0113742110436944E-2</v>
      </c>
      <c r="D20" s="29">
        <v>652.78453275744266</v>
      </c>
      <c r="E20" s="25">
        <v>4.8821364725788567E-2</v>
      </c>
      <c r="F20" s="29">
        <v>634.20390449582533</v>
      </c>
      <c r="G20" s="25">
        <v>5.6027811511602396E-2</v>
      </c>
      <c r="H20" s="56"/>
      <c r="I20" s="56"/>
      <c r="J20" s="56"/>
    </row>
    <row r="21" spans="1:10" ht="20" customHeight="1" thickBot="1">
      <c r="A21" s="7" t="s">
        <v>41</v>
      </c>
      <c r="B21" s="29">
        <v>733.03141288419829</v>
      </c>
      <c r="C21" s="25">
        <v>5.7918221726843515E-2</v>
      </c>
      <c r="D21" s="29">
        <v>888.95591837189693</v>
      </c>
      <c r="E21" s="25">
        <v>4.3954476545648262E-2</v>
      </c>
      <c r="F21" s="29">
        <v>840.1768732652373</v>
      </c>
      <c r="G21" s="25">
        <v>4.7147536151643389E-2</v>
      </c>
      <c r="H21" s="56"/>
      <c r="I21" s="56"/>
      <c r="J21" s="56"/>
    </row>
    <row r="22" spans="1:10" ht="20" customHeight="1" thickBot="1">
      <c r="A22" s="7" t="s">
        <v>23</v>
      </c>
      <c r="B22" s="29">
        <v>977.5490651501508</v>
      </c>
      <c r="C22" s="25">
        <v>6.7446830683111539E-2</v>
      </c>
      <c r="D22" s="29">
        <v>1249.8876263814764</v>
      </c>
      <c r="E22" s="25">
        <v>3.8439585600602517E-2</v>
      </c>
      <c r="F22" s="29">
        <v>1184.606848081532</v>
      </c>
      <c r="G22" s="25">
        <v>4.4121998460456405E-2</v>
      </c>
      <c r="H22" s="56"/>
      <c r="I22" s="56"/>
      <c r="J22" s="56"/>
    </row>
    <row r="23" spans="1:10" ht="30" customHeight="1" thickBot="1">
      <c r="A23" s="12" t="s">
        <v>22</v>
      </c>
      <c r="B23" s="33">
        <v>144.48676576190113</v>
      </c>
      <c r="C23" s="34">
        <v>5.5945799800373459E-2</v>
      </c>
      <c r="D23" s="33">
        <v>200.1803429817538</v>
      </c>
      <c r="E23" s="34">
        <v>3.5985374109200587E-2</v>
      </c>
      <c r="F23" s="33">
        <v>172.90394207876048</v>
      </c>
      <c r="G23" s="34">
        <v>4.4016339039144536E-2</v>
      </c>
      <c r="H23" s="56"/>
      <c r="I23" s="56"/>
      <c r="J23" s="56"/>
    </row>
    <row r="24" spans="1:10" ht="20" customHeight="1">
      <c r="A24" s="9" t="s">
        <v>48</v>
      </c>
      <c r="B24" s="30"/>
      <c r="C24" s="26"/>
      <c r="D24" s="30"/>
      <c r="E24" s="26"/>
      <c r="F24" s="30"/>
      <c r="G24" s="26"/>
    </row>
    <row r="25" spans="1:10" ht="11.25" customHeight="1">
      <c r="A25" s="37"/>
      <c r="B25" s="31"/>
      <c r="C25" s="27"/>
      <c r="D25" s="31"/>
      <c r="E25" s="27"/>
      <c r="F25" s="31"/>
      <c r="G25" s="27"/>
    </row>
    <row r="26" spans="1:10" ht="20" customHeight="1">
      <c r="A26" s="37" t="s">
        <v>44</v>
      </c>
      <c r="B26" s="31"/>
      <c r="C26" s="27"/>
      <c r="D26" s="31"/>
      <c r="E26" s="27"/>
      <c r="F26" s="31"/>
      <c r="G26" s="27"/>
    </row>
    <row r="27" spans="1:10" ht="23.25" customHeight="1">
      <c r="A27" s="37"/>
      <c r="B27" s="31"/>
      <c r="C27" s="27"/>
      <c r="D27" s="31"/>
      <c r="E27" s="27"/>
      <c r="F27" s="31"/>
      <c r="G27" s="27"/>
    </row>
    <row r="28" spans="1:10" ht="21" customHeight="1">
      <c r="A28" s="177" t="s">
        <v>990</v>
      </c>
      <c r="B28" s="178"/>
      <c r="C28" s="179"/>
      <c r="D28" s="178"/>
      <c r="E28" s="179"/>
      <c r="F28" s="178"/>
      <c r="G28" s="179"/>
    </row>
    <row r="29" spans="1:10" ht="24" customHeight="1" thickBot="1">
      <c r="A29" s="6" t="s">
        <v>991</v>
      </c>
      <c r="B29" s="28">
        <v>69.053333333333327</v>
      </c>
      <c r="C29" s="24">
        <v>3.9594519997992607E-2</v>
      </c>
      <c r="D29" s="28">
        <v>60.486666666666672</v>
      </c>
      <c r="E29" s="24">
        <v>5.1241201517828766E-2</v>
      </c>
      <c r="F29" s="28">
        <v>64.881666666666675</v>
      </c>
      <c r="G29" s="24">
        <v>4.4569067296340095E-2</v>
      </c>
    </row>
    <row r="30" spans="1:10" ht="24" customHeight="1" thickBot="1">
      <c r="A30" s="7" t="s">
        <v>992</v>
      </c>
      <c r="B30" s="29">
        <v>50.12</v>
      </c>
      <c r="C30" s="25">
        <v>1.2819018762381704E-3</v>
      </c>
      <c r="D30" s="29">
        <v>40.544166666666662</v>
      </c>
      <c r="E30" s="25">
        <v>2.5093759217900448E-2</v>
      </c>
      <c r="F30" s="29">
        <v>45.45333333333334</v>
      </c>
      <c r="G30" s="25">
        <v>1.1760341309590276E-2</v>
      </c>
    </row>
    <row r="31" spans="1:10" ht="24" customHeight="1" thickBot="1">
      <c r="A31" s="7" t="s">
        <v>993</v>
      </c>
      <c r="B31" s="29">
        <v>49.958333333333336</v>
      </c>
      <c r="C31" s="25">
        <v>5.1717483597066856E-2</v>
      </c>
      <c r="D31" s="29">
        <v>47.306666666666665</v>
      </c>
      <c r="E31" s="25">
        <v>3.1339134858201771E-2</v>
      </c>
      <c r="F31" s="29">
        <v>48.662500000000001</v>
      </c>
      <c r="G31" s="25">
        <v>4.1949182784954554E-2</v>
      </c>
    </row>
    <row r="32" spans="1:10" ht="24" customHeight="1" thickBot="1">
      <c r="A32" s="7" t="s">
        <v>994</v>
      </c>
      <c r="B32" s="29">
        <v>57.74</v>
      </c>
      <c r="C32" s="25">
        <v>6.1267001592942086E-2</v>
      </c>
      <c r="D32" s="29">
        <v>77.352500000000006</v>
      </c>
      <c r="E32" s="25">
        <v>4.7202698586401186E-2</v>
      </c>
      <c r="F32" s="29">
        <v>67.305000000000007</v>
      </c>
      <c r="G32" s="25">
        <v>5.3973639566749526E-2</v>
      </c>
    </row>
    <row r="33" spans="1:8" ht="24" customHeight="1" thickBot="1">
      <c r="A33" s="7" t="s">
        <v>995</v>
      </c>
      <c r="B33" s="29">
        <v>47.080833333333338</v>
      </c>
      <c r="C33" s="25">
        <v>1.2937756982844501E-3</v>
      </c>
      <c r="D33" s="29">
        <v>73.919166666666669</v>
      </c>
      <c r="E33" s="25">
        <v>2.0184478078851806E-2</v>
      </c>
      <c r="F33" s="29">
        <v>60.215833333333336</v>
      </c>
      <c r="G33" s="25">
        <v>1.0983014802585588E-2</v>
      </c>
      <c r="H33" s="58"/>
    </row>
    <row r="34" spans="1:8" ht="24" customHeight="1" thickBot="1">
      <c r="A34" s="7" t="s">
        <v>996</v>
      </c>
      <c r="B34" s="29">
        <v>54.186666666666667</v>
      </c>
      <c r="C34" s="25">
        <v>5.01461586911933E-2</v>
      </c>
      <c r="D34" s="29">
        <v>96.676666666666662</v>
      </c>
      <c r="E34" s="25">
        <v>2.0612480095716364E-2</v>
      </c>
      <c r="F34" s="29">
        <v>75.286666666666676</v>
      </c>
      <c r="G34" s="25">
        <v>3.100642496034349E-2</v>
      </c>
    </row>
    <row r="35" spans="1:8" ht="24" customHeight="1" thickBot="1">
      <c r="A35" s="7" t="s">
        <v>997</v>
      </c>
      <c r="B35" s="29">
        <v>948.62833333333344</v>
      </c>
      <c r="C35" s="25">
        <v>2.1809476534863304E-2</v>
      </c>
      <c r="D35" s="29">
        <v>1190.2908333333332</v>
      </c>
      <c r="E35" s="25">
        <v>-2.0846486636929087E-2</v>
      </c>
      <c r="F35" s="29">
        <v>1129.8783333333333</v>
      </c>
      <c r="G35" s="25">
        <v>-1.2641875192067687E-2</v>
      </c>
    </row>
    <row r="36" spans="1:8" ht="24" customHeight="1" thickBot="1">
      <c r="A36" s="7" t="s">
        <v>998</v>
      </c>
      <c r="B36" s="29">
        <v>1211.1941666666667</v>
      </c>
      <c r="C36" s="25">
        <v>3.8481681939160094E-2</v>
      </c>
      <c r="D36" s="29">
        <v>1595.9408333333333</v>
      </c>
      <c r="E36" s="25">
        <v>4.3069041617557695E-2</v>
      </c>
      <c r="F36" s="29">
        <v>1521.2791666666665</v>
      </c>
      <c r="G36" s="25">
        <v>4.1824559080677913E-2</v>
      </c>
    </row>
    <row r="37" spans="1:8" ht="24" customHeight="1" thickBot="1">
      <c r="A37" s="180" t="s">
        <v>999</v>
      </c>
      <c r="B37" s="181">
        <v>1367.9716666666666</v>
      </c>
      <c r="C37" s="182">
        <v>-6.1320765506025991E-2</v>
      </c>
      <c r="D37" s="181">
        <v>1753.0641666666668</v>
      </c>
      <c r="E37" s="182">
        <v>-0.14457273305432788</v>
      </c>
      <c r="F37" s="181">
        <v>1699.5250000000001</v>
      </c>
      <c r="G37" s="182">
        <v>-0.13137864459751786</v>
      </c>
    </row>
    <row r="38" spans="1:8" ht="18" customHeight="1">
      <c r="A38" s="183" t="s">
        <v>1000</v>
      </c>
    </row>
    <row r="39" spans="1:8" ht="12" customHeight="1">
      <c r="A39" s="118"/>
    </row>
    <row r="40" spans="1:8">
      <c r="A40" s="37" t="s">
        <v>1003</v>
      </c>
    </row>
    <row r="42" spans="1:8">
      <c r="A42" s="57" t="s">
        <v>69</v>
      </c>
      <c r="B42" s="31"/>
      <c r="C42" s="27"/>
      <c r="D42" s="31"/>
      <c r="E42" s="27"/>
      <c r="F42" s="31"/>
      <c r="G42" s="27"/>
    </row>
    <row r="43" spans="1:8">
      <c r="A43" s="57"/>
      <c r="B43" s="31"/>
      <c r="C43" s="27"/>
      <c r="D43" s="31"/>
      <c r="E43" s="27"/>
      <c r="F43" s="31"/>
      <c r="G43" s="27"/>
    </row>
    <row r="44" spans="1:8">
      <c r="A44" s="57"/>
      <c r="B44" s="31"/>
      <c r="C44" s="27"/>
      <c r="D44" s="31"/>
      <c r="E44" s="27"/>
      <c r="F44" s="31"/>
      <c r="G44" s="27"/>
    </row>
    <row r="45" spans="1:8">
      <c r="A45" s="37" t="s">
        <v>256</v>
      </c>
    </row>
  </sheetData>
  <mergeCells count="1">
    <mergeCell ref="A2:F2"/>
  </mergeCells>
  <phoneticPr fontId="0" type="noConversion"/>
  <pageMargins left="0.62" right="0.54" top="0.74" bottom="0.86614173228346458" header="0.4" footer="0.51181102362204722"/>
  <pageSetup paperSize="9" scale="80" orientation="portrait" horizontalDpi="1200" verticalDpi="1200"/>
  <headerFooter alignWithMargins="0">
    <oddHeader>&amp;L&amp;"Arial,Bold"Leistungen und Kostenbeteiligung in der OKP</oddHead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6DD4D-9742-2D42-AFAA-CFDC7384C60B}">
  <dimension ref="A1:I42"/>
  <sheetViews>
    <sheetView zoomScale="75" workbookViewId="0"/>
  </sheetViews>
  <sheetFormatPr baseColWidth="10" defaultColWidth="11.3984375" defaultRowHeight="13"/>
  <cols>
    <col min="1" max="1" width="14.796875" style="3" customWidth="1"/>
    <col min="2" max="4" width="14.796875" style="20" customWidth="1"/>
    <col min="5" max="5" width="15.59765625" style="20" customWidth="1"/>
    <col min="6" max="6" width="16.19921875" style="20" customWidth="1"/>
    <col min="7" max="7" width="14.796875" style="21" customWidth="1"/>
    <col min="8" max="8" width="11.3984375" style="3"/>
    <col min="9" max="9" width="15.19921875" style="3" hidden="1" customWidth="1"/>
    <col min="10" max="16384" width="11.3984375" style="3"/>
  </cols>
  <sheetData>
    <row r="1" spans="1:9" s="1" customFormat="1" ht="14" customHeight="1">
      <c r="B1" s="32"/>
      <c r="C1" s="32"/>
      <c r="D1" s="32"/>
      <c r="E1" s="32"/>
      <c r="F1" s="32"/>
      <c r="G1" s="23"/>
    </row>
    <row r="2" spans="1:9" s="1" customFormat="1" ht="28" customHeight="1">
      <c r="A2" s="59" t="s">
        <v>2074</v>
      </c>
      <c r="B2" s="32"/>
      <c r="C2" s="32"/>
      <c r="D2" s="32"/>
      <c r="E2" s="32"/>
      <c r="F2" s="32"/>
      <c r="G2" s="124">
        <v>2003</v>
      </c>
    </row>
    <row r="3" spans="1:9" ht="27" customHeight="1">
      <c r="A3" s="2" t="s">
        <v>70</v>
      </c>
      <c r="B3" s="13" t="s">
        <v>71</v>
      </c>
      <c r="C3" s="60" t="s">
        <v>72</v>
      </c>
      <c r="D3" s="13" t="s">
        <v>73</v>
      </c>
      <c r="E3" s="60" t="s">
        <v>22</v>
      </c>
      <c r="F3" s="13" t="s">
        <v>22</v>
      </c>
      <c r="G3" s="16" t="s">
        <v>24</v>
      </c>
    </row>
    <row r="4" spans="1:9" ht="15" customHeight="1">
      <c r="A4" s="4"/>
      <c r="B4" s="14"/>
      <c r="C4" s="61"/>
      <c r="D4" s="14"/>
      <c r="E4" s="61" t="s">
        <v>74</v>
      </c>
      <c r="F4" s="14" t="s">
        <v>75</v>
      </c>
      <c r="G4" s="17" t="s">
        <v>25</v>
      </c>
    </row>
    <row r="5" spans="1:9" ht="15" customHeight="1">
      <c r="A5" s="4"/>
      <c r="B5" s="14"/>
      <c r="C5" s="61"/>
      <c r="D5" s="14"/>
      <c r="E5" s="61" t="s">
        <v>76</v>
      </c>
      <c r="F5" s="14" t="s">
        <v>77</v>
      </c>
      <c r="G5" s="17" t="s">
        <v>26</v>
      </c>
    </row>
    <row r="6" spans="1:9" ht="24" customHeight="1">
      <c r="A6" s="5"/>
      <c r="B6" s="15"/>
      <c r="C6" s="62"/>
      <c r="D6" s="15"/>
      <c r="E6" s="62"/>
      <c r="F6" s="15"/>
      <c r="G6" s="18"/>
    </row>
    <row r="7" spans="1:9" ht="30" customHeight="1" thickBot="1">
      <c r="A7" s="6" t="s">
        <v>78</v>
      </c>
      <c r="B7" s="28">
        <v>74.028699964242435</v>
      </c>
      <c r="C7" s="63">
        <v>359.97600197344116</v>
      </c>
      <c r="D7" s="28">
        <v>463.24771412352618</v>
      </c>
      <c r="E7" s="63">
        <v>413.29180452446667</v>
      </c>
      <c r="F7" s="28">
        <v>348.04303936938095</v>
      </c>
      <c r="G7" s="24">
        <v>3.4121976384569215E-2</v>
      </c>
      <c r="I7" s="42">
        <v>2156035045</v>
      </c>
    </row>
    <row r="8" spans="1:9" ht="20" customHeight="1" thickBot="1">
      <c r="A8" s="7" t="s">
        <v>79</v>
      </c>
      <c r="B8" s="29">
        <v>68.516014346512208</v>
      </c>
      <c r="C8" s="116">
        <v>370.7954912331229</v>
      </c>
      <c r="D8" s="29">
        <v>473.35025398530638</v>
      </c>
      <c r="E8" s="116">
        <v>424.18622216288566</v>
      </c>
      <c r="F8" s="29">
        <v>353.12368897805754</v>
      </c>
      <c r="G8" s="25">
        <v>3.5831398977221769E-2</v>
      </c>
      <c r="I8" s="42">
        <v>1563935884</v>
      </c>
    </row>
    <row r="9" spans="1:9" ht="20" customHeight="1" thickBot="1">
      <c r="A9" s="7" t="s">
        <v>80</v>
      </c>
      <c r="B9" s="29">
        <v>50.645033010399686</v>
      </c>
      <c r="C9" s="116">
        <v>299.23164219206342</v>
      </c>
      <c r="D9" s="29">
        <v>377.86402241318547</v>
      </c>
      <c r="E9" s="116">
        <v>339.58571204403336</v>
      </c>
      <c r="F9" s="29">
        <v>274.48508268416958</v>
      </c>
      <c r="G9" s="25">
        <v>4.7017612443506926E-2</v>
      </c>
      <c r="I9" s="42">
        <v>464604355</v>
      </c>
    </row>
    <row r="10" spans="1:9" ht="20" customHeight="1" thickBot="1">
      <c r="A10" s="7" t="s">
        <v>81</v>
      </c>
      <c r="B10" s="29">
        <v>54.988433425123475</v>
      </c>
      <c r="C10" s="116">
        <v>314.98049555468219</v>
      </c>
      <c r="D10" s="29">
        <v>389.38368550340169</v>
      </c>
      <c r="E10" s="116">
        <v>352.37223829584877</v>
      </c>
      <c r="F10" s="29">
        <v>286.0098240881623</v>
      </c>
      <c r="G10" s="25">
        <v>4.6965004767437077E-2</v>
      </c>
      <c r="I10" s="42">
        <v>45901795</v>
      </c>
    </row>
    <row r="11" spans="1:9" ht="20" customHeight="1" thickBot="1">
      <c r="A11" s="7" t="s">
        <v>82</v>
      </c>
      <c r="B11" s="29">
        <v>63.923358198040091</v>
      </c>
      <c r="C11" s="116">
        <v>341.67859138969925</v>
      </c>
      <c r="D11" s="29">
        <v>417.47520736162005</v>
      </c>
      <c r="E11" s="116">
        <v>379.39013142392741</v>
      </c>
      <c r="F11" s="29">
        <v>307.35812621063837</v>
      </c>
      <c r="G11" s="25">
        <v>6.611747172240405E-2</v>
      </c>
      <c r="I11" s="42">
        <v>171549320</v>
      </c>
    </row>
    <row r="12" spans="1:9" ht="20" customHeight="1" thickBot="1">
      <c r="A12" s="7" t="s">
        <v>83</v>
      </c>
      <c r="B12" s="29">
        <v>52.339870927121126</v>
      </c>
      <c r="C12" s="116">
        <v>298.00522786080199</v>
      </c>
      <c r="D12" s="29">
        <v>390.26983257079871</v>
      </c>
      <c r="E12" s="116">
        <v>344.34189753572991</v>
      </c>
      <c r="F12" s="29">
        <v>275.75717602129788</v>
      </c>
      <c r="G12" s="25">
        <v>3.2449957103537423E-2</v>
      </c>
      <c r="I12" s="42">
        <v>41764939</v>
      </c>
    </row>
    <row r="13" spans="1:9" ht="20" customHeight="1" thickBot="1">
      <c r="A13" s="7" t="s">
        <v>84</v>
      </c>
      <c r="B13" s="29">
        <v>55.84609848257665</v>
      </c>
      <c r="C13" s="116">
        <v>291.92801416114878</v>
      </c>
      <c r="D13" s="29">
        <v>377.41522244506962</v>
      </c>
      <c r="E13" s="116">
        <v>334.55136745722359</v>
      </c>
      <c r="F13" s="29">
        <v>274.60254102309182</v>
      </c>
      <c r="G13" s="25">
        <v>3.7800866083494575E-2</v>
      </c>
      <c r="I13" s="42">
        <v>44323506</v>
      </c>
    </row>
    <row r="14" spans="1:9" ht="20" customHeight="1" thickBot="1">
      <c r="A14" s="7" t="s">
        <v>85</v>
      </c>
      <c r="B14" s="29">
        <v>65.169469913738425</v>
      </c>
      <c r="C14" s="116">
        <v>335.08845281398078</v>
      </c>
      <c r="D14" s="29">
        <v>421.9359337353892</v>
      </c>
      <c r="E14" s="116">
        <v>379.23151706031194</v>
      </c>
      <c r="F14" s="29">
        <v>310.12905550622247</v>
      </c>
      <c r="G14" s="25">
        <v>4.8437205812262012E-2</v>
      </c>
      <c r="I14" s="42">
        <v>55927154</v>
      </c>
    </row>
    <row r="15" spans="1:9" ht="20" customHeight="1" thickBot="1">
      <c r="A15" s="7" t="s">
        <v>86</v>
      </c>
      <c r="B15" s="29">
        <v>55.667209516391608</v>
      </c>
      <c r="C15" s="116">
        <v>313.1667836664202</v>
      </c>
      <c r="D15" s="29">
        <v>409.89634442075851</v>
      </c>
      <c r="E15" s="116">
        <v>361.85429214683518</v>
      </c>
      <c r="F15" s="29">
        <v>298.39254350262684</v>
      </c>
      <c r="G15" s="25">
        <v>1.4680315557954401E-2</v>
      </c>
      <c r="I15" s="42">
        <v>128772453</v>
      </c>
    </row>
    <row r="16" spans="1:9" ht="20" customHeight="1" thickBot="1">
      <c r="A16" s="7" t="s">
        <v>87</v>
      </c>
      <c r="B16" s="29">
        <v>74.423956794212103</v>
      </c>
      <c r="C16" s="116">
        <v>378.30231612875548</v>
      </c>
      <c r="D16" s="29">
        <v>484.02867714403294</v>
      </c>
      <c r="E16" s="116">
        <v>432.10696586396261</v>
      </c>
      <c r="F16" s="29">
        <v>346.94298437602663</v>
      </c>
      <c r="G16" s="25">
        <v>1.8996592669800614E-2</v>
      </c>
      <c r="I16" s="42">
        <v>391250033</v>
      </c>
    </row>
    <row r="17" spans="1:9" ht="20" customHeight="1" thickBot="1">
      <c r="A17" s="7" t="s">
        <v>88</v>
      </c>
      <c r="B17" s="29">
        <v>65.364823141710303</v>
      </c>
      <c r="C17" s="116">
        <v>362.15374069697373</v>
      </c>
      <c r="D17" s="29">
        <v>456.78194623263789</v>
      </c>
      <c r="E17" s="116">
        <v>410.67575840589313</v>
      </c>
      <c r="F17" s="29">
        <v>338.07640336092697</v>
      </c>
      <c r="G17" s="25">
        <v>3.901747367902348E-2</v>
      </c>
      <c r="I17" s="42">
        <v>393696828</v>
      </c>
    </row>
    <row r="18" spans="1:9" ht="20" customHeight="1" thickBot="1">
      <c r="A18" s="7" t="s">
        <v>89</v>
      </c>
      <c r="B18" s="29">
        <v>94.222763553926711</v>
      </c>
      <c r="C18" s="116">
        <v>428.24033509685762</v>
      </c>
      <c r="D18" s="29">
        <v>552.9182938563024</v>
      </c>
      <c r="E18" s="116">
        <v>494.65358553810051</v>
      </c>
      <c r="F18" s="29">
        <v>430.21176163457096</v>
      </c>
      <c r="G18" s="25">
        <v>1.9870277986221069E-2</v>
      </c>
      <c r="I18" s="42">
        <v>473520714</v>
      </c>
    </row>
    <row r="19" spans="1:9" ht="20" customHeight="1" thickBot="1">
      <c r="A19" s="7" t="s">
        <v>90</v>
      </c>
      <c r="B19" s="29">
        <v>84.651172671651949</v>
      </c>
      <c r="C19" s="116">
        <v>405.46781899905727</v>
      </c>
      <c r="D19" s="29">
        <v>506.58129745113968</v>
      </c>
      <c r="E19" s="116">
        <v>457.47490816193579</v>
      </c>
      <c r="F19" s="29">
        <v>384.01884184807989</v>
      </c>
      <c r="G19" s="25">
        <v>4.1082783174597091E-2</v>
      </c>
      <c r="I19" s="42">
        <v>469771093</v>
      </c>
    </row>
    <row r="20" spans="1:9" ht="20" customHeight="1" thickBot="1">
      <c r="A20" s="7" t="s">
        <v>91</v>
      </c>
      <c r="B20" s="29">
        <v>57.33360015119689</v>
      </c>
      <c r="C20" s="116">
        <v>355.34292524038756</v>
      </c>
      <c r="D20" s="29">
        <v>460.50923789346041</v>
      </c>
      <c r="E20" s="116">
        <v>409.83672467518431</v>
      </c>
      <c r="F20" s="29">
        <v>338.33206337549518</v>
      </c>
      <c r="G20" s="25">
        <v>3.1443994457371734E-2</v>
      </c>
      <c r="I20" s="42">
        <v>127694959</v>
      </c>
    </row>
    <row r="21" spans="1:9" ht="20" customHeight="1" thickBot="1">
      <c r="A21" s="7" t="s">
        <v>92</v>
      </c>
      <c r="B21" s="29">
        <v>53.231943485851161</v>
      </c>
      <c r="C21" s="116">
        <v>307.24909682322061</v>
      </c>
      <c r="D21" s="29">
        <v>391.63969235124796</v>
      </c>
      <c r="E21" s="116">
        <v>350.42969586538266</v>
      </c>
      <c r="F21" s="29">
        <v>282.31423002761903</v>
      </c>
      <c r="G21" s="25">
        <v>5.6225952227659359E-2</v>
      </c>
      <c r="I21" s="42">
        <v>69489100</v>
      </c>
    </row>
    <row r="22" spans="1:9" ht="20" customHeight="1" thickBot="1">
      <c r="A22" s="7" t="s">
        <v>93</v>
      </c>
      <c r="B22" s="29">
        <v>41.389158328337629</v>
      </c>
      <c r="C22" s="116">
        <v>282.86292982637548</v>
      </c>
      <c r="D22" s="29">
        <v>358.06535373307258</v>
      </c>
      <c r="E22" s="116">
        <v>320.12114156992845</v>
      </c>
      <c r="F22" s="29">
        <v>247.91115928060373</v>
      </c>
      <c r="G22" s="25">
        <v>2.8486521229601092E-2</v>
      </c>
      <c r="I22" s="42">
        <v>16712649</v>
      </c>
    </row>
    <row r="23" spans="1:9" ht="20" customHeight="1" thickBot="1">
      <c r="A23" s="7" t="s">
        <v>94</v>
      </c>
      <c r="B23" s="29">
        <v>60.130421914260808</v>
      </c>
      <c r="C23" s="116">
        <v>338.45926085870747</v>
      </c>
      <c r="D23" s="29">
        <v>415.93824193103683</v>
      </c>
      <c r="E23" s="116">
        <v>378.13482063009224</v>
      </c>
      <c r="F23" s="29">
        <v>304.92272611719989</v>
      </c>
      <c r="G23" s="25">
        <v>5.3323067074873831E-2</v>
      </c>
      <c r="I23" s="42">
        <v>615853738</v>
      </c>
    </row>
    <row r="24" spans="1:9" ht="20" customHeight="1" thickBot="1">
      <c r="A24" s="7" t="s">
        <v>95</v>
      </c>
      <c r="B24" s="29">
        <v>61.115464221406199</v>
      </c>
      <c r="C24" s="116">
        <v>314.93441487036512</v>
      </c>
      <c r="D24" s="29">
        <v>398.58654983481949</v>
      </c>
      <c r="E24" s="116">
        <v>357.21912593269371</v>
      </c>
      <c r="F24" s="29">
        <v>297.46771922338394</v>
      </c>
      <c r="G24" s="25">
        <v>4.2841903022087256E-2</v>
      </c>
      <c r="I24" s="42">
        <v>264690646</v>
      </c>
    </row>
    <row r="25" spans="1:9" ht="20" customHeight="1" thickBot="1">
      <c r="A25" s="7" t="s">
        <v>96</v>
      </c>
      <c r="B25" s="29">
        <v>60.521657161725301</v>
      </c>
      <c r="C25" s="116">
        <v>333.04894794981385</v>
      </c>
      <c r="D25" s="29">
        <v>425.24916247589613</v>
      </c>
      <c r="E25" s="116">
        <v>379.80766580556156</v>
      </c>
      <c r="F25" s="29">
        <v>310.52477865595711</v>
      </c>
      <c r="G25" s="25">
        <v>2.7893316113675327E-2</v>
      </c>
      <c r="I25" s="42">
        <v>819222625</v>
      </c>
    </row>
    <row r="26" spans="1:9" ht="20" customHeight="1" thickBot="1">
      <c r="A26" s="7" t="s">
        <v>97</v>
      </c>
      <c r="B26" s="29">
        <v>61.681670777531309</v>
      </c>
      <c r="C26" s="116">
        <v>333.44007582906261</v>
      </c>
      <c r="D26" s="29">
        <v>426.10520961827694</v>
      </c>
      <c r="E26" s="116">
        <v>380.60347388041919</v>
      </c>
      <c r="F26" s="29">
        <v>305.22107004016402</v>
      </c>
      <c r="G26" s="25">
        <v>5.4597548778336301E-2</v>
      </c>
      <c r="I26" s="42">
        <v>344655658</v>
      </c>
    </row>
    <row r="27" spans="1:9" ht="20" customHeight="1" thickBot="1">
      <c r="A27" s="7" t="s">
        <v>98</v>
      </c>
      <c r="B27" s="29">
        <v>104.69705159752084</v>
      </c>
      <c r="C27" s="116">
        <v>445.46393005664402</v>
      </c>
      <c r="D27" s="29">
        <v>538.8414762378502</v>
      </c>
      <c r="E27" s="116">
        <v>494.82710567332606</v>
      </c>
      <c r="F27" s="29">
        <v>423.58839578864593</v>
      </c>
      <c r="G27" s="25">
        <v>1.6245452841144831E-2</v>
      </c>
      <c r="I27" s="42">
        <v>627641817</v>
      </c>
    </row>
    <row r="28" spans="1:9" ht="20" customHeight="1" thickBot="1">
      <c r="A28" s="7" t="s">
        <v>99</v>
      </c>
      <c r="B28" s="29">
        <v>126.78812702898495</v>
      </c>
      <c r="C28" s="116">
        <v>436.00933200968927</v>
      </c>
      <c r="D28" s="29">
        <v>567.84342989472839</v>
      </c>
      <c r="E28" s="116">
        <v>505.09267147338289</v>
      </c>
      <c r="F28" s="29">
        <v>422.16941242152882</v>
      </c>
      <c r="G28" s="25">
        <v>2.4894842056061906E-3</v>
      </c>
      <c r="I28" s="42">
        <v>1280335377</v>
      </c>
    </row>
    <row r="29" spans="1:9" ht="20" customHeight="1" thickBot="1">
      <c r="A29" s="7" t="s">
        <v>100</v>
      </c>
      <c r="B29" s="29">
        <v>72.415625020551715</v>
      </c>
      <c r="C29" s="116">
        <v>339.31986337747799</v>
      </c>
      <c r="D29" s="29">
        <v>434.53702321467961</v>
      </c>
      <c r="E29" s="116">
        <v>388.04132601773563</v>
      </c>
      <c r="F29" s="29">
        <v>320.31276772429942</v>
      </c>
      <c r="G29" s="25">
        <v>1.892929982278373E-2</v>
      </c>
      <c r="I29" s="42">
        <v>410743307</v>
      </c>
    </row>
    <row r="30" spans="1:9" ht="20" customHeight="1" thickBot="1">
      <c r="A30" s="7" t="s">
        <v>101</v>
      </c>
      <c r="B30" s="29">
        <v>89.546361014618242</v>
      </c>
      <c r="C30" s="116">
        <v>406.34976133625094</v>
      </c>
      <c r="D30" s="29">
        <v>525.49968161203105</v>
      </c>
      <c r="E30" s="116">
        <v>468.65130821317496</v>
      </c>
      <c r="F30" s="29">
        <v>387.08550103360028</v>
      </c>
      <c r="G30" s="25">
        <v>1.5828662366465608E-2</v>
      </c>
      <c r="I30" s="42">
        <v>318756043</v>
      </c>
    </row>
    <row r="31" spans="1:9" ht="20" customHeight="1" thickBot="1">
      <c r="A31" s="7" t="s">
        <v>102</v>
      </c>
      <c r="B31" s="29">
        <v>123.68841091474508</v>
      </c>
      <c r="C31" s="116">
        <v>471.62949224853594</v>
      </c>
      <c r="D31" s="29">
        <v>614.86453244778204</v>
      </c>
      <c r="E31" s="116">
        <v>547.29722506193048</v>
      </c>
      <c r="F31" s="29">
        <v>457.21651534317118</v>
      </c>
      <c r="G31" s="25">
        <v>2.6452676297066447E-3</v>
      </c>
      <c r="I31" s="42">
        <v>966736347</v>
      </c>
    </row>
    <row r="32" spans="1:9" ht="20" customHeight="1" thickBot="1">
      <c r="A32" s="65" t="s">
        <v>103</v>
      </c>
      <c r="B32" s="29">
        <v>83.851020376346582</v>
      </c>
      <c r="C32" s="116">
        <v>393.71060198874864</v>
      </c>
      <c r="D32" s="29">
        <v>492.92207259169061</v>
      </c>
      <c r="E32" s="116">
        <v>444.91244473562847</v>
      </c>
      <c r="F32" s="29">
        <v>362.0272358205998</v>
      </c>
      <c r="G32" s="25">
        <v>7.8362231068610545E-3</v>
      </c>
      <c r="I32" s="42">
        <v>146808815</v>
      </c>
    </row>
    <row r="33" spans="1:9" ht="30" customHeight="1" thickBot="1">
      <c r="A33" s="12" t="s">
        <v>104</v>
      </c>
      <c r="B33" s="33">
        <v>77.612649878818615</v>
      </c>
      <c r="C33" s="117">
        <v>370.96308835119919</v>
      </c>
      <c r="D33" s="33">
        <v>474.38693550635128</v>
      </c>
      <c r="E33" s="117">
        <v>424.35434156974679</v>
      </c>
      <c r="F33" s="33">
        <v>351.86793467139125</v>
      </c>
      <c r="G33" s="34">
        <v>2.8175831565355847E-2</v>
      </c>
      <c r="I33" s="42">
        <v>12410394200</v>
      </c>
    </row>
    <row r="34" spans="1:9" ht="20" customHeight="1">
      <c r="A34" s="9" t="s">
        <v>257</v>
      </c>
      <c r="B34" s="30"/>
      <c r="C34" s="30"/>
      <c r="D34" s="30"/>
      <c r="E34" s="30"/>
      <c r="F34" s="30"/>
      <c r="G34" s="26"/>
    </row>
    <row r="35" spans="1:9" ht="14.25" customHeight="1">
      <c r="A35" s="37"/>
      <c r="B35" s="31"/>
      <c r="C35" s="31"/>
      <c r="D35" s="31"/>
      <c r="E35" s="31"/>
      <c r="F35" s="31"/>
      <c r="G35" s="27"/>
    </row>
    <row r="36" spans="1:9" ht="15.75" customHeight="1">
      <c r="A36" s="37" t="s">
        <v>370</v>
      </c>
      <c r="B36" s="31"/>
      <c r="C36" s="31"/>
      <c r="D36" s="31"/>
      <c r="E36" s="31"/>
      <c r="F36" s="31"/>
      <c r="G36" s="27"/>
    </row>
    <row r="37" spans="1:9" ht="13.5" customHeight="1">
      <c r="A37" s="37"/>
      <c r="B37" s="31"/>
      <c r="C37" s="31"/>
      <c r="D37" s="31"/>
      <c r="E37" s="31"/>
      <c r="F37" s="31"/>
      <c r="G37" s="27"/>
    </row>
    <row r="38" spans="1:9" ht="11.25" customHeight="1">
      <c r="A38" s="118" t="s">
        <v>2073</v>
      </c>
      <c r="B38" s="119"/>
      <c r="C38" s="31"/>
      <c r="D38" s="31"/>
      <c r="E38" s="31"/>
      <c r="F38" s="31"/>
      <c r="G38" s="27"/>
    </row>
    <row r="39" spans="1:9" ht="12" customHeight="1"/>
    <row r="40" spans="1:9" ht="12" customHeight="1"/>
    <row r="41" spans="1:9" ht="12" customHeight="1">
      <c r="A41" s="37" t="s">
        <v>256</v>
      </c>
    </row>
    <row r="42" spans="1:9" ht="12" customHeight="1"/>
  </sheetData>
  <phoneticPr fontId="0" type="noConversion"/>
  <pageMargins left="0.62" right="0.56000000000000005" top="0.78" bottom="0.49" header="0.4" footer="0.4921259845"/>
  <pageSetup paperSize="9" scale="80" orientation="portrait" horizontalDpi="4294967292" verticalDpi="4294967292"/>
  <headerFooter alignWithMargins="0">
    <oddHeader>&amp;L&amp;"Arial,Bold"Leistungen und Kostenbeteiligung in der OKP</oddHead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D219B-68E9-3842-B9BC-6057FC64119B}">
  <dimension ref="A1:K45"/>
  <sheetViews>
    <sheetView zoomScale="75" workbookViewId="0"/>
  </sheetViews>
  <sheetFormatPr baseColWidth="10" defaultColWidth="11.3984375" defaultRowHeight="13"/>
  <cols>
    <col min="1" max="1" width="14.796875" style="3" customWidth="1"/>
    <col min="2" max="2" width="14.796875" style="20" customWidth="1"/>
    <col min="3" max="3" width="14.796875" style="21" customWidth="1"/>
    <col min="4" max="4" width="14.796875" style="20" customWidth="1"/>
    <col min="5" max="5" width="14.796875" style="21" customWidth="1"/>
    <col min="6" max="6" width="14.796875" style="20" customWidth="1"/>
    <col min="7" max="7" width="14.796875" style="21" customWidth="1"/>
    <col min="8" max="8" width="11.3984375" style="3"/>
    <col min="9" max="9" width="7.59765625" style="3" customWidth="1"/>
    <col min="10" max="10" width="6.3984375" style="3" customWidth="1"/>
    <col min="11" max="11" width="8.796875" style="3" customWidth="1"/>
    <col min="12" max="16384" width="11.3984375" style="3"/>
  </cols>
  <sheetData>
    <row r="1" spans="1:11" s="1" customFormat="1" ht="18.75" customHeight="1">
      <c r="A1" s="11"/>
      <c r="B1" s="22"/>
      <c r="C1" s="54"/>
      <c r="D1" s="55"/>
      <c r="E1" s="54"/>
      <c r="F1" s="55"/>
      <c r="G1" s="54"/>
      <c r="H1" s="176"/>
    </row>
    <row r="2" spans="1:11" s="1" customFormat="1" ht="43.5" customHeight="1">
      <c r="A2" s="1486" t="s">
        <v>1002</v>
      </c>
      <c r="B2" s="1487"/>
      <c r="C2" s="1487"/>
      <c r="D2" s="1487"/>
      <c r="E2" s="1487"/>
      <c r="F2" s="1487"/>
      <c r="G2" s="124">
        <v>2003</v>
      </c>
      <c r="H2" s="176"/>
    </row>
    <row r="3" spans="1:11" ht="27" customHeight="1">
      <c r="A3" s="2" t="s">
        <v>2063</v>
      </c>
      <c r="B3" s="13" t="s">
        <v>42</v>
      </c>
      <c r="C3" s="16" t="s">
        <v>24</v>
      </c>
      <c r="D3" s="13" t="s">
        <v>43</v>
      </c>
      <c r="E3" s="16" t="s">
        <v>24</v>
      </c>
      <c r="F3" s="13" t="s">
        <v>22</v>
      </c>
      <c r="G3" s="16" t="s">
        <v>24</v>
      </c>
    </row>
    <row r="4" spans="1:11" ht="15" customHeight="1">
      <c r="A4" s="4"/>
      <c r="B4" s="14"/>
      <c r="C4" s="17" t="s">
        <v>25</v>
      </c>
      <c r="D4" s="14"/>
      <c r="E4" s="17" t="s">
        <v>25</v>
      </c>
      <c r="F4" s="14"/>
      <c r="G4" s="17" t="s">
        <v>25</v>
      </c>
    </row>
    <row r="5" spans="1:11" ht="15" customHeight="1">
      <c r="A5" s="4"/>
      <c r="B5" s="14"/>
      <c r="C5" s="17" t="s">
        <v>26</v>
      </c>
      <c r="D5" s="14"/>
      <c r="E5" s="17" t="s">
        <v>26</v>
      </c>
      <c r="F5" s="14"/>
      <c r="G5" s="17" t="s">
        <v>26</v>
      </c>
    </row>
    <row r="6" spans="1:11" ht="23" customHeight="1">
      <c r="A6" s="5"/>
      <c r="B6" s="15"/>
      <c r="C6" s="18"/>
      <c r="D6" s="15"/>
      <c r="E6" s="18"/>
      <c r="F6" s="15"/>
      <c r="G6" s="18"/>
    </row>
    <row r="7" spans="1:11" ht="30" customHeight="1" thickBot="1">
      <c r="A7" s="6" t="s">
        <v>27</v>
      </c>
      <c r="B7" s="28">
        <v>79.348663327996888</v>
      </c>
      <c r="C7" s="24">
        <v>2.2280380762054804E-2</v>
      </c>
      <c r="D7" s="28">
        <v>75.788017830400264</v>
      </c>
      <c r="E7" s="24">
        <v>2.336911028266456E-2</v>
      </c>
      <c r="F7" s="28">
        <v>77.612648872381101</v>
      </c>
      <c r="G7" s="24">
        <v>2.2797080239991403E-2</v>
      </c>
      <c r="I7" s="56"/>
      <c r="J7" s="56"/>
      <c r="K7" s="56"/>
    </row>
    <row r="8" spans="1:11" ht="20" customHeight="1" thickBot="1">
      <c r="A8" s="7" t="s">
        <v>28</v>
      </c>
      <c r="B8" s="29">
        <v>220.28834681787754</v>
      </c>
      <c r="C8" s="25">
        <v>4.0983965274752315E-2</v>
      </c>
      <c r="D8" s="29">
        <v>321.82763701185928</v>
      </c>
      <c r="E8" s="25">
        <v>4.0073651184293596E-2</v>
      </c>
      <c r="F8" s="29">
        <v>270.56707748486701</v>
      </c>
      <c r="G8" s="25">
        <v>4.0353165368888742E-2</v>
      </c>
      <c r="I8" s="56"/>
      <c r="J8" s="56"/>
      <c r="K8" s="56"/>
    </row>
    <row r="9" spans="1:11" ht="20" customHeight="1" thickBot="1">
      <c r="A9" s="7" t="s">
        <v>29</v>
      </c>
      <c r="B9" s="29">
        <v>235.00632403951434</v>
      </c>
      <c r="C9" s="25">
        <v>3.4785173196502886E-2</v>
      </c>
      <c r="D9" s="29">
        <v>377.96583352276917</v>
      </c>
      <c r="E9" s="25">
        <v>3.4031267378965342E-2</v>
      </c>
      <c r="F9" s="29">
        <v>306.47539040609695</v>
      </c>
      <c r="G9" s="25">
        <v>3.4460608820431261E-2</v>
      </c>
      <c r="I9" s="56"/>
      <c r="J9" s="56"/>
      <c r="K9" s="56"/>
    </row>
    <row r="10" spans="1:11" ht="20" customHeight="1" thickBot="1">
      <c r="A10" s="7" t="s">
        <v>30</v>
      </c>
      <c r="B10" s="29">
        <v>254.21754053822923</v>
      </c>
      <c r="C10" s="25">
        <v>4.0460438626187589E-2</v>
      </c>
      <c r="D10" s="29">
        <v>393.31588687238457</v>
      </c>
      <c r="E10" s="25">
        <v>4.3338047266227329E-2</v>
      </c>
      <c r="F10" s="29">
        <v>323.99421218078965</v>
      </c>
      <c r="G10" s="25">
        <v>4.2273085300340935E-2</v>
      </c>
      <c r="I10" s="56"/>
      <c r="J10" s="56"/>
      <c r="K10" s="56"/>
    </row>
    <row r="11" spans="1:11" ht="20" customHeight="1" thickBot="1">
      <c r="A11" s="7" t="s">
        <v>31</v>
      </c>
      <c r="B11" s="29">
        <v>276.94768422053727</v>
      </c>
      <c r="C11" s="25">
        <v>3.131375514718527E-2</v>
      </c>
      <c r="D11" s="29">
        <v>393.21796852333603</v>
      </c>
      <c r="E11" s="25">
        <v>3.1356583985108745E-2</v>
      </c>
      <c r="F11" s="29">
        <v>334.63725272501773</v>
      </c>
      <c r="G11" s="25">
        <v>3.1711679537807909E-2</v>
      </c>
      <c r="I11" s="56"/>
      <c r="J11" s="56"/>
      <c r="K11" s="56"/>
    </row>
    <row r="12" spans="1:11" ht="20" customHeight="1" thickBot="1">
      <c r="A12" s="7" t="s">
        <v>32</v>
      </c>
      <c r="B12" s="29">
        <v>301.66718236341239</v>
      </c>
      <c r="C12" s="25">
        <v>2.512524427837293E-2</v>
      </c>
      <c r="D12" s="29">
        <v>402.81096242301146</v>
      </c>
      <c r="E12" s="25">
        <v>2.678386879747115E-2</v>
      </c>
      <c r="F12" s="29">
        <v>351.71208584408816</v>
      </c>
      <c r="G12" s="25">
        <v>2.6316969411676338E-2</v>
      </c>
      <c r="I12" s="56"/>
      <c r="J12" s="56"/>
      <c r="K12" s="56"/>
    </row>
    <row r="13" spans="1:11" ht="20" customHeight="1" thickBot="1">
      <c r="A13" s="7" t="s">
        <v>33</v>
      </c>
      <c r="B13" s="29">
        <v>340.38922099392829</v>
      </c>
      <c r="C13" s="25">
        <v>2.5679329328395853E-2</v>
      </c>
      <c r="D13" s="29">
        <v>436.01014672187034</v>
      </c>
      <c r="E13" s="25">
        <v>1.2607935256483663E-2</v>
      </c>
      <c r="F13" s="29">
        <v>387.68394256766317</v>
      </c>
      <c r="G13" s="25">
        <v>1.8146796183038605E-2</v>
      </c>
      <c r="I13" s="56"/>
      <c r="J13" s="56"/>
      <c r="K13" s="56"/>
    </row>
    <row r="14" spans="1:11" ht="20" customHeight="1" thickBot="1">
      <c r="A14" s="7" t="s">
        <v>34</v>
      </c>
      <c r="B14" s="29">
        <v>390.55813407623498</v>
      </c>
      <c r="C14" s="25">
        <v>2.5205920895443712E-2</v>
      </c>
      <c r="D14" s="29">
        <v>483.81592675897355</v>
      </c>
      <c r="E14" s="25">
        <v>9.6148834745535053E-3</v>
      </c>
      <c r="F14" s="29">
        <v>437.05153253946298</v>
      </c>
      <c r="G14" s="25">
        <v>1.6638943582099899E-2</v>
      </c>
      <c r="I14" s="56"/>
      <c r="J14" s="56"/>
      <c r="K14" s="56"/>
    </row>
    <row r="15" spans="1:11" ht="20" customHeight="1" thickBot="1">
      <c r="A15" s="7" t="s">
        <v>35</v>
      </c>
      <c r="B15" s="29">
        <v>453.99714280072158</v>
      </c>
      <c r="C15" s="25">
        <v>2.6148074286221731E-2</v>
      </c>
      <c r="D15" s="29">
        <v>521.35242010894012</v>
      </c>
      <c r="E15" s="25">
        <v>1.3244005235573026E-2</v>
      </c>
      <c r="F15" s="29">
        <v>487.6786897898894</v>
      </c>
      <c r="G15" s="25">
        <v>1.9235716349551388E-2</v>
      </c>
      <c r="I15" s="56"/>
      <c r="J15" s="56"/>
      <c r="K15" s="56"/>
    </row>
    <row r="16" spans="1:11" ht="20" customHeight="1" thickBot="1">
      <c r="A16" s="7" t="s">
        <v>36</v>
      </c>
      <c r="B16" s="29">
        <v>512.31947281162502</v>
      </c>
      <c r="C16" s="25">
        <v>3.026496264871479E-2</v>
      </c>
      <c r="D16" s="29">
        <v>544.89266456538326</v>
      </c>
      <c r="E16" s="25">
        <v>1.893280341692927E-2</v>
      </c>
      <c r="F16" s="29">
        <v>529.07480593945616</v>
      </c>
      <c r="G16" s="25">
        <v>2.4059781340514959E-2</v>
      </c>
      <c r="I16" s="56"/>
      <c r="J16" s="56"/>
      <c r="K16" s="56"/>
    </row>
    <row r="17" spans="1:11" ht="20" customHeight="1" thickBot="1">
      <c r="A17" s="7" t="s">
        <v>37</v>
      </c>
      <c r="B17" s="29">
        <v>569.22091869349651</v>
      </c>
      <c r="C17" s="25">
        <v>2.8311341208929232E-2</v>
      </c>
      <c r="D17" s="29">
        <v>572.55615239502708</v>
      </c>
      <c r="E17" s="25">
        <v>1.7654713898680206E-2</v>
      </c>
      <c r="F17" s="29">
        <v>571.00551410766548</v>
      </c>
      <c r="G17" s="25">
        <v>2.2537282399894682E-2</v>
      </c>
      <c r="I17" s="56"/>
      <c r="J17" s="56"/>
      <c r="K17" s="56"/>
    </row>
    <row r="18" spans="1:11" ht="20" customHeight="1" thickBot="1">
      <c r="A18" s="7" t="s">
        <v>38</v>
      </c>
      <c r="B18" s="29">
        <v>619.62299297232516</v>
      </c>
      <c r="C18" s="25">
        <v>2.076008134929094E-2</v>
      </c>
      <c r="D18" s="29">
        <v>612.35292013945468</v>
      </c>
      <c r="E18" s="25">
        <v>1.3631800831774137E-2</v>
      </c>
      <c r="F18" s="29">
        <v>615.52271647039424</v>
      </c>
      <c r="G18" s="25">
        <v>1.6761338516155088E-2</v>
      </c>
      <c r="I18" s="56"/>
      <c r="J18" s="56"/>
      <c r="K18" s="56"/>
    </row>
    <row r="19" spans="1:11" ht="20" customHeight="1" thickBot="1">
      <c r="A19" s="7" t="s">
        <v>39</v>
      </c>
      <c r="B19" s="29">
        <v>666.84654616867124</v>
      </c>
      <c r="C19" s="25">
        <v>2.7150606953042066E-2</v>
      </c>
      <c r="D19" s="29">
        <v>662.83918817579024</v>
      </c>
      <c r="E19" s="25">
        <v>1.219381599392573E-2</v>
      </c>
      <c r="F19" s="29">
        <v>664.43858823338246</v>
      </c>
      <c r="G19" s="25">
        <v>1.8117511528625889E-2</v>
      </c>
      <c r="I19" s="56"/>
      <c r="J19" s="56"/>
      <c r="K19" s="56"/>
    </row>
    <row r="20" spans="1:11" ht="20" customHeight="1" thickBot="1">
      <c r="A20" s="7" t="s">
        <v>40</v>
      </c>
      <c r="B20" s="29">
        <v>716.34543994568048</v>
      </c>
      <c r="C20" s="25">
        <v>3.0981106180393583E-2</v>
      </c>
      <c r="D20" s="29">
        <v>726.62523142707414</v>
      </c>
      <c r="E20" s="25">
        <v>1.2563601891804549E-2</v>
      </c>
      <c r="F20" s="29">
        <v>722.88075719819017</v>
      </c>
      <c r="G20" s="25">
        <v>1.9117774637312804E-2</v>
      </c>
      <c r="I20" s="56"/>
      <c r="J20" s="56"/>
      <c r="K20" s="56"/>
    </row>
    <row r="21" spans="1:11" ht="20" customHeight="1" thickBot="1">
      <c r="A21" s="7" t="s">
        <v>41</v>
      </c>
      <c r="B21" s="29">
        <v>778.04485170002408</v>
      </c>
      <c r="C21" s="25">
        <v>2.5944061909942057E-2</v>
      </c>
      <c r="D21" s="29">
        <v>800.73529337252967</v>
      </c>
      <c r="E21" s="25">
        <v>9.9599122394477858E-3</v>
      </c>
      <c r="F21" s="29">
        <v>793.63687048915335</v>
      </c>
      <c r="G21" s="25">
        <v>1.4683355082455534E-2</v>
      </c>
      <c r="I21" s="56"/>
      <c r="J21" s="56"/>
      <c r="K21" s="56"/>
    </row>
    <row r="22" spans="1:11" ht="20" customHeight="1" thickBot="1">
      <c r="A22" s="7" t="s">
        <v>23</v>
      </c>
      <c r="B22" s="29">
        <v>882.79392350777425</v>
      </c>
      <c r="C22" s="25">
        <v>3.6009378213824925E-2</v>
      </c>
      <c r="D22" s="29">
        <v>899.77195473257689</v>
      </c>
      <c r="E22" s="25">
        <v>1.0495750472046388E-2</v>
      </c>
      <c r="F22" s="29">
        <v>895.70224426871573</v>
      </c>
      <c r="G22" s="25">
        <v>1.6421047783529714E-2</v>
      </c>
      <c r="I22" s="56"/>
      <c r="J22" s="56"/>
      <c r="K22" s="56"/>
    </row>
    <row r="23" spans="1:11" ht="30" customHeight="1" thickBot="1">
      <c r="A23" s="12" t="s">
        <v>22</v>
      </c>
      <c r="B23" s="33">
        <v>307.17730674368988</v>
      </c>
      <c r="C23" s="34">
        <v>3.3789654535941092E-2</v>
      </c>
      <c r="D23" s="33">
        <v>394.7645078695972</v>
      </c>
      <c r="E23" s="34">
        <v>2.40823224561591E-2</v>
      </c>
      <c r="F23" s="33">
        <v>351.86793467139125</v>
      </c>
      <c r="G23" s="34">
        <v>2.8175831565354824E-2</v>
      </c>
      <c r="I23" s="56"/>
      <c r="J23" s="56"/>
      <c r="K23" s="56"/>
    </row>
    <row r="24" spans="1:11" ht="20" customHeight="1">
      <c r="A24" s="9" t="s">
        <v>257</v>
      </c>
      <c r="B24" s="30"/>
      <c r="C24" s="26"/>
      <c r="D24" s="30"/>
      <c r="E24" s="26"/>
      <c r="F24" s="30"/>
      <c r="G24" s="26"/>
    </row>
    <row r="25" spans="1:11" ht="14.25" customHeight="1">
      <c r="A25" s="37"/>
      <c r="B25" s="31"/>
      <c r="C25" s="27"/>
      <c r="D25" s="31"/>
      <c r="E25" s="27"/>
      <c r="F25" s="31"/>
      <c r="G25" s="27"/>
    </row>
    <row r="26" spans="1:11" ht="12.75" customHeight="1">
      <c r="A26" s="37" t="s">
        <v>989</v>
      </c>
      <c r="B26" s="31"/>
      <c r="C26" s="27"/>
      <c r="D26" s="31"/>
      <c r="E26" s="27"/>
      <c r="F26" s="31"/>
      <c r="G26" s="27"/>
    </row>
    <row r="27" spans="1:11" ht="21" customHeight="1">
      <c r="A27" s="37"/>
      <c r="B27" s="31"/>
      <c r="C27" s="27"/>
      <c r="D27" s="31"/>
      <c r="E27" s="27"/>
      <c r="F27" s="31"/>
      <c r="G27" s="27"/>
    </row>
    <row r="28" spans="1:11" ht="24" customHeight="1">
      <c r="A28" s="177" t="s">
        <v>990</v>
      </c>
      <c r="B28" s="178"/>
      <c r="C28" s="179"/>
      <c r="D28" s="178"/>
      <c r="E28" s="179"/>
      <c r="F28" s="178"/>
      <c r="G28" s="179"/>
    </row>
    <row r="29" spans="1:11" ht="24" customHeight="1" thickBot="1">
      <c r="A29" s="6" t="s">
        <v>991</v>
      </c>
      <c r="B29" s="28">
        <v>93.65</v>
      </c>
      <c r="C29" s="24">
        <v>2.9120879120877897E-2</v>
      </c>
      <c r="D29" s="28">
        <v>82.87</v>
      </c>
      <c r="E29" s="24">
        <v>1.9812946098941662E-2</v>
      </c>
      <c r="F29" s="28">
        <v>88.4</v>
      </c>
      <c r="G29" s="24">
        <v>2.4689926973456726E-2</v>
      </c>
    </row>
    <row r="30" spans="1:11" ht="24" customHeight="1" thickBot="1">
      <c r="A30" s="7" t="s">
        <v>992</v>
      </c>
      <c r="B30" s="28">
        <v>73.37</v>
      </c>
      <c r="C30" s="24">
        <v>1.1720904578047553E-2</v>
      </c>
      <c r="D30" s="28">
        <v>62.23</v>
      </c>
      <c r="E30" s="24">
        <v>1.799443808277432E-2</v>
      </c>
      <c r="F30" s="28">
        <v>67.94</v>
      </c>
      <c r="G30" s="24">
        <v>1.4787154592979759E-2</v>
      </c>
    </row>
    <row r="31" spans="1:11" ht="24" customHeight="1" thickBot="1">
      <c r="A31" s="7" t="s">
        <v>993</v>
      </c>
      <c r="B31" s="28">
        <v>72.540000000000006</v>
      </c>
      <c r="C31" s="24">
        <v>4.314063848145059E-2</v>
      </c>
      <c r="D31" s="28">
        <v>68.989999999999995</v>
      </c>
      <c r="E31" s="24">
        <v>3.9475666716890012E-2</v>
      </c>
      <c r="F31" s="28">
        <v>70.81</v>
      </c>
      <c r="G31" s="24">
        <v>4.1476687748199903E-2</v>
      </c>
    </row>
    <row r="32" spans="1:11" ht="24" customHeight="1" thickBot="1">
      <c r="A32" s="7" t="s">
        <v>994</v>
      </c>
      <c r="B32" s="28">
        <v>76.3</v>
      </c>
      <c r="C32" s="24">
        <v>5.2704194260485553E-2</v>
      </c>
      <c r="D32" s="28">
        <v>96.57</v>
      </c>
      <c r="E32" s="24">
        <v>5.1960784313724633E-2</v>
      </c>
      <c r="F32" s="28">
        <v>86.18</v>
      </c>
      <c r="G32" s="24">
        <v>5.277302711947035E-2</v>
      </c>
    </row>
    <row r="33" spans="1:9" ht="24" customHeight="1" thickBot="1">
      <c r="A33" s="7" t="s">
        <v>995</v>
      </c>
      <c r="B33" s="28">
        <v>214.25</v>
      </c>
      <c r="C33" s="24">
        <v>3.272920080979462E-2</v>
      </c>
      <c r="D33" s="28">
        <v>293.79000000000002</v>
      </c>
      <c r="E33" s="24">
        <v>3.3998521803399941E-2</v>
      </c>
      <c r="F33" s="28">
        <v>253.18</v>
      </c>
      <c r="G33" s="24">
        <v>3.2292261273750372E-2</v>
      </c>
      <c r="I33" s="58"/>
    </row>
    <row r="34" spans="1:9" ht="24" customHeight="1" thickBot="1">
      <c r="A34" s="7" t="s">
        <v>996</v>
      </c>
      <c r="B34" s="28">
        <v>217.68</v>
      </c>
      <c r="C34" s="24">
        <v>2.8198951395777237E-2</v>
      </c>
      <c r="D34" s="28">
        <v>328.38</v>
      </c>
      <c r="E34" s="24">
        <v>3.5964414158621921E-2</v>
      </c>
      <c r="F34" s="28">
        <v>272.64999999999998</v>
      </c>
      <c r="G34" s="24">
        <v>3.2765151515151428E-2</v>
      </c>
    </row>
    <row r="35" spans="1:9" ht="24" customHeight="1" thickBot="1">
      <c r="A35" s="7" t="s">
        <v>997</v>
      </c>
      <c r="B35" s="28">
        <v>885.8</v>
      </c>
      <c r="C35" s="24">
        <v>-6.560870296641084E-3</v>
      </c>
      <c r="D35" s="28">
        <v>903.75</v>
      </c>
      <c r="E35" s="24">
        <v>-3.1941900446674033E-2</v>
      </c>
      <c r="F35" s="28">
        <v>899.26</v>
      </c>
      <c r="G35" s="24">
        <v>-2.588933662637111E-2</v>
      </c>
    </row>
    <row r="36" spans="1:9" ht="24" customHeight="1" thickBot="1">
      <c r="A36" s="7" t="s">
        <v>998</v>
      </c>
      <c r="B36" s="28">
        <v>1015.7</v>
      </c>
      <c r="C36" s="24">
        <v>2.0475826869749844E-2</v>
      </c>
      <c r="D36" s="28">
        <v>1022.86</v>
      </c>
      <c r="E36" s="24">
        <v>1.6729123385982567E-2</v>
      </c>
      <c r="F36" s="28">
        <v>1021.47</v>
      </c>
      <c r="G36" s="24">
        <v>1.7420665750313761E-2</v>
      </c>
    </row>
    <row r="37" spans="1:9" ht="24" customHeight="1" thickBot="1">
      <c r="A37" s="180" t="s">
        <v>999</v>
      </c>
      <c r="B37" s="181">
        <v>1113.8699999999999</v>
      </c>
      <c r="C37" s="182">
        <v>-1.9256167784880446E-2</v>
      </c>
      <c r="D37" s="181">
        <v>1065.4000000000001</v>
      </c>
      <c r="E37" s="182">
        <v>-0.12855705603769096</v>
      </c>
      <c r="F37" s="181">
        <v>1072.1400000000001</v>
      </c>
      <c r="G37" s="182">
        <v>-0.11317898707163943</v>
      </c>
    </row>
    <row r="38" spans="1:9" ht="18.75" customHeight="1">
      <c r="A38" s="183" t="s">
        <v>1000</v>
      </c>
    </row>
    <row r="39" spans="1:9" ht="12" customHeight="1">
      <c r="A39" s="118"/>
    </row>
    <row r="40" spans="1:9">
      <c r="A40" s="37" t="s">
        <v>989</v>
      </c>
    </row>
    <row r="42" spans="1:9">
      <c r="A42" s="184" t="s">
        <v>1001</v>
      </c>
      <c r="B42" s="31"/>
      <c r="C42" s="27"/>
      <c r="D42" s="31"/>
      <c r="E42" s="27"/>
      <c r="F42" s="31"/>
      <c r="G42" s="27"/>
    </row>
    <row r="43" spans="1:9">
      <c r="A43" s="184"/>
      <c r="B43" s="31"/>
      <c r="C43" s="27"/>
      <c r="D43" s="31"/>
      <c r="E43" s="27"/>
      <c r="F43" s="31"/>
      <c r="G43" s="27"/>
    </row>
    <row r="44" spans="1:9">
      <c r="A44" s="184"/>
      <c r="B44" s="31"/>
      <c r="C44" s="27"/>
      <c r="D44" s="31"/>
      <c r="E44" s="27"/>
      <c r="F44" s="31"/>
      <c r="G44" s="27"/>
    </row>
    <row r="45" spans="1:9">
      <c r="A45" s="37" t="s">
        <v>256</v>
      </c>
    </row>
  </sheetData>
  <mergeCells count="1">
    <mergeCell ref="A2:F2"/>
  </mergeCells>
  <phoneticPr fontId="0" type="noConversion"/>
  <pageMargins left="0.62" right="0.66" top="0.83" bottom="0.86614173228346458" header="0.44" footer="0.51181102362204722"/>
  <pageSetup paperSize="9" scale="80" orientation="portrait" horizontalDpi="1200" verticalDpi="1200"/>
  <headerFooter alignWithMargins="0">
    <oddHeader>&amp;L&amp;"Arial,Bold"Leistungen und Kostenbeteiligung in der OKP</oddHead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9914B-E731-CD42-B7CF-8D438CEC09CE}">
  <dimension ref="A1:K41"/>
  <sheetViews>
    <sheetView zoomScale="75" workbookViewId="0">
      <selection activeCell="A3" sqref="A3"/>
    </sheetView>
  </sheetViews>
  <sheetFormatPr baseColWidth="10" defaultColWidth="11.3984375" defaultRowHeight="13"/>
  <cols>
    <col min="1" max="1" width="13.796875" style="3" customWidth="1"/>
    <col min="2" max="2" width="14.796875" style="20" customWidth="1"/>
    <col min="3" max="3" width="14.796875" style="21" customWidth="1"/>
    <col min="4" max="4" width="14.796875" style="20" customWidth="1"/>
    <col min="5" max="5" width="14.796875" style="21" customWidth="1"/>
    <col min="6" max="6" width="14.796875" style="20" customWidth="1"/>
    <col min="7" max="7" width="14.796875" style="21" customWidth="1"/>
    <col min="8" max="8" width="7.3984375" style="3" customWidth="1"/>
    <col min="9" max="9" width="8" style="3" customWidth="1"/>
    <col min="10" max="10" width="7.796875" style="3" customWidth="1"/>
    <col min="11" max="11" width="9" style="3" customWidth="1"/>
    <col min="12" max="16384" width="11.3984375" style="3"/>
  </cols>
  <sheetData>
    <row r="1" spans="1:11" s="1" customFormat="1" ht="18.75" customHeight="1">
      <c r="A1" s="11"/>
      <c r="B1" s="22"/>
      <c r="C1" s="23"/>
      <c r="D1" s="32"/>
      <c r="E1" s="23"/>
      <c r="F1" s="32"/>
      <c r="G1" s="23"/>
    </row>
    <row r="2" spans="1:11" s="1" customFormat="1" ht="42" customHeight="1">
      <c r="A2" s="1488" t="s">
        <v>2072</v>
      </c>
      <c r="B2" s="1474"/>
      <c r="C2" s="1474"/>
      <c r="D2" s="1474"/>
      <c r="E2" s="1474"/>
      <c r="F2" s="1474"/>
      <c r="G2" s="125">
        <v>2003</v>
      </c>
    </row>
    <row r="3" spans="1:11" ht="27" customHeight="1">
      <c r="A3" s="2" t="s">
        <v>2063</v>
      </c>
      <c r="B3" s="13" t="s">
        <v>42</v>
      </c>
      <c r="C3" s="16" t="s">
        <v>46</v>
      </c>
      <c r="D3" s="13" t="s">
        <v>43</v>
      </c>
      <c r="E3" s="16" t="s">
        <v>46</v>
      </c>
      <c r="F3" s="13" t="s">
        <v>22</v>
      </c>
      <c r="G3" s="16" t="s">
        <v>24</v>
      </c>
    </row>
    <row r="4" spans="1:11" ht="15" customHeight="1">
      <c r="A4" s="4"/>
      <c r="B4" s="14"/>
      <c r="C4" s="17" t="s">
        <v>47</v>
      </c>
      <c r="D4" s="14"/>
      <c r="E4" s="17" t="s">
        <v>47</v>
      </c>
      <c r="F4" s="14"/>
      <c r="G4" s="17" t="s">
        <v>25</v>
      </c>
    </row>
    <row r="5" spans="1:11" ht="15" customHeight="1">
      <c r="A5" s="4"/>
      <c r="B5" s="14"/>
      <c r="C5" s="17" t="s">
        <v>42</v>
      </c>
      <c r="D5" s="14"/>
      <c r="E5" s="17" t="s">
        <v>43</v>
      </c>
      <c r="F5" s="14"/>
      <c r="G5" s="17" t="s">
        <v>26</v>
      </c>
    </row>
    <row r="6" spans="1:11" ht="19.5" customHeight="1">
      <c r="A6" s="5"/>
      <c r="B6" s="15"/>
      <c r="C6" s="18"/>
      <c r="D6" s="15"/>
      <c r="E6" s="18"/>
      <c r="F6" s="15"/>
      <c r="G6" s="18"/>
    </row>
    <row r="7" spans="1:11" ht="30" customHeight="1" thickBot="1">
      <c r="A7" s="6" t="s">
        <v>27</v>
      </c>
      <c r="B7" s="28">
        <v>790354.7</v>
      </c>
      <c r="C7" s="24">
        <v>0.21873328660759442</v>
      </c>
      <c r="D7" s="28">
        <v>751969.66</v>
      </c>
      <c r="E7" s="24">
        <v>0.19975575473460039</v>
      </c>
      <c r="F7" s="28">
        <v>1542324.36</v>
      </c>
      <c r="G7" s="24">
        <v>-3.886934588983862E-3</v>
      </c>
      <c r="I7" s="8"/>
      <c r="J7" s="8"/>
      <c r="K7" s="8"/>
    </row>
    <row r="8" spans="1:11" ht="20" customHeight="1" thickBot="1">
      <c r="A8" s="7" t="s">
        <v>28</v>
      </c>
      <c r="B8" s="29">
        <v>310042.61</v>
      </c>
      <c r="C8" s="25">
        <v>8.5805321425553138E-2</v>
      </c>
      <c r="D8" s="29">
        <v>304104.15000000002</v>
      </c>
      <c r="E8" s="25">
        <v>8.0783251283268673E-2</v>
      </c>
      <c r="F8" s="29">
        <v>614146.76</v>
      </c>
      <c r="G8" s="25">
        <v>1.1666265601889016E-2</v>
      </c>
      <c r="I8" s="8"/>
      <c r="J8" s="8"/>
      <c r="K8" s="8"/>
    </row>
    <row r="9" spans="1:11" ht="20" customHeight="1" thickBot="1">
      <c r="A9" s="7" t="s">
        <v>29</v>
      </c>
      <c r="B9" s="29">
        <v>238850.5</v>
      </c>
      <c r="C9" s="25">
        <v>6.6102668678844109E-2</v>
      </c>
      <c r="D9" s="29">
        <v>238779.08</v>
      </c>
      <c r="E9" s="25">
        <v>6.3430079533040626E-2</v>
      </c>
      <c r="F9" s="29">
        <v>477629.58</v>
      </c>
      <c r="G9" s="25">
        <v>-1.1111033662447983E-2</v>
      </c>
      <c r="I9" s="8"/>
      <c r="J9" s="8"/>
      <c r="K9" s="8"/>
    </row>
    <row r="10" spans="1:11" ht="20" customHeight="1" thickBot="1">
      <c r="A10" s="7" t="s">
        <v>30</v>
      </c>
      <c r="B10" s="29">
        <v>282736.82</v>
      </c>
      <c r="C10" s="25">
        <v>7.824835340838715E-2</v>
      </c>
      <c r="D10" s="29">
        <v>284592.58</v>
      </c>
      <c r="E10" s="25">
        <v>7.5600132071508216E-2</v>
      </c>
      <c r="F10" s="29">
        <v>567329.4</v>
      </c>
      <c r="G10" s="25">
        <v>-2.3236066598315834E-2</v>
      </c>
      <c r="I10" s="8"/>
      <c r="J10" s="8"/>
      <c r="K10" s="8"/>
    </row>
    <row r="11" spans="1:11" ht="20" customHeight="1" thickBot="1">
      <c r="A11" s="7" t="s">
        <v>31</v>
      </c>
      <c r="B11" s="29">
        <v>321543.14</v>
      </c>
      <c r="C11" s="25">
        <v>8.8988131276154694E-2</v>
      </c>
      <c r="D11" s="29">
        <v>316651.73</v>
      </c>
      <c r="E11" s="25">
        <v>8.4116432721722978E-2</v>
      </c>
      <c r="F11" s="29">
        <v>638194.87</v>
      </c>
      <c r="G11" s="25">
        <v>3.1396829865884773E-5</v>
      </c>
      <c r="I11" s="8"/>
      <c r="J11" s="8"/>
      <c r="K11" s="8"/>
    </row>
    <row r="12" spans="1:11" ht="20" customHeight="1" thickBot="1">
      <c r="A12" s="7" t="s">
        <v>32</v>
      </c>
      <c r="B12" s="29">
        <v>298495.84000000003</v>
      </c>
      <c r="C12" s="25">
        <v>8.2609714501469575E-2</v>
      </c>
      <c r="D12" s="29">
        <v>292339.02</v>
      </c>
      <c r="E12" s="25">
        <v>7.7657922499789991E-2</v>
      </c>
      <c r="F12" s="29">
        <v>590834.86</v>
      </c>
      <c r="G12" s="25">
        <v>2.3100115210299244E-2</v>
      </c>
      <c r="I12" s="8"/>
      <c r="J12" s="8"/>
      <c r="K12" s="8"/>
    </row>
    <row r="13" spans="1:11" ht="20" customHeight="1" thickBot="1">
      <c r="A13" s="7" t="s">
        <v>33</v>
      </c>
      <c r="B13" s="29">
        <v>264322.33</v>
      </c>
      <c r="C13" s="25">
        <v>7.315208217864351E-2</v>
      </c>
      <c r="D13" s="29">
        <v>258680.59</v>
      </c>
      <c r="E13" s="25">
        <v>6.8716783720558242E-2</v>
      </c>
      <c r="F13" s="29">
        <v>523002.92</v>
      </c>
      <c r="G13" s="25">
        <v>1.857030919830701E-2</v>
      </c>
      <c r="I13" s="8"/>
      <c r="J13" s="8"/>
      <c r="K13" s="8"/>
    </row>
    <row r="14" spans="1:11" ht="20" customHeight="1" thickBot="1">
      <c r="A14" s="7" t="s">
        <v>34</v>
      </c>
      <c r="B14" s="29">
        <v>244629.93</v>
      </c>
      <c r="C14" s="25">
        <v>6.7702145114700726E-2</v>
      </c>
      <c r="D14" s="29">
        <v>243212.32</v>
      </c>
      <c r="E14" s="25">
        <v>6.4607740347334131E-2</v>
      </c>
      <c r="F14" s="29">
        <v>487842.25</v>
      </c>
      <c r="G14" s="25">
        <v>-1.1125089516872116E-3</v>
      </c>
      <c r="I14" s="8"/>
      <c r="J14" s="8"/>
      <c r="K14" s="8"/>
    </row>
    <row r="15" spans="1:11" ht="20" customHeight="1" thickBot="1">
      <c r="A15" s="7" t="s">
        <v>35</v>
      </c>
      <c r="B15" s="29">
        <v>231422.43</v>
      </c>
      <c r="C15" s="25">
        <v>6.4046925650743866E-2</v>
      </c>
      <c r="D15" s="29">
        <v>231476.15</v>
      </c>
      <c r="E15" s="25">
        <v>6.1490104595855043E-2</v>
      </c>
      <c r="F15" s="29">
        <v>462898.58</v>
      </c>
      <c r="G15" s="25">
        <v>1.9054768216063538E-2</v>
      </c>
      <c r="I15" s="8"/>
      <c r="J15" s="8"/>
      <c r="K15" s="8"/>
    </row>
    <row r="16" spans="1:11" ht="20" customHeight="1" thickBot="1">
      <c r="A16" s="7" t="s">
        <v>36</v>
      </c>
      <c r="B16" s="29">
        <v>179442.5</v>
      </c>
      <c r="C16" s="25">
        <v>4.9661307489008752E-2</v>
      </c>
      <c r="D16" s="29">
        <v>190077.49</v>
      </c>
      <c r="E16" s="25">
        <v>5.0492825033670176E-2</v>
      </c>
      <c r="F16" s="29">
        <v>369519.99</v>
      </c>
      <c r="G16" s="25">
        <v>3.9846643815040987E-2</v>
      </c>
      <c r="I16" s="8"/>
      <c r="J16" s="8"/>
      <c r="K16" s="8"/>
    </row>
    <row r="17" spans="1:11" ht="20" customHeight="1" thickBot="1">
      <c r="A17" s="7" t="s">
        <v>37</v>
      </c>
      <c r="B17" s="29">
        <v>145622.67000000001</v>
      </c>
      <c r="C17" s="25">
        <v>4.0301557280134022E-2</v>
      </c>
      <c r="D17" s="29">
        <v>167593.92000000001</v>
      </c>
      <c r="E17" s="25">
        <v>4.4520213725817381E-2</v>
      </c>
      <c r="F17" s="29">
        <v>313216.59000000003</v>
      </c>
      <c r="G17" s="25">
        <v>5.5851975016101658E-4</v>
      </c>
      <c r="I17" s="8"/>
      <c r="J17" s="8"/>
      <c r="K17" s="8"/>
    </row>
    <row r="18" spans="1:11" ht="20" customHeight="1" thickBot="1">
      <c r="A18" s="7" t="s">
        <v>38</v>
      </c>
      <c r="B18" s="29">
        <v>120187.68</v>
      </c>
      <c r="C18" s="25">
        <v>3.3262339372615662E-2</v>
      </c>
      <c r="D18" s="29">
        <v>155468.26</v>
      </c>
      <c r="E18" s="25">
        <v>4.1299112538097711E-2</v>
      </c>
      <c r="F18" s="29">
        <v>275655.94</v>
      </c>
      <c r="G18" s="25">
        <v>1.1369878594202109E-2</v>
      </c>
      <c r="I18" s="8"/>
      <c r="J18" s="8"/>
      <c r="K18" s="8"/>
    </row>
    <row r="19" spans="1:11" ht="20" customHeight="1" thickBot="1">
      <c r="A19" s="7" t="s">
        <v>39</v>
      </c>
      <c r="B19" s="29">
        <v>90414.23</v>
      </c>
      <c r="C19" s="25">
        <v>2.5022438259676271E-2</v>
      </c>
      <c r="D19" s="29">
        <v>136122.07999999999</v>
      </c>
      <c r="E19" s="25">
        <v>3.6159928083326728E-2</v>
      </c>
      <c r="F19" s="29">
        <v>226536.31</v>
      </c>
      <c r="G19" s="25">
        <v>6.1207788006801466E-3</v>
      </c>
      <c r="I19" s="8"/>
      <c r="J19" s="8"/>
      <c r="K19" s="8"/>
    </row>
    <row r="20" spans="1:11" ht="20" customHeight="1" thickBot="1">
      <c r="A20" s="7" t="s">
        <v>40</v>
      </c>
      <c r="B20" s="29">
        <v>57821.57</v>
      </c>
      <c r="C20" s="25">
        <v>1.6002311421582087E-2</v>
      </c>
      <c r="D20" s="29">
        <v>100917.32</v>
      </c>
      <c r="E20" s="25">
        <v>2.6808016991527531E-2</v>
      </c>
      <c r="F20" s="29">
        <v>158738.89000000001</v>
      </c>
      <c r="G20" s="25">
        <v>3.7594420891914469E-2</v>
      </c>
      <c r="I20" s="8"/>
      <c r="J20" s="8"/>
      <c r="K20" s="8"/>
    </row>
    <row r="21" spans="1:11" ht="20" customHeight="1" thickBot="1">
      <c r="A21" s="7" t="s">
        <v>41</v>
      </c>
      <c r="B21" s="29">
        <v>26955.5</v>
      </c>
      <c r="C21" s="25">
        <v>7.4600240969668547E-3</v>
      </c>
      <c r="D21" s="29">
        <v>59209.02</v>
      </c>
      <c r="E21" s="25">
        <v>1.5728483616208724E-2</v>
      </c>
      <c r="F21" s="29">
        <v>86164.52</v>
      </c>
      <c r="G21" s="25">
        <v>-2.2163361420830259E-2</v>
      </c>
      <c r="I21" s="8"/>
      <c r="J21" s="8"/>
      <c r="K21" s="8"/>
    </row>
    <row r="22" spans="1:11" ht="20" customHeight="1" thickBot="1">
      <c r="A22" s="7" t="s">
        <v>23</v>
      </c>
      <c r="B22" s="29">
        <v>10483.68</v>
      </c>
      <c r="C22" s="25">
        <v>2.9013932379250802E-3</v>
      </c>
      <c r="D22" s="29">
        <v>33252.17</v>
      </c>
      <c r="E22" s="25">
        <v>8.8332185036737194E-3</v>
      </c>
      <c r="F22" s="29">
        <v>43735.85</v>
      </c>
      <c r="G22" s="25">
        <v>1.9612421925845419E-2</v>
      </c>
      <c r="I22" s="8"/>
      <c r="J22" s="8"/>
      <c r="K22" s="8"/>
    </row>
    <row r="23" spans="1:11" s="35" customFormat="1" ht="21" customHeight="1" thickBot="1">
      <c r="A23" s="12" t="s">
        <v>22</v>
      </c>
      <c r="B23" s="33">
        <v>3613326.13</v>
      </c>
      <c r="C23" s="34">
        <v>1</v>
      </c>
      <c r="D23" s="33">
        <v>3764445.54</v>
      </c>
      <c r="E23" s="34">
        <v>1</v>
      </c>
      <c r="F23" s="33">
        <v>7377771.6699999999</v>
      </c>
      <c r="G23" s="34">
        <v>4.993851577988268E-3</v>
      </c>
      <c r="I23" s="36"/>
      <c r="J23" s="36"/>
      <c r="K23" s="36"/>
    </row>
    <row r="24" spans="1:11" ht="20" customHeight="1">
      <c r="A24" s="9" t="s">
        <v>257</v>
      </c>
      <c r="B24" s="30"/>
      <c r="C24" s="26"/>
      <c r="D24" s="30"/>
      <c r="E24" s="26"/>
      <c r="F24" s="30"/>
      <c r="G24" s="26"/>
    </row>
    <row r="25" spans="1:11" ht="12.75" customHeight="1">
      <c r="A25" s="37"/>
      <c r="B25" s="31"/>
      <c r="C25" s="27"/>
      <c r="D25" s="31"/>
      <c r="E25" s="27"/>
      <c r="F25" s="31"/>
      <c r="G25" s="27"/>
    </row>
    <row r="26" spans="1:11" ht="16.5" customHeight="1">
      <c r="A26" s="37" t="s">
        <v>44</v>
      </c>
      <c r="B26" s="31"/>
      <c r="C26" s="27"/>
      <c r="D26" s="31"/>
      <c r="E26" s="27"/>
      <c r="F26" s="31"/>
      <c r="G26" s="27"/>
    </row>
    <row r="27" spans="1:11" ht="11.25" customHeight="1">
      <c r="A27" s="37"/>
      <c r="B27" s="31"/>
      <c r="C27" s="27"/>
      <c r="D27" s="31"/>
      <c r="E27" s="27"/>
      <c r="F27" s="31"/>
      <c r="G27" s="27"/>
    </row>
    <row r="28" spans="1:11" ht="17.25" customHeight="1">
      <c r="A28" s="37" t="s">
        <v>45</v>
      </c>
      <c r="B28" s="31"/>
      <c r="C28" s="27"/>
      <c r="D28" s="31"/>
      <c r="E28" s="27"/>
      <c r="F28" s="31"/>
      <c r="G28" s="27"/>
    </row>
    <row r="29" spans="1:11" ht="12" customHeight="1">
      <c r="A29" s="126" t="s">
        <v>2071</v>
      </c>
      <c r="B29" s="3"/>
      <c r="C29" s="3"/>
      <c r="D29" s="3"/>
      <c r="E29" s="3"/>
      <c r="F29" s="3"/>
      <c r="G29" s="100"/>
    </row>
    <row r="30" spans="1:11" ht="12" customHeight="1">
      <c r="A30" s="37"/>
      <c r="B30" s="31"/>
      <c r="C30" s="27"/>
      <c r="D30" s="31"/>
      <c r="E30" s="27"/>
      <c r="F30" s="31"/>
      <c r="G30" s="27"/>
    </row>
    <row r="31" spans="1:11" ht="14.25" customHeight="1">
      <c r="A31" s="37"/>
      <c r="B31" s="31"/>
      <c r="C31" s="27"/>
      <c r="D31" s="31"/>
      <c r="E31" s="27"/>
      <c r="F31" s="31"/>
      <c r="G31" s="27"/>
    </row>
    <row r="32" spans="1:11" ht="15.75" customHeight="1">
      <c r="A32" s="37" t="s">
        <v>256</v>
      </c>
      <c r="B32" s="31"/>
      <c r="C32" s="27"/>
      <c r="D32" s="31"/>
      <c r="E32" s="27"/>
      <c r="F32" s="31"/>
      <c r="G32" s="27"/>
    </row>
    <row r="33" spans="1:9" ht="18" customHeight="1">
      <c r="A33"/>
    </row>
    <row r="34" spans="1:9" ht="30" customHeight="1"/>
    <row r="35" spans="1:9" ht="30" customHeight="1">
      <c r="I35" s="10"/>
    </row>
    <row r="36" spans="1:9" ht="30" customHeight="1"/>
    <row r="37" spans="1:9" ht="30" customHeight="1"/>
    <row r="38" spans="1:9" ht="30" customHeight="1"/>
    <row r="39" spans="1:9" ht="30" customHeight="1"/>
    <row r="40" spans="1:9" ht="30" customHeight="1"/>
    <row r="41" spans="1:9" ht="30" customHeight="1"/>
  </sheetData>
  <mergeCells count="1">
    <mergeCell ref="A2:F2"/>
  </mergeCells>
  <phoneticPr fontId="0" type="noConversion"/>
  <pageMargins left="0.65" right="0.54" top="0.85" bottom="0.49" header="0.44" footer="0.4921259845"/>
  <pageSetup paperSize="9" scale="80" orientation="portrait" horizontalDpi="4294967292" verticalDpi="4294967292"/>
  <headerFooter alignWithMargins="0">
    <oddHeader>&amp;L&amp;"Arial,Bold"Leistungen und Kostenbeteiligung in der OKP</oddHeader>
  </headerFooter>
  <rowBreaks count="1" manualBreakCount="1">
    <brk id="32" max="16383" man="1"/>
  </row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24C47-7031-274C-ADA1-A7386AB4ADE8}">
  <dimension ref="A1:J34"/>
  <sheetViews>
    <sheetView topLeftCell="A22" zoomScale="75" workbookViewId="0">
      <selection activeCell="A24" sqref="A24"/>
    </sheetView>
  </sheetViews>
  <sheetFormatPr baseColWidth="10" defaultColWidth="11.3984375" defaultRowHeight="13"/>
  <cols>
    <col min="1" max="1" width="14.796875" style="3" customWidth="1"/>
    <col min="2" max="2" width="14.796875" style="20" customWidth="1"/>
    <col min="3" max="3" width="14.3984375" style="21" customWidth="1"/>
    <col min="4" max="4" width="14.796875" style="20" customWidth="1"/>
    <col min="5" max="5" width="14.796875" style="21" customWidth="1"/>
    <col min="6" max="6" width="14.796875" style="20" customWidth="1"/>
    <col min="7" max="7" width="14.796875" style="21" customWidth="1"/>
    <col min="8" max="8" width="7.59765625" style="3" customWidth="1"/>
    <col min="9" max="9" width="6.3984375" style="3" customWidth="1"/>
    <col min="10" max="10" width="8.796875" style="3" customWidth="1"/>
    <col min="11" max="16384" width="11.3984375" style="3"/>
  </cols>
  <sheetData>
    <row r="1" spans="1:10" s="1" customFormat="1" ht="18.75" customHeight="1">
      <c r="A1" s="11"/>
      <c r="B1" s="22"/>
      <c r="C1" s="54"/>
      <c r="D1" s="55"/>
      <c r="E1" s="54"/>
      <c r="F1" s="55"/>
      <c r="G1" s="54"/>
    </row>
    <row r="2" spans="1:10" s="1" customFormat="1" ht="40.5" customHeight="1">
      <c r="A2" s="1486" t="s">
        <v>2070</v>
      </c>
      <c r="B2" s="1474"/>
      <c r="C2" s="1474"/>
      <c r="D2" s="1474"/>
      <c r="E2" s="1474"/>
      <c r="F2" s="1474"/>
      <c r="G2" s="124">
        <v>2003</v>
      </c>
    </row>
    <row r="3" spans="1:10" ht="27" customHeight="1">
      <c r="A3" s="2" t="s">
        <v>2063</v>
      </c>
      <c r="B3" s="13" t="s">
        <v>42</v>
      </c>
      <c r="C3" s="16" t="s">
        <v>24</v>
      </c>
      <c r="D3" s="13" t="s">
        <v>43</v>
      </c>
      <c r="E3" s="16" t="s">
        <v>24</v>
      </c>
      <c r="F3" s="13" t="s">
        <v>22</v>
      </c>
      <c r="G3" s="16" t="s">
        <v>24</v>
      </c>
    </row>
    <row r="4" spans="1:10" ht="15" customHeight="1">
      <c r="A4" s="4"/>
      <c r="B4" s="14"/>
      <c r="C4" s="17" t="s">
        <v>2064</v>
      </c>
      <c r="D4" s="14"/>
      <c r="E4" s="17" t="s">
        <v>2064</v>
      </c>
      <c r="F4" s="14"/>
      <c r="G4" s="17" t="s">
        <v>2064</v>
      </c>
    </row>
    <row r="5" spans="1:10" ht="15" customHeight="1">
      <c r="A5" s="4"/>
      <c r="B5" s="14"/>
      <c r="C5" s="17" t="s">
        <v>26</v>
      </c>
      <c r="D5" s="14"/>
      <c r="E5" s="17" t="s">
        <v>26</v>
      </c>
      <c r="F5" s="14"/>
      <c r="G5" s="17" t="s">
        <v>26</v>
      </c>
    </row>
    <row r="6" spans="1:10" ht="23" customHeight="1">
      <c r="A6" s="5"/>
      <c r="B6" s="15"/>
      <c r="C6" s="18"/>
      <c r="D6" s="15"/>
      <c r="E6" s="18"/>
      <c r="F6" s="15"/>
      <c r="G6" s="18"/>
    </row>
    <row r="7" spans="1:10" ht="30" customHeight="1" thickBot="1">
      <c r="A7" s="6" t="s">
        <v>27</v>
      </c>
      <c r="B7" s="28">
        <v>0</v>
      </c>
      <c r="C7" s="24">
        <v>0</v>
      </c>
      <c r="D7" s="28">
        <v>0</v>
      </c>
      <c r="E7" s="24">
        <v>0</v>
      </c>
      <c r="F7" s="28">
        <v>0</v>
      </c>
      <c r="G7" s="24">
        <v>0</v>
      </c>
      <c r="H7" s="56"/>
      <c r="I7" s="56"/>
      <c r="J7" s="56"/>
    </row>
    <row r="8" spans="1:10" ht="20" customHeight="1" thickBot="1">
      <c r="A8" s="7" t="s">
        <v>28</v>
      </c>
      <c r="B8" s="29">
        <v>-151.51688705234614</v>
      </c>
      <c r="C8" s="25">
        <v>-4.1017485611088873E-2</v>
      </c>
      <c r="D8" s="29">
        <v>-113.63484041849743</v>
      </c>
      <c r="E8" s="25">
        <v>-6.0177793573197504E-2</v>
      </c>
      <c r="F8" s="29">
        <v>-132.75901297051118</v>
      </c>
      <c r="G8" s="25">
        <v>-4.9129861757726996E-2</v>
      </c>
      <c r="H8" s="56"/>
      <c r="I8" s="56"/>
      <c r="J8" s="56"/>
    </row>
    <row r="9" spans="1:10" ht="20" customHeight="1" thickBot="1">
      <c r="A9" s="7" t="s">
        <v>29</v>
      </c>
      <c r="B9" s="29">
        <v>-147.6462194741265</v>
      </c>
      <c r="C9" s="25">
        <v>-4.5329174288410476E-2</v>
      </c>
      <c r="D9" s="29">
        <v>-76.604983254507673</v>
      </c>
      <c r="E9" s="25">
        <v>-8.1878948798555506E-2</v>
      </c>
      <c r="F9" s="29">
        <v>-112.13091276597986</v>
      </c>
      <c r="G9" s="25">
        <v>-5.7327278652657021E-2</v>
      </c>
      <c r="H9" s="56"/>
      <c r="I9" s="56"/>
      <c r="J9" s="56"/>
    </row>
    <row r="10" spans="1:10" ht="20" customHeight="1" thickBot="1">
      <c r="A10" s="7" t="s">
        <v>30</v>
      </c>
      <c r="B10" s="29">
        <v>-137.32459164092927</v>
      </c>
      <c r="C10" s="25">
        <v>-4.7141567583564019E-2</v>
      </c>
      <c r="D10" s="29">
        <v>-60.523223225196432</v>
      </c>
      <c r="E10" s="25">
        <v>-5.5199713552799068E-2</v>
      </c>
      <c r="F10" s="29">
        <v>-98.798297066800146</v>
      </c>
      <c r="G10" s="25">
        <v>-4.948968216331056E-2</v>
      </c>
      <c r="H10" s="56"/>
      <c r="I10" s="56"/>
      <c r="J10" s="56"/>
    </row>
    <row r="11" spans="1:10" ht="20" customHeight="1" thickBot="1">
      <c r="A11" s="7" t="s">
        <v>31</v>
      </c>
      <c r="B11" s="29">
        <v>-123.63667456049039</v>
      </c>
      <c r="C11" s="25">
        <v>-4.350284592469672E-2</v>
      </c>
      <c r="D11" s="29">
        <v>-71.582761465866355</v>
      </c>
      <c r="E11" s="25">
        <v>-7.8236097744472127E-2</v>
      </c>
      <c r="F11" s="29">
        <v>-97.809200211343153</v>
      </c>
      <c r="G11" s="25">
        <v>-5.5236110479758189E-2</v>
      </c>
      <c r="H11" s="56"/>
      <c r="I11" s="56"/>
      <c r="J11" s="56"/>
    </row>
    <row r="12" spans="1:10" ht="20" customHeight="1" thickBot="1">
      <c r="A12" s="7" t="s">
        <v>32</v>
      </c>
      <c r="B12" s="29">
        <v>-106.70037010431321</v>
      </c>
      <c r="C12" s="25">
        <v>-3.8298362197899276E-2</v>
      </c>
      <c r="D12" s="29">
        <v>-70.418647021046496</v>
      </c>
      <c r="E12" s="25">
        <v>-8.1324142594895885E-2</v>
      </c>
      <c r="F12" s="29">
        <v>-88.748546188450206</v>
      </c>
      <c r="G12" s="25">
        <v>-5.4369674568925608E-2</v>
      </c>
      <c r="H12" s="56"/>
      <c r="I12" s="56"/>
      <c r="J12" s="56"/>
    </row>
    <row r="13" spans="1:10" ht="20" customHeight="1" thickBot="1">
      <c r="A13" s="7" t="s">
        <v>33</v>
      </c>
      <c r="B13" s="29">
        <v>-82.595098124291383</v>
      </c>
      <c r="C13" s="25">
        <v>-4.1739397990552811E-2</v>
      </c>
      <c r="D13" s="29">
        <v>-46.518875759240672</v>
      </c>
      <c r="E13" s="25">
        <v>-0.15928260428445379</v>
      </c>
      <c r="F13" s="29">
        <v>-64.751567754781178</v>
      </c>
      <c r="G13" s="25">
        <v>-8.126359842879366E-2</v>
      </c>
      <c r="H13" s="56"/>
      <c r="I13" s="56"/>
      <c r="J13" s="56"/>
    </row>
    <row r="14" spans="1:10" ht="20" customHeight="1" thickBot="1">
      <c r="A14" s="7" t="s">
        <v>34</v>
      </c>
      <c r="B14" s="29">
        <v>-48.17973570485762</v>
      </c>
      <c r="C14" s="25">
        <v>-3.6319749126021122E-2</v>
      </c>
      <c r="D14" s="29">
        <v>-12.940274871906439</v>
      </c>
      <c r="E14" s="25">
        <v>-0.48829756535348734</v>
      </c>
      <c r="F14" s="29">
        <v>-30.611206073135094</v>
      </c>
      <c r="G14" s="25">
        <v>-0.10655298361487432</v>
      </c>
      <c r="H14" s="56"/>
      <c r="I14" s="56"/>
      <c r="J14" s="56"/>
    </row>
    <row r="15" spans="1:10" ht="20" customHeight="1" thickBot="1">
      <c r="A15" s="7" t="s">
        <v>35</v>
      </c>
      <c r="B15" s="29">
        <v>-0.47071289104465563</v>
      </c>
      <c r="C15" s="25">
        <v>-1.9252717294660622</v>
      </c>
      <c r="D15" s="29">
        <v>23.84453037440241</v>
      </c>
      <c r="E15" s="25">
        <v>-0.12299949348274562</v>
      </c>
      <c r="F15" s="29">
        <v>11.688319649947614</v>
      </c>
      <c r="G15" s="25">
        <v>-0.15581338292971447</v>
      </c>
      <c r="H15" s="56"/>
      <c r="I15" s="56"/>
      <c r="J15" s="56"/>
    </row>
    <row r="16" spans="1:10" ht="20" customHeight="1" thickBot="1">
      <c r="A16" s="7" t="s">
        <v>36</v>
      </c>
      <c r="B16" s="29">
        <v>54.445313737581927</v>
      </c>
      <c r="C16" s="25">
        <v>7.4507977688500635E-2</v>
      </c>
      <c r="D16" s="29">
        <v>61.584104238984963</v>
      </c>
      <c r="E16" s="25">
        <v>1.0243601659412451E-2</v>
      </c>
      <c r="F16" s="29">
        <v>58.11743816078981</v>
      </c>
      <c r="G16" s="25">
        <v>3.806158973129347E-2</v>
      </c>
      <c r="H16" s="56"/>
      <c r="I16" s="56"/>
      <c r="J16" s="56"/>
    </row>
    <row r="17" spans="1:10" ht="20" customHeight="1" thickBot="1">
      <c r="A17" s="7" t="s">
        <v>37</v>
      </c>
      <c r="B17" s="29">
        <v>133.50226021763311</v>
      </c>
      <c r="C17" s="25">
        <v>8.1180866934531096E-2</v>
      </c>
      <c r="D17" s="29">
        <v>115.99421054436979</v>
      </c>
      <c r="E17" s="25">
        <v>2.2933211393702583E-2</v>
      </c>
      <c r="F17" s="29">
        <v>124.13416551901925</v>
      </c>
      <c r="G17" s="25">
        <v>5.1407757005245643E-2</v>
      </c>
      <c r="H17" s="56"/>
      <c r="I17" s="56"/>
      <c r="J17" s="56"/>
    </row>
    <row r="18" spans="1:10" ht="20" customHeight="1" thickBot="1">
      <c r="A18" s="7" t="s">
        <v>38</v>
      </c>
      <c r="B18" s="29">
        <v>215.8953145811976</v>
      </c>
      <c r="C18" s="25">
        <v>5.1154826509619361E-2</v>
      </c>
      <c r="D18" s="29">
        <v>189.67982728581225</v>
      </c>
      <c r="E18" s="25">
        <v>4.1674504130855564E-2</v>
      </c>
      <c r="F18" s="29">
        <v>201.10994048454052</v>
      </c>
      <c r="G18" s="25">
        <v>4.6432626241921064E-2</v>
      </c>
      <c r="H18" s="56"/>
      <c r="I18" s="56"/>
      <c r="J18" s="56"/>
    </row>
    <row r="19" spans="1:10" ht="20" customHeight="1" thickBot="1">
      <c r="A19" s="7" t="s">
        <v>39</v>
      </c>
      <c r="B19" s="29">
        <v>302.87385842209994</v>
      </c>
      <c r="C19" s="25">
        <v>8.4617031874422877E-2</v>
      </c>
      <c r="D19" s="29">
        <v>295.43811638099692</v>
      </c>
      <c r="E19" s="25">
        <v>4.0669426863104263E-2</v>
      </c>
      <c r="F19" s="29">
        <v>298.40583882304145</v>
      </c>
      <c r="G19" s="25">
        <v>5.8006528932674897E-2</v>
      </c>
      <c r="H19" s="56"/>
      <c r="I19" s="56"/>
      <c r="J19" s="56"/>
    </row>
    <row r="20" spans="1:10" ht="20" customHeight="1" thickBot="1">
      <c r="A20" s="7" t="s">
        <v>40</v>
      </c>
      <c r="B20" s="29">
        <v>397.77460073538748</v>
      </c>
      <c r="C20" s="25">
        <v>8.4435480315970049E-2</v>
      </c>
      <c r="D20" s="29">
        <v>448.78448065544433</v>
      </c>
      <c r="E20" s="25">
        <v>5.1374308067203923E-2</v>
      </c>
      <c r="F20" s="29">
        <v>430.20383326343375</v>
      </c>
      <c r="G20" s="25">
        <v>6.2197709811539853E-2</v>
      </c>
      <c r="H20" s="56"/>
      <c r="I20" s="56"/>
      <c r="J20" s="56"/>
    </row>
    <row r="21" spans="1:10" ht="20" customHeight="1" thickBot="1">
      <c r="A21" s="7" t="s">
        <v>41</v>
      </c>
      <c r="B21" s="29">
        <v>529.03144702896702</v>
      </c>
      <c r="C21" s="25">
        <v>6.3686014477008626E-2</v>
      </c>
      <c r="D21" s="29">
        <v>684.95625279396086</v>
      </c>
      <c r="E21" s="25">
        <v>4.4165513524308607E-2</v>
      </c>
      <c r="F21" s="29">
        <v>636.17711374927876</v>
      </c>
      <c r="G21" s="25">
        <v>4.8404486545426083E-2</v>
      </c>
      <c r="H21" s="56"/>
      <c r="I21" s="56"/>
      <c r="J21" s="56"/>
    </row>
    <row r="22" spans="1:10" ht="20" customHeight="1" thickBot="1">
      <c r="A22" s="7" t="s">
        <v>23</v>
      </c>
      <c r="B22" s="29">
        <v>773.55034256103556</v>
      </c>
      <c r="C22" s="25">
        <v>7.4018462716159666E-2</v>
      </c>
      <c r="D22" s="29">
        <v>1045.8877858200983</v>
      </c>
      <c r="E22" s="25">
        <v>3.7506982074018022E-2</v>
      </c>
      <c r="F22" s="29">
        <v>980.6072755031347</v>
      </c>
      <c r="G22" s="25">
        <v>4.4304412480920125E-2</v>
      </c>
      <c r="H22" s="56"/>
      <c r="I22" s="56"/>
      <c r="J22" s="56"/>
    </row>
    <row r="23" spans="1:10" ht="20" customHeight="1">
      <c r="A23" s="9" t="s">
        <v>257</v>
      </c>
      <c r="B23" s="30"/>
      <c r="C23" s="26"/>
      <c r="D23" s="30"/>
      <c r="E23" s="26"/>
      <c r="F23" s="30"/>
      <c r="G23" s="26"/>
    </row>
    <row r="24" spans="1:10" ht="11.25" customHeight="1">
      <c r="A24" s="37"/>
      <c r="B24" s="31"/>
      <c r="C24" s="27"/>
      <c r="D24" s="31"/>
      <c r="E24" s="27"/>
      <c r="F24" s="31"/>
      <c r="G24" s="27"/>
    </row>
    <row r="25" spans="1:10" ht="15.75" customHeight="1">
      <c r="A25" s="37" t="s">
        <v>44</v>
      </c>
      <c r="B25" s="31"/>
      <c r="C25" s="27"/>
      <c r="D25" s="31"/>
      <c r="E25" s="27"/>
      <c r="F25" s="31"/>
      <c r="G25" s="27"/>
    </row>
    <row r="26" spans="1:10">
      <c r="A26" s="57"/>
      <c r="B26" s="31"/>
      <c r="C26" s="27"/>
      <c r="D26" s="31"/>
      <c r="E26" s="27"/>
      <c r="F26" s="31"/>
      <c r="G26" s="27"/>
    </row>
    <row r="27" spans="1:10">
      <c r="A27" s="57" t="s">
        <v>2065</v>
      </c>
      <c r="B27" s="31"/>
      <c r="C27" s="27"/>
      <c r="D27" s="31"/>
      <c r="E27" s="27"/>
      <c r="F27" s="31"/>
      <c r="G27" s="27"/>
    </row>
    <row r="28" spans="1:10">
      <c r="A28" s="57" t="s">
        <v>2066</v>
      </c>
      <c r="B28" s="31"/>
      <c r="C28" s="27"/>
      <c r="D28" s="31"/>
      <c r="E28" s="27"/>
      <c r="F28" s="31"/>
      <c r="G28" s="27"/>
    </row>
    <row r="29" spans="1:10">
      <c r="A29" s="57" t="s">
        <v>2067</v>
      </c>
      <c r="B29" s="31"/>
      <c r="C29" s="27"/>
      <c r="D29" s="31"/>
      <c r="E29" s="27"/>
      <c r="F29" s="31"/>
      <c r="G29" s="27"/>
    </row>
    <row r="30" spans="1:10">
      <c r="A30" s="57" t="s">
        <v>2068</v>
      </c>
      <c r="B30" s="31"/>
      <c r="C30" s="27"/>
      <c r="D30" s="31"/>
      <c r="E30" s="27"/>
      <c r="F30" s="31"/>
      <c r="G30" s="27"/>
    </row>
    <row r="31" spans="1:10">
      <c r="A31" s="57" t="s">
        <v>2069</v>
      </c>
      <c r="B31" s="31"/>
      <c r="C31" s="27"/>
      <c r="D31" s="31"/>
      <c r="E31" s="27"/>
      <c r="F31" s="31"/>
      <c r="G31" s="27"/>
    </row>
    <row r="32" spans="1:10">
      <c r="A32" s="57"/>
      <c r="B32" s="31"/>
      <c r="C32" s="27"/>
      <c r="D32" s="31"/>
      <c r="E32" s="27"/>
      <c r="F32" s="31"/>
      <c r="G32" s="27"/>
    </row>
    <row r="33" spans="1:7">
      <c r="A33" s="57"/>
      <c r="B33" s="31"/>
      <c r="C33" s="27"/>
      <c r="D33" s="31"/>
      <c r="E33" s="27"/>
      <c r="F33" s="31"/>
      <c r="G33" s="27"/>
    </row>
    <row r="34" spans="1:7">
      <c r="A34" s="37" t="s">
        <v>256</v>
      </c>
    </row>
  </sheetData>
  <mergeCells count="1">
    <mergeCell ref="A2:F2"/>
  </mergeCells>
  <phoneticPr fontId="0" type="noConversion"/>
  <pageMargins left="0.62" right="0.54" top="0.74" bottom="0.86614173228346458" header="0.4" footer="0.51181102362204722"/>
  <pageSetup paperSize="9" scale="80" orientation="portrait" horizontalDpi="1200" verticalDpi="1200"/>
  <headerFooter alignWithMargins="0">
    <oddHeader>&amp;L&amp;"Arial,Bold"Leistungen und Kostenbeteiligung in der OKP</oddHead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5C58A-ACE7-CB44-B491-B9DEB4B9FF86}">
  <sheetPr>
    <pageSetUpPr fitToPage="1"/>
  </sheetPr>
  <dimension ref="A1:B18"/>
  <sheetViews>
    <sheetView workbookViewId="0">
      <selection activeCell="C20" sqref="C20"/>
    </sheetView>
  </sheetViews>
  <sheetFormatPr baseColWidth="10" defaultColWidth="11.3984375" defaultRowHeight="13"/>
  <cols>
    <col min="1" max="1" width="5.59765625" style="699" customWidth="1"/>
    <col min="2" max="16384" width="11.3984375" style="699"/>
  </cols>
  <sheetData>
    <row r="1" spans="1:2" ht="16">
      <c r="A1" s="698" t="s">
        <v>1753</v>
      </c>
    </row>
    <row r="2" spans="1:2" ht="16">
      <c r="A2" s="698"/>
    </row>
    <row r="3" spans="1:2">
      <c r="A3" s="700">
        <v>3.01</v>
      </c>
      <c r="B3" s="701" t="s">
        <v>1754</v>
      </c>
    </row>
    <row r="4" spans="1:2">
      <c r="A4" s="700">
        <v>3.02</v>
      </c>
      <c r="B4" s="701" t="s">
        <v>1755</v>
      </c>
    </row>
    <row r="5" spans="1:2">
      <c r="A5" s="700">
        <v>3.03</v>
      </c>
      <c r="B5" s="701" t="s">
        <v>1756</v>
      </c>
    </row>
    <row r="6" spans="1:2">
      <c r="A6" s="700">
        <v>3.04</v>
      </c>
      <c r="B6" s="701" t="s">
        <v>941</v>
      </c>
    </row>
    <row r="7" spans="1:2">
      <c r="A7" s="700">
        <v>3.05</v>
      </c>
      <c r="B7" s="701" t="s">
        <v>942</v>
      </c>
    </row>
    <row r="8" spans="1:2">
      <c r="A8" s="700">
        <v>3.06</v>
      </c>
      <c r="B8" s="701" t="s">
        <v>943</v>
      </c>
    </row>
    <row r="9" spans="1:2">
      <c r="A9" s="700">
        <v>3.07</v>
      </c>
      <c r="B9" s="700" t="s">
        <v>944</v>
      </c>
    </row>
    <row r="10" spans="1:2">
      <c r="A10" s="700">
        <v>3.08</v>
      </c>
      <c r="B10" s="700" t="s">
        <v>945</v>
      </c>
    </row>
    <row r="11" spans="1:2">
      <c r="A11" s="700">
        <v>3.09</v>
      </c>
      <c r="B11" s="700" t="s">
        <v>946</v>
      </c>
    </row>
    <row r="12" spans="1:2">
      <c r="A12" s="702" t="s">
        <v>947</v>
      </c>
      <c r="B12" s="700" t="s">
        <v>948</v>
      </c>
    </row>
    <row r="13" spans="1:2">
      <c r="A13" s="700">
        <v>3.11</v>
      </c>
      <c r="B13" s="701" t="s">
        <v>949</v>
      </c>
    </row>
    <row r="14" spans="1:2">
      <c r="A14" s="700">
        <v>3.12</v>
      </c>
      <c r="B14" s="701" t="s">
        <v>950</v>
      </c>
    </row>
    <row r="15" spans="1:2">
      <c r="A15" s="700">
        <v>3.13</v>
      </c>
      <c r="B15" s="701" t="s">
        <v>951</v>
      </c>
    </row>
    <row r="18" spans="1:1">
      <c r="A18" s="703" t="s">
        <v>256</v>
      </c>
    </row>
  </sheetData>
  <phoneticPr fontId="21" type="noConversion"/>
  <pageMargins left="0.57999999999999996" right="0.6" top="0.65" bottom="0.984251969" header="0.34" footer="0.4921259845"/>
  <pageSetup paperSize="9" orientation="portrait"/>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6F634-FAC8-1D47-AE35-709F7DD0EEB0}">
  <sheetPr>
    <pageSetUpPr fitToPage="1"/>
  </sheetPr>
  <dimension ref="A1:L46"/>
  <sheetViews>
    <sheetView zoomScale="75" workbookViewId="0"/>
  </sheetViews>
  <sheetFormatPr baseColWidth="10" defaultColWidth="11.3984375" defaultRowHeight="13"/>
  <cols>
    <col min="1" max="1" width="11.19921875" style="3" customWidth="1"/>
    <col min="2" max="2" width="11.19921875" style="3" hidden="1" customWidth="1"/>
    <col min="3" max="12" width="10.3984375" style="3" customWidth="1"/>
    <col min="13" max="16384" width="11.3984375" style="3"/>
  </cols>
  <sheetData>
    <row r="1" spans="1:12" s="1" customFormat="1" ht="14" customHeight="1"/>
    <row r="2" spans="1:12" s="1" customFormat="1" ht="28" customHeight="1">
      <c r="A2" s="59" t="s">
        <v>1751</v>
      </c>
    </row>
    <row r="3" spans="1:12" ht="24" customHeight="1">
      <c r="A3" s="2" t="s">
        <v>70</v>
      </c>
      <c r="B3" s="69">
        <v>1996</v>
      </c>
      <c r="C3" s="69" t="s">
        <v>299</v>
      </c>
      <c r="D3" s="16">
        <v>1997</v>
      </c>
      <c r="E3" s="69">
        <v>1998</v>
      </c>
      <c r="F3" s="16">
        <v>1999</v>
      </c>
      <c r="G3" s="69">
        <v>2000</v>
      </c>
      <c r="H3" s="16">
        <v>2001</v>
      </c>
      <c r="I3" s="69">
        <v>2002</v>
      </c>
      <c r="J3" s="16">
        <v>2003</v>
      </c>
      <c r="K3" s="69">
        <v>2004</v>
      </c>
      <c r="L3" s="16">
        <v>2005</v>
      </c>
    </row>
    <row r="4" spans="1:12" ht="15" customHeight="1">
      <c r="A4" s="77"/>
      <c r="B4" s="70"/>
      <c r="C4" s="70"/>
      <c r="D4" s="17"/>
      <c r="E4" s="70"/>
      <c r="F4" s="17"/>
      <c r="G4" s="14"/>
      <c r="H4" s="61"/>
      <c r="I4" s="70"/>
      <c r="J4" s="17"/>
      <c r="K4" s="70"/>
      <c r="L4" s="17"/>
    </row>
    <row r="5" spans="1:12" ht="16" customHeight="1">
      <c r="A5" s="78"/>
      <c r="B5" s="73"/>
      <c r="C5" s="73"/>
      <c r="D5" s="18"/>
      <c r="E5" s="73"/>
      <c r="F5" s="18"/>
      <c r="G5" s="15"/>
      <c r="H5" s="62"/>
      <c r="I5" s="73"/>
      <c r="J5" s="18"/>
      <c r="K5" s="73"/>
      <c r="L5" s="18"/>
    </row>
    <row r="6" spans="1:12" ht="30" customHeight="1" thickBot="1">
      <c r="A6" s="297" t="s">
        <v>78</v>
      </c>
      <c r="B6" s="19">
        <v>153.29054508483716</v>
      </c>
      <c r="C6" s="19">
        <v>161.38999999999999</v>
      </c>
      <c r="D6" s="86">
        <v>181.74761941037556</v>
      </c>
      <c r="E6" s="19">
        <v>196.00202818343942</v>
      </c>
      <c r="F6" s="86">
        <v>204.56496440459452</v>
      </c>
      <c r="G6" s="19">
        <v>214.60878128536802</v>
      </c>
      <c r="H6" s="86">
        <v>225.83</v>
      </c>
      <c r="I6" s="19">
        <v>249.25184999999999</v>
      </c>
      <c r="J6" s="63">
        <v>275.28021999999999</v>
      </c>
      <c r="K6" s="28">
        <v>285.95999999999998</v>
      </c>
      <c r="L6" s="63">
        <v>292.56547431664393</v>
      </c>
    </row>
    <row r="7" spans="1:12" ht="20" customHeight="1" thickBot="1">
      <c r="A7" s="302" t="s">
        <v>79</v>
      </c>
      <c r="B7" s="29">
        <v>158.55113159342818</v>
      </c>
      <c r="C7" s="29">
        <v>164.94</v>
      </c>
      <c r="D7" s="116">
        <v>178.90407101057329</v>
      </c>
      <c r="E7" s="29">
        <v>188.61433433173246</v>
      </c>
      <c r="F7" s="116">
        <v>201.25978915744582</v>
      </c>
      <c r="G7" s="29">
        <v>206.27433629075489</v>
      </c>
      <c r="H7" s="116">
        <v>214.24</v>
      </c>
      <c r="I7" s="29">
        <v>236.81533999999999</v>
      </c>
      <c r="J7" s="63">
        <v>260.21762999999999</v>
      </c>
      <c r="K7" s="28">
        <v>272.43</v>
      </c>
      <c r="L7" s="63">
        <v>285.23096933241277</v>
      </c>
    </row>
    <row r="8" spans="1:12" ht="20" customHeight="1" thickBot="1">
      <c r="A8" s="302" t="s">
        <v>80</v>
      </c>
      <c r="B8" s="29">
        <v>134.67895033237539</v>
      </c>
      <c r="C8" s="29">
        <v>139.1</v>
      </c>
      <c r="D8" s="116">
        <v>143.57709006234506</v>
      </c>
      <c r="E8" s="29">
        <v>153.2386309546296</v>
      </c>
      <c r="F8" s="116">
        <v>153.08542492035309</v>
      </c>
      <c r="G8" s="29">
        <v>162.59231768593037</v>
      </c>
      <c r="H8" s="116">
        <v>174.18</v>
      </c>
      <c r="I8" s="29">
        <v>193.38892000000001</v>
      </c>
      <c r="J8" s="63">
        <v>213.69806</v>
      </c>
      <c r="K8" s="28">
        <v>226.05</v>
      </c>
      <c r="L8" s="63">
        <v>235.7660711752128</v>
      </c>
    </row>
    <row r="9" spans="1:12" ht="20" customHeight="1" thickBot="1">
      <c r="A9" s="302" t="s">
        <v>81</v>
      </c>
      <c r="B9" s="29">
        <v>134.95768672951414</v>
      </c>
      <c r="C9" s="29">
        <v>141.16</v>
      </c>
      <c r="D9" s="116">
        <v>145.5123971024037</v>
      </c>
      <c r="E9" s="29">
        <v>152.96870852349821</v>
      </c>
      <c r="F9" s="116">
        <v>151.85893279388182</v>
      </c>
      <c r="G9" s="29">
        <v>155.97839469348565</v>
      </c>
      <c r="H9" s="116">
        <v>162.32</v>
      </c>
      <c r="I9" s="29">
        <v>179.01891000000001</v>
      </c>
      <c r="J9" s="63">
        <v>198.10935000000001</v>
      </c>
      <c r="K9" s="28">
        <v>206.39</v>
      </c>
      <c r="L9" s="63">
        <v>215.23330582702548</v>
      </c>
    </row>
    <row r="10" spans="1:12" ht="20" customHeight="1" thickBot="1">
      <c r="A10" s="302" t="s">
        <v>82</v>
      </c>
      <c r="B10" s="29">
        <v>134.45660111580844</v>
      </c>
      <c r="C10" s="29">
        <v>140.25</v>
      </c>
      <c r="D10" s="116">
        <v>154.58932622469482</v>
      </c>
      <c r="E10" s="29">
        <v>160.06682962371025</v>
      </c>
      <c r="F10" s="116">
        <v>157.52798339248363</v>
      </c>
      <c r="G10" s="29">
        <v>161.03489102830923</v>
      </c>
      <c r="H10" s="116">
        <v>171.06</v>
      </c>
      <c r="I10" s="29">
        <v>192.22412</v>
      </c>
      <c r="J10" s="63">
        <v>213.82740999999999</v>
      </c>
      <c r="K10" s="28">
        <v>224.67</v>
      </c>
      <c r="L10" s="63">
        <v>235.39211061064699</v>
      </c>
    </row>
    <row r="11" spans="1:12" ht="20" customHeight="1" thickBot="1">
      <c r="A11" s="302" t="s">
        <v>83</v>
      </c>
      <c r="B11" s="29">
        <v>137.58390190437046</v>
      </c>
      <c r="C11" s="29">
        <v>141.9</v>
      </c>
      <c r="D11" s="116">
        <v>150.48059358036346</v>
      </c>
      <c r="E11" s="29">
        <v>151.75133379152348</v>
      </c>
      <c r="F11" s="116">
        <v>150.6541390130584</v>
      </c>
      <c r="G11" s="29">
        <v>155.42777867792469</v>
      </c>
      <c r="H11" s="116">
        <v>163.99</v>
      </c>
      <c r="I11" s="29">
        <v>177.7379</v>
      </c>
      <c r="J11" s="63">
        <v>189.19853000000001</v>
      </c>
      <c r="K11" s="28">
        <v>197.66</v>
      </c>
      <c r="L11" s="63">
        <v>206.98166069521869</v>
      </c>
    </row>
    <row r="12" spans="1:12" ht="20" customHeight="1" thickBot="1">
      <c r="A12" s="302" t="s">
        <v>84</v>
      </c>
      <c r="B12" s="29">
        <v>130.84504672897197</v>
      </c>
      <c r="C12" s="29">
        <v>135.5</v>
      </c>
      <c r="D12" s="116">
        <v>142.42034638479478</v>
      </c>
      <c r="E12" s="29">
        <v>144.8240287051961</v>
      </c>
      <c r="F12" s="116">
        <v>143.0851864701819</v>
      </c>
      <c r="G12" s="29">
        <v>147.03459410221294</v>
      </c>
      <c r="H12" s="116">
        <v>154.96</v>
      </c>
      <c r="I12" s="29">
        <v>168.07506000000001</v>
      </c>
      <c r="J12" s="63">
        <v>183.25393</v>
      </c>
      <c r="K12" s="28">
        <v>192.14</v>
      </c>
      <c r="L12" s="63">
        <v>201.39448518799912</v>
      </c>
    </row>
    <row r="13" spans="1:12" ht="20" customHeight="1" thickBot="1">
      <c r="A13" s="302" t="s">
        <v>85</v>
      </c>
      <c r="B13" s="29">
        <v>128.29419254148183</v>
      </c>
      <c r="C13" s="29">
        <v>129.91</v>
      </c>
      <c r="D13" s="116">
        <v>142.97885760257441</v>
      </c>
      <c r="E13" s="29">
        <v>151.98406510079528</v>
      </c>
      <c r="F13" s="116">
        <v>154.08716723613713</v>
      </c>
      <c r="G13" s="29">
        <v>157.45437633505952</v>
      </c>
      <c r="H13" s="116">
        <v>169.57</v>
      </c>
      <c r="I13" s="29">
        <v>190.28371000000001</v>
      </c>
      <c r="J13" s="63">
        <v>213.61912000000001</v>
      </c>
      <c r="K13" s="28">
        <v>225.57</v>
      </c>
      <c r="L13" s="63">
        <v>236.97408544868864</v>
      </c>
    </row>
    <row r="14" spans="1:12" ht="20" customHeight="1" thickBot="1">
      <c r="A14" s="302" t="s">
        <v>86</v>
      </c>
      <c r="B14" s="29">
        <v>136.59697114249281</v>
      </c>
      <c r="C14" s="29">
        <v>142.31</v>
      </c>
      <c r="D14" s="116">
        <v>153.72972946648645</v>
      </c>
      <c r="E14" s="29">
        <v>153.40230466967873</v>
      </c>
      <c r="F14" s="116">
        <v>151.61979283853594</v>
      </c>
      <c r="G14" s="29">
        <v>156.98032288444494</v>
      </c>
      <c r="H14" s="116">
        <v>166.33</v>
      </c>
      <c r="I14" s="29">
        <v>186.00414000000001</v>
      </c>
      <c r="J14" s="63">
        <v>209.53888000000001</v>
      </c>
      <c r="K14" s="28">
        <v>222.2</v>
      </c>
      <c r="L14" s="63">
        <v>233.48223674042862</v>
      </c>
    </row>
    <row r="15" spans="1:12" ht="20" customHeight="1" thickBot="1">
      <c r="A15" s="302" t="s">
        <v>87</v>
      </c>
      <c r="B15" s="29">
        <v>175.04105550901633</v>
      </c>
      <c r="C15" s="29">
        <v>178.52</v>
      </c>
      <c r="D15" s="116">
        <v>190.51005291406392</v>
      </c>
      <c r="E15" s="29">
        <v>191.13510846174776</v>
      </c>
      <c r="F15" s="116">
        <v>194.51130641123947</v>
      </c>
      <c r="G15" s="29">
        <v>204.74739109792625</v>
      </c>
      <c r="H15" s="116">
        <v>219</v>
      </c>
      <c r="I15" s="29">
        <v>237.39559</v>
      </c>
      <c r="J15" s="63">
        <v>253.22302999999999</v>
      </c>
      <c r="K15" s="28">
        <v>257.31</v>
      </c>
      <c r="L15" s="63">
        <v>267.94934127347727</v>
      </c>
    </row>
    <row r="16" spans="1:12" ht="20" customHeight="1" thickBot="1">
      <c r="A16" s="302" t="s">
        <v>88</v>
      </c>
      <c r="B16" s="29">
        <v>136.69143164527779</v>
      </c>
      <c r="C16" s="29">
        <v>153.49</v>
      </c>
      <c r="D16" s="116">
        <v>174.39784107055755</v>
      </c>
      <c r="E16" s="29">
        <v>189.81747980375937</v>
      </c>
      <c r="F16" s="116">
        <v>194.79505634054161</v>
      </c>
      <c r="G16" s="29">
        <v>203.28838173925092</v>
      </c>
      <c r="H16" s="116">
        <v>208.4</v>
      </c>
      <c r="I16" s="29">
        <v>220.08157</v>
      </c>
      <c r="J16" s="63">
        <v>240.44400999999999</v>
      </c>
      <c r="K16" s="28">
        <v>252.59</v>
      </c>
      <c r="L16" s="63">
        <v>261.60649368847061</v>
      </c>
    </row>
    <row r="17" spans="1:12" ht="20" customHeight="1" thickBot="1">
      <c r="A17" s="302" t="s">
        <v>89</v>
      </c>
      <c r="B17" s="29">
        <v>191.43963598784845</v>
      </c>
      <c r="C17" s="29">
        <v>197.47</v>
      </c>
      <c r="D17" s="116">
        <v>227.39206822581488</v>
      </c>
      <c r="E17" s="29">
        <v>249.08995494732562</v>
      </c>
      <c r="F17" s="116">
        <v>269.95984005961856</v>
      </c>
      <c r="G17" s="29">
        <v>283.15886833389669</v>
      </c>
      <c r="H17" s="116">
        <v>300.27999999999997</v>
      </c>
      <c r="I17" s="29">
        <v>326.16320000000002</v>
      </c>
      <c r="J17" s="63">
        <v>355.56977000000001</v>
      </c>
      <c r="K17" s="28">
        <v>377.5</v>
      </c>
      <c r="L17" s="63">
        <v>388.8796583090612</v>
      </c>
    </row>
    <row r="18" spans="1:12" ht="20" customHeight="1" thickBot="1">
      <c r="A18" s="302" t="s">
        <v>90</v>
      </c>
      <c r="B18" s="29">
        <v>160.8793210751939</v>
      </c>
      <c r="C18" s="29">
        <v>169.85</v>
      </c>
      <c r="D18" s="116">
        <v>193.34249054078401</v>
      </c>
      <c r="E18" s="29">
        <v>205.76685458807557</v>
      </c>
      <c r="F18" s="116">
        <v>207.25163370069049</v>
      </c>
      <c r="G18" s="29">
        <v>214.55458510182976</v>
      </c>
      <c r="H18" s="116">
        <v>225.18</v>
      </c>
      <c r="I18" s="29">
        <v>247.74626000000001</v>
      </c>
      <c r="J18" s="63">
        <v>272.16631999999998</v>
      </c>
      <c r="K18" s="28">
        <v>285.56</v>
      </c>
      <c r="L18" s="63">
        <v>294.88832131060462</v>
      </c>
    </row>
    <row r="19" spans="1:12" ht="20" customHeight="1" thickBot="1">
      <c r="A19" s="302" t="s">
        <v>91</v>
      </c>
      <c r="B19" s="29">
        <v>139.68868748220555</v>
      </c>
      <c r="C19" s="29">
        <v>143.76</v>
      </c>
      <c r="D19" s="116">
        <v>167.06871021092456</v>
      </c>
      <c r="E19" s="29">
        <v>175.44410487580495</v>
      </c>
      <c r="F19" s="116">
        <v>185.0638682097516</v>
      </c>
      <c r="G19" s="29">
        <v>192.3170919504424</v>
      </c>
      <c r="H19" s="116">
        <v>202.52</v>
      </c>
      <c r="I19" s="29">
        <v>234.57712000000001</v>
      </c>
      <c r="J19" s="63">
        <v>256.67111999999997</v>
      </c>
      <c r="K19" s="28">
        <v>268.14999999999998</v>
      </c>
      <c r="L19" s="63">
        <v>275.75601151496562</v>
      </c>
    </row>
    <row r="20" spans="1:12" ht="20" customHeight="1" thickBot="1">
      <c r="A20" s="302" t="s">
        <v>92</v>
      </c>
      <c r="B20" s="29">
        <v>117.66163332768265</v>
      </c>
      <c r="C20" s="29">
        <v>120.66</v>
      </c>
      <c r="D20" s="116">
        <v>134.57239758753036</v>
      </c>
      <c r="E20" s="29">
        <v>146.4983795331388</v>
      </c>
      <c r="F20" s="116">
        <v>146.59109792193715</v>
      </c>
      <c r="G20" s="29">
        <v>149.68480463866564</v>
      </c>
      <c r="H20" s="116">
        <v>160.36000000000001</v>
      </c>
      <c r="I20" s="29">
        <v>176.92891</v>
      </c>
      <c r="J20" s="63">
        <v>195.91064</v>
      </c>
      <c r="K20" s="28">
        <v>204.72</v>
      </c>
      <c r="L20" s="63">
        <v>214.75282596580126</v>
      </c>
    </row>
    <row r="21" spans="1:12" ht="20" customHeight="1" thickBot="1">
      <c r="A21" s="302" t="s">
        <v>93</v>
      </c>
      <c r="B21" s="29">
        <v>114.22864746826805</v>
      </c>
      <c r="C21" s="29">
        <v>117.49</v>
      </c>
      <c r="D21" s="116">
        <v>125.32828990016854</v>
      </c>
      <c r="E21" s="29">
        <v>133.14947357866239</v>
      </c>
      <c r="F21" s="116">
        <v>131.34777988963828</v>
      </c>
      <c r="G21" s="29">
        <v>132.89659199669521</v>
      </c>
      <c r="H21" s="116">
        <v>145.16999999999999</v>
      </c>
      <c r="I21" s="29">
        <v>158.90671</v>
      </c>
      <c r="J21" s="63">
        <v>173.64661000000001</v>
      </c>
      <c r="K21" s="28">
        <v>183.62</v>
      </c>
      <c r="L21" s="63">
        <v>193.25574765665991</v>
      </c>
    </row>
    <row r="22" spans="1:12" ht="20" customHeight="1" thickBot="1">
      <c r="A22" s="302" t="s">
        <v>94</v>
      </c>
      <c r="B22" s="29">
        <v>125.5704997780322</v>
      </c>
      <c r="C22" s="29">
        <v>129.91</v>
      </c>
      <c r="D22" s="116">
        <v>144.38414639400574</v>
      </c>
      <c r="E22" s="29">
        <v>157.70305244819662</v>
      </c>
      <c r="F22" s="116">
        <v>160.05901339082263</v>
      </c>
      <c r="G22" s="29">
        <v>164.68000692764107</v>
      </c>
      <c r="H22" s="116">
        <v>175.58</v>
      </c>
      <c r="I22" s="29">
        <v>193.89466999999999</v>
      </c>
      <c r="J22" s="63">
        <v>210.78359</v>
      </c>
      <c r="K22" s="28">
        <v>225.37</v>
      </c>
      <c r="L22" s="63">
        <v>237.31876460814382</v>
      </c>
    </row>
    <row r="23" spans="1:12" ht="20" customHeight="1" thickBot="1">
      <c r="A23" s="302" t="s">
        <v>95</v>
      </c>
      <c r="B23" s="29">
        <v>119.85956620265458</v>
      </c>
      <c r="C23" s="29">
        <v>122.63</v>
      </c>
      <c r="D23" s="116">
        <v>144.11893562856102</v>
      </c>
      <c r="E23" s="29">
        <v>144.77702993957635</v>
      </c>
      <c r="F23" s="116">
        <v>147.11126893343456</v>
      </c>
      <c r="G23" s="29">
        <v>155.12945645924145</v>
      </c>
      <c r="H23" s="116">
        <v>168</v>
      </c>
      <c r="I23" s="29">
        <v>190.35756000000001</v>
      </c>
      <c r="J23" s="63">
        <v>215.96934999999999</v>
      </c>
      <c r="K23" s="28">
        <v>228.95</v>
      </c>
      <c r="L23" s="63">
        <v>235.56881996024393</v>
      </c>
    </row>
    <row r="24" spans="1:12" ht="20" customHeight="1" thickBot="1">
      <c r="A24" s="302" t="s">
        <v>96</v>
      </c>
      <c r="B24" s="29">
        <v>106.68640035872531</v>
      </c>
      <c r="C24" s="29">
        <v>132.41999999999999</v>
      </c>
      <c r="D24" s="116">
        <v>149.28856926870534</v>
      </c>
      <c r="E24" s="29">
        <v>160.04363007055017</v>
      </c>
      <c r="F24" s="116">
        <v>165.54637553497736</v>
      </c>
      <c r="G24" s="29">
        <v>174.78444225248529</v>
      </c>
      <c r="H24" s="116">
        <v>190.11</v>
      </c>
      <c r="I24" s="29">
        <v>212.10615999999999</v>
      </c>
      <c r="J24" s="63">
        <v>232.59259</v>
      </c>
      <c r="K24" s="28">
        <v>244.4</v>
      </c>
      <c r="L24" s="63">
        <v>253.92230421171496</v>
      </c>
    </row>
    <row r="25" spans="1:12" ht="20" customHeight="1" thickBot="1">
      <c r="A25" s="302" t="s">
        <v>97</v>
      </c>
      <c r="B25" s="29">
        <v>125.89932433941615</v>
      </c>
      <c r="C25" s="29">
        <v>130.75</v>
      </c>
      <c r="D25" s="116">
        <v>152.67183076361556</v>
      </c>
      <c r="E25" s="29">
        <v>166.13212539894155</v>
      </c>
      <c r="F25" s="116">
        <v>173.91081430580377</v>
      </c>
      <c r="G25" s="29">
        <v>180.22488745415569</v>
      </c>
      <c r="H25" s="116">
        <v>198.02</v>
      </c>
      <c r="I25" s="29">
        <v>225.25766999999999</v>
      </c>
      <c r="J25" s="63">
        <v>250.03977</v>
      </c>
      <c r="K25" s="28">
        <v>262.89</v>
      </c>
      <c r="L25" s="63">
        <v>271.97590756003279</v>
      </c>
    </row>
    <row r="26" spans="1:12" ht="20" customHeight="1" thickBot="1">
      <c r="A26" s="302" t="s">
        <v>98</v>
      </c>
      <c r="B26" s="29">
        <v>195.20141418113619</v>
      </c>
      <c r="C26" s="29">
        <v>202.05</v>
      </c>
      <c r="D26" s="116">
        <v>221.64821956701763</v>
      </c>
      <c r="E26" s="29">
        <v>239.64824283614516</v>
      </c>
      <c r="F26" s="116">
        <v>242.63157967888316</v>
      </c>
      <c r="G26" s="29">
        <v>247.60432959342589</v>
      </c>
      <c r="H26" s="116">
        <v>257.93</v>
      </c>
      <c r="I26" s="29">
        <v>280.14476999999999</v>
      </c>
      <c r="J26" s="63">
        <v>306.45803000000001</v>
      </c>
      <c r="K26" s="28">
        <v>328.44</v>
      </c>
      <c r="L26" s="63">
        <v>343.36133739708555</v>
      </c>
    </row>
    <row r="27" spans="1:12" ht="20" customHeight="1" thickBot="1">
      <c r="A27" s="302" t="s">
        <v>99</v>
      </c>
      <c r="B27" s="29">
        <v>250.86297780951151</v>
      </c>
      <c r="C27" s="29">
        <v>254.22</v>
      </c>
      <c r="D27" s="116">
        <v>265.0439754536082</v>
      </c>
      <c r="E27" s="29">
        <v>263.08633335060824</v>
      </c>
      <c r="F27" s="116">
        <v>270.67558737547967</v>
      </c>
      <c r="G27" s="29">
        <v>274.83631654030387</v>
      </c>
      <c r="H27" s="116">
        <v>288.01</v>
      </c>
      <c r="I27" s="29">
        <v>309.12257</v>
      </c>
      <c r="J27" s="63">
        <v>338.71998000000002</v>
      </c>
      <c r="K27" s="28">
        <v>341.4</v>
      </c>
      <c r="L27" s="63">
        <v>353.09690522660532</v>
      </c>
    </row>
    <row r="28" spans="1:12" ht="20" customHeight="1" thickBot="1">
      <c r="A28" s="302" t="s">
        <v>100</v>
      </c>
      <c r="B28" s="29">
        <v>166.26105782296611</v>
      </c>
      <c r="C28" s="29">
        <v>171.56</v>
      </c>
      <c r="D28" s="116">
        <v>172.41864224466755</v>
      </c>
      <c r="E28" s="29">
        <v>167.16669943841148</v>
      </c>
      <c r="F28" s="116">
        <v>168.76751136732656</v>
      </c>
      <c r="G28" s="29">
        <v>170.7753395375473</v>
      </c>
      <c r="H28" s="116">
        <v>178.74</v>
      </c>
      <c r="I28" s="29">
        <v>193.50014999999999</v>
      </c>
      <c r="J28" s="63">
        <v>211.19194999999999</v>
      </c>
      <c r="K28" s="28">
        <v>226.02</v>
      </c>
      <c r="L28" s="63">
        <v>237.12477848949436</v>
      </c>
    </row>
    <row r="29" spans="1:12" ht="20" customHeight="1" thickBot="1">
      <c r="A29" s="302" t="s">
        <v>101</v>
      </c>
      <c r="B29" s="29">
        <v>182.19524165383032</v>
      </c>
      <c r="C29" s="29">
        <v>186.79</v>
      </c>
      <c r="D29" s="116">
        <v>209.60890775240387</v>
      </c>
      <c r="E29" s="29">
        <v>231.06217497794015</v>
      </c>
      <c r="F29" s="116">
        <v>247.3175692987063</v>
      </c>
      <c r="G29" s="29">
        <v>254.10089923369213</v>
      </c>
      <c r="H29" s="116">
        <v>263.48</v>
      </c>
      <c r="I29" s="29">
        <v>293.69824</v>
      </c>
      <c r="J29" s="63">
        <v>319.02927</v>
      </c>
      <c r="K29" s="28">
        <v>331.59</v>
      </c>
      <c r="L29" s="63">
        <v>346.23349645897997</v>
      </c>
    </row>
    <row r="30" spans="1:12" ht="20" customHeight="1" thickBot="1">
      <c r="A30" s="302" t="s">
        <v>102</v>
      </c>
      <c r="B30" s="29">
        <v>249.78789170339516</v>
      </c>
      <c r="C30" s="29">
        <v>262.29000000000002</v>
      </c>
      <c r="D30" s="116">
        <v>280.97595294559625</v>
      </c>
      <c r="E30" s="29">
        <v>292.53003148629085</v>
      </c>
      <c r="F30" s="116">
        <v>298.44549609980186</v>
      </c>
      <c r="G30" s="29">
        <v>320.43181073162663</v>
      </c>
      <c r="H30" s="116">
        <v>336.47</v>
      </c>
      <c r="I30" s="29">
        <v>363.55230999999998</v>
      </c>
      <c r="J30" s="63">
        <v>389.5677</v>
      </c>
      <c r="K30" s="28">
        <v>398.27</v>
      </c>
      <c r="L30" s="63">
        <v>410.85283098214046</v>
      </c>
    </row>
    <row r="31" spans="1:12" ht="20" customHeight="1" thickBot="1">
      <c r="A31" s="302" t="s">
        <v>103</v>
      </c>
      <c r="B31" s="29">
        <v>185.5585448541552</v>
      </c>
      <c r="C31" s="29">
        <v>187.76</v>
      </c>
      <c r="D31" s="116">
        <v>202.37524782381857</v>
      </c>
      <c r="E31" s="29">
        <v>221.92375082863774</v>
      </c>
      <c r="F31" s="116">
        <v>226.4991872043224</v>
      </c>
      <c r="G31" s="29">
        <v>237.61423548859224</v>
      </c>
      <c r="H31" s="116">
        <v>261.69</v>
      </c>
      <c r="I31" s="29">
        <v>285.07929000000001</v>
      </c>
      <c r="J31" s="63">
        <v>300.93169999999998</v>
      </c>
      <c r="K31" s="28">
        <v>309.3</v>
      </c>
      <c r="L31" s="63">
        <v>318.93631269266461</v>
      </c>
    </row>
    <row r="32" spans="1:12" ht="30" customHeight="1" thickBot="1">
      <c r="A32" s="12" t="s">
        <v>104</v>
      </c>
      <c r="B32" s="356">
        <v>166.16924861756607</v>
      </c>
      <c r="C32" s="356">
        <v>173.08</v>
      </c>
      <c r="D32" s="357">
        <v>188.06152293360134</v>
      </c>
      <c r="E32" s="356">
        <v>197.28646689698576</v>
      </c>
      <c r="F32" s="357">
        <v>203.88952141156713</v>
      </c>
      <c r="G32" s="356">
        <v>211.67614847185897</v>
      </c>
      <c r="H32" s="357">
        <v>223.27</v>
      </c>
      <c r="I32" s="356">
        <v>245.01247000000001</v>
      </c>
      <c r="J32" s="67">
        <v>268.54743999999999</v>
      </c>
      <c r="K32" s="562">
        <v>279.98</v>
      </c>
      <c r="L32" s="563">
        <v>290.21806622890591</v>
      </c>
    </row>
    <row r="33" spans="1:10" ht="20" customHeight="1">
      <c r="A33" s="9" t="s">
        <v>290</v>
      </c>
      <c r="B33" s="309"/>
      <c r="C33" s="309"/>
      <c r="D33" s="309"/>
      <c r="E33" s="309"/>
      <c r="F33" s="309"/>
      <c r="G33" s="309"/>
      <c r="H33" s="309"/>
      <c r="I33" s="309"/>
      <c r="J33" s="671"/>
    </row>
    <row r="34" spans="1:10" ht="15.75" customHeight="1">
      <c r="A34" s="37"/>
      <c r="B34" s="311"/>
      <c r="C34" s="311"/>
      <c r="D34" s="311"/>
      <c r="E34" s="311"/>
      <c r="F34" s="311"/>
      <c r="G34" s="311"/>
      <c r="H34" s="311"/>
      <c r="I34" s="311"/>
      <c r="J34" s="672"/>
    </row>
    <row r="35" spans="1:10" ht="14.25" customHeight="1">
      <c r="A35" s="37" t="s">
        <v>291</v>
      </c>
      <c r="B35" s="311"/>
      <c r="C35" s="311"/>
      <c r="D35" s="311"/>
      <c r="E35" s="311"/>
      <c r="F35" s="311"/>
      <c r="G35" s="311"/>
      <c r="H35" s="311"/>
      <c r="I35" s="311"/>
      <c r="J35" s="672"/>
    </row>
    <row r="36" spans="1:10" ht="20" customHeight="1">
      <c r="A36" s="37"/>
      <c r="B36" s="311"/>
      <c r="C36" s="311"/>
      <c r="D36" s="311"/>
      <c r="E36" s="311"/>
      <c r="F36" s="311"/>
      <c r="G36" s="311"/>
      <c r="H36" s="311"/>
      <c r="I36" s="311"/>
      <c r="J36" s="672"/>
    </row>
    <row r="37" spans="1:10" ht="12.75" customHeight="1">
      <c r="A37" s="37" t="s">
        <v>1747</v>
      </c>
      <c r="B37" s="311"/>
      <c r="C37" s="311"/>
      <c r="D37" s="311"/>
      <c r="E37" s="311"/>
      <c r="F37" s="311"/>
      <c r="G37" s="311"/>
      <c r="H37" s="311"/>
      <c r="I37" s="311"/>
      <c r="J37" s="672"/>
    </row>
    <row r="38" spans="1:10">
      <c r="A38" s="3" t="s">
        <v>1752</v>
      </c>
    </row>
    <row r="39" spans="1:10">
      <c r="A39" s="3" t="s">
        <v>1748</v>
      </c>
    </row>
    <row r="40" spans="1:10">
      <c r="A40" s="3" t="s">
        <v>1749</v>
      </c>
    </row>
    <row r="41" spans="1:10">
      <c r="A41" s="35" t="s">
        <v>1750</v>
      </c>
    </row>
    <row r="42" spans="1:10">
      <c r="A42" s="37" t="s">
        <v>296</v>
      </c>
    </row>
    <row r="43" spans="1:10">
      <c r="A43" s="37" t="s">
        <v>297</v>
      </c>
    </row>
    <row r="46" spans="1:10">
      <c r="A46" s="3" t="s">
        <v>256</v>
      </c>
    </row>
  </sheetData>
  <phoneticPr fontId="0" type="noConversion"/>
  <pageMargins left="0.6" right="0.56000000000000005" top="0.9" bottom="0.49" header="0.53" footer="0.4921259845"/>
  <pageSetup paperSize="9" scale="79" orientation="portrait" horizontalDpi="4294967292" verticalDpi="4294967292"/>
  <headerFooter alignWithMargins="0">
    <oddHeader>&amp;L&amp;"Arial,Bold"Prämientarife in der OKP</oddHead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32086-E58A-2541-8AC3-B55BABA06E99}">
  <sheetPr>
    <pageSetUpPr fitToPage="1"/>
  </sheetPr>
  <dimension ref="A1:O43"/>
  <sheetViews>
    <sheetView topLeftCell="A21" zoomScale="75" workbookViewId="0">
      <selection activeCell="L17" sqref="L17"/>
    </sheetView>
  </sheetViews>
  <sheetFormatPr baseColWidth="10" defaultColWidth="11.3984375" defaultRowHeight="13"/>
  <cols>
    <col min="1" max="1" width="11.19921875" style="3" customWidth="1"/>
    <col min="2" max="2" width="11.3984375" style="3"/>
    <col min="3" max="10" width="10.796875" style="3" customWidth="1"/>
    <col min="11" max="11" width="13.796875" style="3" customWidth="1"/>
    <col min="12" max="16384" width="11.3984375" style="3"/>
  </cols>
  <sheetData>
    <row r="1" spans="1:12" s="1" customFormat="1" ht="14" customHeight="1"/>
    <row r="2" spans="1:12" s="1" customFormat="1" ht="28" customHeight="1">
      <c r="A2" s="59" t="s">
        <v>1746</v>
      </c>
    </row>
    <row r="3" spans="1:12" ht="24" customHeight="1">
      <c r="A3" s="2" t="s">
        <v>70</v>
      </c>
      <c r="B3" s="312" t="s">
        <v>308</v>
      </c>
      <c r="C3" s="91" t="s">
        <v>308</v>
      </c>
      <c r="D3" s="312" t="s">
        <v>308</v>
      </c>
      <c r="E3" s="91" t="s">
        <v>308</v>
      </c>
      <c r="F3" s="312" t="s">
        <v>308</v>
      </c>
      <c r="G3" s="91" t="s">
        <v>308</v>
      </c>
      <c r="H3" s="312" t="s">
        <v>308</v>
      </c>
      <c r="I3" s="91" t="s">
        <v>308</v>
      </c>
      <c r="J3" s="312" t="s">
        <v>308</v>
      </c>
      <c r="K3" s="91" t="s">
        <v>1456</v>
      </c>
    </row>
    <row r="4" spans="1:12" ht="15" customHeight="1">
      <c r="A4" s="77"/>
      <c r="B4" s="71" t="s">
        <v>309</v>
      </c>
      <c r="C4" s="102" t="s">
        <v>309</v>
      </c>
      <c r="D4" s="103" t="s">
        <v>309</v>
      </c>
      <c r="E4" s="102" t="s">
        <v>309</v>
      </c>
      <c r="F4" s="103" t="s">
        <v>309</v>
      </c>
      <c r="G4" s="102" t="s">
        <v>309</v>
      </c>
      <c r="H4" s="71" t="s">
        <v>309</v>
      </c>
      <c r="I4" s="4" t="s">
        <v>309</v>
      </c>
      <c r="J4" s="71" t="s">
        <v>309</v>
      </c>
      <c r="K4" s="4" t="s">
        <v>1457</v>
      </c>
    </row>
    <row r="5" spans="1:12" ht="15" customHeight="1">
      <c r="A5" s="77"/>
      <c r="B5" s="71" t="s">
        <v>323</v>
      </c>
      <c r="C5" s="4" t="s">
        <v>310</v>
      </c>
      <c r="D5" s="71" t="s">
        <v>311</v>
      </c>
      <c r="E5" s="4" t="s">
        <v>312</v>
      </c>
      <c r="F5" s="103" t="s">
        <v>313</v>
      </c>
      <c r="G5" s="4" t="s">
        <v>314</v>
      </c>
      <c r="H5" s="71" t="s">
        <v>315</v>
      </c>
      <c r="I5" s="4" t="s">
        <v>316</v>
      </c>
      <c r="J5" s="71" t="s">
        <v>317</v>
      </c>
      <c r="K5" s="4" t="s">
        <v>1458</v>
      </c>
    </row>
    <row r="6" spans="1:12" ht="15" customHeight="1">
      <c r="A6" s="77"/>
      <c r="B6" s="673"/>
      <c r="C6" s="4"/>
      <c r="D6" s="71"/>
      <c r="E6" s="4"/>
      <c r="F6" s="103"/>
      <c r="G6" s="4"/>
      <c r="H6" s="71"/>
      <c r="I6" s="4"/>
      <c r="J6" s="71"/>
      <c r="K6" s="4" t="s">
        <v>1742</v>
      </c>
    </row>
    <row r="7" spans="1:12" ht="16" customHeight="1">
      <c r="A7" s="78"/>
      <c r="B7" s="72"/>
      <c r="C7" s="5"/>
      <c r="D7" s="72"/>
      <c r="E7" s="5"/>
      <c r="F7" s="104"/>
      <c r="G7" s="5"/>
      <c r="H7" s="72"/>
      <c r="I7" s="5"/>
      <c r="J7" s="72"/>
      <c r="K7" s="674"/>
    </row>
    <row r="8" spans="1:12" ht="30" customHeight="1" thickBot="1">
      <c r="A8" s="297" t="s">
        <v>78</v>
      </c>
      <c r="B8" s="676">
        <v>0.12613928626541648</v>
      </c>
      <c r="C8" s="508">
        <v>7.8429686283143063E-2</v>
      </c>
      <c r="D8" s="676">
        <v>4.3687998030005115E-2</v>
      </c>
      <c r="E8" s="508">
        <v>4.9098421667693515E-2</v>
      </c>
      <c r="F8" s="676">
        <v>5.2286857263827313E-2</v>
      </c>
      <c r="G8" s="508">
        <v>0.10371451977150947</v>
      </c>
      <c r="H8" s="676">
        <v>0.10442598520331936</v>
      </c>
      <c r="I8" s="508">
        <v>3.8796031185967417E-2</v>
      </c>
      <c r="J8" s="676">
        <v>2.309929471479899E-2</v>
      </c>
      <c r="K8" s="1470">
        <v>6.8329353686519934E-2</v>
      </c>
      <c r="L8" s="42"/>
    </row>
    <row r="9" spans="1:12" ht="20" customHeight="1" thickBot="1">
      <c r="A9" s="302" t="s">
        <v>79</v>
      </c>
      <c r="B9" s="328">
        <v>8.4661519404469976E-2</v>
      </c>
      <c r="C9" s="343">
        <v>5.4276368705915568E-2</v>
      </c>
      <c r="D9" s="328">
        <v>6.7043975583916726E-2</v>
      </c>
      <c r="E9" s="343">
        <v>2.4915792440715512E-2</v>
      </c>
      <c r="F9" s="328">
        <v>3.8616843241308985E-2</v>
      </c>
      <c r="G9" s="343">
        <v>0.10537406646751291</v>
      </c>
      <c r="H9" s="328">
        <v>9.8820836521823274E-2</v>
      </c>
      <c r="I9" s="343">
        <v>4.6931370484006196E-2</v>
      </c>
      <c r="J9" s="328">
        <v>4.698810458617908E-2</v>
      </c>
      <c r="K9" s="1470">
        <v>6.2747461807787897E-2</v>
      </c>
      <c r="L9" s="42"/>
    </row>
    <row r="10" spans="1:12" ht="20" customHeight="1" thickBot="1">
      <c r="A10" s="302" t="s">
        <v>80</v>
      </c>
      <c r="B10" s="328">
        <v>3.2186125538066657E-2</v>
      </c>
      <c r="C10" s="343">
        <v>6.729166114238172E-2</v>
      </c>
      <c r="D10" s="328">
        <v>-9.9978728158878205E-4</v>
      </c>
      <c r="E10" s="343">
        <v>6.2101880505760043E-2</v>
      </c>
      <c r="F10" s="328">
        <v>7.1268326074623412E-2</v>
      </c>
      <c r="G10" s="343">
        <v>0.11028200711907221</v>
      </c>
      <c r="H10" s="328">
        <v>0.10501708164045787</v>
      </c>
      <c r="I10" s="343">
        <v>5.7800899081629442E-2</v>
      </c>
      <c r="J10" s="328">
        <v>4.2981956094725993E-2</v>
      </c>
      <c r="K10" s="1470">
        <v>6.0380115539781176E-2</v>
      </c>
      <c r="L10" s="42"/>
    </row>
    <row r="11" spans="1:12" ht="20" customHeight="1" thickBot="1">
      <c r="A11" s="302" t="s">
        <v>81</v>
      </c>
      <c r="B11" s="328">
        <v>3.083307666763746E-2</v>
      </c>
      <c r="C11" s="343">
        <v>5.1241760630519773E-2</v>
      </c>
      <c r="D11" s="328">
        <v>-7.2549199135449882E-3</v>
      </c>
      <c r="E11" s="343">
        <v>2.7126898785698517E-2</v>
      </c>
      <c r="F11" s="328">
        <v>4.06569468738045E-2</v>
      </c>
      <c r="G11" s="343">
        <v>0.10287647856086757</v>
      </c>
      <c r="H11" s="328">
        <v>0.10663923716215229</v>
      </c>
      <c r="I11" s="343">
        <v>4.1798380540847724E-2</v>
      </c>
      <c r="J11" s="328">
        <v>4.2847549915332461E-2</v>
      </c>
      <c r="K11" s="1470">
        <v>4.7985597233516586E-2</v>
      </c>
      <c r="L11" s="42"/>
    </row>
    <row r="12" spans="1:12" ht="20" customHeight="1" thickBot="1">
      <c r="A12" s="302" t="s">
        <v>82</v>
      </c>
      <c r="B12" s="328">
        <v>0.10224118520281511</v>
      </c>
      <c r="C12" s="343">
        <v>3.543261059986702E-2</v>
      </c>
      <c r="D12" s="328">
        <v>-1.5861163972542003E-2</v>
      </c>
      <c r="E12" s="343">
        <v>2.2262124863796862E-2</v>
      </c>
      <c r="F12" s="328">
        <v>6.2254266188365381E-2</v>
      </c>
      <c r="G12" s="343">
        <v>0.12372337191628668</v>
      </c>
      <c r="H12" s="328">
        <v>0.11238594823584047</v>
      </c>
      <c r="I12" s="343">
        <v>5.0707203533915557E-2</v>
      </c>
      <c r="J12" s="328">
        <v>4.7723819872021123E-2</v>
      </c>
      <c r="K12" s="1470">
        <v>5.9223653286744726E-2</v>
      </c>
      <c r="L12" s="42"/>
    </row>
    <row r="13" spans="1:12" ht="20" customHeight="1" thickBot="1">
      <c r="A13" s="302" t="s">
        <v>83</v>
      </c>
      <c r="B13" s="328">
        <v>6.0469299368311802E-2</v>
      </c>
      <c r="C13" s="343">
        <v>8.4445454455319702E-3</v>
      </c>
      <c r="D13" s="328">
        <v>-7.2302150567744583E-3</v>
      </c>
      <c r="E13" s="343">
        <v>3.1686083742130222E-2</v>
      </c>
      <c r="F13" s="328">
        <v>5.5088101978333137E-2</v>
      </c>
      <c r="G13" s="343">
        <v>8.3833770351850578E-2</v>
      </c>
      <c r="H13" s="328">
        <v>6.4480507533846154E-2</v>
      </c>
      <c r="I13" s="343">
        <v>4.4722704769429189E-2</v>
      </c>
      <c r="J13" s="328">
        <v>4.7160076369618054E-2</v>
      </c>
      <c r="K13" s="1470">
        <v>4.2837423496570048E-2</v>
      </c>
      <c r="L13" s="42"/>
    </row>
    <row r="14" spans="1:12" ht="20" customHeight="1" thickBot="1">
      <c r="A14" s="302" t="s">
        <v>84</v>
      </c>
      <c r="B14" s="328">
        <v>5.1072667046455855E-2</v>
      </c>
      <c r="C14" s="343">
        <v>1.6877380103450967E-2</v>
      </c>
      <c r="D14" s="328">
        <v>-1.2006586548933718E-2</v>
      </c>
      <c r="E14" s="343">
        <v>2.760179253674222E-2</v>
      </c>
      <c r="F14" s="328">
        <v>5.3901640944971296E-2</v>
      </c>
      <c r="G14" s="343">
        <v>8.4635131646876527E-2</v>
      </c>
      <c r="H14" s="328">
        <v>9.0310067418687856E-2</v>
      </c>
      <c r="I14" s="343">
        <v>4.8490474392554495E-2</v>
      </c>
      <c r="J14" s="328">
        <v>4.8165323139373051E-2</v>
      </c>
      <c r="K14" s="1470">
        <v>4.5016486567384328E-2</v>
      </c>
      <c r="L14" s="42"/>
    </row>
    <row r="15" spans="1:12" ht="20" customHeight="1" thickBot="1">
      <c r="A15" s="302" t="s">
        <v>85</v>
      </c>
      <c r="B15" s="328">
        <v>0.10059931954872159</v>
      </c>
      <c r="C15" s="343">
        <v>6.2982790946979339E-2</v>
      </c>
      <c r="D15" s="328">
        <v>1.3837648926860124E-2</v>
      </c>
      <c r="E15" s="343">
        <v>2.185262510382957E-2</v>
      </c>
      <c r="F15" s="328">
        <v>7.6946884214629252E-2</v>
      </c>
      <c r="G15" s="343">
        <v>0.12215433154449507</v>
      </c>
      <c r="H15" s="328">
        <v>0.12263482775272783</v>
      </c>
      <c r="I15" s="343">
        <v>5.5944804940681214E-2</v>
      </c>
      <c r="J15" s="328">
        <v>5.0556747123680745E-2</v>
      </c>
      <c r="K15" s="1470">
        <v>6.9070817616865288E-2</v>
      </c>
      <c r="L15" s="42"/>
    </row>
    <row r="16" spans="1:12" ht="20" customHeight="1" thickBot="1">
      <c r="A16" s="302" t="s">
        <v>86</v>
      </c>
      <c r="B16" s="328">
        <v>8.0245446324829217E-2</v>
      </c>
      <c r="C16" s="343">
        <v>-2.1298729786621839E-3</v>
      </c>
      <c r="D16" s="328">
        <v>-1.1619850399125831E-2</v>
      </c>
      <c r="E16" s="343">
        <v>3.5355080926786187E-2</v>
      </c>
      <c r="F16" s="328">
        <v>5.9559548252665184E-2</v>
      </c>
      <c r="G16" s="343">
        <v>0.11828377322190819</v>
      </c>
      <c r="H16" s="328">
        <v>0.12652804394568862</v>
      </c>
      <c r="I16" s="343">
        <v>6.0423726613409334E-2</v>
      </c>
      <c r="J16" s="328">
        <v>5.0775142846213539E-2</v>
      </c>
      <c r="K16" s="1470">
        <v>5.6552145541272303E-2</v>
      </c>
      <c r="L16" s="42"/>
    </row>
    <row r="17" spans="1:12" ht="20" customHeight="1" thickBot="1">
      <c r="A17" s="302" t="s">
        <v>87</v>
      </c>
      <c r="B17" s="328">
        <v>6.716363944691861E-2</v>
      </c>
      <c r="C17" s="343">
        <v>3.280958343787832E-3</v>
      </c>
      <c r="D17" s="328">
        <v>1.766393404468336E-2</v>
      </c>
      <c r="E17" s="343">
        <v>5.2624625660810942E-2</v>
      </c>
      <c r="F17" s="328">
        <v>6.9610698459434905E-2</v>
      </c>
      <c r="G17" s="343">
        <v>8.3998127853881277E-2</v>
      </c>
      <c r="H17" s="328">
        <v>6.6671162678295648E-2</v>
      </c>
      <c r="I17" s="343">
        <v>1.6139803713745904E-2</v>
      </c>
      <c r="J17" s="328">
        <v>4.1348339642754972E-2</v>
      </c>
      <c r="K17" s="1470">
        <v>4.6155401467171231E-2</v>
      </c>
      <c r="L17" s="42"/>
    </row>
    <row r="18" spans="1:12" ht="20" customHeight="1" thickBot="1">
      <c r="A18" s="302" t="s">
        <v>88</v>
      </c>
      <c r="B18" s="328">
        <v>0.13621630771097482</v>
      </c>
      <c r="C18" s="343">
        <v>8.8416454232156383E-2</v>
      </c>
      <c r="D18" s="328">
        <v>2.6222961878580753E-2</v>
      </c>
      <c r="E18" s="343">
        <v>4.3601339573327014E-2</v>
      </c>
      <c r="F18" s="328">
        <v>2.514466501733259E-2</v>
      </c>
      <c r="G18" s="343">
        <v>5.605359884836858E-2</v>
      </c>
      <c r="H18" s="328">
        <v>9.2522240731016225E-2</v>
      </c>
      <c r="I18" s="343">
        <v>5.0514837113222466E-2</v>
      </c>
      <c r="J18" s="328">
        <v>3.5696162510275853E-2</v>
      </c>
      <c r="K18" s="1470">
        <v>6.1035283225796544E-2</v>
      </c>
      <c r="L18" s="42"/>
    </row>
    <row r="19" spans="1:12" ht="20" customHeight="1" thickBot="1">
      <c r="A19" s="302" t="s">
        <v>89</v>
      </c>
      <c r="B19" s="328">
        <v>0.15152715969927022</v>
      </c>
      <c r="C19" s="343">
        <v>9.5420596201110097E-2</v>
      </c>
      <c r="D19" s="328">
        <v>8.3784531241760662E-2</v>
      </c>
      <c r="E19" s="343">
        <v>4.8892562209857715E-2</v>
      </c>
      <c r="F19" s="328">
        <v>6.0464755233850864E-2</v>
      </c>
      <c r="G19" s="343">
        <v>8.6196882909284733E-2</v>
      </c>
      <c r="H19" s="328">
        <v>9.015906760787229E-2</v>
      </c>
      <c r="I19" s="343">
        <v>6.1676306171922324E-2</v>
      </c>
      <c r="J19" s="328">
        <v>3.0144790222678575E-2</v>
      </c>
      <c r="K19" s="1470">
        <v>7.8205559176967032E-2</v>
      </c>
      <c r="L19" s="42"/>
    </row>
    <row r="20" spans="1:12" ht="20" customHeight="1" thickBot="1">
      <c r="A20" s="302" t="s">
        <v>90</v>
      </c>
      <c r="B20" s="328">
        <v>0.138313161853306</v>
      </c>
      <c r="C20" s="343">
        <v>6.4260908259432759E-2</v>
      </c>
      <c r="D20" s="328">
        <v>7.2158322854636303E-3</v>
      </c>
      <c r="E20" s="343">
        <v>3.5237123446206775E-2</v>
      </c>
      <c r="F20" s="328">
        <v>4.9523131342671167E-2</v>
      </c>
      <c r="G20" s="343">
        <v>0.10021431743494102</v>
      </c>
      <c r="H20" s="328">
        <v>9.8568834096627533E-2</v>
      </c>
      <c r="I20" s="343">
        <v>4.9211379277200873E-2</v>
      </c>
      <c r="J20" s="328">
        <v>3.2666764640021828E-2</v>
      </c>
      <c r="K20" s="1470">
        <v>6.3215589281486073E-2</v>
      </c>
      <c r="L20" s="42"/>
    </row>
    <row r="21" spans="1:12" ht="20" customHeight="1" thickBot="1">
      <c r="A21" s="302" t="s">
        <v>91</v>
      </c>
      <c r="B21" s="328">
        <v>0.16213627024850141</v>
      </c>
      <c r="C21" s="343">
        <v>5.013143786353802E-2</v>
      </c>
      <c r="D21" s="328">
        <v>5.4830929433373532E-2</v>
      </c>
      <c r="E21" s="343">
        <v>3.9193084046368121E-2</v>
      </c>
      <c r="F21" s="328">
        <v>5.3052528748650074E-2</v>
      </c>
      <c r="G21" s="343">
        <v>0.15829113174007503</v>
      </c>
      <c r="H21" s="328">
        <v>9.4186508897372345E-2</v>
      </c>
      <c r="I21" s="343">
        <v>4.4722133132858888E-2</v>
      </c>
      <c r="J21" s="328">
        <v>2.836476418036793E-2</v>
      </c>
      <c r="K21" s="1470">
        <v>7.5057963389004723E-2</v>
      </c>
      <c r="L21" s="42"/>
    </row>
    <row r="22" spans="1:12" ht="20" customHeight="1" thickBot="1">
      <c r="A22" s="302" t="s">
        <v>92</v>
      </c>
      <c r="B22" s="328">
        <v>0.11530248290676592</v>
      </c>
      <c r="C22" s="343">
        <v>8.8621308376789498E-2</v>
      </c>
      <c r="D22" s="328">
        <v>6.3289702653235302E-4</v>
      </c>
      <c r="E22" s="343">
        <v>2.1104328711528897E-2</v>
      </c>
      <c r="F22" s="328">
        <v>7.1317829402282706E-2</v>
      </c>
      <c r="G22" s="343">
        <v>0.10332321027687685</v>
      </c>
      <c r="H22" s="328">
        <v>0.10728450200704898</v>
      </c>
      <c r="I22" s="343">
        <v>4.4966215209138127E-2</v>
      </c>
      <c r="J22" s="328">
        <v>4.9007551610987132E-2</v>
      </c>
      <c r="K22" s="1470">
        <v>6.615293641602138E-2</v>
      </c>
      <c r="L22" s="42"/>
    </row>
    <row r="23" spans="1:12" ht="20" customHeight="1" thickBot="1">
      <c r="A23" s="302" t="s">
        <v>93</v>
      </c>
      <c r="B23" s="328">
        <v>6.6714528046374566E-2</v>
      </c>
      <c r="C23" s="343">
        <v>6.2405572474689475E-2</v>
      </c>
      <c r="D23" s="328">
        <v>-1.3531361714019141E-2</v>
      </c>
      <c r="E23" s="343">
        <v>1.17916885109004E-2</v>
      </c>
      <c r="F23" s="328">
        <v>9.2353068042632547E-2</v>
      </c>
      <c r="G23" s="343">
        <v>9.4624991389405722E-2</v>
      </c>
      <c r="H23" s="328">
        <v>9.2758197561323863E-2</v>
      </c>
      <c r="I23" s="343">
        <v>5.7434982462369888E-2</v>
      </c>
      <c r="J23" s="328">
        <v>5.2476569309769738E-2</v>
      </c>
      <c r="K23" s="1470">
        <v>5.6853068836850706E-2</v>
      </c>
      <c r="L23" s="42"/>
    </row>
    <row r="24" spans="1:12" ht="20" customHeight="1" thickBot="1">
      <c r="A24" s="302" t="s">
        <v>94</v>
      </c>
      <c r="B24" s="328">
        <v>0.11141672230009814</v>
      </c>
      <c r="C24" s="343">
        <v>9.2246319189679626E-2</v>
      </c>
      <c r="D24" s="328">
        <v>1.4939222203069979E-2</v>
      </c>
      <c r="E24" s="343">
        <v>2.8870561169430431E-2</v>
      </c>
      <c r="F24" s="328">
        <v>6.6188927701152478E-2</v>
      </c>
      <c r="G24" s="343">
        <v>0.10430954550632188</v>
      </c>
      <c r="H24" s="328">
        <v>8.7103580516163737E-2</v>
      </c>
      <c r="I24" s="343">
        <v>6.9200880391115938E-2</v>
      </c>
      <c r="J24" s="328">
        <v>5.3018434610391019E-2</v>
      </c>
      <c r="K24" s="1470">
        <v>6.9243479929421259E-2</v>
      </c>
      <c r="L24" s="42"/>
    </row>
    <row r="25" spans="1:12" ht="20" customHeight="1" thickBot="1">
      <c r="A25" s="302" t="s">
        <v>95</v>
      </c>
      <c r="B25" s="328">
        <v>0.1752339201546198</v>
      </c>
      <c r="C25" s="343">
        <v>4.5663278607013247E-3</v>
      </c>
      <c r="D25" s="328">
        <v>1.6122992679380221E-2</v>
      </c>
      <c r="E25" s="343">
        <v>5.4504237397578148E-2</v>
      </c>
      <c r="F25" s="328">
        <v>8.2966470936743919E-2</v>
      </c>
      <c r="G25" s="343">
        <v>0.13308071428571422</v>
      </c>
      <c r="H25" s="328">
        <v>0.13454569390362003</v>
      </c>
      <c r="I25" s="343">
        <v>6.0104130516668297E-2</v>
      </c>
      <c r="J25" s="328">
        <v>2.8909456039501791E-2</v>
      </c>
      <c r="K25" s="1470">
        <v>7.5232398777909326E-2</v>
      </c>
      <c r="L25" s="42"/>
    </row>
    <row r="26" spans="1:12" ht="20" customHeight="1" thickBot="1">
      <c r="A26" s="302" t="s">
        <v>96</v>
      </c>
      <c r="B26" s="328">
        <v>0.12738686957185741</v>
      </c>
      <c r="C26" s="343">
        <v>7.2042091732333002E-2</v>
      </c>
      <c r="D26" s="328">
        <v>3.4382783382265636E-2</v>
      </c>
      <c r="E26" s="343">
        <v>5.5803497283793302E-2</v>
      </c>
      <c r="F26" s="328">
        <v>8.7682619516994187E-2</v>
      </c>
      <c r="G26" s="343">
        <v>0.11570227762874108</v>
      </c>
      <c r="H26" s="328">
        <v>9.6585738009683508E-2</v>
      </c>
      <c r="I26" s="343">
        <v>5.0764342922532402E-2</v>
      </c>
      <c r="J26" s="328">
        <v>3.8961964859717479E-2</v>
      </c>
      <c r="K26" s="1470">
        <v>7.5019551750019176E-2</v>
      </c>
      <c r="L26" s="42"/>
    </row>
    <row r="27" spans="1:12" ht="20" customHeight="1" thickBot="1">
      <c r="A27" s="302" t="s">
        <v>97</v>
      </c>
      <c r="B27" s="328">
        <v>0.1676621855725855</v>
      </c>
      <c r="C27" s="343">
        <v>8.8164886528195208E-2</v>
      </c>
      <c r="D27" s="328">
        <v>4.6822304164127582E-2</v>
      </c>
      <c r="E27" s="343">
        <v>3.6306385968898347E-2</v>
      </c>
      <c r="F27" s="328">
        <v>9.8738375133517131E-2</v>
      </c>
      <c r="G27" s="343">
        <v>0.13755009594990386</v>
      </c>
      <c r="H27" s="328">
        <v>0.11001667556980421</v>
      </c>
      <c r="I27" s="343">
        <v>5.1392744442213978E-2</v>
      </c>
      <c r="J27" s="328">
        <v>3.456163246997912E-2</v>
      </c>
      <c r="K27" s="1470">
        <v>8.4783805315863381E-2</v>
      </c>
      <c r="L27" s="42"/>
    </row>
    <row r="28" spans="1:12" ht="20" customHeight="1" thickBot="1">
      <c r="A28" s="302" t="s">
        <v>98</v>
      </c>
      <c r="B28" s="328">
        <v>9.6996879816964254E-2</v>
      </c>
      <c r="C28" s="343">
        <v>8.1209870777622095E-2</v>
      </c>
      <c r="D28" s="328">
        <v>1.2448815845387928E-2</v>
      </c>
      <c r="E28" s="343">
        <v>2.0495064661920859E-2</v>
      </c>
      <c r="F28" s="328">
        <v>4.1702301504699779E-2</v>
      </c>
      <c r="G28" s="343">
        <v>8.6127127515217339E-2</v>
      </c>
      <c r="H28" s="328">
        <v>9.3927364769294197E-2</v>
      </c>
      <c r="I28" s="343">
        <v>7.1729136939240767E-2</v>
      </c>
      <c r="J28" s="328">
        <v>4.5430938366476603E-2</v>
      </c>
      <c r="K28" s="1470">
        <v>6.068898706546344E-2</v>
      </c>
      <c r="L28" s="42"/>
    </row>
    <row r="29" spans="1:12" ht="20" customHeight="1" thickBot="1">
      <c r="A29" s="302" t="s">
        <v>99</v>
      </c>
      <c r="B29" s="328">
        <v>4.2577198700370467E-2</v>
      </c>
      <c r="C29" s="343">
        <v>-7.3861030029056529E-3</v>
      </c>
      <c r="D29" s="328">
        <v>2.884700975613752E-2</v>
      </c>
      <c r="E29" s="343">
        <v>1.5371645463735373E-2</v>
      </c>
      <c r="F29" s="328">
        <v>4.7932833715460754E-2</v>
      </c>
      <c r="G29" s="343">
        <v>7.3304989410089894E-2</v>
      </c>
      <c r="H29" s="328">
        <v>9.5746518929368474E-2</v>
      </c>
      <c r="I29" s="343">
        <v>7.912199333502512E-3</v>
      </c>
      <c r="J29" s="328">
        <v>3.4261585315188414E-2</v>
      </c>
      <c r="K29" s="1470">
        <v>3.7179202309555848E-2</v>
      </c>
      <c r="L29" s="42"/>
    </row>
    <row r="30" spans="1:12" ht="20" customHeight="1" thickBot="1">
      <c r="A30" s="302" t="s">
        <v>100</v>
      </c>
      <c r="B30" s="328">
        <v>5.0049093300743586E-3</v>
      </c>
      <c r="C30" s="343">
        <v>-3.046041157662871E-2</v>
      </c>
      <c r="D30" s="328">
        <v>9.5761412667292323E-3</v>
      </c>
      <c r="E30" s="343">
        <v>1.189700644367897E-2</v>
      </c>
      <c r="F30" s="328">
        <v>4.663823526289379E-2</v>
      </c>
      <c r="G30" s="343">
        <v>8.2578885532057722E-2</v>
      </c>
      <c r="H30" s="328">
        <v>9.1430420079777752E-2</v>
      </c>
      <c r="I30" s="343">
        <v>7.0211246214640477E-2</v>
      </c>
      <c r="J30" s="328">
        <v>4.9131840056164666E-2</v>
      </c>
      <c r="K30" s="1470">
        <v>3.6615928459703628E-2</v>
      </c>
      <c r="L30" s="42"/>
    </row>
    <row r="31" spans="1:12" ht="20" customHeight="1" thickBot="1">
      <c r="A31" s="302" t="s">
        <v>101</v>
      </c>
      <c r="B31" s="328">
        <v>0.12216343354785519</v>
      </c>
      <c r="C31" s="343">
        <v>0.10234902445499827</v>
      </c>
      <c r="D31" s="328">
        <v>7.0350737078962E-2</v>
      </c>
      <c r="E31" s="343">
        <v>2.742761039670838E-2</v>
      </c>
      <c r="F31" s="328">
        <v>3.6910931030126326E-2</v>
      </c>
      <c r="G31" s="343">
        <v>0.11468893274631853</v>
      </c>
      <c r="H31" s="328">
        <v>8.6248490968144687E-2</v>
      </c>
      <c r="I31" s="343">
        <v>3.9371716582619509E-2</v>
      </c>
      <c r="J31" s="328">
        <v>4.4161453780210413E-2</v>
      </c>
      <c r="K31" s="1470">
        <v>7.097540040586936E-2</v>
      </c>
      <c r="L31" s="42"/>
    </row>
    <row r="32" spans="1:12" ht="20" customHeight="1" thickBot="1">
      <c r="A32" s="302" t="s">
        <v>102</v>
      </c>
      <c r="B32" s="328">
        <v>7.124157591061886E-2</v>
      </c>
      <c r="C32" s="343">
        <v>4.1121236246618453E-2</v>
      </c>
      <c r="D32" s="328">
        <v>2.0221734443659045E-2</v>
      </c>
      <c r="E32" s="343">
        <v>7.3669446914596426E-2</v>
      </c>
      <c r="F32" s="328">
        <v>5.0051801135955198E-2</v>
      </c>
      <c r="G32" s="343">
        <v>8.0489523583082923E-2</v>
      </c>
      <c r="H32" s="328">
        <v>7.1558863152320518E-2</v>
      </c>
      <c r="I32" s="343">
        <v>2.2338350946446539E-2</v>
      </c>
      <c r="J32" s="328">
        <v>3.159372029562979E-2</v>
      </c>
      <c r="K32" s="1470">
        <v>5.1129104125974933E-2</v>
      </c>
    </row>
    <row r="33" spans="1:15" ht="20" customHeight="1" thickBot="1">
      <c r="A33" s="302" t="s">
        <v>103</v>
      </c>
      <c r="B33" s="328">
        <v>7.7840050190767895E-2</v>
      </c>
      <c r="C33" s="343">
        <v>9.6595325836672741E-2</v>
      </c>
      <c r="D33" s="328">
        <v>2.0617155030052015E-2</v>
      </c>
      <c r="E33" s="343">
        <v>4.9073236957106969E-2</v>
      </c>
      <c r="F33" s="328">
        <v>0.10132290458903759</v>
      </c>
      <c r="G33" s="343">
        <v>8.9377851656540219E-2</v>
      </c>
      <c r="H33" s="328">
        <v>5.5607020769554927E-2</v>
      </c>
      <c r="I33" s="343">
        <v>2.780797104459265E-2</v>
      </c>
      <c r="J33" s="328">
        <v>3.1155230173503412E-2</v>
      </c>
      <c r="K33" s="1470">
        <v>6.0636981774050858E-2</v>
      </c>
      <c r="M33" s="43"/>
      <c r="N33" s="43"/>
      <c r="O33" s="43"/>
    </row>
    <row r="34" spans="1:15" ht="30" customHeight="1" thickBot="1">
      <c r="A34" s="516" t="s">
        <v>104</v>
      </c>
      <c r="B34" s="678">
        <v>8.6558371467537087E-2</v>
      </c>
      <c r="C34" s="536">
        <v>4.9052798358128147E-2</v>
      </c>
      <c r="D34" s="678">
        <v>3.3469373842196726E-2</v>
      </c>
      <c r="E34" s="536">
        <v>3.8190422962315562E-2</v>
      </c>
      <c r="F34" s="678">
        <v>5.4771648160833575E-2</v>
      </c>
      <c r="G34" s="536">
        <v>9.7381959063017831E-2</v>
      </c>
      <c r="H34" s="678">
        <v>9.6056212975608846E-2</v>
      </c>
      <c r="I34" s="536">
        <v>4.2571845034158562E-2</v>
      </c>
      <c r="J34" s="318">
        <v>3.6567134184248395E-2</v>
      </c>
      <c r="K34" s="1471">
        <v>5.9112151448243777E-2</v>
      </c>
    </row>
    <row r="35" spans="1:15" ht="20" customHeight="1">
      <c r="A35" s="9" t="s">
        <v>290</v>
      </c>
      <c r="B35" s="309"/>
      <c r="C35" s="309"/>
      <c r="D35" s="309"/>
      <c r="E35" s="309"/>
      <c r="F35" s="309"/>
      <c r="G35" s="309"/>
      <c r="H35" s="309"/>
      <c r="I35" s="671"/>
    </row>
    <row r="36" spans="1:15" ht="13.5" customHeight="1">
      <c r="A36" s="37"/>
      <c r="B36" s="311"/>
      <c r="C36" s="311"/>
      <c r="D36" s="311"/>
      <c r="E36" s="311"/>
      <c r="F36" s="311"/>
      <c r="G36" s="311"/>
      <c r="H36" s="311"/>
      <c r="I36" s="672"/>
    </row>
    <row r="37" spans="1:15" ht="17.25" customHeight="1">
      <c r="A37" s="37" t="s">
        <v>1743</v>
      </c>
      <c r="B37" s="311"/>
      <c r="C37" s="311"/>
      <c r="D37" s="311"/>
      <c r="E37" s="311"/>
      <c r="F37" s="311"/>
      <c r="G37" s="311"/>
      <c r="H37" s="311"/>
      <c r="I37" s="672"/>
    </row>
    <row r="38" spans="1:15" ht="12.75" customHeight="1">
      <c r="A38" s="37"/>
      <c r="B38" s="311"/>
      <c r="C38" s="311"/>
      <c r="D38" s="311"/>
      <c r="E38" s="311"/>
      <c r="F38" s="311"/>
      <c r="G38" s="311"/>
      <c r="H38" s="311"/>
      <c r="I38" s="672"/>
    </row>
    <row r="39" spans="1:15" ht="12.75" customHeight="1">
      <c r="A39" s="37" t="s">
        <v>285</v>
      </c>
      <c r="B39" s="311"/>
      <c r="C39" s="311"/>
      <c r="D39" s="311"/>
      <c r="E39" s="311"/>
      <c r="F39" s="311"/>
      <c r="G39" s="311"/>
      <c r="H39" s="311"/>
      <c r="I39" s="672"/>
    </row>
    <row r="40" spans="1:15" ht="12.75" customHeight="1">
      <c r="A40" s="37" t="s">
        <v>1744</v>
      </c>
      <c r="B40" s="311"/>
      <c r="C40" s="311"/>
      <c r="D40" s="311"/>
      <c r="E40" s="311"/>
      <c r="F40" s="311"/>
      <c r="G40" s="311"/>
      <c r="H40" s="311"/>
      <c r="I40" s="672"/>
    </row>
    <row r="41" spans="1:15">
      <c r="A41" s="37" t="s">
        <v>1745</v>
      </c>
    </row>
    <row r="43" spans="1:15">
      <c r="A43" s="3" t="s">
        <v>256</v>
      </c>
    </row>
  </sheetData>
  <phoneticPr fontId="0" type="noConversion"/>
  <pageMargins left="0.51" right="0.49" top="0.92" bottom="0.49" header="0.56000000000000005" footer="0.4921259845"/>
  <pageSetup paperSize="9" scale="76" orientation="portrait" horizontalDpi="4294967292" verticalDpi="4294967292"/>
  <headerFooter alignWithMargins="0">
    <oddHeader>&amp;L&amp;"Arial,Bold"Prämientarife in der OKP</oddHead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A01C0-6D60-AF42-BD6C-7A8BEEB9FB62}">
  <sheetPr>
    <pageSetUpPr fitToPage="1"/>
  </sheetPr>
  <dimension ref="A1:L45"/>
  <sheetViews>
    <sheetView zoomScale="75" workbookViewId="0"/>
  </sheetViews>
  <sheetFormatPr baseColWidth="10" defaultColWidth="11.3984375" defaultRowHeight="13"/>
  <cols>
    <col min="1" max="1" width="12.3984375" style="3" customWidth="1"/>
    <col min="2" max="2" width="11.19921875" style="3" hidden="1" customWidth="1"/>
    <col min="3" max="12" width="10.796875" style="3" customWidth="1"/>
    <col min="13" max="16384" width="11.3984375" style="3"/>
  </cols>
  <sheetData>
    <row r="1" spans="1:12" s="1" customFormat="1" ht="14" customHeight="1"/>
    <row r="2" spans="1:12" s="1" customFormat="1" ht="22.5" customHeight="1">
      <c r="A2" s="59" t="s">
        <v>1740</v>
      </c>
    </row>
    <row r="3" spans="1:12" s="1" customFormat="1" ht="16.5" customHeight="1">
      <c r="A3" s="59"/>
    </row>
    <row r="4" spans="1:12" ht="24" customHeight="1">
      <c r="A4" s="2" t="s">
        <v>70</v>
      </c>
      <c r="B4" s="69">
        <v>1996</v>
      </c>
      <c r="C4" s="69" t="s">
        <v>1741</v>
      </c>
      <c r="D4" s="16">
        <v>1997</v>
      </c>
      <c r="E4" s="69">
        <v>1998</v>
      </c>
      <c r="F4" s="16">
        <v>1999</v>
      </c>
      <c r="G4" s="69">
        <v>2000</v>
      </c>
      <c r="H4" s="16">
        <v>2001</v>
      </c>
      <c r="I4" s="69">
        <v>2002</v>
      </c>
      <c r="J4" s="16">
        <v>2003</v>
      </c>
      <c r="K4" s="69">
        <v>2004</v>
      </c>
      <c r="L4" s="16">
        <v>2005</v>
      </c>
    </row>
    <row r="5" spans="1:12" ht="15" customHeight="1">
      <c r="A5" s="77"/>
      <c r="B5" s="70"/>
      <c r="C5" s="682"/>
      <c r="D5" s="17"/>
      <c r="E5" s="70"/>
      <c r="F5" s="17"/>
      <c r="G5" s="14"/>
      <c r="H5" s="61"/>
      <c r="I5" s="70"/>
      <c r="J5" s="17"/>
      <c r="K5" s="70"/>
      <c r="L5" s="17"/>
    </row>
    <row r="6" spans="1:12" ht="16" customHeight="1">
      <c r="A6" s="78"/>
      <c r="B6" s="73"/>
      <c r="C6" s="73"/>
      <c r="D6" s="18"/>
      <c r="E6" s="73"/>
      <c r="F6" s="18"/>
      <c r="G6" s="15"/>
      <c r="H6" s="62"/>
      <c r="I6" s="73"/>
      <c r="J6" s="18"/>
      <c r="K6" s="73"/>
      <c r="L6" s="18"/>
    </row>
    <row r="7" spans="1:12" ht="30" customHeight="1" thickBot="1">
      <c r="A7" s="297" t="s">
        <v>78</v>
      </c>
      <c r="B7" s="19">
        <v>103.49267703996466</v>
      </c>
      <c r="C7" s="683">
        <v>108.96094823223416</v>
      </c>
      <c r="D7" s="684">
        <v>122.70520447305117</v>
      </c>
      <c r="E7" s="683">
        <v>125.59959640332212</v>
      </c>
      <c r="F7" s="684">
        <v>132.64596877205022</v>
      </c>
      <c r="G7" s="683">
        <v>138.98328369990259</v>
      </c>
      <c r="H7" s="684">
        <v>151.38</v>
      </c>
      <c r="I7" s="683">
        <v>174.09601000000001</v>
      </c>
      <c r="J7" s="685">
        <v>200.61509000000001</v>
      </c>
      <c r="K7" s="28">
        <v>213.43</v>
      </c>
      <c r="L7" s="685">
        <v>221.44627356036315</v>
      </c>
    </row>
    <row r="8" spans="1:12" ht="20" customHeight="1" thickBot="1">
      <c r="A8" s="302" t="s">
        <v>79</v>
      </c>
      <c r="B8" s="29">
        <v>103.61707928535405</v>
      </c>
      <c r="C8" s="686">
        <v>107.79236253672181</v>
      </c>
      <c r="D8" s="687">
        <v>116.91822772927814</v>
      </c>
      <c r="E8" s="686">
        <v>121.7744622665916</v>
      </c>
      <c r="F8" s="687">
        <v>130.77066160794996</v>
      </c>
      <c r="G8" s="686">
        <v>132.36579076296618</v>
      </c>
      <c r="H8" s="687">
        <v>139.02000000000001</v>
      </c>
      <c r="I8" s="686">
        <v>164.31093000000001</v>
      </c>
      <c r="J8" s="687">
        <v>188.46906000000001</v>
      </c>
      <c r="K8" s="28">
        <v>200.77</v>
      </c>
      <c r="L8" s="687">
        <v>215.11004977363322</v>
      </c>
    </row>
    <row r="9" spans="1:12" ht="20" customHeight="1" thickBot="1">
      <c r="A9" s="302" t="s">
        <v>80</v>
      </c>
      <c r="B9" s="29">
        <v>94.747957343608093</v>
      </c>
      <c r="C9" s="686">
        <v>97.858208977499629</v>
      </c>
      <c r="D9" s="687">
        <v>101.0078855765798</v>
      </c>
      <c r="E9" s="686">
        <v>99.27296670420948</v>
      </c>
      <c r="F9" s="687">
        <v>99.313871902013233</v>
      </c>
      <c r="G9" s="686">
        <v>103.31013455077574</v>
      </c>
      <c r="H9" s="687">
        <v>116.86</v>
      </c>
      <c r="I9" s="686">
        <v>132.45740000000001</v>
      </c>
      <c r="J9" s="687">
        <v>155.02828</v>
      </c>
      <c r="K9" s="28">
        <v>171.83</v>
      </c>
      <c r="L9" s="687">
        <v>181.80248445195153</v>
      </c>
    </row>
    <row r="10" spans="1:12" ht="20" customHeight="1" thickBot="1">
      <c r="A10" s="302" t="s">
        <v>81</v>
      </c>
      <c r="B10" s="29">
        <v>96.058782765650847</v>
      </c>
      <c r="C10" s="686">
        <v>100.47340098808827</v>
      </c>
      <c r="D10" s="687">
        <v>103.57130506381228</v>
      </c>
      <c r="E10" s="686">
        <v>99.811903817252784</v>
      </c>
      <c r="F10" s="687">
        <v>100.49972598737601</v>
      </c>
      <c r="G10" s="686">
        <v>101.53445060823319</v>
      </c>
      <c r="H10" s="687">
        <v>110.92</v>
      </c>
      <c r="I10" s="686">
        <v>124.09028000000001</v>
      </c>
      <c r="J10" s="687">
        <v>146.08038999999999</v>
      </c>
      <c r="K10" s="28">
        <v>159.94999999999999</v>
      </c>
      <c r="L10" s="687">
        <v>169.71616503100199</v>
      </c>
    </row>
    <row r="11" spans="1:12" ht="20" customHeight="1" thickBot="1">
      <c r="A11" s="302" t="s">
        <v>82</v>
      </c>
      <c r="B11" s="29">
        <v>95.28644266957194</v>
      </c>
      <c r="C11" s="686">
        <v>99.392097327352644</v>
      </c>
      <c r="D11" s="687">
        <v>109.55406315789473</v>
      </c>
      <c r="E11" s="686">
        <v>101.36691701799487</v>
      </c>
      <c r="F11" s="687">
        <v>101.42125446539846</v>
      </c>
      <c r="G11" s="686">
        <v>102.67209990843598</v>
      </c>
      <c r="H11" s="687">
        <v>116.22</v>
      </c>
      <c r="I11" s="686">
        <v>133.61651000000001</v>
      </c>
      <c r="J11" s="687">
        <v>157.78397000000001</v>
      </c>
      <c r="K11" s="28">
        <v>172.46</v>
      </c>
      <c r="L11" s="687">
        <v>182.65670623243545</v>
      </c>
    </row>
    <row r="12" spans="1:12" ht="20" customHeight="1" thickBot="1">
      <c r="A12" s="302" t="s">
        <v>83</v>
      </c>
      <c r="B12" s="29">
        <v>97.756294719266066</v>
      </c>
      <c r="C12" s="686">
        <v>100.82297440804891</v>
      </c>
      <c r="D12" s="687">
        <v>106.91966903073286</v>
      </c>
      <c r="E12" s="686">
        <v>98.293455290611035</v>
      </c>
      <c r="F12" s="687">
        <v>99.132544247391962</v>
      </c>
      <c r="G12" s="686">
        <v>101.33712050372301</v>
      </c>
      <c r="H12" s="687">
        <v>112.89</v>
      </c>
      <c r="I12" s="686">
        <v>124.3211</v>
      </c>
      <c r="J12" s="687">
        <v>139.16525999999999</v>
      </c>
      <c r="K12" s="28">
        <v>151.84</v>
      </c>
      <c r="L12" s="687">
        <v>161.63967635759852</v>
      </c>
    </row>
    <row r="13" spans="1:12" ht="20" customHeight="1" thickBot="1">
      <c r="A13" s="302" t="s">
        <v>84</v>
      </c>
      <c r="B13" s="29">
        <v>91.935864040502338</v>
      </c>
      <c r="C13" s="686">
        <v>95.206581287648731</v>
      </c>
      <c r="D13" s="687">
        <v>100.06903531438415</v>
      </c>
      <c r="E13" s="686">
        <v>94.474041396688264</v>
      </c>
      <c r="F13" s="687">
        <v>93.082203248380139</v>
      </c>
      <c r="G13" s="686">
        <v>94.932787628663803</v>
      </c>
      <c r="H13" s="687">
        <v>105.4</v>
      </c>
      <c r="I13" s="686">
        <v>117.36539999999999</v>
      </c>
      <c r="J13" s="687">
        <v>134.10787999999999</v>
      </c>
      <c r="K13" s="28">
        <v>146.78</v>
      </c>
      <c r="L13" s="687">
        <v>156.51267345793133</v>
      </c>
    </row>
    <row r="14" spans="1:12" ht="20" customHeight="1" thickBot="1">
      <c r="A14" s="302" t="s">
        <v>85</v>
      </c>
      <c r="B14" s="29">
        <v>89.157404789313702</v>
      </c>
      <c r="C14" s="686">
        <v>90.280302067724151</v>
      </c>
      <c r="D14" s="687">
        <v>99.362439024390241</v>
      </c>
      <c r="E14" s="686">
        <v>97.935286132455175</v>
      </c>
      <c r="F14" s="687">
        <v>101.95834029062087</v>
      </c>
      <c r="G14" s="686">
        <v>103.97293710447366</v>
      </c>
      <c r="H14" s="687">
        <v>114.51</v>
      </c>
      <c r="I14" s="686">
        <v>132.51589000000001</v>
      </c>
      <c r="J14" s="687">
        <v>158.82345000000001</v>
      </c>
      <c r="K14" s="28">
        <v>172.36</v>
      </c>
      <c r="L14" s="687">
        <v>183.72615669362864</v>
      </c>
    </row>
    <row r="15" spans="1:12" ht="20" customHeight="1" thickBot="1">
      <c r="A15" s="302" t="s">
        <v>86</v>
      </c>
      <c r="B15" s="29">
        <v>96.4234489986966</v>
      </c>
      <c r="C15" s="686">
        <v>100.45626130824101</v>
      </c>
      <c r="D15" s="687">
        <v>108.51741883304449</v>
      </c>
      <c r="E15" s="686">
        <v>100.13687301155676</v>
      </c>
      <c r="F15" s="687">
        <v>100.3815115692726</v>
      </c>
      <c r="G15" s="686">
        <v>103.3598685502174</v>
      </c>
      <c r="H15" s="687">
        <v>114.25</v>
      </c>
      <c r="I15" s="686">
        <v>130.75167999999999</v>
      </c>
      <c r="J15" s="687">
        <v>154.30319</v>
      </c>
      <c r="K15" s="28">
        <v>169.88</v>
      </c>
      <c r="L15" s="687">
        <v>181.66398646544454</v>
      </c>
    </row>
    <row r="16" spans="1:12" ht="20" customHeight="1" thickBot="1">
      <c r="A16" s="302" t="s">
        <v>87</v>
      </c>
      <c r="B16" s="29">
        <v>121.93927253792606</v>
      </c>
      <c r="C16" s="686">
        <v>124.36281802670725</v>
      </c>
      <c r="D16" s="687">
        <v>132.71547749725576</v>
      </c>
      <c r="E16" s="686">
        <v>124.35170593655391</v>
      </c>
      <c r="F16" s="687">
        <v>126.03065744109516</v>
      </c>
      <c r="G16" s="686">
        <v>134.54823356565456</v>
      </c>
      <c r="H16" s="687">
        <v>154.97999999999999</v>
      </c>
      <c r="I16" s="686">
        <v>176.73509999999999</v>
      </c>
      <c r="J16" s="687">
        <v>196.11358999999999</v>
      </c>
      <c r="K16" s="28">
        <v>206.37</v>
      </c>
      <c r="L16" s="687">
        <v>218.59136178292249</v>
      </c>
    </row>
    <row r="17" spans="1:12" ht="20" customHeight="1" thickBot="1">
      <c r="A17" s="302" t="s">
        <v>88</v>
      </c>
      <c r="B17" s="29">
        <v>94.55147795462733</v>
      </c>
      <c r="C17" s="686">
        <v>106.17129527852973</v>
      </c>
      <c r="D17" s="687">
        <v>120.6335571062627</v>
      </c>
      <c r="E17" s="686">
        <v>122.27340823970037</v>
      </c>
      <c r="F17" s="687">
        <v>125.57664769332453</v>
      </c>
      <c r="G17" s="686">
        <v>130.66324862664206</v>
      </c>
      <c r="H17" s="687">
        <v>137.36000000000001</v>
      </c>
      <c r="I17" s="686">
        <v>151.08682999999999</v>
      </c>
      <c r="J17" s="687">
        <v>175.06958</v>
      </c>
      <c r="K17" s="28">
        <v>189.51</v>
      </c>
      <c r="L17" s="687">
        <v>200.0979227909263</v>
      </c>
    </row>
    <row r="18" spans="1:12" ht="20" customHeight="1" thickBot="1">
      <c r="A18" s="302" t="s">
        <v>89</v>
      </c>
      <c r="B18" s="29">
        <v>126.81676675301063</v>
      </c>
      <c r="C18" s="686">
        <v>130.81150515928985</v>
      </c>
      <c r="D18" s="687">
        <v>150.63300099206347</v>
      </c>
      <c r="E18" s="686">
        <v>160.38187974892634</v>
      </c>
      <c r="F18" s="687">
        <v>174.90947829534193</v>
      </c>
      <c r="G18" s="686">
        <v>183.16173991706793</v>
      </c>
      <c r="H18" s="687">
        <v>197.67</v>
      </c>
      <c r="I18" s="686">
        <v>227.49455</v>
      </c>
      <c r="J18" s="687">
        <v>265.27109999999999</v>
      </c>
      <c r="K18" s="28">
        <v>304.58999999999997</v>
      </c>
      <c r="L18" s="687">
        <v>315.60744948729871</v>
      </c>
    </row>
    <row r="19" spans="1:12" ht="20" customHeight="1" thickBot="1">
      <c r="A19" s="302" t="s">
        <v>90</v>
      </c>
      <c r="B19" s="29">
        <v>108.66145246128281</v>
      </c>
      <c r="C19" s="686">
        <v>114.72044745839402</v>
      </c>
      <c r="D19" s="687">
        <v>130.58779527559057</v>
      </c>
      <c r="E19" s="686">
        <v>131.77250554712134</v>
      </c>
      <c r="F19" s="687">
        <v>134.34878019385729</v>
      </c>
      <c r="G19" s="686">
        <v>138.34368170410627</v>
      </c>
      <c r="H19" s="687">
        <v>150.65</v>
      </c>
      <c r="I19" s="686">
        <v>173.19712999999999</v>
      </c>
      <c r="J19" s="687">
        <v>201.31742</v>
      </c>
      <c r="K19" s="28">
        <v>219.13</v>
      </c>
      <c r="L19" s="687">
        <v>228.15884556205111</v>
      </c>
    </row>
    <row r="20" spans="1:12" ht="20" customHeight="1" thickBot="1">
      <c r="A20" s="302" t="s">
        <v>91</v>
      </c>
      <c r="B20" s="29">
        <v>94.893119817524862</v>
      </c>
      <c r="C20" s="686">
        <v>97.658838026559309</v>
      </c>
      <c r="D20" s="687">
        <v>113.49287778098815</v>
      </c>
      <c r="E20" s="686">
        <v>117.13302911275416</v>
      </c>
      <c r="F20" s="687">
        <v>125.57561326247689</v>
      </c>
      <c r="G20" s="686">
        <v>128.53692086322715</v>
      </c>
      <c r="H20" s="687">
        <v>136.82</v>
      </c>
      <c r="I20" s="686">
        <v>162.55437000000001</v>
      </c>
      <c r="J20" s="687">
        <v>184.15544</v>
      </c>
      <c r="K20" s="28">
        <v>197.5</v>
      </c>
      <c r="L20" s="687">
        <v>207.2924819230908</v>
      </c>
    </row>
    <row r="21" spans="1:12" ht="20" customHeight="1" thickBot="1">
      <c r="A21" s="302" t="s">
        <v>92</v>
      </c>
      <c r="B21" s="29">
        <v>84.640654218642027</v>
      </c>
      <c r="C21" s="686">
        <v>86.797548607703703</v>
      </c>
      <c r="D21" s="687">
        <v>96.805521472392641</v>
      </c>
      <c r="E21" s="686">
        <v>93.604905782975962</v>
      </c>
      <c r="F21" s="687">
        <v>92.427128057553958</v>
      </c>
      <c r="G21" s="686">
        <v>94.494371345497996</v>
      </c>
      <c r="H21" s="687">
        <v>105.99</v>
      </c>
      <c r="I21" s="686">
        <v>124.73943</v>
      </c>
      <c r="J21" s="687">
        <v>144.57185999999999</v>
      </c>
      <c r="K21" s="28">
        <v>154.80000000000001</v>
      </c>
      <c r="L21" s="687">
        <v>164.18628268196784</v>
      </c>
    </row>
    <row r="22" spans="1:12" ht="20" customHeight="1" thickBot="1">
      <c r="A22" s="302" t="s">
        <v>93</v>
      </c>
      <c r="B22" s="29">
        <v>84.70053836451649</v>
      </c>
      <c r="C22" s="686">
        <v>87.118831160208671</v>
      </c>
      <c r="D22" s="687">
        <v>92.930922865013784</v>
      </c>
      <c r="E22" s="686">
        <v>84.133407325194227</v>
      </c>
      <c r="F22" s="687">
        <v>83.653681081081089</v>
      </c>
      <c r="G22" s="686">
        <v>84.500495983783793</v>
      </c>
      <c r="H22" s="687">
        <v>98.49</v>
      </c>
      <c r="I22" s="686">
        <v>112.27669</v>
      </c>
      <c r="J22" s="687">
        <v>128.34836000000001</v>
      </c>
      <c r="K22" s="28">
        <v>139.65</v>
      </c>
      <c r="L22" s="687">
        <v>147.89034066694799</v>
      </c>
    </row>
    <row r="23" spans="1:12" ht="20" customHeight="1" thickBot="1">
      <c r="A23" s="302" t="s">
        <v>94</v>
      </c>
      <c r="B23" s="29">
        <v>88.224208027055212</v>
      </c>
      <c r="C23" s="686">
        <v>91.273084721765287</v>
      </c>
      <c r="D23" s="687">
        <v>101.44243265568353</v>
      </c>
      <c r="E23" s="686">
        <v>98.804830175187703</v>
      </c>
      <c r="F23" s="687">
        <v>101.19949759417557</v>
      </c>
      <c r="G23" s="686">
        <v>104.43936075457667</v>
      </c>
      <c r="H23" s="687">
        <v>117.91</v>
      </c>
      <c r="I23" s="686">
        <v>136.97377</v>
      </c>
      <c r="J23" s="687">
        <v>155.69031000000001</v>
      </c>
      <c r="K23" s="28">
        <v>171.18</v>
      </c>
      <c r="L23" s="687">
        <v>181.24942888161328</v>
      </c>
    </row>
    <row r="24" spans="1:12" ht="20" customHeight="1" thickBot="1">
      <c r="A24" s="302" t="s">
        <v>95</v>
      </c>
      <c r="B24" s="29">
        <v>83.604262707432284</v>
      </c>
      <c r="C24" s="686">
        <v>85.536691485083622</v>
      </c>
      <c r="D24" s="687">
        <v>100.52562125107112</v>
      </c>
      <c r="E24" s="686">
        <v>94.053581689331551</v>
      </c>
      <c r="F24" s="687">
        <v>92.058254503415654</v>
      </c>
      <c r="G24" s="686">
        <v>97.184198797041233</v>
      </c>
      <c r="H24" s="687">
        <v>110.24</v>
      </c>
      <c r="I24" s="686">
        <v>133.39986999999999</v>
      </c>
      <c r="J24" s="687">
        <v>159.97224</v>
      </c>
      <c r="K24" s="28">
        <v>176.82</v>
      </c>
      <c r="L24" s="687">
        <v>184.9437495127612</v>
      </c>
    </row>
    <row r="25" spans="1:12" ht="20" customHeight="1" thickBot="1">
      <c r="A25" s="302" t="s">
        <v>96</v>
      </c>
      <c r="B25" s="29">
        <v>74.567468820555504</v>
      </c>
      <c r="C25" s="686">
        <v>92.55372932273086</v>
      </c>
      <c r="D25" s="687">
        <v>104.34385916835457</v>
      </c>
      <c r="E25" s="686">
        <v>104.32416135479689</v>
      </c>
      <c r="F25" s="687">
        <v>108.48734022796025</v>
      </c>
      <c r="G25" s="686">
        <v>114.05383210655711</v>
      </c>
      <c r="H25" s="687">
        <v>128.36000000000001</v>
      </c>
      <c r="I25" s="686">
        <v>148.18475000000001</v>
      </c>
      <c r="J25" s="687">
        <v>171.21063000000001</v>
      </c>
      <c r="K25" s="28">
        <v>185.82</v>
      </c>
      <c r="L25" s="687">
        <v>196.20559437086871</v>
      </c>
    </row>
    <row r="26" spans="1:12" ht="20" customHeight="1" thickBot="1">
      <c r="A26" s="302" t="s">
        <v>97</v>
      </c>
      <c r="B26" s="29">
        <v>88.150775152880584</v>
      </c>
      <c r="C26" s="686">
        <v>91.547066767146291</v>
      </c>
      <c r="D26" s="687">
        <v>106.89604806408545</v>
      </c>
      <c r="E26" s="686">
        <v>106.37882387882388</v>
      </c>
      <c r="F26" s="687">
        <v>112.74856168670729</v>
      </c>
      <c r="G26" s="686">
        <v>116.21513892428332</v>
      </c>
      <c r="H26" s="687">
        <v>133.44</v>
      </c>
      <c r="I26" s="686">
        <v>158.80098000000001</v>
      </c>
      <c r="J26" s="687">
        <v>185.42766</v>
      </c>
      <c r="K26" s="28">
        <v>198.77</v>
      </c>
      <c r="L26" s="687">
        <v>209.47026319107218</v>
      </c>
    </row>
    <row r="27" spans="1:12" ht="20" customHeight="1" thickBot="1">
      <c r="A27" s="302" t="s">
        <v>98</v>
      </c>
      <c r="B27" s="29">
        <v>121.0827398004341</v>
      </c>
      <c r="C27" s="686">
        <v>125.33089311522994</v>
      </c>
      <c r="D27" s="687">
        <v>137.4875986920807</v>
      </c>
      <c r="E27" s="686">
        <v>154.14173754867801</v>
      </c>
      <c r="F27" s="687">
        <v>156.30024656591013</v>
      </c>
      <c r="G27" s="686">
        <v>157.88541656871067</v>
      </c>
      <c r="H27" s="687">
        <v>172.05</v>
      </c>
      <c r="I27" s="686">
        <v>199.00112999999999</v>
      </c>
      <c r="J27" s="687">
        <v>238.92483999999999</v>
      </c>
      <c r="K27" s="28">
        <v>258.85000000000002</v>
      </c>
      <c r="L27" s="687">
        <v>270.795528857835</v>
      </c>
    </row>
    <row r="28" spans="1:12" ht="20" customHeight="1" thickBot="1">
      <c r="A28" s="302" t="s">
        <v>99</v>
      </c>
      <c r="B28" s="29">
        <v>160.87320031654653</v>
      </c>
      <c r="C28" s="686">
        <v>163.02598869541859</v>
      </c>
      <c r="D28" s="687">
        <v>169.96717860942778</v>
      </c>
      <c r="E28" s="686">
        <v>170.85231661111587</v>
      </c>
      <c r="F28" s="687">
        <v>173.83822945389281</v>
      </c>
      <c r="G28" s="686">
        <v>178.54078958477936</v>
      </c>
      <c r="H28" s="687">
        <v>203.85</v>
      </c>
      <c r="I28" s="686">
        <v>225.16328999999999</v>
      </c>
      <c r="J28" s="687">
        <v>263.77596</v>
      </c>
      <c r="K28" s="28">
        <v>275.74</v>
      </c>
      <c r="L28" s="687">
        <v>296.01030381901819</v>
      </c>
    </row>
    <row r="29" spans="1:12" ht="20" customHeight="1" thickBot="1">
      <c r="A29" s="302" t="s">
        <v>100</v>
      </c>
      <c r="B29" s="29">
        <v>118.66494682773886</v>
      </c>
      <c r="C29" s="686">
        <v>122.44694304449895</v>
      </c>
      <c r="D29" s="687">
        <v>123.05977889218144</v>
      </c>
      <c r="E29" s="686">
        <v>110.04930271084336</v>
      </c>
      <c r="F29" s="687">
        <v>111.6919165</v>
      </c>
      <c r="G29" s="686">
        <v>113.299991636161</v>
      </c>
      <c r="H29" s="687">
        <v>126.61</v>
      </c>
      <c r="I29" s="686">
        <v>143.85676000000001</v>
      </c>
      <c r="J29" s="687">
        <v>164.25402</v>
      </c>
      <c r="K29" s="28">
        <v>180.8</v>
      </c>
      <c r="L29" s="687">
        <v>192.61415156048051</v>
      </c>
    </row>
    <row r="30" spans="1:12" ht="20" customHeight="1" thickBot="1">
      <c r="A30" s="302" t="s">
        <v>101</v>
      </c>
      <c r="B30" s="29">
        <v>130.31729945526038</v>
      </c>
      <c r="C30" s="686">
        <v>133.60375465511694</v>
      </c>
      <c r="D30" s="687">
        <v>149.92524805867126</v>
      </c>
      <c r="E30" s="686">
        <v>147.83122423031514</v>
      </c>
      <c r="F30" s="687">
        <v>158.8659692707802</v>
      </c>
      <c r="G30" s="686">
        <v>165.95791946422477</v>
      </c>
      <c r="H30" s="687">
        <v>186.01</v>
      </c>
      <c r="I30" s="686">
        <v>216.13197</v>
      </c>
      <c r="J30" s="687">
        <v>257.2851</v>
      </c>
      <c r="K30" s="28">
        <v>273.58</v>
      </c>
      <c r="L30" s="687">
        <v>290.26435985324292</v>
      </c>
    </row>
    <row r="31" spans="1:12" ht="20" customHeight="1" thickBot="1">
      <c r="A31" s="302" t="s">
        <v>102</v>
      </c>
      <c r="B31" s="29">
        <v>174.81919294809606</v>
      </c>
      <c r="C31" s="686">
        <v>183.56905054790883</v>
      </c>
      <c r="D31" s="687">
        <v>196.64679899735791</v>
      </c>
      <c r="E31" s="686">
        <v>191.59177670950652</v>
      </c>
      <c r="F31" s="687">
        <v>200.04429547550032</v>
      </c>
      <c r="G31" s="686">
        <v>211.48209303003449</v>
      </c>
      <c r="H31" s="687">
        <v>243.57</v>
      </c>
      <c r="I31" s="686">
        <v>268.60239000000001</v>
      </c>
      <c r="J31" s="687">
        <v>303.51902000000001</v>
      </c>
      <c r="K31" s="28">
        <v>319.72000000000003</v>
      </c>
      <c r="L31" s="687">
        <v>344.63633083994421</v>
      </c>
    </row>
    <row r="32" spans="1:12" ht="20" customHeight="1" thickBot="1">
      <c r="A32" s="302" t="s">
        <v>103</v>
      </c>
      <c r="B32" s="29">
        <v>132.03341645615652</v>
      </c>
      <c r="C32" s="686">
        <v>133.59985277580608</v>
      </c>
      <c r="D32" s="687">
        <v>143.99927202135405</v>
      </c>
      <c r="E32" s="686">
        <v>142.07569398414986</v>
      </c>
      <c r="F32" s="687">
        <v>141.41483011996496</v>
      </c>
      <c r="G32" s="686">
        <v>149.07766646447803</v>
      </c>
      <c r="H32" s="687">
        <v>181.76</v>
      </c>
      <c r="I32" s="686">
        <v>202.59136000000001</v>
      </c>
      <c r="J32" s="687">
        <v>234.39028999999999</v>
      </c>
      <c r="K32" s="28">
        <v>252.56</v>
      </c>
      <c r="L32" s="687">
        <v>266.24991617000836</v>
      </c>
    </row>
    <row r="33" spans="1:12" ht="30" customHeight="1" thickBot="1">
      <c r="A33" s="12" t="s">
        <v>104</v>
      </c>
      <c r="B33" s="356">
        <v>110.14945460955127</v>
      </c>
      <c r="C33" s="688">
        <v>114.73041951160255</v>
      </c>
      <c r="D33" s="689">
        <v>124.66129778231421</v>
      </c>
      <c r="E33" s="688">
        <v>125.29607374124997</v>
      </c>
      <c r="F33" s="689">
        <v>130.21886901362492</v>
      </c>
      <c r="G33" s="688">
        <v>134.7191420153035</v>
      </c>
      <c r="H33" s="689">
        <v>149.77000000000001</v>
      </c>
      <c r="I33" s="688">
        <v>172.20867000000001</v>
      </c>
      <c r="J33" s="690">
        <v>198.72591</v>
      </c>
      <c r="K33" s="562">
        <v>213.29</v>
      </c>
      <c r="L33" s="691">
        <v>225.09346768269774</v>
      </c>
    </row>
    <row r="34" spans="1:12" ht="20" customHeight="1">
      <c r="A34" s="9" t="s">
        <v>290</v>
      </c>
      <c r="B34" s="309"/>
      <c r="C34" s="309"/>
      <c r="D34" s="309"/>
      <c r="E34" s="309"/>
      <c r="F34" s="309"/>
      <c r="G34" s="309"/>
      <c r="H34" s="309"/>
      <c r="I34" s="309"/>
      <c r="J34" s="671"/>
    </row>
    <row r="35" spans="1:12" ht="13.5" customHeight="1">
      <c r="A35" s="37"/>
      <c r="B35" s="311"/>
      <c r="C35" s="311"/>
      <c r="D35" s="311"/>
      <c r="E35" s="311"/>
      <c r="F35" s="311"/>
      <c r="G35" s="311"/>
      <c r="H35" s="311"/>
      <c r="I35" s="311"/>
      <c r="J35" s="672"/>
    </row>
    <row r="36" spans="1:12" ht="20" customHeight="1">
      <c r="A36" s="37" t="s">
        <v>291</v>
      </c>
      <c r="B36" s="311"/>
      <c r="C36" s="311"/>
      <c r="D36" s="311"/>
      <c r="E36" s="311"/>
      <c r="F36" s="311"/>
      <c r="G36" s="311"/>
      <c r="H36" s="311"/>
      <c r="I36" s="311"/>
      <c r="J36" s="672"/>
    </row>
    <row r="37" spans="1:12" ht="16.5" customHeight="1">
      <c r="A37" s="37"/>
      <c r="B37" s="311"/>
      <c r="C37" s="311"/>
      <c r="D37" s="311"/>
      <c r="E37" s="311"/>
      <c r="F37" s="311"/>
      <c r="G37" s="311"/>
      <c r="H37" s="311"/>
      <c r="I37" s="311"/>
      <c r="J37" s="672"/>
    </row>
    <row r="38" spans="1:12" ht="12.75" customHeight="1">
      <c r="A38" s="37" t="s">
        <v>285</v>
      </c>
      <c r="B38" s="311"/>
      <c r="C38" s="311"/>
      <c r="D38" s="311"/>
      <c r="E38" s="311"/>
      <c r="F38" s="311"/>
      <c r="G38" s="311"/>
      <c r="H38" s="311"/>
      <c r="I38" s="311"/>
      <c r="J38" s="672"/>
    </row>
    <row r="39" spans="1:12">
      <c r="A39" s="3" t="s">
        <v>1736</v>
      </c>
    </row>
    <row r="40" spans="1:12">
      <c r="A40" s="3" t="s">
        <v>1737</v>
      </c>
    </row>
    <row r="41" spans="1:12">
      <c r="A41" s="3" t="s">
        <v>1738</v>
      </c>
    </row>
    <row r="42" spans="1:12">
      <c r="A42" s="681" t="s">
        <v>1739</v>
      </c>
    </row>
    <row r="45" spans="1:12">
      <c r="A45" s="3" t="s">
        <v>256</v>
      </c>
    </row>
  </sheetData>
  <phoneticPr fontId="0" type="noConversion"/>
  <pageMargins left="0.53" right="0.49" top="1.03" bottom="0.49" header="0.56000000000000005" footer="0.4921259845"/>
  <pageSetup paperSize="9" scale="78" orientation="portrait" horizontalDpi="4294967292" verticalDpi="4294967292"/>
  <headerFooter alignWithMargins="0">
    <oddHeader>&amp;L&amp;"Arial,Bold"Prämientarife in der OKP</oddHead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DAF61-1E71-0D4D-8696-59C59D46595B}">
  <sheetPr>
    <pageSetUpPr fitToPage="1"/>
  </sheetPr>
  <dimension ref="A1:M43"/>
  <sheetViews>
    <sheetView zoomScale="75" workbookViewId="0">
      <selection activeCell="L13" sqref="L13"/>
    </sheetView>
  </sheetViews>
  <sheetFormatPr baseColWidth="10" defaultColWidth="11.3984375" defaultRowHeight="13"/>
  <cols>
    <col min="1" max="1" width="11.3984375" style="3"/>
    <col min="2" max="9" width="11.796875" style="100" customWidth="1"/>
    <col min="10" max="10" width="11.796875" style="3" customWidth="1"/>
    <col min="11" max="11" width="13.59765625" style="3" customWidth="1"/>
    <col min="12" max="16384" width="11.3984375" style="3"/>
  </cols>
  <sheetData>
    <row r="1" spans="1:11" s="1" customFormat="1" ht="14" customHeight="1">
      <c r="B1" s="90"/>
      <c r="C1" s="90"/>
      <c r="D1" s="90"/>
      <c r="E1" s="90"/>
      <c r="F1" s="90"/>
      <c r="G1" s="90"/>
      <c r="H1" s="90"/>
      <c r="I1" s="90"/>
    </row>
    <row r="2" spans="1:11" s="1" customFormat="1" ht="28" customHeight="1">
      <c r="A2" s="59" t="s">
        <v>1735</v>
      </c>
      <c r="B2" s="693"/>
      <c r="C2" s="693"/>
      <c r="D2" s="693"/>
      <c r="E2" s="693"/>
      <c r="F2" s="693"/>
      <c r="G2" s="693"/>
      <c r="H2" s="693"/>
      <c r="I2" s="693"/>
      <c r="J2" s="694"/>
      <c r="K2" s="694"/>
    </row>
    <row r="3" spans="1:11" ht="24" customHeight="1">
      <c r="A3" s="2" t="s">
        <v>70</v>
      </c>
      <c r="B3" s="103" t="s">
        <v>308</v>
      </c>
      <c r="C3" s="4" t="s">
        <v>308</v>
      </c>
      <c r="D3" s="103" t="s">
        <v>308</v>
      </c>
      <c r="E3" s="4" t="s">
        <v>308</v>
      </c>
      <c r="F3" s="103" t="s">
        <v>308</v>
      </c>
      <c r="G3" s="4" t="s">
        <v>308</v>
      </c>
      <c r="H3" s="103" t="s">
        <v>308</v>
      </c>
      <c r="I3" s="102" t="s">
        <v>308</v>
      </c>
      <c r="J3" s="103" t="s">
        <v>308</v>
      </c>
      <c r="K3" s="4" t="s">
        <v>1456</v>
      </c>
    </row>
    <row r="4" spans="1:11" ht="15" customHeight="1">
      <c r="A4" s="695"/>
      <c r="B4" s="103" t="s">
        <v>309</v>
      </c>
      <c r="C4" s="4" t="s">
        <v>309</v>
      </c>
      <c r="D4" s="103" t="s">
        <v>309</v>
      </c>
      <c r="E4" s="4" t="s">
        <v>309</v>
      </c>
      <c r="F4" s="103" t="s">
        <v>309</v>
      </c>
      <c r="G4" s="4" t="s">
        <v>309</v>
      </c>
      <c r="H4" s="103" t="s">
        <v>309</v>
      </c>
      <c r="I4" s="102" t="s">
        <v>309</v>
      </c>
      <c r="J4" s="103" t="s">
        <v>309</v>
      </c>
      <c r="K4" s="4" t="s">
        <v>1457</v>
      </c>
    </row>
    <row r="5" spans="1:11" ht="15" customHeight="1">
      <c r="A5" s="77"/>
      <c r="B5" s="71" t="s">
        <v>323</v>
      </c>
      <c r="C5" s="4" t="s">
        <v>310</v>
      </c>
      <c r="D5" s="71" t="s">
        <v>311</v>
      </c>
      <c r="E5" s="4" t="s">
        <v>312</v>
      </c>
      <c r="F5" s="71" t="s">
        <v>313</v>
      </c>
      <c r="G5" s="4" t="s">
        <v>314</v>
      </c>
      <c r="H5" s="103" t="s">
        <v>315</v>
      </c>
      <c r="I5" s="102" t="s">
        <v>316</v>
      </c>
      <c r="J5" s="103" t="s">
        <v>317</v>
      </c>
      <c r="K5" s="4" t="s">
        <v>1458</v>
      </c>
    </row>
    <row r="6" spans="1:11" ht="15" customHeight="1">
      <c r="A6" s="77"/>
      <c r="B6" s="696"/>
      <c r="C6" s="4"/>
      <c r="D6" s="103"/>
      <c r="E6" s="4"/>
      <c r="F6" s="103"/>
      <c r="G6" s="4"/>
      <c r="H6" s="103"/>
      <c r="I6" s="102"/>
      <c r="J6" s="103"/>
      <c r="K6" s="4" t="s">
        <v>318</v>
      </c>
    </row>
    <row r="7" spans="1:11" ht="16" customHeight="1">
      <c r="A7" s="78"/>
      <c r="B7" s="104"/>
      <c r="C7" s="5"/>
      <c r="D7" s="104"/>
      <c r="E7" s="5"/>
      <c r="F7" s="104"/>
      <c r="G7" s="5"/>
      <c r="H7" s="104"/>
      <c r="I7" s="105"/>
      <c r="J7" s="104"/>
      <c r="K7" s="674"/>
    </row>
    <row r="8" spans="1:11" ht="30" customHeight="1" thickBot="1">
      <c r="A8" s="297" t="s">
        <v>78</v>
      </c>
      <c r="B8" s="676">
        <v>0.12613928626541648</v>
      </c>
      <c r="C8" s="508">
        <v>2.3588175764025054E-2</v>
      </c>
      <c r="D8" s="676">
        <v>5.6101871108733325E-2</v>
      </c>
      <c r="E8" s="508">
        <v>4.7776159249459882E-2</v>
      </c>
      <c r="F8" s="676">
        <v>8.9195736135180281E-2</v>
      </c>
      <c r="G8" s="508">
        <v>0.15005951909102921</v>
      </c>
      <c r="H8" s="676">
        <v>0.15232445591372246</v>
      </c>
      <c r="I8" s="508">
        <v>6.3878096109320603E-2</v>
      </c>
      <c r="J8" s="676">
        <v>3.7559263273031718E-2</v>
      </c>
      <c r="K8" s="1470">
        <v>8.1986755682132539E-2</v>
      </c>
    </row>
    <row r="9" spans="1:11" ht="20" customHeight="1" thickBot="1">
      <c r="A9" s="302" t="s">
        <v>79</v>
      </c>
      <c r="B9" s="676">
        <v>8.4661519404469976E-2</v>
      </c>
      <c r="C9" s="508">
        <v>4.1535307467694071E-2</v>
      </c>
      <c r="D9" s="676">
        <v>7.3875911040064191E-2</v>
      </c>
      <c r="E9" s="508">
        <v>1.2197913013535233E-2</v>
      </c>
      <c r="F9" s="676">
        <v>5.0271366934601991E-2</v>
      </c>
      <c r="G9" s="508">
        <v>0.18192296072507563</v>
      </c>
      <c r="H9" s="676">
        <v>0.14702692024200692</v>
      </c>
      <c r="I9" s="508">
        <v>6.5267689030761744E-2</v>
      </c>
      <c r="J9" s="676">
        <v>7.1425261610963853E-2</v>
      </c>
      <c r="K9" s="1470">
        <v>7.9795248872996938E-2</v>
      </c>
    </row>
    <row r="10" spans="1:11" ht="20" customHeight="1" thickBot="1">
      <c r="A10" s="302" t="s">
        <v>80</v>
      </c>
      <c r="B10" s="676">
        <v>3.2186125538066657E-2</v>
      </c>
      <c r="C10" s="508">
        <v>-1.7176073555712379E-2</v>
      </c>
      <c r="D10" s="676">
        <v>4.1204770202574181E-4</v>
      </c>
      <c r="E10" s="508">
        <v>4.0238715621775167E-2</v>
      </c>
      <c r="F10" s="676">
        <v>0.13115717550986883</v>
      </c>
      <c r="G10" s="508">
        <v>0.13347081978435749</v>
      </c>
      <c r="H10" s="676">
        <v>0.17040104969597758</v>
      </c>
      <c r="I10" s="508">
        <v>0.10837841973090345</v>
      </c>
      <c r="J10" s="676">
        <v>5.8036922842062078E-2</v>
      </c>
      <c r="K10" s="1470">
        <v>7.1245898944510389E-2</v>
      </c>
    </row>
    <row r="11" spans="1:11" ht="20" customHeight="1" thickBot="1">
      <c r="A11" s="302" t="s">
        <v>81</v>
      </c>
      <c r="B11" s="676">
        <v>3.083307666763746E-2</v>
      </c>
      <c r="C11" s="508">
        <v>-3.6297710492720459E-2</v>
      </c>
      <c r="D11" s="676">
        <v>6.8911837548211174E-3</v>
      </c>
      <c r="E11" s="508">
        <v>1.0295795443135303E-2</v>
      </c>
      <c r="F11" s="676">
        <v>9.2437092391237652E-2</v>
      </c>
      <c r="G11" s="508">
        <v>0.11873674720519301</v>
      </c>
      <c r="H11" s="676">
        <v>0.1772105760418945</v>
      </c>
      <c r="I11" s="508">
        <v>9.4945050461598512E-2</v>
      </c>
      <c r="J11" s="676">
        <v>6.1057611947496149E-2</v>
      </c>
      <c r="K11" s="1470">
        <v>5.9978120108816313E-2</v>
      </c>
    </row>
    <row r="12" spans="1:11" ht="20" customHeight="1" thickBot="1">
      <c r="A12" s="302" t="s">
        <v>82</v>
      </c>
      <c r="B12" s="676">
        <v>0.10224118520281511</v>
      </c>
      <c r="C12" s="508">
        <v>-7.47315608741973E-2</v>
      </c>
      <c r="D12" s="676">
        <v>5.3604715425992211E-4</v>
      </c>
      <c r="E12" s="508">
        <v>1.2333168719228071E-2</v>
      </c>
      <c r="F12" s="676">
        <v>0.13195308271328021</v>
      </c>
      <c r="G12" s="508">
        <v>0.14968602650146279</v>
      </c>
      <c r="H12" s="676">
        <v>0.18087180992827911</v>
      </c>
      <c r="I12" s="508">
        <v>9.3013441099244698E-2</v>
      </c>
      <c r="J12" s="676">
        <v>5.9125050634555532E-2</v>
      </c>
      <c r="K12" s="1470">
        <v>6.9953399643777781E-2</v>
      </c>
    </row>
    <row r="13" spans="1:11" ht="20" customHeight="1" thickBot="1">
      <c r="A13" s="302" t="s">
        <v>83</v>
      </c>
      <c r="B13" s="676">
        <v>6.0469299368311802E-2</v>
      </c>
      <c r="C13" s="508">
        <v>-8.0679390595965295E-2</v>
      </c>
      <c r="D13" s="676">
        <v>8.5365699506656512E-3</v>
      </c>
      <c r="E13" s="508">
        <v>2.2238673213403892E-2</v>
      </c>
      <c r="F13" s="676">
        <v>0.11400441850775245</v>
      </c>
      <c r="G13" s="508">
        <v>0.10125874745327312</v>
      </c>
      <c r="H13" s="676">
        <v>0.11940177491994519</v>
      </c>
      <c r="I13" s="508">
        <v>9.1076896633542237E-2</v>
      </c>
      <c r="J13" s="676">
        <v>6.4539491290822593E-2</v>
      </c>
      <c r="K13" s="1470">
        <v>5.3844410227671391E-2</v>
      </c>
    </row>
    <row r="14" spans="1:11" ht="20" customHeight="1" thickBot="1">
      <c r="A14" s="302" t="s">
        <v>84</v>
      </c>
      <c r="B14" s="676">
        <v>5.1072667046455855E-2</v>
      </c>
      <c r="C14" s="508">
        <v>-5.5911340607194271E-2</v>
      </c>
      <c r="D14" s="676">
        <v>-1.4732492944426023E-2</v>
      </c>
      <c r="E14" s="508">
        <v>1.9881183681756731E-2</v>
      </c>
      <c r="F14" s="676">
        <v>0.11025919108453275</v>
      </c>
      <c r="G14" s="508">
        <v>0.1135237191650853</v>
      </c>
      <c r="H14" s="676">
        <v>0.14265260460067442</v>
      </c>
      <c r="I14" s="508">
        <v>9.4491986600638178E-2</v>
      </c>
      <c r="J14" s="676">
        <v>6.6307899290988681E-2</v>
      </c>
      <c r="K14" s="1470">
        <v>5.6785750750744768E-2</v>
      </c>
    </row>
    <row r="15" spans="1:11" ht="20" customHeight="1" thickBot="1">
      <c r="A15" s="302" t="s">
        <v>85</v>
      </c>
      <c r="B15" s="676">
        <v>0.10059931954872159</v>
      </c>
      <c r="C15" s="508">
        <v>-1.436310245549377E-2</v>
      </c>
      <c r="D15" s="676">
        <v>4.1078699180238321E-2</v>
      </c>
      <c r="E15" s="508">
        <v>1.9759019302495684E-2</v>
      </c>
      <c r="F15" s="676">
        <v>0.10134428428176978</v>
      </c>
      <c r="G15" s="508">
        <v>0.15724294821412976</v>
      </c>
      <c r="H15" s="676">
        <v>0.19852381476666681</v>
      </c>
      <c r="I15" s="508">
        <v>8.5230172244715741E-2</v>
      </c>
      <c r="J15" s="676">
        <v>6.5944283439479223E-2</v>
      </c>
      <c r="K15" s="1470">
        <v>8.2147456413630637E-2</v>
      </c>
    </row>
    <row r="16" spans="1:11" ht="20" customHeight="1" thickBot="1">
      <c r="A16" s="302" t="s">
        <v>86</v>
      </c>
      <c r="B16" s="676">
        <v>8.0245446324829217E-2</v>
      </c>
      <c r="C16" s="508">
        <v>-7.7227655353481195E-2</v>
      </c>
      <c r="D16" s="676">
        <v>2.4430417123930681E-3</v>
      </c>
      <c r="E16" s="508">
        <v>2.9670373900371638E-2</v>
      </c>
      <c r="F16" s="676">
        <v>0.10536131288220085</v>
      </c>
      <c r="G16" s="508">
        <v>0.14443483588621442</v>
      </c>
      <c r="H16" s="676">
        <v>0.18012395710709028</v>
      </c>
      <c r="I16" s="508">
        <v>0.10094937116983771</v>
      </c>
      <c r="J16" s="676">
        <v>6.9366532054653485E-2</v>
      </c>
      <c r="K16" s="1470">
        <v>6.8041138459975281E-2</v>
      </c>
    </row>
    <row r="17" spans="1:11" ht="20" customHeight="1" thickBot="1">
      <c r="A17" s="302" t="s">
        <v>87</v>
      </c>
      <c r="B17" s="676">
        <v>6.716363944691861E-2</v>
      </c>
      <c r="C17" s="508">
        <v>-6.3020317738560649E-2</v>
      </c>
      <c r="D17" s="676">
        <v>1.3501636281514795E-2</v>
      </c>
      <c r="E17" s="508">
        <v>6.758336659903863E-2</v>
      </c>
      <c r="F17" s="676">
        <v>0.15185458696026277</v>
      </c>
      <c r="G17" s="508">
        <v>0.14037359659310877</v>
      </c>
      <c r="H17" s="676">
        <v>0.1096470933051783</v>
      </c>
      <c r="I17" s="508">
        <v>5.2298313441715205E-2</v>
      </c>
      <c r="J17" s="676">
        <v>5.9220631792036071E-2</v>
      </c>
      <c r="K17" s="1470">
        <v>6.467198570520627E-2</v>
      </c>
    </row>
    <row r="18" spans="1:11" ht="20" customHeight="1" thickBot="1">
      <c r="A18" s="302" t="s">
        <v>88</v>
      </c>
      <c r="B18" s="676">
        <v>0.13621630771097482</v>
      </c>
      <c r="C18" s="508">
        <v>1.3593656464868875E-2</v>
      </c>
      <c r="D18" s="676">
        <v>2.701519080214565E-2</v>
      </c>
      <c r="E18" s="508">
        <v>4.050594618308101E-2</v>
      </c>
      <c r="F18" s="676">
        <v>5.1251988939087889E-2</v>
      </c>
      <c r="G18" s="508">
        <v>9.993324111822921E-2</v>
      </c>
      <c r="H18" s="676">
        <v>0.15873488112762724</v>
      </c>
      <c r="I18" s="508">
        <v>8.2483890119574133E-2</v>
      </c>
      <c r="J18" s="676">
        <v>5.5869995203030598E-2</v>
      </c>
      <c r="K18" s="1470">
        <v>7.2955519689099191E-2</v>
      </c>
    </row>
    <row r="19" spans="1:11" ht="20" customHeight="1" thickBot="1">
      <c r="A19" s="302" t="s">
        <v>89</v>
      </c>
      <c r="B19" s="676">
        <v>0.15152715969927022</v>
      </c>
      <c r="C19" s="508">
        <v>6.4719408712945459E-2</v>
      </c>
      <c r="D19" s="676">
        <v>9.0581296148655843E-2</v>
      </c>
      <c r="E19" s="508">
        <v>4.718018544307645E-2</v>
      </c>
      <c r="F19" s="676">
        <v>7.9210101899562124E-2</v>
      </c>
      <c r="G19" s="508">
        <v>0.15088050791723595</v>
      </c>
      <c r="H19" s="676">
        <v>0.16605474724559333</v>
      </c>
      <c r="I19" s="508">
        <v>0.14822157408025216</v>
      </c>
      <c r="J19" s="676">
        <v>3.6171409065625104E-2</v>
      </c>
      <c r="K19" s="1470">
        <v>0.10280860142053561</v>
      </c>
    </row>
    <row r="20" spans="1:11" ht="20" customHeight="1" thickBot="1">
      <c r="A20" s="302" t="s">
        <v>90</v>
      </c>
      <c r="B20" s="676">
        <v>0.138313161853306</v>
      </c>
      <c r="C20" s="508">
        <v>9.0721362515584492E-3</v>
      </c>
      <c r="D20" s="676">
        <v>1.9550927077232272E-2</v>
      </c>
      <c r="E20" s="508">
        <v>2.9735301686286908E-2</v>
      </c>
      <c r="F20" s="676">
        <v>8.8954682601370072E-2</v>
      </c>
      <c r="G20" s="508">
        <v>0.1496656488549617</v>
      </c>
      <c r="H20" s="676">
        <v>0.16236002294033391</v>
      </c>
      <c r="I20" s="508">
        <v>8.8480072911723218E-2</v>
      </c>
      <c r="J20" s="676">
        <v>4.1203146817191172E-2</v>
      </c>
      <c r="K20" s="1470">
        <v>7.9387505337880304E-2</v>
      </c>
    </row>
    <row r="21" spans="1:11" ht="20" customHeight="1" thickBot="1">
      <c r="A21" s="302" t="s">
        <v>91</v>
      </c>
      <c r="B21" s="676">
        <v>0.16213627024850141</v>
      </c>
      <c r="C21" s="508">
        <v>3.2073830560456429E-2</v>
      </c>
      <c r="D21" s="676">
        <v>7.2076887396088418E-2</v>
      </c>
      <c r="E21" s="508">
        <v>2.3581868515828441E-2</v>
      </c>
      <c r="F21" s="676">
        <v>6.444124443891619E-2</v>
      </c>
      <c r="G21" s="508">
        <v>0.18808924133898564</v>
      </c>
      <c r="H21" s="676">
        <v>0.13288520019486394</v>
      </c>
      <c r="I21" s="508">
        <v>7.2463566647827493E-2</v>
      </c>
      <c r="J21" s="676">
        <v>4.9582186952358498E-2</v>
      </c>
      <c r="K21" s="1470">
        <v>8.7224200982282118E-2</v>
      </c>
    </row>
    <row r="22" spans="1:11" ht="20" customHeight="1" thickBot="1">
      <c r="A22" s="302" t="s">
        <v>92</v>
      </c>
      <c r="B22" s="676">
        <v>0.11530248290676592</v>
      </c>
      <c r="C22" s="508">
        <v>-3.3062325792330371E-2</v>
      </c>
      <c r="D22" s="676">
        <v>-1.2582435883784715E-2</v>
      </c>
      <c r="E22" s="508">
        <v>2.2366196282294748E-2</v>
      </c>
      <c r="F22" s="676">
        <v>0.12165411008948612</v>
      </c>
      <c r="G22" s="508">
        <v>0.17689810359467883</v>
      </c>
      <c r="H22" s="676">
        <v>0.15899086599962819</v>
      </c>
      <c r="I22" s="508">
        <v>7.0747792827733136E-2</v>
      </c>
      <c r="J22" s="676">
        <v>6.0634901046303868E-2</v>
      </c>
      <c r="K22" s="1470">
        <v>7.3393159715634981E-2</v>
      </c>
    </row>
    <row r="23" spans="1:11" ht="20" customHeight="1" thickBot="1">
      <c r="A23" s="302" t="s">
        <v>93</v>
      </c>
      <c r="B23" s="676">
        <v>6.6714528046374566E-2</v>
      </c>
      <c r="C23" s="508">
        <v>-9.4667256803188438E-2</v>
      </c>
      <c r="D23" s="676">
        <v>-5.7019709454876333E-3</v>
      </c>
      <c r="E23" s="508">
        <v>1.0122864789200658E-2</v>
      </c>
      <c r="F23" s="676">
        <v>0.16555528879855186</v>
      </c>
      <c r="G23" s="508">
        <v>0.13998060716824057</v>
      </c>
      <c r="H23" s="676">
        <v>0.14314342540735758</v>
      </c>
      <c r="I23" s="508">
        <v>8.8054416901002686E-2</v>
      </c>
      <c r="J23" s="676">
        <v>5.9007093927303966E-2</v>
      </c>
      <c r="K23" s="1470">
        <v>6.0562870705973326E-2</v>
      </c>
    </row>
    <row r="24" spans="1:11" ht="20" customHeight="1" thickBot="1">
      <c r="A24" s="302" t="s">
        <v>94</v>
      </c>
      <c r="B24" s="676">
        <v>0.11141672230009814</v>
      </c>
      <c r="C24" s="508">
        <v>-2.6000978204538838E-2</v>
      </c>
      <c r="D24" s="676">
        <v>2.4236339607506707E-2</v>
      </c>
      <c r="E24" s="508">
        <v>3.2014617042798177E-2</v>
      </c>
      <c r="F24" s="676">
        <v>0.12898048348915259</v>
      </c>
      <c r="G24" s="508">
        <v>0.16168068866084306</v>
      </c>
      <c r="H24" s="676">
        <v>0.13664324198713373</v>
      </c>
      <c r="I24" s="508">
        <v>9.9490392176622811E-2</v>
      </c>
      <c r="J24" s="676">
        <v>5.8823629405381883E-2</v>
      </c>
      <c r="K24" s="1470">
        <v>7.920455253196601E-2</v>
      </c>
    </row>
    <row r="25" spans="1:11" ht="20" customHeight="1" thickBot="1">
      <c r="A25" s="302" t="s">
        <v>95</v>
      </c>
      <c r="B25" s="676">
        <v>0.1752339201546198</v>
      </c>
      <c r="C25" s="508">
        <v>-6.4381990195067851E-2</v>
      </c>
      <c r="D25" s="676">
        <v>-2.1214792143766092E-2</v>
      </c>
      <c r="E25" s="508">
        <v>5.5681528194034824E-2</v>
      </c>
      <c r="F25" s="676">
        <v>0.13434078136739491</v>
      </c>
      <c r="G25" s="508">
        <v>0.21008590348330913</v>
      </c>
      <c r="H25" s="676">
        <v>0.19919337252727454</v>
      </c>
      <c r="I25" s="508">
        <v>0.10531677246002169</v>
      </c>
      <c r="J25" s="676">
        <v>4.594361222011778E-2</v>
      </c>
      <c r="K25" s="1470">
        <v>8.9455987445755669E-2</v>
      </c>
    </row>
    <row r="26" spans="1:11" ht="20" customHeight="1" thickBot="1">
      <c r="A26" s="302" t="s">
        <v>96</v>
      </c>
      <c r="B26" s="676">
        <v>0.12738686957185741</v>
      </c>
      <c r="C26" s="508">
        <v>-1.887778898986836E-4</v>
      </c>
      <c r="D26" s="676">
        <v>3.9906181071561964E-2</v>
      </c>
      <c r="E26" s="508">
        <v>5.131005946777023E-2</v>
      </c>
      <c r="F26" s="676">
        <v>0.12543346969768687</v>
      </c>
      <c r="G26" s="508">
        <v>0.15444647865378625</v>
      </c>
      <c r="H26" s="676">
        <v>0.15538629987228769</v>
      </c>
      <c r="I26" s="508">
        <v>8.5329806916778272E-2</v>
      </c>
      <c r="J26" s="676">
        <v>5.5890616569092222E-2</v>
      </c>
      <c r="K26" s="1470">
        <v>8.7069963220922642E-2</v>
      </c>
    </row>
    <row r="27" spans="1:11" ht="20" customHeight="1" thickBot="1">
      <c r="A27" s="302" t="s">
        <v>97</v>
      </c>
      <c r="B27" s="676">
        <v>0.1676621855725855</v>
      </c>
      <c r="C27" s="508">
        <v>-4.8385716275637369E-3</v>
      </c>
      <c r="D27" s="676">
        <v>5.9877873956748928E-2</v>
      </c>
      <c r="E27" s="508">
        <v>3.074608833777015E-2</v>
      </c>
      <c r="F27" s="676">
        <v>0.14821529479854645</v>
      </c>
      <c r="G27" s="508">
        <v>0.19005530575539575</v>
      </c>
      <c r="H27" s="676">
        <v>0.1676732725452954</v>
      </c>
      <c r="I27" s="508">
        <v>7.1954421470885155E-2</v>
      </c>
      <c r="J27" s="676">
        <v>5.3832385123872672E-2</v>
      </c>
      <c r="K27" s="1470">
        <v>9.6331755796544849E-2</v>
      </c>
    </row>
    <row r="28" spans="1:11" ht="20" customHeight="1" thickBot="1">
      <c r="A28" s="302" t="s">
        <v>98</v>
      </c>
      <c r="B28" s="676">
        <v>9.6996879816964254E-2</v>
      </c>
      <c r="C28" s="508">
        <v>0.12113193491651697</v>
      </c>
      <c r="D28" s="676">
        <v>1.4003403955080485E-2</v>
      </c>
      <c r="E28" s="508">
        <v>1.0141826629378237E-2</v>
      </c>
      <c r="F28" s="676">
        <v>8.9714324091009434E-2</v>
      </c>
      <c r="G28" s="508">
        <v>0.15664707933740174</v>
      </c>
      <c r="H28" s="676">
        <v>0.20062051908951473</v>
      </c>
      <c r="I28" s="508">
        <v>8.3395096131486435E-2</v>
      </c>
      <c r="J28" s="676">
        <v>4.6148459949140408E-2</v>
      </c>
      <c r="K28" s="1470">
        <v>8.9371297305494979E-2</v>
      </c>
    </row>
    <row r="29" spans="1:11" ht="20" customHeight="1" thickBot="1">
      <c r="A29" s="302" t="s">
        <v>99</v>
      </c>
      <c r="B29" s="676">
        <v>4.2577198700370467E-2</v>
      </c>
      <c r="C29" s="508">
        <v>5.2076995625258693E-3</v>
      </c>
      <c r="D29" s="676">
        <v>1.7476572176503113E-2</v>
      </c>
      <c r="E29" s="508">
        <v>2.7051357722978953E-2</v>
      </c>
      <c r="F29" s="676">
        <v>0.1417559005652469</v>
      </c>
      <c r="G29" s="508">
        <v>0.10455378955114059</v>
      </c>
      <c r="H29" s="676">
        <v>0.17148741253514288</v>
      </c>
      <c r="I29" s="508">
        <v>4.5356824784184235E-2</v>
      </c>
      <c r="J29" s="676">
        <v>7.3512380572344105E-2</v>
      </c>
      <c r="K29" s="1470">
        <v>6.8521663935689814E-2</v>
      </c>
    </row>
    <row r="30" spans="1:11" ht="20" customHeight="1" thickBot="1">
      <c r="A30" s="302" t="s">
        <v>100</v>
      </c>
      <c r="B30" s="676">
        <v>5.0049093300743586E-3</v>
      </c>
      <c r="C30" s="508">
        <v>-0.1057248460745015</v>
      </c>
      <c r="D30" s="676">
        <v>1.4926162626151651E-2</v>
      </c>
      <c r="E30" s="508">
        <v>1.4397417347216779E-2</v>
      </c>
      <c r="F30" s="676">
        <v>0.11747581064772961</v>
      </c>
      <c r="G30" s="508">
        <v>0.13621957191375089</v>
      </c>
      <c r="H30" s="676">
        <v>0.1417886792389873</v>
      </c>
      <c r="I30" s="508">
        <v>0.10073409466629801</v>
      </c>
      <c r="J30" s="676">
        <v>6.534375863097619E-2</v>
      </c>
      <c r="K30" s="1470">
        <v>5.1622881905236007E-2</v>
      </c>
    </row>
    <row r="31" spans="1:11" ht="20" customHeight="1" thickBot="1">
      <c r="A31" s="302" t="s">
        <v>101</v>
      </c>
      <c r="B31" s="676">
        <v>0.12216343354785519</v>
      </c>
      <c r="C31" s="508">
        <v>-1.3967119317599197E-2</v>
      </c>
      <c r="D31" s="676">
        <v>7.4644210638974196E-2</v>
      </c>
      <c r="E31" s="508">
        <v>4.4641091015261036E-2</v>
      </c>
      <c r="F31" s="676">
        <v>0.12082629500605302</v>
      </c>
      <c r="G31" s="508">
        <v>0.16193736895865807</v>
      </c>
      <c r="H31" s="676">
        <v>0.19040741635770031</v>
      </c>
      <c r="I31" s="508">
        <v>6.3334021286113984E-2</v>
      </c>
      <c r="J31" s="676">
        <v>6.098530540698488E-2</v>
      </c>
      <c r="K31" s="1470">
        <v>9.0038085611295449E-2</v>
      </c>
    </row>
    <row r="32" spans="1:11" ht="20" customHeight="1" thickBot="1">
      <c r="A32" s="302" t="s">
        <v>102</v>
      </c>
      <c r="B32" s="676">
        <v>7.124157591061886E-2</v>
      </c>
      <c r="C32" s="508">
        <v>-2.5706100041421487E-2</v>
      </c>
      <c r="D32" s="676">
        <v>4.4117335885504039E-2</v>
      </c>
      <c r="E32" s="508">
        <v>5.7176324510263221E-2</v>
      </c>
      <c r="F32" s="676">
        <v>0.15172871854170844</v>
      </c>
      <c r="G32" s="508">
        <v>0.10277287843330463</v>
      </c>
      <c r="H32" s="676">
        <v>0.12999374279581044</v>
      </c>
      <c r="I32" s="508">
        <v>5.3377149148676084E-2</v>
      </c>
      <c r="J32" s="676">
        <v>7.7931724133442293E-2</v>
      </c>
      <c r="K32" s="1470">
        <v>7.2496127948189715E-2</v>
      </c>
    </row>
    <row r="33" spans="1:13" ht="20" customHeight="1" thickBot="1">
      <c r="A33" s="302" t="s">
        <v>103</v>
      </c>
      <c r="B33" s="676">
        <v>7.7840050190767895E-2</v>
      </c>
      <c r="C33" s="508">
        <v>-1.3358248345303636E-2</v>
      </c>
      <c r="D33" s="676">
        <v>-4.6514913681057202E-3</v>
      </c>
      <c r="E33" s="508">
        <v>5.4186935967129646E-2</v>
      </c>
      <c r="F33" s="676">
        <v>0.21923024629118038</v>
      </c>
      <c r="G33" s="508">
        <v>0.11460915492957757</v>
      </c>
      <c r="H33" s="676">
        <v>0.15696093851188908</v>
      </c>
      <c r="I33" s="508">
        <v>7.7519038864621859E-2</v>
      </c>
      <c r="J33" s="676">
        <v>5.4204609478968768E-2</v>
      </c>
      <c r="K33" s="1470">
        <v>7.963248728290595E-2</v>
      </c>
      <c r="L33" s="43"/>
      <c r="M33" s="43"/>
    </row>
    <row r="34" spans="1:13" ht="30" customHeight="1" thickBot="1">
      <c r="A34" s="12" t="s">
        <v>104</v>
      </c>
      <c r="B34" s="697">
        <v>8.6558371467537087E-2</v>
      </c>
      <c r="C34" s="541">
        <v>5.0920050587330845E-3</v>
      </c>
      <c r="D34" s="697">
        <v>3.9289301934081866E-2</v>
      </c>
      <c r="E34" s="541">
        <v>3.4559300320813779E-2</v>
      </c>
      <c r="F34" s="697">
        <v>0.11172026305650617</v>
      </c>
      <c r="G34" s="541">
        <v>0.14982085864992989</v>
      </c>
      <c r="H34" s="318">
        <v>0.15398318795447397</v>
      </c>
      <c r="I34" s="335">
        <v>7.3287323228259371E-2</v>
      </c>
      <c r="J34" s="318">
        <v>5.5339995699272171E-2</v>
      </c>
      <c r="K34" s="1471">
        <v>7.775607346716229E-2</v>
      </c>
    </row>
    <row r="35" spans="1:13" ht="20" customHeight="1">
      <c r="A35" s="9" t="s">
        <v>290</v>
      </c>
      <c r="B35" s="319"/>
      <c r="C35" s="319"/>
      <c r="D35" s="319"/>
      <c r="E35" s="319"/>
      <c r="F35" s="319"/>
      <c r="G35" s="679"/>
    </row>
    <row r="36" spans="1:13" ht="15.75" customHeight="1">
      <c r="A36" s="37"/>
      <c r="B36" s="320"/>
      <c r="C36" s="320"/>
      <c r="D36" s="320"/>
      <c r="E36" s="320"/>
      <c r="F36" s="320"/>
      <c r="G36" s="680"/>
    </row>
    <row r="37" spans="1:13" ht="20" customHeight="1">
      <c r="A37" s="37" t="s">
        <v>1733</v>
      </c>
      <c r="B37" s="320"/>
      <c r="C37" s="320"/>
      <c r="D37" s="320"/>
      <c r="E37" s="320"/>
      <c r="F37" s="320"/>
      <c r="G37" s="680"/>
    </row>
    <row r="38" spans="1:13" ht="12.75" customHeight="1">
      <c r="A38" s="37"/>
      <c r="B38" s="320"/>
      <c r="C38" s="320"/>
      <c r="D38" s="320"/>
      <c r="E38" s="320"/>
      <c r="F38" s="320"/>
      <c r="G38" s="680"/>
    </row>
    <row r="39" spans="1:13" ht="12.75" customHeight="1">
      <c r="A39" s="37" t="s">
        <v>1734</v>
      </c>
      <c r="B39" s="320"/>
      <c r="C39" s="320"/>
      <c r="D39" s="320"/>
      <c r="E39" s="320"/>
      <c r="F39" s="320"/>
      <c r="G39" s="680"/>
    </row>
    <row r="40" spans="1:13">
      <c r="A40" s="681" t="s">
        <v>320</v>
      </c>
    </row>
    <row r="43" spans="1:13">
      <c r="A43" s="3" t="s">
        <v>256</v>
      </c>
    </row>
  </sheetData>
  <phoneticPr fontId="0" type="noConversion"/>
  <pageMargins left="0.51" right="0.47" top="0.78" bottom="0.49" header="0.47" footer="0.4921259845"/>
  <pageSetup paperSize="9" scale="72" orientation="portrait" horizontalDpi="4294967292" verticalDpi="4294967292"/>
  <headerFooter alignWithMargins="0">
    <oddHeader>&amp;L&amp;"Arial,Bold"Prämientarife in der OKP</oddHead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43C67-1D9A-7248-BA95-A5440590C589}">
  <sheetPr>
    <pageSetUpPr fitToPage="1"/>
  </sheetPr>
  <dimension ref="A1:L41"/>
  <sheetViews>
    <sheetView zoomScale="75" workbookViewId="0">
      <selection activeCell="A2" sqref="A2"/>
    </sheetView>
  </sheetViews>
  <sheetFormatPr baseColWidth="10" defaultColWidth="11.3984375" defaultRowHeight="13"/>
  <cols>
    <col min="1" max="1" width="11.19921875" style="3" customWidth="1"/>
    <col min="2" max="2" width="11.19921875" style="3" hidden="1" customWidth="1"/>
    <col min="3" max="12" width="10.19921875" style="3" customWidth="1"/>
    <col min="13" max="16384" width="11.3984375" style="3"/>
  </cols>
  <sheetData>
    <row r="1" spans="1:12" s="1" customFormat="1" ht="14" customHeight="1"/>
    <row r="2" spans="1:12" s="1" customFormat="1" ht="28" customHeight="1">
      <c r="A2" s="59" t="s">
        <v>325</v>
      </c>
    </row>
    <row r="3" spans="1:12" ht="24" customHeight="1">
      <c r="A3" s="2" t="s">
        <v>70</v>
      </c>
      <c r="B3" s="69">
        <v>1996</v>
      </c>
      <c r="C3" s="69" t="s">
        <v>299</v>
      </c>
      <c r="D3" s="16">
        <v>1997</v>
      </c>
      <c r="E3" s="69">
        <v>1998</v>
      </c>
      <c r="F3" s="16">
        <v>1999</v>
      </c>
      <c r="G3" s="69">
        <v>2000</v>
      </c>
      <c r="H3" s="16">
        <v>2001</v>
      </c>
      <c r="I3" s="69">
        <v>2002</v>
      </c>
      <c r="J3" s="16">
        <v>2003</v>
      </c>
      <c r="K3" s="69">
        <v>2004</v>
      </c>
      <c r="L3" s="16">
        <v>2005</v>
      </c>
    </row>
    <row r="4" spans="1:12" ht="15" customHeight="1">
      <c r="A4" s="77"/>
      <c r="B4" s="70"/>
      <c r="C4" s="682"/>
      <c r="D4" s="17"/>
      <c r="E4" s="70"/>
      <c r="F4" s="17"/>
      <c r="G4" s="70"/>
      <c r="H4" s="17"/>
      <c r="I4" s="70"/>
      <c r="J4" s="17"/>
      <c r="K4" s="70"/>
      <c r="L4" s="17"/>
    </row>
    <row r="5" spans="1:12" ht="16" customHeight="1">
      <c r="A5" s="78"/>
      <c r="B5" s="73"/>
      <c r="C5" s="73"/>
      <c r="D5" s="18"/>
      <c r="E5" s="73"/>
      <c r="F5" s="18"/>
      <c r="G5" s="15"/>
      <c r="H5" s="62"/>
      <c r="I5" s="73"/>
      <c r="J5" s="18"/>
      <c r="K5" s="73"/>
      <c r="L5" s="18"/>
    </row>
    <row r="6" spans="1:12" ht="30" customHeight="1" thickBot="1">
      <c r="A6" s="297" t="s">
        <v>78</v>
      </c>
      <c r="B6" s="19">
        <v>41.718753671585276</v>
      </c>
      <c r="C6" s="683">
        <v>48.623124808862244</v>
      </c>
      <c r="D6" s="684">
        <v>49.463482306636379</v>
      </c>
      <c r="E6" s="683">
        <v>50.318363772724794</v>
      </c>
      <c r="F6" s="684">
        <v>53.013812330781704</v>
      </c>
      <c r="G6" s="683">
        <v>55.255514362971027</v>
      </c>
      <c r="H6" s="684">
        <v>57.87</v>
      </c>
      <c r="I6" s="683">
        <v>63.425809999999998</v>
      </c>
      <c r="J6" s="685">
        <v>69.532570000000007</v>
      </c>
      <c r="K6" s="28">
        <v>72.39</v>
      </c>
      <c r="L6" s="685">
        <v>71.143465364966588</v>
      </c>
    </row>
    <row r="7" spans="1:12" ht="20" customHeight="1" thickBot="1">
      <c r="A7" s="302" t="s">
        <v>79</v>
      </c>
      <c r="B7" s="29">
        <v>43.262386429302111</v>
      </c>
      <c r="C7" s="686">
        <v>47.850944795402114</v>
      </c>
      <c r="D7" s="687">
        <v>48.815905481405821</v>
      </c>
      <c r="E7" s="686">
        <v>49.800325535025237</v>
      </c>
      <c r="F7" s="687">
        <v>52.917628328055834</v>
      </c>
      <c r="G7" s="686">
        <v>54.167464738283748</v>
      </c>
      <c r="H7" s="687">
        <v>56.07</v>
      </c>
      <c r="I7" s="686">
        <v>62.33831</v>
      </c>
      <c r="J7" s="687">
        <v>68.851010000000002</v>
      </c>
      <c r="K7" s="28">
        <v>71.97</v>
      </c>
      <c r="L7" s="687">
        <v>71.799993741828587</v>
      </c>
    </row>
    <row r="8" spans="1:12" ht="20" customHeight="1" thickBot="1">
      <c r="A8" s="302" t="s">
        <v>80</v>
      </c>
      <c r="B8" s="29">
        <v>35.431055547687443</v>
      </c>
      <c r="C8" s="686">
        <v>36.559398807841738</v>
      </c>
      <c r="D8" s="687">
        <v>37.771959469685505</v>
      </c>
      <c r="E8" s="686">
        <v>39.024736967872208</v>
      </c>
      <c r="F8" s="687">
        <v>39.205738865192295</v>
      </c>
      <c r="G8" s="686">
        <v>41.56641556075305</v>
      </c>
      <c r="H8" s="687">
        <v>44.3</v>
      </c>
      <c r="I8" s="686">
        <v>48.980910000000002</v>
      </c>
      <c r="J8" s="687">
        <v>54.38438</v>
      </c>
      <c r="K8" s="28">
        <v>56.91</v>
      </c>
      <c r="L8" s="687">
        <v>58.357895238113684</v>
      </c>
    </row>
    <row r="9" spans="1:12" ht="20" customHeight="1" thickBot="1">
      <c r="A9" s="302" t="s">
        <v>81</v>
      </c>
      <c r="B9" s="29">
        <v>36.226433792447438</v>
      </c>
      <c r="C9" s="686">
        <v>39.195508348405333</v>
      </c>
      <c r="D9" s="687">
        <v>39.05961451588616</v>
      </c>
      <c r="E9" s="686">
        <v>38.924191837703162</v>
      </c>
      <c r="F9" s="687">
        <v>38.919598278799377</v>
      </c>
      <c r="G9" s="686">
        <v>39.98278042622718</v>
      </c>
      <c r="H9" s="687">
        <v>41.73</v>
      </c>
      <c r="I9" s="686">
        <v>46.114289999999997</v>
      </c>
      <c r="J9" s="687">
        <v>51.525869999999998</v>
      </c>
      <c r="K9" s="28">
        <v>53.28</v>
      </c>
      <c r="L9" s="687">
        <v>53.993688496421697</v>
      </c>
    </row>
    <row r="10" spans="1:12" ht="20" customHeight="1" thickBot="1">
      <c r="A10" s="302" t="s">
        <v>82</v>
      </c>
      <c r="B10" s="29">
        <v>35.409999042794709</v>
      </c>
      <c r="C10" s="686">
        <v>40.853033267557798</v>
      </c>
      <c r="D10" s="687">
        <v>40.712079944129485</v>
      </c>
      <c r="E10" s="686">
        <v>40.57161294540699</v>
      </c>
      <c r="F10" s="687">
        <v>40.587244523046742</v>
      </c>
      <c r="G10" s="686">
        <v>41.513266884274493</v>
      </c>
      <c r="H10" s="687">
        <v>43.94</v>
      </c>
      <c r="I10" s="686">
        <v>49.170670000000001</v>
      </c>
      <c r="J10" s="687">
        <v>54.933639999999997</v>
      </c>
      <c r="K10" s="28">
        <v>57.27</v>
      </c>
      <c r="L10" s="687">
        <v>58.5178217736985</v>
      </c>
    </row>
    <row r="11" spans="1:12" ht="20" customHeight="1" thickBot="1">
      <c r="A11" s="302" t="s">
        <v>83</v>
      </c>
      <c r="B11" s="29">
        <v>36.653282798397214</v>
      </c>
      <c r="C11" s="686">
        <v>41.100529884767042</v>
      </c>
      <c r="D11" s="687">
        <v>40.089048760991204</v>
      </c>
      <c r="E11" s="686">
        <v>39.102460115892001</v>
      </c>
      <c r="F11" s="687">
        <v>39.41021611490568</v>
      </c>
      <c r="G11" s="686">
        <v>40.642995823188755</v>
      </c>
      <c r="H11" s="687">
        <v>42.6</v>
      </c>
      <c r="I11" s="686">
        <v>45.837009999999999</v>
      </c>
      <c r="J11" s="687">
        <v>49.250610000000002</v>
      </c>
      <c r="K11" s="28">
        <v>51.14</v>
      </c>
      <c r="L11" s="687">
        <v>51.996797969440962</v>
      </c>
    </row>
    <row r="12" spans="1:12" ht="20" customHeight="1" thickBot="1">
      <c r="A12" s="302" t="s">
        <v>84</v>
      </c>
      <c r="B12" s="29">
        <v>35.740646131932074</v>
      </c>
      <c r="C12" s="686">
        <v>39.866934485882474</v>
      </c>
      <c r="D12" s="687">
        <v>38.902467685076381</v>
      </c>
      <c r="E12" s="686">
        <v>37.961333408374607</v>
      </c>
      <c r="F12" s="687">
        <v>37.488602413777578</v>
      </c>
      <c r="G12" s="686">
        <v>38.582415416158433</v>
      </c>
      <c r="H12" s="687">
        <v>40.46</v>
      </c>
      <c r="I12" s="686">
        <v>43.951790000000003</v>
      </c>
      <c r="J12" s="687">
        <v>48.316870000000002</v>
      </c>
      <c r="K12" s="28">
        <v>50.08</v>
      </c>
      <c r="L12" s="687">
        <v>50.894153047774623</v>
      </c>
    </row>
    <row r="13" spans="1:12" ht="20" customHeight="1" thickBot="1">
      <c r="A13" s="302" t="s">
        <v>85</v>
      </c>
      <c r="B13" s="29">
        <v>34.656615291496252</v>
      </c>
      <c r="C13" s="686">
        <v>38.69665897380591</v>
      </c>
      <c r="D13" s="687">
        <v>38.623441674087267</v>
      </c>
      <c r="E13" s="686">
        <v>38.550362907593978</v>
      </c>
      <c r="F13" s="687">
        <v>40.192322472448488</v>
      </c>
      <c r="G13" s="686">
        <v>41.094264828779039</v>
      </c>
      <c r="H13" s="687">
        <v>44.09</v>
      </c>
      <c r="I13" s="686">
        <v>49.420699999999997</v>
      </c>
      <c r="J13" s="687">
        <v>56.229599999999998</v>
      </c>
      <c r="K13" s="28">
        <v>58.87</v>
      </c>
      <c r="L13" s="687">
        <v>58.413925647594262</v>
      </c>
    </row>
    <row r="14" spans="1:12" ht="20" customHeight="1" thickBot="1">
      <c r="A14" s="302" t="s">
        <v>86</v>
      </c>
      <c r="B14" s="29">
        <v>36.639340808245812</v>
      </c>
      <c r="C14" s="686">
        <v>42.959952271999612</v>
      </c>
      <c r="D14" s="687">
        <v>41.234852450764485</v>
      </c>
      <c r="E14" s="686">
        <v>39.579025737059446</v>
      </c>
      <c r="F14" s="687">
        <v>39.824251186401611</v>
      </c>
      <c r="G14" s="686">
        <v>41.290124723913671</v>
      </c>
      <c r="H14" s="687">
        <v>43.54</v>
      </c>
      <c r="I14" s="686">
        <v>48.346510000000002</v>
      </c>
      <c r="J14" s="687">
        <v>54.650489999999998</v>
      </c>
      <c r="K14" s="28">
        <v>57.49</v>
      </c>
      <c r="L14" s="687">
        <v>58.330476837688686</v>
      </c>
    </row>
    <row r="15" spans="1:12" ht="20" customHeight="1" thickBot="1">
      <c r="A15" s="302" t="s">
        <v>87</v>
      </c>
      <c r="B15" s="29">
        <v>48.51028508862985</v>
      </c>
      <c r="C15" s="686">
        <v>53.136312542552758</v>
      </c>
      <c r="D15" s="687">
        <v>52.797310620851235</v>
      </c>
      <c r="E15" s="686">
        <v>52.460471481951494</v>
      </c>
      <c r="F15" s="687">
        <v>52.488688974196272</v>
      </c>
      <c r="G15" s="686">
        <v>54.825350997568805</v>
      </c>
      <c r="H15" s="687">
        <v>56.92</v>
      </c>
      <c r="I15" s="686">
        <v>61.386839999999999</v>
      </c>
      <c r="J15" s="687">
        <v>65.283850000000001</v>
      </c>
      <c r="K15" s="28">
        <v>66.430000000000007</v>
      </c>
      <c r="L15" s="687">
        <v>67.333016467085358</v>
      </c>
    </row>
    <row r="16" spans="1:12" ht="20" customHeight="1" thickBot="1">
      <c r="A16" s="302" t="s">
        <v>88</v>
      </c>
      <c r="B16" s="29">
        <v>35.379722200083393</v>
      </c>
      <c r="C16" s="686">
        <v>43.698825059972535</v>
      </c>
      <c r="D16" s="687">
        <v>45.139238759182142</v>
      </c>
      <c r="E16" s="686">
        <v>46.627131804164158</v>
      </c>
      <c r="F16" s="687">
        <v>48.122314081303209</v>
      </c>
      <c r="G16" s="686">
        <v>50.2937322719145</v>
      </c>
      <c r="H16" s="687">
        <v>52.23</v>
      </c>
      <c r="I16" s="686">
        <v>55.529260000000001</v>
      </c>
      <c r="J16" s="687">
        <v>61.430140000000002</v>
      </c>
      <c r="K16" s="28">
        <v>64.650000000000006</v>
      </c>
      <c r="L16" s="687">
        <v>64.975847324237691</v>
      </c>
    </row>
    <row r="17" spans="1:12" ht="20" customHeight="1" thickBot="1">
      <c r="A17" s="302" t="s">
        <v>89</v>
      </c>
      <c r="B17" s="29">
        <v>49.802437633137387</v>
      </c>
      <c r="C17" s="686">
        <v>55.608376352079588</v>
      </c>
      <c r="D17" s="687">
        <v>59.155353266577968</v>
      </c>
      <c r="E17" s="686">
        <v>62.92857388854101</v>
      </c>
      <c r="F17" s="687">
        <v>68.475240112711333</v>
      </c>
      <c r="G17" s="686">
        <v>71.798648406979126</v>
      </c>
      <c r="H17" s="687">
        <v>75.72</v>
      </c>
      <c r="I17" s="686">
        <v>82.667259999999999</v>
      </c>
      <c r="J17" s="687">
        <v>90.215479999999999</v>
      </c>
      <c r="K17" s="28">
        <v>95.33</v>
      </c>
      <c r="L17" s="687">
        <v>96.23377831835252</v>
      </c>
    </row>
    <row r="18" spans="1:12" ht="20" customHeight="1" thickBot="1">
      <c r="A18" s="302" t="s">
        <v>90</v>
      </c>
      <c r="B18" s="29">
        <v>41.943975664072163</v>
      </c>
      <c r="C18" s="686">
        <v>48.73882289363096</v>
      </c>
      <c r="D18" s="687">
        <v>50.407676162950722</v>
      </c>
      <c r="E18" s="686">
        <v>52.13367219996919</v>
      </c>
      <c r="F18" s="687">
        <v>53.269683230627017</v>
      </c>
      <c r="G18" s="686">
        <v>55.417669457793103</v>
      </c>
      <c r="H18" s="687">
        <v>57.9</v>
      </c>
      <c r="I18" s="686">
        <v>63.903820000000003</v>
      </c>
      <c r="J18" s="687">
        <v>70.882249999999999</v>
      </c>
      <c r="K18" s="28">
        <v>73.53</v>
      </c>
      <c r="L18" s="687">
        <v>73.661902515574909</v>
      </c>
    </row>
    <row r="19" spans="1:12" ht="20" customHeight="1" thickBot="1">
      <c r="A19" s="302" t="s">
        <v>91</v>
      </c>
      <c r="B19" s="29">
        <v>36.575020697081818</v>
      </c>
      <c r="C19" s="686">
        <v>43.363014743291892</v>
      </c>
      <c r="D19" s="687">
        <v>43.743997054720204</v>
      </c>
      <c r="E19" s="686">
        <v>44.128326631611507</v>
      </c>
      <c r="F19" s="687">
        <v>47.147867343025055</v>
      </c>
      <c r="G19" s="686">
        <v>49.138359447703145</v>
      </c>
      <c r="H19" s="687">
        <v>51.27</v>
      </c>
      <c r="I19" s="686">
        <v>59.141860000000001</v>
      </c>
      <c r="J19" s="687">
        <v>64.781949999999995</v>
      </c>
      <c r="K19" s="28">
        <v>67.66</v>
      </c>
      <c r="L19" s="687">
        <v>67.727635537495416</v>
      </c>
    </row>
    <row r="20" spans="1:12" ht="20" customHeight="1" thickBot="1">
      <c r="A20" s="302" t="s">
        <v>92</v>
      </c>
      <c r="B20" s="29">
        <v>33.407080929158951</v>
      </c>
      <c r="C20" s="686">
        <v>38.928380905268767</v>
      </c>
      <c r="D20" s="687">
        <v>38.208469914040116</v>
      </c>
      <c r="E20" s="686">
        <v>37.501872392913214</v>
      </c>
      <c r="F20" s="687">
        <v>37.487556354175133</v>
      </c>
      <c r="G20" s="686">
        <v>38.283417332687009</v>
      </c>
      <c r="H20" s="687">
        <v>40.82</v>
      </c>
      <c r="I20" s="686">
        <v>45.358510000000003</v>
      </c>
      <c r="J20" s="687">
        <v>50.411659999999998</v>
      </c>
      <c r="K20" s="28">
        <v>52.4</v>
      </c>
      <c r="L20" s="687">
        <v>52.679216017947418</v>
      </c>
    </row>
    <row r="21" spans="1:12" ht="20" customHeight="1" thickBot="1">
      <c r="A21" s="302" t="s">
        <v>93</v>
      </c>
      <c r="B21" s="29">
        <v>32.853731323273763</v>
      </c>
      <c r="C21" s="686">
        <v>37.826647940838654</v>
      </c>
      <c r="D21" s="687">
        <v>36.04614126880314</v>
      </c>
      <c r="E21" s="686">
        <v>34.349443344878779</v>
      </c>
      <c r="F21" s="687">
        <v>34.115438111975898</v>
      </c>
      <c r="G21" s="686">
        <v>34.538117356336265</v>
      </c>
      <c r="H21" s="687">
        <v>37.409999999999997</v>
      </c>
      <c r="I21" s="686">
        <v>40.66377</v>
      </c>
      <c r="J21" s="687">
        <v>44.770470000000003</v>
      </c>
      <c r="K21" s="28">
        <v>46.87</v>
      </c>
      <c r="L21" s="687">
        <v>47.628780512439704</v>
      </c>
    </row>
    <row r="22" spans="1:12" ht="20" customHeight="1" thickBot="1">
      <c r="A22" s="302" t="s">
        <v>94</v>
      </c>
      <c r="B22" s="29">
        <v>34.998635932327019</v>
      </c>
      <c r="C22" s="686">
        <v>40.172667812497217</v>
      </c>
      <c r="D22" s="687">
        <v>40.242319517530895</v>
      </c>
      <c r="E22" s="686">
        <v>40.312091985269127</v>
      </c>
      <c r="F22" s="687">
        <v>40.988240996996879</v>
      </c>
      <c r="G22" s="686">
        <v>42.319009021309192</v>
      </c>
      <c r="H22" s="687">
        <v>44.87</v>
      </c>
      <c r="I22" s="686">
        <v>49.452069999999999</v>
      </c>
      <c r="J22" s="687">
        <v>53.806179999999998</v>
      </c>
      <c r="K22" s="28">
        <v>57.16</v>
      </c>
      <c r="L22" s="687">
        <v>58.07834299500238</v>
      </c>
    </row>
    <row r="23" spans="1:12" ht="20" customHeight="1" thickBot="1">
      <c r="A23" s="302" t="s">
        <v>95</v>
      </c>
      <c r="B23" s="29">
        <v>32.952640897764887</v>
      </c>
      <c r="C23" s="686">
        <v>41.835502483503376</v>
      </c>
      <c r="D23" s="687">
        <v>39.622198567834332</v>
      </c>
      <c r="E23" s="686">
        <v>37.525989318950934</v>
      </c>
      <c r="F23" s="687">
        <v>37.77391368135067</v>
      </c>
      <c r="G23" s="686">
        <v>39.750026255583869</v>
      </c>
      <c r="H23" s="687">
        <v>42.77</v>
      </c>
      <c r="I23" s="686">
        <v>49.12473</v>
      </c>
      <c r="J23" s="687">
        <v>55.57593</v>
      </c>
      <c r="K23" s="28">
        <v>58.57</v>
      </c>
      <c r="L23" s="687">
        <v>58.114611822119521</v>
      </c>
    </row>
    <row r="24" spans="1:12" ht="20" customHeight="1" thickBot="1">
      <c r="A24" s="302" t="s">
        <v>96</v>
      </c>
      <c r="B24" s="29">
        <v>28.585234891458057</v>
      </c>
      <c r="C24" s="686">
        <v>39.150533178462055</v>
      </c>
      <c r="D24" s="687">
        <v>39.999932557539303</v>
      </c>
      <c r="E24" s="686">
        <v>40.867760275814078</v>
      </c>
      <c r="F24" s="687">
        <v>43.09740090145656</v>
      </c>
      <c r="G24" s="686">
        <v>45.488728140942797</v>
      </c>
      <c r="H24" s="687">
        <v>49.16</v>
      </c>
      <c r="I24" s="686">
        <v>54.710949999999997</v>
      </c>
      <c r="J24" s="687">
        <v>60.209690000000002</v>
      </c>
      <c r="K24" s="28">
        <v>63.06</v>
      </c>
      <c r="L24" s="687">
        <v>62.755689744103172</v>
      </c>
    </row>
    <row r="25" spans="1:12" ht="20" customHeight="1" thickBot="1">
      <c r="A25" s="302" t="s">
        <v>97</v>
      </c>
      <c r="B25" s="29">
        <v>34.888516622037422</v>
      </c>
      <c r="C25" s="686">
        <v>41.845829594912111</v>
      </c>
      <c r="D25" s="687">
        <v>42.307563867089662</v>
      </c>
      <c r="E25" s="686">
        <v>42.774392996751637</v>
      </c>
      <c r="F25" s="687">
        <v>45.224448958677044</v>
      </c>
      <c r="G25" s="686">
        <v>46.859517817001347</v>
      </c>
      <c r="H25" s="687">
        <v>51.33</v>
      </c>
      <c r="I25" s="686">
        <v>58.294269999999997</v>
      </c>
      <c r="J25" s="687">
        <v>64.791269999999997</v>
      </c>
      <c r="K25" s="28">
        <v>67.77</v>
      </c>
      <c r="L25" s="687">
        <v>67.137751183768685</v>
      </c>
    </row>
    <row r="26" spans="1:12" ht="20" customHeight="1" thickBot="1">
      <c r="A26" s="302" t="s">
        <v>98</v>
      </c>
      <c r="B26" s="29">
        <v>60.9754826368548</v>
      </c>
      <c r="C26" s="686">
        <v>72.894106500725968</v>
      </c>
      <c r="D26" s="687">
        <v>69.236727717337061</v>
      </c>
      <c r="E26" s="686">
        <v>65.762853749458174</v>
      </c>
      <c r="F26" s="687">
        <v>66.363292805326296</v>
      </c>
      <c r="G26" s="686">
        <v>67.274446818129505</v>
      </c>
      <c r="H26" s="687">
        <v>69.28</v>
      </c>
      <c r="I26" s="686">
        <v>75.362449999999995</v>
      </c>
      <c r="J26" s="687">
        <v>81.438580000000002</v>
      </c>
      <c r="K26" s="28">
        <v>86.57</v>
      </c>
      <c r="L26" s="687">
        <v>84.714167476335049</v>
      </c>
    </row>
    <row r="27" spans="1:12" ht="20" customHeight="1" thickBot="1">
      <c r="A27" s="302" t="s">
        <v>99</v>
      </c>
      <c r="B27" s="29">
        <v>75.856129550277231</v>
      </c>
      <c r="C27" s="686">
        <v>82.765787216160703</v>
      </c>
      <c r="D27" s="687">
        <v>80.144189924253979</v>
      </c>
      <c r="E27" s="686">
        <v>77.605631440918998</v>
      </c>
      <c r="F27" s="687">
        <v>78.121876774646324</v>
      </c>
      <c r="G27" s="686">
        <v>79.210640099703042</v>
      </c>
      <c r="H27" s="687">
        <v>80.73</v>
      </c>
      <c r="I27" s="686">
        <v>85.726100000000002</v>
      </c>
      <c r="J27" s="687">
        <v>91.803979999999996</v>
      </c>
      <c r="K27" s="28">
        <v>93.22</v>
      </c>
      <c r="L27" s="687">
        <v>92.598065538322643</v>
      </c>
    </row>
    <row r="28" spans="1:12" ht="20" customHeight="1" thickBot="1">
      <c r="A28" s="302" t="s">
        <v>100</v>
      </c>
      <c r="B28" s="29">
        <v>48.560499657043145</v>
      </c>
      <c r="C28" s="686">
        <v>53.667414952103677</v>
      </c>
      <c r="D28" s="687">
        <v>50.358968764082256</v>
      </c>
      <c r="E28" s="686">
        <v>47.254479039937515</v>
      </c>
      <c r="F28" s="687">
        <v>47.200711518046234</v>
      </c>
      <c r="G28" s="686">
        <v>47.401333618583557</v>
      </c>
      <c r="H28" s="687">
        <v>48.57</v>
      </c>
      <c r="I28" s="686">
        <v>51.963740000000001</v>
      </c>
      <c r="J28" s="687">
        <v>56.395269999999996</v>
      </c>
      <c r="K28" s="28">
        <v>59.45</v>
      </c>
      <c r="L28" s="687">
        <v>60.498362656551102</v>
      </c>
    </row>
    <row r="29" spans="1:12" ht="20" customHeight="1" thickBot="1">
      <c r="A29" s="302" t="s">
        <v>101</v>
      </c>
      <c r="B29" s="29">
        <v>53.187830680760385</v>
      </c>
      <c r="C29" s="686">
        <v>59.105429644437542</v>
      </c>
      <c r="D29" s="687">
        <v>61.190638095238093</v>
      </c>
      <c r="E29" s="686">
        <v>63.349411602742357</v>
      </c>
      <c r="F29" s="687">
        <v>66.14797337310975</v>
      </c>
      <c r="G29" s="686">
        <v>68.133447129993144</v>
      </c>
      <c r="H29" s="687">
        <v>68.64</v>
      </c>
      <c r="I29" s="686">
        <v>75.354849999999999</v>
      </c>
      <c r="J29" s="687">
        <v>81.656689999999998</v>
      </c>
      <c r="K29" s="28">
        <v>83.8</v>
      </c>
      <c r="L29" s="687">
        <v>83.942605884006937</v>
      </c>
    </row>
    <row r="30" spans="1:12" ht="20" customHeight="1" thickBot="1">
      <c r="A30" s="302" t="s">
        <v>102</v>
      </c>
      <c r="B30" s="29">
        <v>73.007835599444448</v>
      </c>
      <c r="C30" s="686">
        <v>82.428616952524607</v>
      </c>
      <c r="D30" s="687">
        <v>82.123460989884748</v>
      </c>
      <c r="E30" s="686">
        <v>81.819434733953273</v>
      </c>
      <c r="F30" s="687">
        <v>81.408749890372022</v>
      </c>
      <c r="G30" s="686">
        <v>85.543589877557864</v>
      </c>
      <c r="H30" s="687">
        <v>88.63</v>
      </c>
      <c r="I30" s="686">
        <v>94.694569999999999</v>
      </c>
      <c r="J30" s="687">
        <v>100.62352</v>
      </c>
      <c r="K30" s="28">
        <v>103.25</v>
      </c>
      <c r="L30" s="687">
        <v>105.35244332317907</v>
      </c>
    </row>
    <row r="31" spans="1:12" ht="20" customHeight="1" thickBot="1">
      <c r="A31" s="302" t="s">
        <v>103</v>
      </c>
      <c r="B31" s="29">
        <v>50.87956011667579</v>
      </c>
      <c r="C31" s="686">
        <v>52.107642785267444</v>
      </c>
      <c r="D31" s="687">
        <v>55.490646339526755</v>
      </c>
      <c r="E31" s="686">
        <v>59.093285871089705</v>
      </c>
      <c r="F31" s="687">
        <v>58.959970294368595</v>
      </c>
      <c r="G31" s="686">
        <v>61.71005554804438</v>
      </c>
      <c r="H31" s="687">
        <v>66.92</v>
      </c>
      <c r="I31" s="686">
        <v>72.339150000000004</v>
      </c>
      <c r="J31" s="687">
        <v>76.573120000000003</v>
      </c>
      <c r="K31" s="28">
        <v>78.62</v>
      </c>
      <c r="L31" s="687">
        <v>79.919521132501785</v>
      </c>
    </row>
    <row r="32" spans="1:12" ht="30" customHeight="1" thickBot="1">
      <c r="A32" s="12" t="s">
        <v>104</v>
      </c>
      <c r="B32" s="356">
        <v>45.818020396587798</v>
      </c>
      <c r="C32" s="688">
        <v>51.909281343104297</v>
      </c>
      <c r="D32" s="689">
        <v>51.854400048567307</v>
      </c>
      <c r="E32" s="688">
        <v>51.799576777497641</v>
      </c>
      <c r="F32" s="689">
        <v>53.348085764350309</v>
      </c>
      <c r="G32" s="688">
        <v>55.173206027906794</v>
      </c>
      <c r="H32" s="689">
        <v>57.65</v>
      </c>
      <c r="I32" s="688">
        <v>63.127989999999997</v>
      </c>
      <c r="J32" s="690">
        <v>68.990499999999997</v>
      </c>
      <c r="K32" s="562">
        <v>71.84</v>
      </c>
      <c r="L32" s="691">
        <v>71.95510451056029</v>
      </c>
    </row>
    <row r="33" spans="1:10" ht="20" customHeight="1">
      <c r="A33" s="9" t="s">
        <v>290</v>
      </c>
      <c r="B33" s="309"/>
      <c r="C33" s="309"/>
      <c r="D33" s="309"/>
      <c r="E33" s="309"/>
      <c r="F33" s="309"/>
      <c r="G33" s="309"/>
      <c r="H33" s="309"/>
      <c r="I33" s="309"/>
      <c r="J33" s="671"/>
    </row>
    <row r="34" spans="1:10" ht="11.25" customHeight="1">
      <c r="A34" s="37"/>
      <c r="B34" s="311"/>
      <c r="C34" s="311"/>
      <c r="D34" s="311"/>
      <c r="E34" s="311"/>
      <c r="F34" s="311"/>
      <c r="G34" s="311"/>
      <c r="H34" s="311"/>
      <c r="I34" s="311"/>
      <c r="J34" s="672"/>
    </row>
    <row r="35" spans="1:10" ht="20" customHeight="1">
      <c r="A35" s="37" t="s">
        <v>291</v>
      </c>
      <c r="B35" s="311"/>
      <c r="C35" s="311"/>
      <c r="D35" s="311"/>
      <c r="E35" s="311"/>
      <c r="F35" s="311"/>
      <c r="G35" s="311"/>
      <c r="H35" s="311"/>
      <c r="I35" s="311"/>
      <c r="J35" s="672"/>
    </row>
    <row r="36" spans="1:10" ht="13.5" customHeight="1">
      <c r="A36" s="37"/>
      <c r="B36" s="311"/>
      <c r="C36" s="311"/>
      <c r="D36" s="311"/>
      <c r="E36" s="311"/>
      <c r="F36" s="311"/>
      <c r="G36" s="311"/>
      <c r="H36" s="311"/>
      <c r="I36" s="311"/>
      <c r="J36" s="672"/>
    </row>
    <row r="37" spans="1:10" ht="12.75" customHeight="1">
      <c r="A37" s="37" t="s">
        <v>285</v>
      </c>
      <c r="B37" s="311"/>
      <c r="C37" s="311"/>
      <c r="D37" s="311"/>
      <c r="E37" s="311"/>
      <c r="F37" s="311"/>
      <c r="G37" s="311"/>
      <c r="H37" s="311"/>
      <c r="I37" s="311"/>
      <c r="J37" s="672"/>
    </row>
    <row r="38" spans="1:10">
      <c r="A38" s="692" t="s">
        <v>324</v>
      </c>
    </row>
    <row r="41" spans="1:10">
      <c r="A41" s="3" t="s">
        <v>256</v>
      </c>
    </row>
  </sheetData>
  <phoneticPr fontId="0" type="noConversion"/>
  <pageMargins left="0.46" right="0.47" top="0.85" bottom="0.49" header="0.52" footer="0.4921259845"/>
  <pageSetup paperSize="9" scale="84" orientation="portrait" horizontalDpi="4294967292" verticalDpi="4294967292"/>
  <headerFooter alignWithMargins="0">
    <oddHeader>&amp;L&amp;"Arial,Bold"Prämientarife in der OKP</oddHead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9E2B8-1C6E-2E44-8AD8-EEBB82638582}">
  <sheetPr>
    <pageSetUpPr fitToPage="1"/>
  </sheetPr>
  <dimension ref="A1:N43"/>
  <sheetViews>
    <sheetView zoomScale="75" workbookViewId="0">
      <selection activeCell="M37" sqref="M37"/>
    </sheetView>
  </sheetViews>
  <sheetFormatPr baseColWidth="10" defaultColWidth="11.3984375" defaultRowHeight="13"/>
  <cols>
    <col min="1" max="1" width="12.796875" style="3" customWidth="1"/>
    <col min="2" max="2" width="15.3984375" style="3" hidden="1" customWidth="1"/>
    <col min="3" max="10" width="11.59765625" style="100" customWidth="1"/>
    <col min="11" max="11" width="11.59765625" style="3" customWidth="1"/>
    <col min="12" max="12" width="13.796875" style="3" customWidth="1"/>
    <col min="13" max="16384" width="11.3984375" style="3"/>
  </cols>
  <sheetData>
    <row r="1" spans="1:12" s="1" customFormat="1" ht="14" customHeight="1">
      <c r="C1" s="90"/>
      <c r="D1" s="90"/>
      <c r="E1" s="90"/>
      <c r="F1" s="90"/>
      <c r="G1" s="90"/>
      <c r="H1" s="90"/>
      <c r="I1" s="90"/>
      <c r="J1" s="90"/>
    </row>
    <row r="2" spans="1:12" s="1" customFormat="1" ht="28" customHeight="1">
      <c r="A2" s="59" t="s">
        <v>321</v>
      </c>
      <c r="C2" s="90"/>
      <c r="D2" s="90"/>
      <c r="E2" s="90"/>
      <c r="F2" s="90"/>
      <c r="G2" s="90"/>
      <c r="H2" s="90"/>
      <c r="I2" s="90"/>
      <c r="J2" s="90"/>
    </row>
    <row r="3" spans="1:12" ht="24" customHeight="1">
      <c r="A3" s="2" t="s">
        <v>70</v>
      </c>
      <c r="B3" s="69" t="s">
        <v>322</v>
      </c>
      <c r="C3" s="312" t="s">
        <v>308</v>
      </c>
      <c r="D3" s="91" t="s">
        <v>308</v>
      </c>
      <c r="E3" s="312" t="s">
        <v>308</v>
      </c>
      <c r="F3" s="91" t="s">
        <v>308</v>
      </c>
      <c r="G3" s="312" t="s">
        <v>308</v>
      </c>
      <c r="H3" s="91" t="s">
        <v>308</v>
      </c>
      <c r="I3" s="312" t="s">
        <v>308</v>
      </c>
      <c r="J3" s="91" t="s">
        <v>308</v>
      </c>
      <c r="K3" s="312" t="s">
        <v>308</v>
      </c>
      <c r="L3" s="91" t="s">
        <v>1456</v>
      </c>
    </row>
    <row r="4" spans="1:12" ht="15" customHeight="1">
      <c r="A4" s="77"/>
      <c r="B4" s="70" t="s">
        <v>308</v>
      </c>
      <c r="C4" s="71" t="s">
        <v>309</v>
      </c>
      <c r="D4" s="102" t="s">
        <v>309</v>
      </c>
      <c r="E4" s="103" t="s">
        <v>309</v>
      </c>
      <c r="F4" s="102" t="s">
        <v>309</v>
      </c>
      <c r="G4" s="103" t="s">
        <v>309</v>
      </c>
      <c r="H4" s="102" t="s">
        <v>309</v>
      </c>
      <c r="I4" s="71" t="s">
        <v>309</v>
      </c>
      <c r="J4" s="4" t="s">
        <v>309</v>
      </c>
      <c r="K4" s="71" t="s">
        <v>309</v>
      </c>
      <c r="L4" s="4" t="s">
        <v>1457</v>
      </c>
    </row>
    <row r="5" spans="1:12" ht="15" customHeight="1">
      <c r="A5" s="77"/>
      <c r="B5" s="70" t="s">
        <v>309</v>
      </c>
      <c r="C5" s="71" t="s">
        <v>323</v>
      </c>
      <c r="D5" s="4" t="s">
        <v>310</v>
      </c>
      <c r="E5" s="71" t="s">
        <v>311</v>
      </c>
      <c r="F5" s="4" t="s">
        <v>312</v>
      </c>
      <c r="G5" s="103" t="s">
        <v>313</v>
      </c>
      <c r="H5" s="4" t="s">
        <v>314</v>
      </c>
      <c r="I5" s="71" t="s">
        <v>315</v>
      </c>
      <c r="J5" s="4" t="s">
        <v>316</v>
      </c>
      <c r="K5" s="71" t="s">
        <v>317</v>
      </c>
      <c r="L5" s="4" t="s">
        <v>1458</v>
      </c>
    </row>
    <row r="6" spans="1:12" ht="15" customHeight="1">
      <c r="A6" s="77"/>
      <c r="B6" s="70" t="s">
        <v>46</v>
      </c>
      <c r="C6" s="673"/>
      <c r="D6" s="4"/>
      <c r="E6" s="71"/>
      <c r="F6" s="4"/>
      <c r="G6" s="103"/>
      <c r="H6" s="4"/>
      <c r="I6" s="71"/>
      <c r="J6" s="4"/>
      <c r="K6" s="71"/>
      <c r="L6" s="4" t="s">
        <v>318</v>
      </c>
    </row>
    <row r="7" spans="1:12" ht="16" customHeight="1">
      <c r="A7" s="78"/>
      <c r="B7" s="73"/>
      <c r="C7" s="72"/>
      <c r="D7" s="5"/>
      <c r="E7" s="72"/>
      <c r="F7" s="5"/>
      <c r="G7" s="104"/>
      <c r="H7" s="5"/>
      <c r="I7" s="72"/>
      <c r="J7" s="5"/>
      <c r="K7" s="72"/>
      <c r="L7" s="674"/>
    </row>
    <row r="8" spans="1:12" ht="30" customHeight="1" thickBot="1">
      <c r="A8" s="297" t="s">
        <v>78</v>
      </c>
      <c r="B8" s="675">
        <v>18.564141910898105</v>
      </c>
      <c r="C8" s="676">
        <v>0.12613928626541648</v>
      </c>
      <c r="D8" s="508">
        <v>1.7283082917389336E-2</v>
      </c>
      <c r="E8" s="676">
        <v>5.3567889652206491E-2</v>
      </c>
      <c r="F8" s="508">
        <v>4.2285244800018162E-2</v>
      </c>
      <c r="G8" s="676">
        <v>4.7316284486187854E-2</v>
      </c>
      <c r="H8" s="508">
        <v>9.6005011232071835E-2</v>
      </c>
      <c r="I8" s="676">
        <v>9.6281939481734691E-2</v>
      </c>
      <c r="J8" s="508">
        <v>4.1094842316341751E-2</v>
      </c>
      <c r="K8" s="676">
        <v>-1.7219707625824143E-2</v>
      </c>
      <c r="L8" s="1470">
        <v>4.3195714853201617E-2</v>
      </c>
    </row>
    <row r="9" spans="1:12" ht="20" customHeight="1" thickBot="1">
      <c r="A9" s="302" t="s">
        <v>79</v>
      </c>
      <c r="B9" s="584">
        <v>12.836830120731035</v>
      </c>
      <c r="C9" s="676">
        <v>8.4661519404469976E-2</v>
      </c>
      <c r="D9" s="343">
        <v>2.0165969347723856E-2</v>
      </c>
      <c r="E9" s="328">
        <v>6.2596032446377459E-2</v>
      </c>
      <c r="F9" s="343">
        <v>2.3618526561313802E-2</v>
      </c>
      <c r="G9" s="328">
        <v>3.5123210416226236E-2</v>
      </c>
      <c r="H9" s="343">
        <v>0.11179436418762267</v>
      </c>
      <c r="I9" s="328">
        <v>0.10447347706410404</v>
      </c>
      <c r="J9" s="343">
        <v>4.5300570027948739E-2</v>
      </c>
      <c r="K9" s="328">
        <v>-2.3621822727721842E-3</v>
      </c>
      <c r="L9" s="1472">
        <v>4.612009181506993E-2</v>
      </c>
    </row>
    <row r="10" spans="1:12" ht="20" customHeight="1" thickBot="1">
      <c r="A10" s="302" t="s">
        <v>80</v>
      </c>
      <c r="B10" s="584">
        <v>6.6069268493776274</v>
      </c>
      <c r="C10" s="676">
        <v>3.2186125538066657E-2</v>
      </c>
      <c r="D10" s="343">
        <v>3.316686546781189E-2</v>
      </c>
      <c r="E10" s="328">
        <v>4.6381324099404875E-3</v>
      </c>
      <c r="F10" s="343">
        <v>6.0212529182981811E-2</v>
      </c>
      <c r="G10" s="328">
        <v>6.5764257089995448E-2</v>
      </c>
      <c r="H10" s="343">
        <v>0.10566388261851034</v>
      </c>
      <c r="I10" s="328">
        <v>0.11031787690347117</v>
      </c>
      <c r="J10" s="343">
        <v>4.6440172711355698E-2</v>
      </c>
      <c r="K10" s="328">
        <v>2.5441842173848039E-2</v>
      </c>
      <c r="L10" s="1472">
        <v>5.3335522515549627E-2</v>
      </c>
    </row>
    <row r="11" spans="1:12" ht="20" customHeight="1" thickBot="1">
      <c r="A11" s="302" t="s">
        <v>81</v>
      </c>
      <c r="B11" s="584">
        <v>7.820755252009902</v>
      </c>
      <c r="C11" s="676">
        <v>3.083307666763746E-2</v>
      </c>
      <c r="D11" s="343">
        <v>-3.4670766688678079E-3</v>
      </c>
      <c r="E11" s="328">
        <v>-1.1801295510360799E-4</v>
      </c>
      <c r="F11" s="343">
        <v>2.7317397775067809E-2</v>
      </c>
      <c r="G11" s="328">
        <v>4.369930142793943E-2</v>
      </c>
      <c r="H11" s="343">
        <v>0.1050632638389648</v>
      </c>
      <c r="I11" s="328">
        <v>0.11735147608257668</v>
      </c>
      <c r="J11" s="343">
        <v>3.404367553619192E-2</v>
      </c>
      <c r="K11" s="328">
        <v>1.3395054362269176E-2</v>
      </c>
      <c r="L11" s="1472">
        <v>3.6230329346401913E-2</v>
      </c>
    </row>
    <row r="12" spans="1:12" ht="20" customHeight="1" thickBot="1">
      <c r="A12" s="302" t="s">
        <v>82</v>
      </c>
      <c r="B12" s="584">
        <v>14.973400295568922</v>
      </c>
      <c r="C12" s="676">
        <v>0.10224118520281511</v>
      </c>
      <c r="D12" s="343">
        <v>-3.4502535590238415E-3</v>
      </c>
      <c r="E12" s="328">
        <v>3.8528361346612527E-4</v>
      </c>
      <c r="F12" s="343">
        <v>2.2815600618118381E-2</v>
      </c>
      <c r="G12" s="328">
        <v>5.8456809060352777E-2</v>
      </c>
      <c r="H12" s="343">
        <v>0.11904119253527545</v>
      </c>
      <c r="I12" s="328">
        <v>0.11720340601419488</v>
      </c>
      <c r="J12" s="343">
        <v>4.2530587814679777E-2</v>
      </c>
      <c r="K12" s="328">
        <v>2.1788401845617145E-2</v>
      </c>
      <c r="L12" s="1472">
        <v>4.073563975717942E-2</v>
      </c>
    </row>
    <row r="13" spans="1:12" ht="20" customHeight="1" thickBot="1">
      <c r="A13" s="302" t="s">
        <v>83</v>
      </c>
      <c r="B13" s="584">
        <v>9.3736923415335411</v>
      </c>
      <c r="C13" s="676">
        <v>6.0469299368311802E-2</v>
      </c>
      <c r="D13" s="343">
        <v>-2.4609929035263267E-2</v>
      </c>
      <c r="E13" s="328">
        <v>7.8705022165241889E-3</v>
      </c>
      <c r="F13" s="343">
        <v>3.1280714236347817E-2</v>
      </c>
      <c r="G13" s="328">
        <v>4.8151080823984893E-2</v>
      </c>
      <c r="H13" s="343">
        <v>7.5986150234741645E-2</v>
      </c>
      <c r="I13" s="328">
        <v>7.4472571400272525E-2</v>
      </c>
      <c r="J13" s="343">
        <v>3.8362773577829801E-2</v>
      </c>
      <c r="K13" s="328">
        <v>1.6753968897946114E-2</v>
      </c>
      <c r="L13" s="1472">
        <v>2.6473369273188885E-2</v>
      </c>
    </row>
    <row r="14" spans="1:12" ht="20" customHeight="1" thickBot="1">
      <c r="A14" s="302" t="s">
        <v>84</v>
      </c>
      <c r="B14" s="584">
        <v>8.846570768398653</v>
      </c>
      <c r="C14" s="676">
        <v>5.1072667046455855E-2</v>
      </c>
      <c r="D14" s="343">
        <v>-2.4192148537220182E-2</v>
      </c>
      <c r="E14" s="328">
        <v>-1.2452960740645169E-2</v>
      </c>
      <c r="F14" s="343">
        <v>2.9177214725371048E-2</v>
      </c>
      <c r="G14" s="328">
        <v>4.8664257112716491E-2</v>
      </c>
      <c r="H14" s="343">
        <v>8.6302273850716871E-2</v>
      </c>
      <c r="I14" s="328">
        <v>9.9315181474975089E-2</v>
      </c>
      <c r="J14" s="343">
        <v>3.6490981307357062E-2</v>
      </c>
      <c r="K14" s="328">
        <v>1.6257049676010826E-2</v>
      </c>
      <c r="L14" s="1472">
        <v>2.7504882737815484E-2</v>
      </c>
    </row>
    <row r="15" spans="1:12" ht="20" customHeight="1" thickBot="1">
      <c r="A15" s="302" t="s">
        <v>85</v>
      </c>
      <c r="B15" s="584">
        <v>11.446087130050357</v>
      </c>
      <c r="C15" s="676">
        <v>0.10059931954872159</v>
      </c>
      <c r="D15" s="343">
        <v>-1.8920832356148498E-3</v>
      </c>
      <c r="E15" s="328">
        <v>4.2592583856871036E-2</v>
      </c>
      <c r="F15" s="343">
        <v>2.2440662814367629E-2</v>
      </c>
      <c r="G15" s="328">
        <v>7.289910608457939E-2</v>
      </c>
      <c r="H15" s="343">
        <v>0.1209049671127238</v>
      </c>
      <c r="I15" s="328">
        <v>0.1377742524893415</v>
      </c>
      <c r="J15" s="343">
        <v>4.6957474355143969E-2</v>
      </c>
      <c r="K15" s="328">
        <v>-7.747143747337093E-3</v>
      </c>
      <c r="L15" s="1472">
        <v>4.6818612773230628E-2</v>
      </c>
    </row>
    <row r="16" spans="1:12" ht="20" customHeight="1" thickBot="1">
      <c r="A16" s="302" t="s">
        <v>86</v>
      </c>
      <c r="B16" s="584">
        <v>12.542560922614735</v>
      </c>
      <c r="C16" s="676">
        <v>8.0245446324829217E-2</v>
      </c>
      <c r="D16" s="343">
        <v>-4.01559994832561E-2</v>
      </c>
      <c r="E16" s="328">
        <v>6.1958434998199419E-3</v>
      </c>
      <c r="F16" s="343">
        <v>3.680856497843199E-2</v>
      </c>
      <c r="G16" s="328">
        <v>5.4489427947484126E-2</v>
      </c>
      <c r="H16" s="343">
        <v>0.1103929719797887</v>
      </c>
      <c r="I16" s="328">
        <v>0.13039162495907131</v>
      </c>
      <c r="J16" s="343">
        <v>5.1957631120965297E-2</v>
      </c>
      <c r="K16" s="328">
        <v>1.4619531008674302E-2</v>
      </c>
      <c r="L16" s="1472">
        <v>3.4568096768636591E-2</v>
      </c>
    </row>
    <row r="17" spans="1:12" ht="20" customHeight="1" thickBot="1">
      <c r="A17" s="302" t="s">
        <v>87</v>
      </c>
      <c r="B17" s="584">
        <v>8.8373538196876229</v>
      </c>
      <c r="C17" s="676">
        <v>6.716363944691861E-2</v>
      </c>
      <c r="D17" s="343">
        <v>-6.3798541050443802E-3</v>
      </c>
      <c r="E17" s="328">
        <v>5.3788102637408741E-4</v>
      </c>
      <c r="F17" s="343">
        <v>4.4517439262414138E-2</v>
      </c>
      <c r="G17" s="328">
        <v>3.8205847556253447E-2</v>
      </c>
      <c r="H17" s="343">
        <v>7.8475755446240303E-2</v>
      </c>
      <c r="I17" s="328">
        <v>6.3482824657532522E-2</v>
      </c>
      <c r="J17" s="343">
        <v>1.7556409433573616E-2</v>
      </c>
      <c r="K17" s="328">
        <v>1.3593503945286134E-2</v>
      </c>
      <c r="L17" s="1472">
        <v>2.6659181310426661E-2</v>
      </c>
    </row>
    <row r="18" spans="1:12" ht="20" customHeight="1" thickBot="1">
      <c r="A18" s="302" t="s">
        <v>88</v>
      </c>
      <c r="B18" s="584">
        <v>27.585057067168677</v>
      </c>
      <c r="C18" s="676">
        <v>0.13621630771097482</v>
      </c>
      <c r="D18" s="343">
        <v>3.2962298122038103E-2</v>
      </c>
      <c r="E18" s="328">
        <v>3.2066786424240767E-2</v>
      </c>
      <c r="F18" s="343">
        <v>4.5122896354125031E-2</v>
      </c>
      <c r="G18" s="328">
        <v>3.8499185497250732E-2</v>
      </c>
      <c r="H18" s="343">
        <v>6.3167911162167467E-2</v>
      </c>
      <c r="I18" s="328">
        <v>0.10626613788838535</v>
      </c>
      <c r="J18" s="343">
        <v>5.2414987170792848E-2</v>
      </c>
      <c r="K18" s="328">
        <v>5.0401751622224378E-3</v>
      </c>
      <c r="L18" s="1472">
        <v>4.5062984886857338E-2</v>
      </c>
    </row>
    <row r="19" spans="1:12" ht="20" customHeight="1" thickBot="1">
      <c r="A19" s="302" t="s">
        <v>89</v>
      </c>
      <c r="B19" s="584">
        <v>18.780035833461632</v>
      </c>
      <c r="C19" s="676">
        <v>0.15152715969927022</v>
      </c>
      <c r="D19" s="343">
        <v>6.3784939377496075E-2</v>
      </c>
      <c r="E19" s="328">
        <v>8.814225210306792E-2</v>
      </c>
      <c r="F19" s="343">
        <v>4.8534452581654453E-2</v>
      </c>
      <c r="G19" s="328">
        <v>5.461595280726339E-2</v>
      </c>
      <c r="H19" s="343">
        <v>9.1749339672477559E-2</v>
      </c>
      <c r="I19" s="328">
        <v>9.1308457544135413E-2</v>
      </c>
      <c r="J19" s="343">
        <v>5.6692266116635359E-2</v>
      </c>
      <c r="K19" s="328">
        <v>9.4805236373913804E-3</v>
      </c>
      <c r="L19" s="1472">
        <v>6.2833557159240216E-2</v>
      </c>
    </row>
    <row r="20" spans="1:12" ht="20" customHeight="1" thickBot="1">
      <c r="A20" s="302" t="s">
        <v>90</v>
      </c>
      <c r="B20" s="584">
        <v>20.178584325587163</v>
      </c>
      <c r="C20" s="676">
        <v>0.138313161853306</v>
      </c>
      <c r="D20" s="343">
        <v>3.4240738085979494E-2</v>
      </c>
      <c r="E20" s="328">
        <v>2.179035127816098E-2</v>
      </c>
      <c r="F20" s="343">
        <v>4.032286465580337E-2</v>
      </c>
      <c r="G20" s="328">
        <v>4.4793124043180477E-2</v>
      </c>
      <c r="H20" s="343">
        <v>0.10369291882556131</v>
      </c>
      <c r="I20" s="328">
        <v>0.1092020789993462</v>
      </c>
      <c r="J20" s="343">
        <v>3.7354203626436933E-2</v>
      </c>
      <c r="K20" s="328">
        <v>1.7938598609399392E-3</v>
      </c>
      <c r="L20" s="1472">
        <v>4.6959220708236549E-2</v>
      </c>
    </row>
    <row r="21" spans="1:12" ht="20" customHeight="1" thickBot="1">
      <c r="A21" s="302" t="s">
        <v>91</v>
      </c>
      <c r="B21" s="584">
        <v>19.60074449994876</v>
      </c>
      <c r="C21" s="676">
        <v>0.16213627024850141</v>
      </c>
      <c r="D21" s="343">
        <v>8.7858815556003389E-3</v>
      </c>
      <c r="E21" s="328">
        <v>6.8426358801706444E-2</v>
      </c>
      <c r="F21" s="343">
        <v>4.2218072987187938E-2</v>
      </c>
      <c r="G21" s="328">
        <v>4.3380376883878524E-2</v>
      </c>
      <c r="H21" s="343">
        <v>0.15353735127755019</v>
      </c>
      <c r="I21" s="328">
        <v>9.5365448431956601E-2</v>
      </c>
      <c r="J21" s="343">
        <v>4.4426726889202905E-2</v>
      </c>
      <c r="K21" s="328">
        <v>9.9963844953321335E-4</v>
      </c>
      <c r="L21" s="1472">
        <v>5.0790824233351461E-2</v>
      </c>
    </row>
    <row r="22" spans="1:12" ht="20" customHeight="1" thickBot="1">
      <c r="A22" s="302" t="s">
        <v>92</v>
      </c>
      <c r="B22" s="584">
        <v>14.372369124565839</v>
      </c>
      <c r="C22" s="676">
        <v>0.11530248290676592</v>
      </c>
      <c r="D22" s="343">
        <v>-1.8493216889254538E-2</v>
      </c>
      <c r="E22" s="328">
        <v>-3.817419724564397E-4</v>
      </c>
      <c r="F22" s="343">
        <v>2.12300041910638E-2</v>
      </c>
      <c r="G22" s="328">
        <v>6.6258000043982967E-2</v>
      </c>
      <c r="H22" s="343">
        <v>0.11118348848603632</v>
      </c>
      <c r="I22" s="328">
        <v>0.11140467356621708</v>
      </c>
      <c r="J22" s="343">
        <v>3.9442065585620467E-2</v>
      </c>
      <c r="K22" s="328">
        <v>5.3285499608286546E-3</v>
      </c>
      <c r="L22" s="1472">
        <v>3.4182050479154791E-2</v>
      </c>
    </row>
    <row r="23" spans="1:12" ht="20" customHeight="1" thickBot="1">
      <c r="A23" s="302" t="s">
        <v>93</v>
      </c>
      <c r="B23" s="584">
        <v>9.7170391822978619</v>
      </c>
      <c r="C23" s="676">
        <v>6.6714528046374566E-2</v>
      </c>
      <c r="D23" s="343">
        <v>-4.7070167962549814E-2</v>
      </c>
      <c r="E23" s="328">
        <v>-6.8124898139803047E-3</v>
      </c>
      <c r="F23" s="343">
        <v>1.2389676573199004E-2</v>
      </c>
      <c r="G23" s="328">
        <v>8.3151105604106323E-2</v>
      </c>
      <c r="H23" s="343">
        <v>8.6975942261427575E-2</v>
      </c>
      <c r="I23" s="328">
        <v>0.10099161981291949</v>
      </c>
      <c r="J23" s="343">
        <v>4.6895420128490795E-2</v>
      </c>
      <c r="K23" s="328">
        <v>1.6189044430119592E-2</v>
      </c>
      <c r="L23" s="1472">
        <v>2.5933159892487678E-2</v>
      </c>
    </row>
    <row r="24" spans="1:12" ht="20" customHeight="1" thickBot="1">
      <c r="A24" s="302" t="s">
        <v>94</v>
      </c>
      <c r="B24" s="584">
        <v>14.982537020422754</v>
      </c>
      <c r="C24" s="676">
        <v>0.11141672230009814</v>
      </c>
      <c r="D24" s="343">
        <v>1.7338083036648744E-3</v>
      </c>
      <c r="E24" s="328">
        <v>1.6772858426073123E-2</v>
      </c>
      <c r="F24" s="343">
        <v>3.2467068406517363E-2</v>
      </c>
      <c r="G24" s="328">
        <v>6.0280026344810889E-2</v>
      </c>
      <c r="H24" s="343">
        <v>0.10211878760864734</v>
      </c>
      <c r="I24" s="328">
        <v>8.8047072650345948E-2</v>
      </c>
      <c r="J24" s="343">
        <v>6.2331501697388658E-2</v>
      </c>
      <c r="K24" s="328">
        <v>1.6066182557774367E-2</v>
      </c>
      <c r="L24" s="1472">
        <v>4.1806494396059879E-2</v>
      </c>
    </row>
    <row r="25" spans="1:12" ht="20" customHeight="1" thickBot="1">
      <c r="A25" s="302" t="s">
        <v>95</v>
      </c>
      <c r="B25" s="584">
        <v>20.239827486851979</v>
      </c>
      <c r="C25" s="676">
        <v>0.1752339201546198</v>
      </c>
      <c r="D25" s="343">
        <v>-5.2904920086517371E-2</v>
      </c>
      <c r="E25" s="328">
        <v>6.6067375410814311E-3</v>
      </c>
      <c r="F25" s="343">
        <v>5.2314213213464855E-2</v>
      </c>
      <c r="G25" s="328">
        <v>7.597413206719339E-2</v>
      </c>
      <c r="H25" s="343">
        <v>0.1485791442599953</v>
      </c>
      <c r="I25" s="328">
        <v>0.13132285917907338</v>
      </c>
      <c r="J25" s="343">
        <v>5.387350243171829E-2</v>
      </c>
      <c r="K25" s="328">
        <v>-7.7751097469775932E-3</v>
      </c>
      <c r="L25" s="1472">
        <v>3.7194103384826205E-2</v>
      </c>
    </row>
    <row r="26" spans="1:12" ht="20" customHeight="1" thickBot="1">
      <c r="A26" s="302" t="s">
        <v>96</v>
      </c>
      <c r="B26" s="584">
        <v>39.932145771844702</v>
      </c>
      <c r="C26" s="676">
        <v>0.12738686957185741</v>
      </c>
      <c r="D26" s="343">
        <v>2.1695729537204E-2</v>
      </c>
      <c r="E26" s="328">
        <v>5.455744603067969E-2</v>
      </c>
      <c r="F26" s="343">
        <v>5.5486576672084675E-2</v>
      </c>
      <c r="G26" s="328">
        <v>8.0707287477506329E-2</v>
      </c>
      <c r="H26" s="343">
        <v>0.11291598860862484</v>
      </c>
      <c r="I26" s="328">
        <v>0.10050529190226087</v>
      </c>
      <c r="J26" s="343">
        <v>4.7339722227435432E-2</v>
      </c>
      <c r="K26" s="328">
        <v>-4.8257255930357346E-3</v>
      </c>
      <c r="L26" s="1472">
        <v>5.3824717376149467E-2</v>
      </c>
    </row>
    <row r="27" spans="1:12" ht="20" customHeight="1" thickBot="1">
      <c r="A27" s="302" t="s">
        <v>97</v>
      </c>
      <c r="B27" s="584">
        <v>21.265011996428591</v>
      </c>
      <c r="C27" s="676">
        <v>0.1676621855725855</v>
      </c>
      <c r="D27" s="343">
        <v>1.1034176563049725E-2</v>
      </c>
      <c r="E27" s="328">
        <v>5.7278567625996812E-2</v>
      </c>
      <c r="F27" s="343">
        <v>3.6154533575816883E-2</v>
      </c>
      <c r="G27" s="328">
        <v>9.5401796502837533E-2</v>
      </c>
      <c r="H27" s="343">
        <v>0.13567640755893229</v>
      </c>
      <c r="I27" s="328">
        <v>0.11145177733592004</v>
      </c>
      <c r="J27" s="343">
        <v>4.5974249308587289E-2</v>
      </c>
      <c r="K27" s="328">
        <v>-9.3293318021441252E-3</v>
      </c>
      <c r="L27" s="1472">
        <v>5.3932347641237888E-2</v>
      </c>
    </row>
    <row r="28" spans="1:12" ht="20" customHeight="1" thickBot="1">
      <c r="A28" s="302" t="s">
        <v>98</v>
      </c>
      <c r="B28" s="584">
        <v>13.54847017723973</v>
      </c>
      <c r="C28" s="676">
        <v>9.6996879816964254E-2</v>
      </c>
      <c r="D28" s="343">
        <v>-5.0173861220899618E-2</v>
      </c>
      <c r="E28" s="328">
        <v>9.1303680061645132E-3</v>
      </c>
      <c r="F28" s="343">
        <v>1.3729789078972265E-2</v>
      </c>
      <c r="G28" s="328">
        <v>2.9811515021332502E-2</v>
      </c>
      <c r="H28" s="343">
        <v>8.7795178983833599E-2</v>
      </c>
      <c r="I28" s="328">
        <v>8.0625430834586842E-2</v>
      </c>
      <c r="J28" s="343">
        <v>6.3009693931303623E-2</v>
      </c>
      <c r="K28" s="328">
        <v>-2.1437363101131424E-2</v>
      </c>
      <c r="L28" s="1472">
        <v>1.6837406957174617E-2</v>
      </c>
    </row>
    <row r="29" spans="1:12" ht="20" customHeight="1" thickBot="1">
      <c r="A29" s="302" t="s">
        <v>99</v>
      </c>
      <c r="B29" s="584">
        <v>5.6528857976264577</v>
      </c>
      <c r="C29" s="676">
        <v>4.2577198700370467E-2</v>
      </c>
      <c r="D29" s="343">
        <v>-3.1674891039939701E-2</v>
      </c>
      <c r="E29" s="328">
        <v>6.6521633049316797E-3</v>
      </c>
      <c r="F29" s="343">
        <v>1.3936727713255159E-2</v>
      </c>
      <c r="G29" s="328">
        <v>1.9181260224441221E-2</v>
      </c>
      <c r="H29" s="343">
        <v>6.1886535364796158E-2</v>
      </c>
      <c r="I29" s="328">
        <v>7.0898827778237861E-2</v>
      </c>
      <c r="J29" s="343">
        <v>1.5424385740139046E-2</v>
      </c>
      <c r="K29" s="328">
        <v>-6.6716848495746994E-3</v>
      </c>
      <c r="L29" s="1472">
        <v>1.2550715460451611E-2</v>
      </c>
    </row>
    <row r="30" spans="1:12" ht="20" customHeight="1" thickBot="1">
      <c r="A30" s="302" t="s">
        <v>100</v>
      </c>
      <c r="B30" s="584">
        <v>3.7035638425072577</v>
      </c>
      <c r="C30" s="676">
        <v>5.0049093300743586E-3</v>
      </c>
      <c r="D30" s="343">
        <v>-6.1647206055557069E-2</v>
      </c>
      <c r="E30" s="328">
        <v>-1.1378291113068872E-3</v>
      </c>
      <c r="F30" s="343">
        <v>4.2504041588571351E-3</v>
      </c>
      <c r="G30" s="328">
        <v>2.4654715220043366E-2</v>
      </c>
      <c r="H30" s="343">
        <v>6.9873172740374745E-2</v>
      </c>
      <c r="I30" s="328">
        <v>8.5281198004608427E-2</v>
      </c>
      <c r="J30" s="343">
        <v>5.416642211306022E-2</v>
      </c>
      <c r="K30" s="328">
        <v>1.7634359235510599E-2</v>
      </c>
      <c r="L30" s="1472">
        <v>1.3401256073977796E-2</v>
      </c>
    </row>
    <row r="31" spans="1:12" ht="20" customHeight="1" thickBot="1">
      <c r="A31" s="302" t="s">
        <v>101</v>
      </c>
      <c r="B31" s="584">
        <v>15.046312872791335</v>
      </c>
      <c r="C31" s="676">
        <v>0.12216343354785519</v>
      </c>
      <c r="D31" s="343">
        <v>3.5279473702240383E-2</v>
      </c>
      <c r="E31" s="328">
        <v>4.4176602427136835E-2</v>
      </c>
      <c r="F31" s="343">
        <v>3.0015640020961243E-2</v>
      </c>
      <c r="G31" s="328">
        <v>7.4347165943386972E-3</v>
      </c>
      <c r="H31" s="343">
        <v>9.7827068764568814E-2</v>
      </c>
      <c r="I31" s="328">
        <v>8.3628857333005069E-2</v>
      </c>
      <c r="J31" s="343">
        <v>2.6247818764145281E-2</v>
      </c>
      <c r="K31" s="328">
        <v>1.7017408592714389E-3</v>
      </c>
      <c r="L31" s="1472">
        <v>3.9748592053599374E-2</v>
      </c>
    </row>
    <row r="32" spans="1:12" ht="20" customHeight="1" thickBot="1">
      <c r="A32" s="302" t="s">
        <v>102</v>
      </c>
      <c r="B32" s="584">
        <v>12.485817879128669</v>
      </c>
      <c r="C32" s="676">
        <v>7.124157591061886E-2</v>
      </c>
      <c r="D32" s="343">
        <v>-3.7020633600539643E-3</v>
      </c>
      <c r="E32" s="328">
        <v>-5.0194045573236368E-3</v>
      </c>
      <c r="F32" s="343">
        <v>5.0791100376236908E-2</v>
      </c>
      <c r="G32" s="328">
        <v>3.607996960216231E-2</v>
      </c>
      <c r="H32" s="343">
        <v>6.8425702358118068E-2</v>
      </c>
      <c r="I32" s="328">
        <v>6.2611298620396161E-2</v>
      </c>
      <c r="J32" s="343">
        <v>2.6102048507148146E-2</v>
      </c>
      <c r="K32" s="328">
        <v>2.0362647197860184E-2</v>
      </c>
      <c r="L32" s="1472">
        <v>2.7639367698930606E-2</v>
      </c>
    </row>
    <row r="33" spans="1:14" ht="20" customHeight="1" thickBot="1">
      <c r="A33" s="302" t="s">
        <v>103</v>
      </c>
      <c r="B33" s="584">
        <v>9.0627478151873397</v>
      </c>
      <c r="C33" s="676">
        <v>7.7840050190767895E-2</v>
      </c>
      <c r="D33" s="343">
        <v>6.4923365814118172E-2</v>
      </c>
      <c r="E33" s="328">
        <v>-2.2560190173200878E-3</v>
      </c>
      <c r="F33" s="343">
        <v>4.6643260502769568E-2</v>
      </c>
      <c r="G33" s="328">
        <v>8.4426183150968281E-2</v>
      </c>
      <c r="H33" s="343">
        <v>8.0979527794381445E-2</v>
      </c>
      <c r="I33" s="328">
        <v>5.8529440835287661E-2</v>
      </c>
      <c r="J33" s="343">
        <v>2.673105131409037E-2</v>
      </c>
      <c r="K33" s="328">
        <v>1.6529141853240725E-2</v>
      </c>
      <c r="L33" s="1472">
        <v>4.8670496199181068E-2</v>
      </c>
      <c r="M33" s="43"/>
      <c r="N33" s="43"/>
    </row>
    <row r="34" spans="1:14" ht="30" customHeight="1" thickBot="1">
      <c r="A34" s="12" t="s">
        <v>104</v>
      </c>
      <c r="B34" s="677">
        <v>13.174684544924284</v>
      </c>
      <c r="C34" s="678">
        <v>8.6558371467537087E-2</v>
      </c>
      <c r="D34" s="536">
        <v>-1.0572539845860041E-3</v>
      </c>
      <c r="E34" s="678">
        <v>2.9894240130652117E-2</v>
      </c>
      <c r="F34" s="536">
        <v>3.4211541752752428E-2</v>
      </c>
      <c r="G34" s="678">
        <v>4.4891246139302288E-2</v>
      </c>
      <c r="H34" s="536">
        <v>9.502150910667817E-2</v>
      </c>
      <c r="I34" s="318">
        <v>9.2867046772754813E-2</v>
      </c>
      <c r="J34" s="335">
        <v>4.1302788065023632E-2</v>
      </c>
      <c r="K34" s="318">
        <v>1.6022342784003385E-3</v>
      </c>
      <c r="L34" s="1471">
        <v>3.6949004748780601E-2</v>
      </c>
    </row>
    <row r="35" spans="1:14" ht="20" customHeight="1">
      <c r="A35" s="9" t="s">
        <v>290</v>
      </c>
      <c r="B35" s="309"/>
      <c r="C35" s="319"/>
      <c r="D35" s="319"/>
      <c r="E35" s="319"/>
      <c r="F35" s="319"/>
      <c r="G35" s="319"/>
      <c r="H35" s="679"/>
    </row>
    <row r="36" spans="1:14" ht="11.25" customHeight="1">
      <c r="A36" s="37"/>
      <c r="B36" s="311"/>
      <c r="C36" s="320"/>
      <c r="D36" s="320"/>
      <c r="E36" s="320"/>
      <c r="F36" s="320"/>
      <c r="G36" s="320"/>
      <c r="H36" s="680"/>
    </row>
    <row r="37" spans="1:14" ht="20" customHeight="1">
      <c r="A37" s="37" t="s">
        <v>319</v>
      </c>
      <c r="B37" s="311"/>
      <c r="C37" s="320"/>
      <c r="D37" s="320"/>
      <c r="E37" s="320"/>
      <c r="F37" s="320"/>
      <c r="G37" s="320"/>
      <c r="H37" s="680"/>
    </row>
    <row r="38" spans="1:14" ht="13.5" customHeight="1">
      <c r="A38" s="37"/>
      <c r="B38" s="311"/>
      <c r="C38" s="320"/>
      <c r="D38" s="320"/>
      <c r="E38" s="320"/>
      <c r="F38" s="320"/>
      <c r="G38" s="320"/>
      <c r="H38" s="680"/>
    </row>
    <row r="39" spans="1:14" ht="12.75" customHeight="1">
      <c r="A39" s="37" t="s">
        <v>285</v>
      </c>
      <c r="B39" s="311"/>
      <c r="C39" s="320"/>
      <c r="D39" s="320"/>
      <c r="E39" s="320"/>
      <c r="F39" s="320"/>
      <c r="G39" s="320"/>
      <c r="H39" s="680"/>
    </row>
    <row r="40" spans="1:14">
      <c r="A40" s="681" t="s">
        <v>320</v>
      </c>
    </row>
    <row r="43" spans="1:14">
      <c r="A43" s="3" t="s">
        <v>256</v>
      </c>
    </row>
  </sheetData>
  <phoneticPr fontId="0" type="noConversion"/>
  <pageMargins left="0.53" right="0.51" top="0.9" bottom="0.49" header="0.56000000000000005" footer="0.4921259845"/>
  <pageSetup paperSize="9" scale="71" orientation="portrait" horizontalDpi="4294967292" verticalDpi="4294967292"/>
  <headerFooter alignWithMargins="0">
    <oddHeader>&amp;L&amp;"Arial,Bold"Prämientarife in der OKP</oddHead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BC352-1FE1-084B-B4B4-4CD583920FFF}">
  <sheetPr>
    <pageSetUpPr fitToPage="1"/>
  </sheetPr>
  <dimension ref="A1:F42"/>
  <sheetViews>
    <sheetView zoomScale="75" workbookViewId="0"/>
  </sheetViews>
  <sheetFormatPr baseColWidth="10" defaultColWidth="11.3984375" defaultRowHeight="13"/>
  <cols>
    <col min="1" max="1" width="13.19921875" style="3" customWidth="1"/>
    <col min="2" max="2" width="15.19921875" style="3" customWidth="1"/>
    <col min="3" max="3" width="14.19921875" style="3" customWidth="1"/>
    <col min="4" max="4" width="15.59765625" style="3" customWidth="1"/>
    <col min="5" max="5" width="15.19921875" style="3" customWidth="1"/>
    <col min="6" max="6" width="14.19921875" style="3" customWidth="1"/>
    <col min="7" max="16384" width="11.3984375" style="3"/>
  </cols>
  <sheetData>
    <row r="1" spans="1:6" s="1" customFormat="1" ht="14" customHeight="1">
      <c r="A1" s="372"/>
      <c r="B1" s="372"/>
      <c r="C1" s="372"/>
      <c r="D1" s="372"/>
      <c r="E1" s="372"/>
      <c r="F1" s="372"/>
    </row>
    <row r="2" spans="1:6" s="1" customFormat="1" ht="18.75" customHeight="1">
      <c r="A2" s="374" t="s">
        <v>307</v>
      </c>
      <c r="B2" s="372"/>
      <c r="C2" s="372"/>
      <c r="D2" s="372"/>
      <c r="E2" s="372"/>
      <c r="F2" s="372"/>
    </row>
    <row r="3" spans="1:6" s="1" customFormat="1" ht="24" customHeight="1">
      <c r="A3" s="374" t="s">
        <v>295</v>
      </c>
      <c r="B3" s="372"/>
      <c r="C3" s="372"/>
      <c r="D3" s="372"/>
      <c r="E3" s="372"/>
      <c r="F3" s="372"/>
    </row>
    <row r="4" spans="1:6" ht="24" customHeight="1">
      <c r="A4" s="2" t="s">
        <v>70</v>
      </c>
      <c r="B4" s="665">
        <v>0.05</v>
      </c>
      <c r="C4" s="666">
        <v>0.25</v>
      </c>
      <c r="D4" s="665">
        <v>0.5</v>
      </c>
      <c r="E4" s="666">
        <v>0.25</v>
      </c>
      <c r="F4" s="665">
        <v>0.05</v>
      </c>
    </row>
    <row r="5" spans="1:6" ht="73.5" customHeight="1">
      <c r="A5" s="77"/>
      <c r="B5" s="667" t="s">
        <v>300</v>
      </c>
      <c r="C5" s="668" t="s">
        <v>300</v>
      </c>
      <c r="D5" s="667" t="s">
        <v>301</v>
      </c>
      <c r="E5" s="668" t="s">
        <v>302</v>
      </c>
      <c r="F5" s="667" t="s">
        <v>302</v>
      </c>
    </row>
    <row r="6" spans="1:6" ht="16" customHeight="1">
      <c r="A6" s="78"/>
      <c r="B6" s="73"/>
      <c r="C6" s="18"/>
      <c r="D6" s="73"/>
      <c r="E6" s="18"/>
      <c r="F6" s="15"/>
    </row>
    <row r="7" spans="1:6" ht="30" customHeight="1" thickBot="1">
      <c r="A7" s="297" t="s">
        <v>78</v>
      </c>
      <c r="B7" s="19">
        <v>245.8</v>
      </c>
      <c r="C7" s="86">
        <v>265.5</v>
      </c>
      <c r="D7" s="19">
        <v>285.89999999999998</v>
      </c>
      <c r="E7" s="86">
        <v>320</v>
      </c>
      <c r="F7" s="19">
        <v>356.31</v>
      </c>
    </row>
    <row r="8" spans="1:6" ht="20" customHeight="1" thickBot="1">
      <c r="A8" s="302" t="s">
        <v>79</v>
      </c>
      <c r="B8" s="29">
        <v>236.1</v>
      </c>
      <c r="C8" s="116">
        <v>254.25</v>
      </c>
      <c r="D8" s="29">
        <v>273</v>
      </c>
      <c r="E8" s="116">
        <v>300.75</v>
      </c>
      <c r="F8" s="29">
        <v>331.5</v>
      </c>
    </row>
    <row r="9" spans="1:6" ht="20" customHeight="1" thickBot="1">
      <c r="A9" s="302" t="s">
        <v>80</v>
      </c>
      <c r="B9" s="29">
        <v>200</v>
      </c>
      <c r="C9" s="116">
        <v>213</v>
      </c>
      <c r="D9" s="29">
        <v>228</v>
      </c>
      <c r="E9" s="116">
        <v>237.5</v>
      </c>
      <c r="F9" s="29">
        <v>265.66000000000003</v>
      </c>
    </row>
    <row r="10" spans="1:6" ht="20" customHeight="1" thickBot="1">
      <c r="A10" s="302" t="s">
        <v>81</v>
      </c>
      <c r="B10" s="29">
        <v>188.8</v>
      </c>
      <c r="C10" s="116">
        <v>199.4</v>
      </c>
      <c r="D10" s="29">
        <v>206</v>
      </c>
      <c r="E10" s="116">
        <v>215</v>
      </c>
      <c r="F10" s="29">
        <v>231.8</v>
      </c>
    </row>
    <row r="11" spans="1:6" ht="20" customHeight="1" thickBot="1">
      <c r="A11" s="302" t="s">
        <v>82</v>
      </c>
      <c r="B11" s="29">
        <v>208.89</v>
      </c>
      <c r="C11" s="116">
        <v>219</v>
      </c>
      <c r="D11" s="29">
        <v>225.35</v>
      </c>
      <c r="E11" s="116">
        <v>240.05</v>
      </c>
      <c r="F11" s="29">
        <v>268.60000000000002</v>
      </c>
    </row>
    <row r="12" spans="1:6" ht="20" customHeight="1" thickBot="1">
      <c r="A12" s="302" t="s">
        <v>83</v>
      </c>
      <c r="B12" s="29">
        <v>189</v>
      </c>
      <c r="C12" s="116">
        <v>194.25</v>
      </c>
      <c r="D12" s="29">
        <v>200</v>
      </c>
      <c r="E12" s="116">
        <v>208.3</v>
      </c>
      <c r="F12" s="29">
        <v>225.3</v>
      </c>
    </row>
    <row r="13" spans="1:6" ht="20" customHeight="1" thickBot="1">
      <c r="A13" s="302" t="s">
        <v>84</v>
      </c>
      <c r="B13" s="29">
        <v>184</v>
      </c>
      <c r="C13" s="116">
        <v>187.9</v>
      </c>
      <c r="D13" s="29">
        <v>194.1</v>
      </c>
      <c r="E13" s="116">
        <v>203.3</v>
      </c>
      <c r="F13" s="29">
        <v>216.72</v>
      </c>
    </row>
    <row r="14" spans="1:6" ht="20" customHeight="1" thickBot="1">
      <c r="A14" s="302" t="s">
        <v>85</v>
      </c>
      <c r="B14" s="29">
        <v>216.2</v>
      </c>
      <c r="C14" s="116">
        <v>222</v>
      </c>
      <c r="D14" s="29">
        <v>224</v>
      </c>
      <c r="E14" s="116">
        <v>236</v>
      </c>
      <c r="F14" s="29">
        <v>252</v>
      </c>
    </row>
    <row r="15" spans="1:6" ht="20" customHeight="1" thickBot="1">
      <c r="A15" s="302" t="s">
        <v>86</v>
      </c>
      <c r="B15" s="29">
        <v>203.6</v>
      </c>
      <c r="C15" s="116">
        <v>218</v>
      </c>
      <c r="D15" s="29">
        <v>221</v>
      </c>
      <c r="E15" s="116">
        <v>236.6</v>
      </c>
      <c r="F15" s="29">
        <v>246.96</v>
      </c>
    </row>
    <row r="16" spans="1:6" ht="20" customHeight="1" thickBot="1">
      <c r="A16" s="302" t="s">
        <v>87</v>
      </c>
      <c r="B16" s="29">
        <v>239.375</v>
      </c>
      <c r="C16" s="116">
        <v>255.5</v>
      </c>
      <c r="D16" s="29">
        <v>269</v>
      </c>
      <c r="E16" s="116">
        <v>284.125</v>
      </c>
      <c r="F16" s="29">
        <v>314.75</v>
      </c>
    </row>
    <row r="17" spans="1:6" ht="20" customHeight="1" thickBot="1">
      <c r="A17" s="302" t="s">
        <v>88</v>
      </c>
      <c r="B17" s="29">
        <v>234.14</v>
      </c>
      <c r="C17" s="116">
        <v>243.7</v>
      </c>
      <c r="D17" s="29">
        <v>255.2</v>
      </c>
      <c r="E17" s="116">
        <v>272</v>
      </c>
      <c r="F17" s="29">
        <v>290.52</v>
      </c>
    </row>
    <row r="18" spans="1:6" ht="20" customHeight="1" thickBot="1">
      <c r="A18" s="302" t="s">
        <v>89</v>
      </c>
      <c r="B18" s="29">
        <v>337.9</v>
      </c>
      <c r="C18" s="116">
        <v>375</v>
      </c>
      <c r="D18" s="29">
        <v>384</v>
      </c>
      <c r="E18" s="116">
        <v>400.5</v>
      </c>
      <c r="F18" s="29">
        <v>428.6</v>
      </c>
    </row>
    <row r="19" spans="1:6" ht="20" customHeight="1" thickBot="1">
      <c r="A19" s="302" t="s">
        <v>90</v>
      </c>
      <c r="B19" s="29">
        <v>256.45</v>
      </c>
      <c r="C19" s="116">
        <v>270.375</v>
      </c>
      <c r="D19" s="29">
        <v>284.5</v>
      </c>
      <c r="E19" s="116">
        <v>307.5</v>
      </c>
      <c r="F19" s="29">
        <v>330.815</v>
      </c>
    </row>
    <row r="20" spans="1:6" ht="20" customHeight="1" thickBot="1">
      <c r="A20" s="302" t="s">
        <v>91</v>
      </c>
      <c r="B20" s="29">
        <v>239.2</v>
      </c>
      <c r="C20" s="116">
        <v>249.25</v>
      </c>
      <c r="D20" s="29">
        <v>270</v>
      </c>
      <c r="E20" s="116">
        <v>279</v>
      </c>
      <c r="F20" s="29">
        <v>303.92500000000001</v>
      </c>
    </row>
    <row r="21" spans="1:6" ht="20" customHeight="1" thickBot="1">
      <c r="A21" s="302" t="s">
        <v>92</v>
      </c>
      <c r="B21" s="29">
        <v>189.85</v>
      </c>
      <c r="C21" s="116">
        <v>199</v>
      </c>
      <c r="D21" s="29">
        <v>204.6</v>
      </c>
      <c r="E21" s="116">
        <v>217.5</v>
      </c>
      <c r="F21" s="29">
        <v>234.5</v>
      </c>
    </row>
    <row r="22" spans="1:6" ht="20" customHeight="1" thickBot="1">
      <c r="A22" s="302" t="s">
        <v>93</v>
      </c>
      <c r="B22" s="29">
        <v>179</v>
      </c>
      <c r="C22" s="116">
        <v>179</v>
      </c>
      <c r="D22" s="29">
        <v>182</v>
      </c>
      <c r="E22" s="116">
        <v>195</v>
      </c>
      <c r="F22" s="29">
        <v>208.9</v>
      </c>
    </row>
    <row r="23" spans="1:6" ht="20" customHeight="1" thickBot="1">
      <c r="A23" s="302" t="s">
        <v>94</v>
      </c>
      <c r="B23" s="29">
        <v>206.3</v>
      </c>
      <c r="C23" s="116">
        <v>215</v>
      </c>
      <c r="D23" s="29">
        <v>225.9</v>
      </c>
      <c r="E23" s="116">
        <v>238.6</v>
      </c>
      <c r="F23" s="29">
        <v>278.05</v>
      </c>
    </row>
    <row r="24" spans="1:6" ht="20" customHeight="1" thickBot="1">
      <c r="A24" s="302" t="s">
        <v>95</v>
      </c>
      <c r="B24" s="29">
        <v>206.28</v>
      </c>
      <c r="C24" s="116">
        <v>220.75</v>
      </c>
      <c r="D24" s="29">
        <v>230.7</v>
      </c>
      <c r="E24" s="116">
        <v>240</v>
      </c>
      <c r="F24" s="29">
        <v>259</v>
      </c>
    </row>
    <row r="25" spans="1:6" ht="20" customHeight="1" thickBot="1">
      <c r="A25" s="302" t="s">
        <v>96</v>
      </c>
      <c r="B25" s="29">
        <v>226</v>
      </c>
      <c r="C25" s="116">
        <v>239</v>
      </c>
      <c r="D25" s="29">
        <v>248</v>
      </c>
      <c r="E25" s="116">
        <v>259</v>
      </c>
      <c r="F25" s="29">
        <v>269.3</v>
      </c>
    </row>
    <row r="26" spans="1:6" ht="20" customHeight="1" thickBot="1">
      <c r="A26" s="302" t="s">
        <v>97</v>
      </c>
      <c r="B26" s="29">
        <v>237.75</v>
      </c>
      <c r="C26" s="116">
        <v>253.25</v>
      </c>
      <c r="D26" s="29">
        <v>260</v>
      </c>
      <c r="E26" s="116">
        <v>275.14999999999998</v>
      </c>
      <c r="F26" s="29">
        <v>289.5</v>
      </c>
    </row>
    <row r="27" spans="1:6" ht="20" customHeight="1" thickBot="1">
      <c r="A27" s="302" t="s">
        <v>98</v>
      </c>
      <c r="B27" s="29">
        <v>298.76</v>
      </c>
      <c r="C27" s="116">
        <v>308.82499999999999</v>
      </c>
      <c r="D27" s="29">
        <v>324</v>
      </c>
      <c r="E27" s="116">
        <v>343.5</v>
      </c>
      <c r="F27" s="29">
        <v>370</v>
      </c>
    </row>
    <row r="28" spans="1:6" ht="20" customHeight="1" thickBot="1">
      <c r="A28" s="302" t="s">
        <v>99</v>
      </c>
      <c r="B28" s="29">
        <v>312</v>
      </c>
      <c r="C28" s="116">
        <v>334.2</v>
      </c>
      <c r="D28" s="29">
        <v>351.5</v>
      </c>
      <c r="E28" s="116">
        <v>377.35</v>
      </c>
      <c r="F28" s="29">
        <v>398.75</v>
      </c>
    </row>
    <row r="29" spans="1:6" ht="20" customHeight="1" thickBot="1">
      <c r="A29" s="302" t="s">
        <v>100</v>
      </c>
      <c r="B29" s="29">
        <v>188.15</v>
      </c>
      <c r="C29" s="116">
        <v>212.8</v>
      </c>
      <c r="D29" s="29">
        <v>229.25</v>
      </c>
      <c r="E29" s="116">
        <v>246.625</v>
      </c>
      <c r="F29" s="29">
        <v>265.5</v>
      </c>
    </row>
    <row r="30" spans="1:6" ht="20" customHeight="1" thickBot="1">
      <c r="A30" s="302" t="s">
        <v>101</v>
      </c>
      <c r="B30" s="29">
        <v>318.38</v>
      </c>
      <c r="C30" s="116">
        <v>335.5</v>
      </c>
      <c r="D30" s="29">
        <v>352.25</v>
      </c>
      <c r="E30" s="116">
        <v>365.75</v>
      </c>
      <c r="F30" s="29">
        <v>403.15</v>
      </c>
    </row>
    <row r="31" spans="1:6" ht="20" customHeight="1" thickBot="1">
      <c r="A31" s="302" t="s">
        <v>102</v>
      </c>
      <c r="B31" s="29">
        <v>378</v>
      </c>
      <c r="C31" s="116">
        <v>390</v>
      </c>
      <c r="D31" s="29">
        <v>420</v>
      </c>
      <c r="E31" s="116">
        <v>440</v>
      </c>
      <c r="F31" s="29">
        <v>486.6</v>
      </c>
    </row>
    <row r="32" spans="1:6" ht="20" customHeight="1" thickBot="1">
      <c r="A32" s="302" t="s">
        <v>103</v>
      </c>
      <c r="B32" s="29">
        <v>284.70499999999998</v>
      </c>
      <c r="C32" s="116">
        <v>302.85000000000002</v>
      </c>
      <c r="D32" s="29">
        <v>322.75</v>
      </c>
      <c r="E32" s="116">
        <v>338.3</v>
      </c>
      <c r="F32" s="29">
        <v>360</v>
      </c>
    </row>
    <row r="33" spans="1:6" ht="30" customHeight="1" thickBot="1">
      <c r="A33" s="12" t="s">
        <v>104</v>
      </c>
      <c r="B33" s="356">
        <v>196</v>
      </c>
      <c r="C33" s="357">
        <v>224</v>
      </c>
      <c r="D33" s="356">
        <v>252.3</v>
      </c>
      <c r="E33" s="357">
        <v>303</v>
      </c>
      <c r="F33" s="356">
        <v>380</v>
      </c>
    </row>
    <row r="34" spans="1:6" ht="20" customHeight="1">
      <c r="A34" s="9" t="s">
        <v>290</v>
      </c>
      <c r="B34" s="669"/>
      <c r="C34" s="669"/>
      <c r="D34" s="669"/>
      <c r="E34" s="669"/>
      <c r="F34" s="669"/>
    </row>
    <row r="35" spans="1:6" ht="12.75" customHeight="1">
      <c r="A35" s="37"/>
      <c r="B35" s="670"/>
      <c r="C35" s="670"/>
      <c r="D35" s="670"/>
      <c r="E35" s="670"/>
      <c r="F35" s="670"/>
    </row>
    <row r="36" spans="1:6" ht="15.75" customHeight="1">
      <c r="A36" s="37" t="s">
        <v>291</v>
      </c>
      <c r="B36" s="670"/>
      <c r="C36" s="670"/>
      <c r="D36" s="670"/>
      <c r="E36" s="670"/>
      <c r="F36" s="670"/>
    </row>
    <row r="37" spans="1:6" ht="13.5" customHeight="1">
      <c r="A37" s="37"/>
      <c r="B37" s="670"/>
      <c r="C37" s="670"/>
      <c r="D37" s="670"/>
      <c r="E37" s="670"/>
      <c r="F37" s="670"/>
    </row>
    <row r="38" spans="1:6" ht="12.75" customHeight="1">
      <c r="A38" s="37" t="s">
        <v>285</v>
      </c>
      <c r="B38" s="670"/>
      <c r="C38" s="670"/>
      <c r="D38" s="670"/>
      <c r="E38" s="670"/>
      <c r="F38" s="670"/>
    </row>
    <row r="39" spans="1:6">
      <c r="A39" s="3" t="s">
        <v>303</v>
      </c>
      <c r="B39" s="355"/>
      <c r="C39" s="355"/>
      <c r="D39" s="355"/>
      <c r="E39" s="355"/>
      <c r="F39" s="355"/>
    </row>
    <row r="40" spans="1:6">
      <c r="B40" s="355"/>
      <c r="C40" s="355"/>
      <c r="D40" s="355"/>
      <c r="E40" s="355"/>
      <c r="F40" s="355"/>
    </row>
    <row r="41" spans="1:6">
      <c r="B41" s="355"/>
      <c r="C41" s="355"/>
      <c r="D41" s="355"/>
      <c r="E41" s="355"/>
      <c r="F41" s="355"/>
    </row>
    <row r="42" spans="1:6">
      <c r="A42" s="3" t="s">
        <v>256</v>
      </c>
      <c r="B42" s="355"/>
      <c r="C42" s="355"/>
      <c r="D42" s="355"/>
      <c r="E42" s="355"/>
      <c r="F42" s="355"/>
    </row>
  </sheetData>
  <phoneticPr fontId="0" type="noConversion"/>
  <pageMargins left="0.67" right="0.6" top="0.87" bottom="0.47244094488188981" header="0.57999999999999996" footer="0.51181102362204722"/>
  <pageSetup paperSize="9" scale="89" orientation="portrait" horizontalDpi="1200" verticalDpi="1200"/>
  <headerFooter alignWithMargins="0">
    <oddHeader>&amp;L&amp;"Arial,Bold"Prämientarife in der OKP</oddHead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214CF-B56F-DE4C-B42B-1CDE20C3587C}">
  <sheetPr>
    <pageSetUpPr fitToPage="1"/>
  </sheetPr>
  <dimension ref="A1:G42"/>
  <sheetViews>
    <sheetView zoomScale="75" workbookViewId="0"/>
  </sheetViews>
  <sheetFormatPr baseColWidth="10" defaultColWidth="11.3984375" defaultRowHeight="13"/>
  <cols>
    <col min="1" max="1" width="11.19921875" style="3" customWidth="1"/>
    <col min="2" max="2" width="13.19921875" style="3" customWidth="1"/>
    <col min="3" max="3" width="15.19921875" style="3" customWidth="1"/>
    <col min="4" max="4" width="14.19921875" style="3" customWidth="1"/>
    <col min="5" max="5" width="15.59765625" style="3" customWidth="1"/>
    <col min="6" max="6" width="15.19921875" style="3" customWidth="1"/>
    <col min="7" max="7" width="10.796875" style="3" customWidth="1"/>
    <col min="8" max="8" width="11.3984375" style="3"/>
    <col min="9" max="9" width="6.796875" style="3" customWidth="1"/>
    <col min="10" max="16384" width="11.3984375" style="3"/>
  </cols>
  <sheetData>
    <row r="1" spans="1:6" s="1" customFormat="1" ht="14" customHeight="1">
      <c r="A1" s="372"/>
      <c r="B1" s="372"/>
      <c r="C1" s="372"/>
      <c r="D1" s="372"/>
      <c r="E1" s="372"/>
      <c r="F1" s="372"/>
    </row>
    <row r="2" spans="1:6" s="1" customFormat="1" ht="18.75" customHeight="1">
      <c r="A2" s="374" t="s">
        <v>305</v>
      </c>
      <c r="B2" s="372"/>
      <c r="C2" s="372"/>
      <c r="D2" s="372"/>
      <c r="E2" s="372"/>
      <c r="F2" s="372"/>
    </row>
    <row r="3" spans="1:6" s="1" customFormat="1" ht="24" customHeight="1">
      <c r="A3" s="374" t="s">
        <v>306</v>
      </c>
      <c r="B3" s="372"/>
      <c r="C3" s="372"/>
      <c r="D3" s="372"/>
      <c r="E3" s="372"/>
      <c r="F3" s="372"/>
    </row>
    <row r="4" spans="1:6" ht="24" customHeight="1">
      <c r="A4" s="2" t="s">
        <v>70</v>
      </c>
      <c r="B4" s="665">
        <v>0.05</v>
      </c>
      <c r="C4" s="666">
        <v>0.25</v>
      </c>
      <c r="D4" s="665">
        <v>0.5</v>
      </c>
      <c r="E4" s="666">
        <v>0.25</v>
      </c>
      <c r="F4" s="665">
        <v>0.05</v>
      </c>
    </row>
    <row r="5" spans="1:6" ht="73.5" customHeight="1">
      <c r="A5" s="77"/>
      <c r="B5" s="667" t="s">
        <v>300</v>
      </c>
      <c r="C5" s="668" t="s">
        <v>300</v>
      </c>
      <c r="D5" s="667" t="s">
        <v>301</v>
      </c>
      <c r="E5" s="668" t="s">
        <v>302</v>
      </c>
      <c r="F5" s="667" t="s">
        <v>302</v>
      </c>
    </row>
    <row r="6" spans="1:6" ht="16" customHeight="1">
      <c r="A6" s="78"/>
      <c r="B6" s="73"/>
      <c r="C6" s="18"/>
      <c r="D6" s="73"/>
      <c r="E6" s="18"/>
      <c r="F6" s="15"/>
    </row>
    <row r="7" spans="1:6" ht="30" customHeight="1" thickBot="1">
      <c r="A7" s="297" t="s">
        <v>78</v>
      </c>
      <c r="B7" s="19">
        <v>192.12</v>
      </c>
      <c r="C7" s="86">
        <v>215.77500000000001</v>
      </c>
      <c r="D7" s="19">
        <v>239.25</v>
      </c>
      <c r="E7" s="86">
        <v>268.27499999999998</v>
      </c>
      <c r="F7" s="19">
        <v>303.58</v>
      </c>
    </row>
    <row r="8" spans="1:6" ht="20" customHeight="1" thickBot="1">
      <c r="A8" s="302" t="s">
        <v>79</v>
      </c>
      <c r="B8" s="29">
        <v>186.7</v>
      </c>
      <c r="C8" s="116">
        <v>209.35</v>
      </c>
      <c r="D8" s="29">
        <v>228.8</v>
      </c>
      <c r="E8" s="116">
        <v>247.15</v>
      </c>
      <c r="F8" s="29">
        <v>278.5</v>
      </c>
    </row>
    <row r="9" spans="1:6" ht="20" customHeight="1" thickBot="1">
      <c r="A9" s="302" t="s">
        <v>80</v>
      </c>
      <c r="B9" s="29">
        <v>156</v>
      </c>
      <c r="C9" s="116">
        <v>178.2</v>
      </c>
      <c r="D9" s="29">
        <v>190</v>
      </c>
      <c r="E9" s="116">
        <v>199.8</v>
      </c>
      <c r="F9" s="29">
        <v>222.66</v>
      </c>
    </row>
    <row r="10" spans="1:6" ht="20" customHeight="1" thickBot="1">
      <c r="A10" s="302" t="s">
        <v>81</v>
      </c>
      <c r="B10" s="29">
        <v>143.96</v>
      </c>
      <c r="C10" s="116">
        <v>163.19999999999999</v>
      </c>
      <c r="D10" s="29">
        <v>176</v>
      </c>
      <c r="E10" s="116">
        <v>184.7</v>
      </c>
      <c r="F10" s="29">
        <v>191.14</v>
      </c>
    </row>
    <row r="11" spans="1:6" ht="20" customHeight="1" thickBot="1">
      <c r="A11" s="302" t="s">
        <v>82</v>
      </c>
      <c r="B11" s="29">
        <v>157.6</v>
      </c>
      <c r="C11" s="116">
        <v>183.5</v>
      </c>
      <c r="D11" s="29">
        <v>189.5</v>
      </c>
      <c r="E11" s="116">
        <v>201.5</v>
      </c>
      <c r="F11" s="29">
        <v>221.01</v>
      </c>
    </row>
    <row r="12" spans="1:6" ht="20" customHeight="1" thickBot="1">
      <c r="A12" s="302" t="s">
        <v>83</v>
      </c>
      <c r="B12" s="29">
        <v>141.41</v>
      </c>
      <c r="C12" s="116">
        <v>160.55000000000001</v>
      </c>
      <c r="D12" s="29">
        <v>169</v>
      </c>
      <c r="E12" s="116">
        <v>178.3</v>
      </c>
      <c r="F12" s="29">
        <v>187.04</v>
      </c>
    </row>
    <row r="13" spans="1:6" ht="20" customHeight="1" thickBot="1">
      <c r="A13" s="302" t="s">
        <v>84</v>
      </c>
      <c r="B13" s="29">
        <v>138</v>
      </c>
      <c r="C13" s="116">
        <v>155</v>
      </c>
      <c r="D13" s="29">
        <v>164</v>
      </c>
      <c r="E13" s="116">
        <v>172.9</v>
      </c>
      <c r="F13" s="29">
        <v>185.86</v>
      </c>
    </row>
    <row r="14" spans="1:6" ht="20" customHeight="1" thickBot="1">
      <c r="A14" s="302" t="s">
        <v>85</v>
      </c>
      <c r="B14" s="29">
        <v>164.49</v>
      </c>
      <c r="C14" s="116">
        <v>177.6</v>
      </c>
      <c r="D14" s="29">
        <v>185</v>
      </c>
      <c r="E14" s="116">
        <v>204.3</v>
      </c>
      <c r="F14" s="29">
        <v>210.47</v>
      </c>
    </row>
    <row r="15" spans="1:6" ht="20" customHeight="1" thickBot="1">
      <c r="A15" s="302" t="s">
        <v>86</v>
      </c>
      <c r="B15" s="29">
        <v>161.6</v>
      </c>
      <c r="C15" s="116">
        <v>174.4</v>
      </c>
      <c r="D15" s="29">
        <v>186.8</v>
      </c>
      <c r="E15" s="116">
        <v>200.6</v>
      </c>
      <c r="F15" s="29">
        <v>204.06</v>
      </c>
    </row>
    <row r="16" spans="1:6" ht="20" customHeight="1" thickBot="1">
      <c r="A16" s="302" t="s">
        <v>87</v>
      </c>
      <c r="B16" s="29">
        <v>189.2</v>
      </c>
      <c r="C16" s="116">
        <v>206.125</v>
      </c>
      <c r="D16" s="29">
        <v>225.85</v>
      </c>
      <c r="E16" s="116">
        <v>243.52500000000001</v>
      </c>
      <c r="F16" s="29">
        <v>270.22500000000002</v>
      </c>
    </row>
    <row r="17" spans="1:6" ht="20" customHeight="1" thickBot="1">
      <c r="A17" s="302" t="s">
        <v>88</v>
      </c>
      <c r="B17" s="29">
        <v>186.12</v>
      </c>
      <c r="C17" s="116">
        <v>200</v>
      </c>
      <c r="D17" s="29">
        <v>214</v>
      </c>
      <c r="E17" s="116">
        <v>225</v>
      </c>
      <c r="F17" s="29">
        <v>252.32</v>
      </c>
    </row>
    <row r="18" spans="1:6" ht="20" customHeight="1" thickBot="1">
      <c r="A18" s="302" t="s">
        <v>89</v>
      </c>
      <c r="B18" s="29">
        <v>271.41000000000003</v>
      </c>
      <c r="C18" s="116">
        <v>302.10000000000002</v>
      </c>
      <c r="D18" s="29">
        <v>324</v>
      </c>
      <c r="E18" s="116">
        <v>345</v>
      </c>
      <c r="F18" s="29">
        <v>362.25</v>
      </c>
    </row>
    <row r="19" spans="1:6" ht="20" customHeight="1" thickBot="1">
      <c r="A19" s="302" t="s">
        <v>90</v>
      </c>
      <c r="B19" s="29">
        <v>195.02500000000001</v>
      </c>
      <c r="C19" s="116">
        <v>223.4</v>
      </c>
      <c r="D19" s="29">
        <v>242.5</v>
      </c>
      <c r="E19" s="116">
        <v>256.97500000000002</v>
      </c>
      <c r="F19" s="29">
        <v>273.875</v>
      </c>
    </row>
    <row r="20" spans="1:6" ht="20" customHeight="1" thickBot="1">
      <c r="A20" s="302" t="s">
        <v>91</v>
      </c>
      <c r="B20" s="29">
        <v>184.875</v>
      </c>
      <c r="C20" s="116">
        <v>207.97499999999999</v>
      </c>
      <c r="D20" s="29">
        <v>220.4</v>
      </c>
      <c r="E20" s="116">
        <v>233.92500000000001</v>
      </c>
      <c r="F20" s="29">
        <v>252.1</v>
      </c>
    </row>
    <row r="21" spans="1:6" ht="20" customHeight="1" thickBot="1">
      <c r="A21" s="302" t="s">
        <v>92</v>
      </c>
      <c r="B21" s="29">
        <v>147.75</v>
      </c>
      <c r="C21" s="116">
        <v>162.4</v>
      </c>
      <c r="D21" s="29">
        <v>174.6</v>
      </c>
      <c r="E21" s="116">
        <v>183.55</v>
      </c>
      <c r="F21" s="29">
        <v>192.4</v>
      </c>
    </row>
    <row r="22" spans="1:6" ht="20" customHeight="1" thickBot="1">
      <c r="A22" s="302" t="s">
        <v>93</v>
      </c>
      <c r="B22" s="29">
        <v>131.91499999999999</v>
      </c>
      <c r="C22" s="116">
        <v>145.94999999999999</v>
      </c>
      <c r="D22" s="29">
        <v>157.6</v>
      </c>
      <c r="E22" s="116">
        <v>165.8</v>
      </c>
      <c r="F22" s="29">
        <v>176.91</v>
      </c>
    </row>
    <row r="23" spans="1:6" ht="20" customHeight="1" thickBot="1">
      <c r="A23" s="302" t="s">
        <v>94</v>
      </c>
      <c r="B23" s="29">
        <v>160</v>
      </c>
      <c r="C23" s="116">
        <v>176</v>
      </c>
      <c r="D23" s="29">
        <v>188.8</v>
      </c>
      <c r="E23" s="116">
        <v>204.07499999999999</v>
      </c>
      <c r="F23" s="29">
        <v>218.67500000000001</v>
      </c>
    </row>
    <row r="24" spans="1:6" ht="20" customHeight="1" thickBot="1">
      <c r="A24" s="302" t="s">
        <v>95</v>
      </c>
      <c r="B24" s="29">
        <v>156.87</v>
      </c>
      <c r="C24" s="116">
        <v>180.8</v>
      </c>
      <c r="D24" s="29">
        <v>190.7</v>
      </c>
      <c r="E24" s="116">
        <v>207</v>
      </c>
      <c r="F24" s="29">
        <v>234</v>
      </c>
    </row>
    <row r="25" spans="1:6" ht="20" customHeight="1" thickBot="1">
      <c r="A25" s="302" t="s">
        <v>96</v>
      </c>
      <c r="B25" s="29">
        <v>179.1</v>
      </c>
      <c r="C25" s="116">
        <v>195.45</v>
      </c>
      <c r="D25" s="29">
        <v>206</v>
      </c>
      <c r="E25" s="116">
        <v>219.9</v>
      </c>
      <c r="F25" s="29">
        <v>246.75</v>
      </c>
    </row>
    <row r="26" spans="1:6" ht="20" customHeight="1" thickBot="1">
      <c r="A26" s="302" t="s">
        <v>97</v>
      </c>
      <c r="B26" s="29">
        <v>187.5</v>
      </c>
      <c r="C26" s="116">
        <v>208</v>
      </c>
      <c r="D26" s="29">
        <v>218</v>
      </c>
      <c r="E26" s="116">
        <v>235.5</v>
      </c>
      <c r="F26" s="29">
        <v>248.35</v>
      </c>
    </row>
    <row r="27" spans="1:6" ht="20" customHeight="1" thickBot="1">
      <c r="A27" s="302" t="s">
        <v>98</v>
      </c>
      <c r="B27" s="29">
        <v>228.875</v>
      </c>
      <c r="C27" s="116">
        <v>252.8</v>
      </c>
      <c r="D27" s="29">
        <v>274.89999999999998</v>
      </c>
      <c r="E27" s="116">
        <v>289.17500000000001</v>
      </c>
      <c r="F27" s="29">
        <v>339.47</v>
      </c>
    </row>
    <row r="28" spans="1:6" ht="20" customHeight="1" thickBot="1">
      <c r="A28" s="302" t="s">
        <v>99</v>
      </c>
      <c r="B28" s="29">
        <v>246.405</v>
      </c>
      <c r="C28" s="116">
        <v>279.8</v>
      </c>
      <c r="D28" s="29">
        <v>295.89999999999998</v>
      </c>
      <c r="E28" s="116">
        <v>312.3</v>
      </c>
      <c r="F28" s="29">
        <v>348.97500000000002</v>
      </c>
    </row>
    <row r="29" spans="1:6" ht="20" customHeight="1" thickBot="1">
      <c r="A29" s="302" t="s">
        <v>100</v>
      </c>
      <c r="B29" s="29">
        <v>138.35</v>
      </c>
      <c r="C29" s="116">
        <v>171.17500000000001</v>
      </c>
      <c r="D29" s="29">
        <v>189.3</v>
      </c>
      <c r="E29" s="116">
        <v>207.25</v>
      </c>
      <c r="F29" s="29">
        <v>237.96</v>
      </c>
    </row>
    <row r="30" spans="1:6" ht="20" customHeight="1" thickBot="1">
      <c r="A30" s="302" t="s">
        <v>101</v>
      </c>
      <c r="B30" s="29">
        <v>251.30500000000001</v>
      </c>
      <c r="C30" s="116">
        <v>276.10000000000002</v>
      </c>
      <c r="D30" s="29">
        <v>297</v>
      </c>
      <c r="E30" s="116">
        <v>312.57499999999999</v>
      </c>
      <c r="F30" s="29">
        <v>353.3</v>
      </c>
    </row>
    <row r="31" spans="1:6" ht="20" customHeight="1" thickBot="1">
      <c r="A31" s="302" t="s">
        <v>102</v>
      </c>
      <c r="B31" s="29">
        <v>310.2</v>
      </c>
      <c r="C31" s="116">
        <v>338.3</v>
      </c>
      <c r="D31" s="29">
        <v>350.9</v>
      </c>
      <c r="E31" s="116">
        <v>372.2</v>
      </c>
      <c r="F31" s="29">
        <v>414.92</v>
      </c>
    </row>
    <row r="32" spans="1:6" ht="20" customHeight="1" thickBot="1">
      <c r="A32" s="302" t="s">
        <v>103</v>
      </c>
      <c r="B32" s="29">
        <v>240</v>
      </c>
      <c r="C32" s="116">
        <v>257.5</v>
      </c>
      <c r="D32" s="29">
        <v>269.39999999999998</v>
      </c>
      <c r="E32" s="116">
        <v>280.875</v>
      </c>
      <c r="F32" s="29">
        <v>303.97500000000002</v>
      </c>
    </row>
    <row r="33" spans="1:7" ht="30" customHeight="1" thickBot="1">
      <c r="A33" s="12" t="s">
        <v>104</v>
      </c>
      <c r="B33" s="356">
        <v>156.88</v>
      </c>
      <c r="C33" s="357">
        <v>185</v>
      </c>
      <c r="D33" s="356">
        <v>209.3</v>
      </c>
      <c r="E33" s="357">
        <v>251.9</v>
      </c>
      <c r="F33" s="356">
        <v>325.52</v>
      </c>
      <c r="G33" s="37"/>
    </row>
    <row r="34" spans="1:7" ht="20" customHeight="1">
      <c r="A34" s="9" t="s">
        <v>290</v>
      </c>
      <c r="B34" s="669"/>
      <c r="C34" s="669"/>
      <c r="D34" s="669"/>
      <c r="E34" s="669"/>
      <c r="F34" s="669"/>
      <c r="G34" s="670"/>
    </row>
    <row r="35" spans="1:7" ht="12.75" customHeight="1">
      <c r="A35" s="37"/>
      <c r="B35" s="670"/>
      <c r="C35" s="670"/>
      <c r="D35" s="670"/>
      <c r="E35" s="670"/>
      <c r="F35" s="670"/>
      <c r="G35" s="670"/>
    </row>
    <row r="36" spans="1:7" ht="20" customHeight="1">
      <c r="A36" s="37" t="s">
        <v>291</v>
      </c>
      <c r="B36" s="670"/>
      <c r="C36" s="670"/>
      <c r="D36" s="670"/>
      <c r="E36" s="670"/>
      <c r="F36" s="670"/>
      <c r="G36" s="670"/>
    </row>
    <row r="37" spans="1:7" ht="14.25" customHeight="1">
      <c r="A37" s="37"/>
      <c r="B37" s="670"/>
      <c r="C37" s="670"/>
      <c r="D37" s="670"/>
      <c r="E37" s="670"/>
      <c r="F37" s="670"/>
      <c r="G37" s="670"/>
    </row>
    <row r="38" spans="1:7" ht="12.75" customHeight="1">
      <c r="A38" s="37" t="s">
        <v>285</v>
      </c>
      <c r="B38" s="670"/>
      <c r="C38" s="670"/>
      <c r="D38" s="670"/>
      <c r="E38" s="670"/>
      <c r="F38" s="670"/>
      <c r="G38" s="670"/>
    </row>
    <row r="39" spans="1:7">
      <c r="A39" s="3" t="s">
        <v>303</v>
      </c>
      <c r="B39" s="355"/>
      <c r="C39" s="355"/>
      <c r="D39" s="355"/>
      <c r="E39" s="355"/>
      <c r="F39" s="355"/>
      <c r="G39" s="355"/>
    </row>
    <row r="40" spans="1:7">
      <c r="B40" s="355"/>
      <c r="C40" s="355"/>
      <c r="D40" s="355"/>
      <c r="E40" s="355"/>
      <c r="F40" s="355"/>
      <c r="G40" s="355"/>
    </row>
    <row r="41" spans="1:7">
      <c r="B41" s="355"/>
      <c r="C41" s="355"/>
      <c r="D41" s="355"/>
      <c r="E41" s="355"/>
      <c r="F41" s="355"/>
      <c r="G41" s="355"/>
    </row>
    <row r="42" spans="1:7">
      <c r="A42" s="3" t="s">
        <v>256</v>
      </c>
      <c r="B42" s="355"/>
      <c r="C42" s="355"/>
      <c r="D42" s="355"/>
      <c r="E42" s="355"/>
      <c r="F42" s="355"/>
      <c r="G42" s="355"/>
    </row>
  </sheetData>
  <phoneticPr fontId="0" type="noConversion"/>
  <pageMargins left="0.67" right="0.54" top="0.76" bottom="0.47244094488188981" header="0.49" footer="0.51181102362204722"/>
  <pageSetup paperSize="9" scale="89" orientation="portrait" horizontalDpi="4294967292" verticalDpi="4294967292"/>
  <headerFooter alignWithMargins="0">
    <oddHeader>&amp;L&amp;"Arial,Bold"Prämientarife in der OKP</oddHead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24B85-81DA-BF46-8E48-37A797536B87}">
  <sheetPr>
    <pageSetUpPr fitToPage="1"/>
  </sheetPr>
  <dimension ref="A1:F42"/>
  <sheetViews>
    <sheetView topLeftCell="A31" zoomScale="75" workbookViewId="0">
      <selection activeCell="A42" sqref="A1:F42"/>
    </sheetView>
  </sheetViews>
  <sheetFormatPr baseColWidth="10" defaultColWidth="11.3984375" defaultRowHeight="13"/>
  <cols>
    <col min="1" max="1" width="11.19921875" style="3" customWidth="1"/>
    <col min="2" max="2" width="15.19921875" style="3" customWidth="1"/>
    <col min="3" max="3" width="14.19921875" style="3" customWidth="1"/>
    <col min="4" max="4" width="15.59765625" style="3" customWidth="1"/>
    <col min="5" max="5" width="15.19921875" style="3" customWidth="1"/>
    <col min="6" max="6" width="14.19921875" style="3" customWidth="1"/>
    <col min="7" max="16384" width="11.3984375" style="3"/>
  </cols>
  <sheetData>
    <row r="1" spans="1:6" s="1" customFormat="1" ht="14" customHeight="1">
      <c r="A1" s="372"/>
      <c r="B1" s="372"/>
      <c r="C1" s="372"/>
      <c r="D1" s="372"/>
      <c r="E1" s="372"/>
      <c r="F1" s="372"/>
    </row>
    <row r="2" spans="1:6" s="1" customFormat="1" ht="18.75" customHeight="1">
      <c r="A2" s="374" t="s">
        <v>304</v>
      </c>
      <c r="B2" s="372"/>
      <c r="C2" s="372"/>
      <c r="D2" s="372"/>
      <c r="E2" s="372"/>
      <c r="F2" s="372"/>
    </row>
    <row r="3" spans="1:6" s="1" customFormat="1" ht="22.5" customHeight="1">
      <c r="A3" s="374" t="s">
        <v>289</v>
      </c>
      <c r="B3" s="372"/>
      <c r="C3" s="372"/>
      <c r="D3" s="372"/>
      <c r="E3" s="372"/>
      <c r="F3" s="372"/>
    </row>
    <row r="4" spans="1:6" ht="24" customHeight="1">
      <c r="A4" s="2" t="s">
        <v>70</v>
      </c>
      <c r="B4" s="665">
        <v>0.05</v>
      </c>
      <c r="C4" s="666">
        <v>0.25</v>
      </c>
      <c r="D4" s="665">
        <v>0.5</v>
      </c>
      <c r="E4" s="666">
        <v>0.25</v>
      </c>
      <c r="F4" s="665">
        <v>0.05</v>
      </c>
    </row>
    <row r="5" spans="1:6" ht="73.5" customHeight="1">
      <c r="A5" s="77"/>
      <c r="B5" s="667" t="s">
        <v>300</v>
      </c>
      <c r="C5" s="668" t="s">
        <v>300</v>
      </c>
      <c r="D5" s="667" t="s">
        <v>301</v>
      </c>
      <c r="E5" s="668" t="s">
        <v>302</v>
      </c>
      <c r="F5" s="667" t="s">
        <v>302</v>
      </c>
    </row>
    <row r="6" spans="1:6" ht="16" customHeight="1">
      <c r="A6" s="78"/>
      <c r="B6" s="73"/>
      <c r="C6" s="18"/>
      <c r="D6" s="73"/>
      <c r="E6" s="18"/>
      <c r="F6" s="15"/>
    </row>
    <row r="7" spans="1:6" ht="30" customHeight="1" thickBot="1">
      <c r="A7" s="297" t="s">
        <v>78</v>
      </c>
      <c r="B7" s="19">
        <v>60.83</v>
      </c>
      <c r="C7" s="86">
        <v>66.3</v>
      </c>
      <c r="D7" s="19">
        <v>73</v>
      </c>
      <c r="E7" s="86">
        <v>83.325000000000003</v>
      </c>
      <c r="F7" s="19">
        <v>102.67</v>
      </c>
    </row>
    <row r="8" spans="1:6" ht="20" customHeight="1" thickBot="1">
      <c r="A8" s="302" t="s">
        <v>79</v>
      </c>
      <c r="B8" s="29">
        <v>61.2</v>
      </c>
      <c r="C8" s="116">
        <v>66.25</v>
      </c>
      <c r="D8" s="29">
        <v>72</v>
      </c>
      <c r="E8" s="116">
        <v>78.150000000000006</v>
      </c>
      <c r="F8" s="29">
        <v>88.8</v>
      </c>
    </row>
    <row r="9" spans="1:6" ht="20" customHeight="1" thickBot="1">
      <c r="A9" s="302" t="s">
        <v>80</v>
      </c>
      <c r="B9" s="29">
        <v>48.7</v>
      </c>
      <c r="C9" s="116">
        <v>53.8</v>
      </c>
      <c r="D9" s="29">
        <v>58</v>
      </c>
      <c r="E9" s="116">
        <v>62.7</v>
      </c>
      <c r="F9" s="29">
        <v>73.319999999999993</v>
      </c>
    </row>
    <row r="10" spans="1:6" ht="20" customHeight="1" thickBot="1">
      <c r="A10" s="302" t="s">
        <v>81</v>
      </c>
      <c r="B10" s="29">
        <v>46.76</v>
      </c>
      <c r="C10" s="116">
        <v>49.8</v>
      </c>
      <c r="D10" s="29">
        <v>52.8</v>
      </c>
      <c r="E10" s="116">
        <v>57.6</v>
      </c>
      <c r="F10" s="29">
        <v>66.72</v>
      </c>
    </row>
    <row r="11" spans="1:6" ht="20" customHeight="1" thickBot="1">
      <c r="A11" s="302" t="s">
        <v>82</v>
      </c>
      <c r="B11" s="29">
        <v>51.71</v>
      </c>
      <c r="C11" s="116">
        <v>54.8</v>
      </c>
      <c r="D11" s="29">
        <v>58.25</v>
      </c>
      <c r="E11" s="116">
        <v>62.475000000000001</v>
      </c>
      <c r="F11" s="29">
        <v>78.510000000000005</v>
      </c>
    </row>
    <row r="12" spans="1:6" ht="20" customHeight="1" thickBot="1">
      <c r="A12" s="302" t="s">
        <v>83</v>
      </c>
      <c r="B12" s="29">
        <v>47.65</v>
      </c>
      <c r="C12" s="116">
        <v>48.8</v>
      </c>
      <c r="D12" s="29">
        <v>51.7</v>
      </c>
      <c r="E12" s="116">
        <v>56.15</v>
      </c>
      <c r="F12" s="29">
        <v>62.98</v>
      </c>
    </row>
    <row r="13" spans="1:6" ht="20" customHeight="1" thickBot="1">
      <c r="A13" s="302" t="s">
        <v>84</v>
      </c>
      <c r="B13" s="29">
        <v>45.28</v>
      </c>
      <c r="C13" s="116">
        <v>47.8</v>
      </c>
      <c r="D13" s="29">
        <v>50.4</v>
      </c>
      <c r="E13" s="116">
        <v>54</v>
      </c>
      <c r="F13" s="29">
        <v>62.72</v>
      </c>
    </row>
    <row r="14" spans="1:6" ht="20" customHeight="1" thickBot="1">
      <c r="A14" s="302" t="s">
        <v>85</v>
      </c>
      <c r="B14" s="29">
        <v>49.8</v>
      </c>
      <c r="C14" s="116">
        <v>51.8</v>
      </c>
      <c r="D14" s="29">
        <v>56</v>
      </c>
      <c r="E14" s="116">
        <v>62.5</v>
      </c>
      <c r="F14" s="29">
        <v>67.2</v>
      </c>
    </row>
    <row r="15" spans="1:6" ht="20" customHeight="1" thickBot="1">
      <c r="A15" s="302" t="s">
        <v>86</v>
      </c>
      <c r="B15" s="29">
        <v>51</v>
      </c>
      <c r="C15" s="116">
        <v>53.5</v>
      </c>
      <c r="D15" s="29">
        <v>57</v>
      </c>
      <c r="E15" s="116">
        <v>61.3</v>
      </c>
      <c r="F15" s="29">
        <v>70.44</v>
      </c>
    </row>
    <row r="16" spans="1:6" ht="20" customHeight="1" thickBot="1">
      <c r="A16" s="302" t="s">
        <v>87</v>
      </c>
      <c r="B16" s="29">
        <v>60.075000000000003</v>
      </c>
      <c r="C16" s="116">
        <v>64.8</v>
      </c>
      <c r="D16" s="29">
        <v>68.8</v>
      </c>
      <c r="E16" s="116">
        <v>72.650000000000006</v>
      </c>
      <c r="F16" s="29">
        <v>92</v>
      </c>
    </row>
    <row r="17" spans="1:6" ht="20" customHeight="1" thickBot="1">
      <c r="A17" s="302" t="s">
        <v>88</v>
      </c>
      <c r="B17" s="29">
        <v>59.74</v>
      </c>
      <c r="C17" s="116">
        <v>62</v>
      </c>
      <c r="D17" s="29">
        <v>65.900000000000006</v>
      </c>
      <c r="E17" s="116">
        <v>70.5</v>
      </c>
      <c r="F17" s="29">
        <v>79.2</v>
      </c>
    </row>
    <row r="18" spans="1:6" ht="20" customHeight="1" thickBot="1">
      <c r="A18" s="302" t="s">
        <v>89</v>
      </c>
      <c r="B18" s="29">
        <v>81.8</v>
      </c>
      <c r="C18" s="116">
        <v>84.8</v>
      </c>
      <c r="D18" s="29">
        <v>94.3</v>
      </c>
      <c r="E18" s="116">
        <v>106.45</v>
      </c>
      <c r="F18" s="29">
        <v>120.3</v>
      </c>
    </row>
    <row r="19" spans="1:6" ht="20" customHeight="1" thickBot="1">
      <c r="A19" s="302" t="s">
        <v>90</v>
      </c>
      <c r="B19" s="29">
        <v>64.25</v>
      </c>
      <c r="C19" s="116">
        <v>69.2</v>
      </c>
      <c r="D19" s="29">
        <v>72.900000000000006</v>
      </c>
      <c r="E19" s="116">
        <v>80</v>
      </c>
      <c r="F19" s="29">
        <v>92.265000000000001</v>
      </c>
    </row>
    <row r="20" spans="1:6" ht="20" customHeight="1" thickBot="1">
      <c r="A20" s="302" t="s">
        <v>91</v>
      </c>
      <c r="B20" s="29">
        <v>55.8</v>
      </c>
      <c r="C20" s="116">
        <v>61.575000000000003</v>
      </c>
      <c r="D20" s="29">
        <v>66.900000000000006</v>
      </c>
      <c r="E20" s="116">
        <v>73</v>
      </c>
      <c r="F20" s="29">
        <v>86.75</v>
      </c>
    </row>
    <row r="21" spans="1:6" ht="20" customHeight="1" thickBot="1">
      <c r="A21" s="302" t="s">
        <v>92</v>
      </c>
      <c r="B21" s="29">
        <v>47.8</v>
      </c>
      <c r="C21" s="116">
        <v>48.8</v>
      </c>
      <c r="D21" s="29">
        <v>51.5</v>
      </c>
      <c r="E21" s="116">
        <v>56.35</v>
      </c>
      <c r="F21" s="29">
        <v>64.3</v>
      </c>
    </row>
    <row r="22" spans="1:6" ht="20" customHeight="1" thickBot="1">
      <c r="A22" s="302" t="s">
        <v>93</v>
      </c>
      <c r="B22" s="29">
        <v>44.44</v>
      </c>
      <c r="C22" s="116">
        <v>45.7</v>
      </c>
      <c r="D22" s="29">
        <v>47.8</v>
      </c>
      <c r="E22" s="116">
        <v>50.325000000000003</v>
      </c>
      <c r="F22" s="29">
        <v>58.89</v>
      </c>
    </row>
    <row r="23" spans="1:6" ht="20" customHeight="1" thickBot="1">
      <c r="A23" s="302" t="s">
        <v>94</v>
      </c>
      <c r="B23" s="29">
        <v>49.8</v>
      </c>
      <c r="C23" s="116">
        <v>53.8</v>
      </c>
      <c r="D23" s="29">
        <v>58</v>
      </c>
      <c r="E23" s="116">
        <v>62.424999999999997</v>
      </c>
      <c r="F23" s="29">
        <v>79</v>
      </c>
    </row>
    <row r="24" spans="1:6" ht="20" customHeight="1" thickBot="1">
      <c r="A24" s="302" t="s">
        <v>95</v>
      </c>
      <c r="B24" s="29">
        <v>49.8</v>
      </c>
      <c r="C24" s="116">
        <v>54.8</v>
      </c>
      <c r="D24" s="29">
        <v>58.65</v>
      </c>
      <c r="E24" s="116">
        <v>62.55</v>
      </c>
      <c r="F24" s="29">
        <v>72.754999999999995</v>
      </c>
    </row>
    <row r="25" spans="1:6" ht="20" customHeight="1" thickBot="1">
      <c r="A25" s="302" t="s">
        <v>96</v>
      </c>
      <c r="B25" s="29">
        <v>54.9</v>
      </c>
      <c r="C25" s="116">
        <v>58.3</v>
      </c>
      <c r="D25" s="29">
        <v>62.5</v>
      </c>
      <c r="E25" s="116">
        <v>66.55</v>
      </c>
      <c r="F25" s="29">
        <v>75.7</v>
      </c>
    </row>
    <row r="26" spans="1:6" ht="20" customHeight="1" thickBot="1">
      <c r="A26" s="302" t="s">
        <v>97</v>
      </c>
      <c r="B26" s="29">
        <v>57.3</v>
      </c>
      <c r="C26" s="116">
        <v>59.8</v>
      </c>
      <c r="D26" s="29">
        <v>65.8</v>
      </c>
      <c r="E26" s="116">
        <v>70.900000000000006</v>
      </c>
      <c r="F26" s="29">
        <v>78.05</v>
      </c>
    </row>
    <row r="27" spans="1:6" ht="20" customHeight="1" thickBot="1">
      <c r="A27" s="302" t="s">
        <v>98</v>
      </c>
      <c r="B27" s="29">
        <v>72.52</v>
      </c>
      <c r="C27" s="116">
        <v>78.8</v>
      </c>
      <c r="D27" s="29">
        <v>82.8</v>
      </c>
      <c r="E27" s="116">
        <v>90</v>
      </c>
      <c r="F27" s="29">
        <v>105.55500000000001</v>
      </c>
    </row>
    <row r="28" spans="1:6" ht="20" customHeight="1" thickBot="1">
      <c r="A28" s="302" t="s">
        <v>99</v>
      </c>
      <c r="B28" s="29">
        <v>81.135000000000005</v>
      </c>
      <c r="C28" s="116">
        <v>90</v>
      </c>
      <c r="D28" s="29">
        <v>94.65</v>
      </c>
      <c r="E28" s="116">
        <v>98.625</v>
      </c>
      <c r="F28" s="29">
        <v>110.11</v>
      </c>
    </row>
    <row r="29" spans="1:6" ht="20" customHeight="1" thickBot="1">
      <c r="A29" s="302" t="s">
        <v>100</v>
      </c>
      <c r="B29" s="29">
        <v>47.35</v>
      </c>
      <c r="C29" s="116">
        <v>57.225000000000001</v>
      </c>
      <c r="D29" s="29">
        <v>59.9</v>
      </c>
      <c r="E29" s="116">
        <v>64.125</v>
      </c>
      <c r="F29" s="29">
        <v>76.754999999999995</v>
      </c>
    </row>
    <row r="30" spans="1:6" ht="20" customHeight="1" thickBot="1">
      <c r="A30" s="302" t="s">
        <v>101</v>
      </c>
      <c r="B30" s="29">
        <v>75.28</v>
      </c>
      <c r="C30" s="116">
        <v>78.8</v>
      </c>
      <c r="D30" s="29">
        <v>85.75</v>
      </c>
      <c r="E30" s="116">
        <v>91.5</v>
      </c>
      <c r="F30" s="29">
        <v>109.71</v>
      </c>
    </row>
    <row r="31" spans="1:6" ht="20" customHeight="1" thickBot="1">
      <c r="A31" s="302" t="s">
        <v>102</v>
      </c>
      <c r="B31" s="29">
        <v>97.62</v>
      </c>
      <c r="C31" s="116">
        <v>99.8</v>
      </c>
      <c r="D31" s="29">
        <v>104.5</v>
      </c>
      <c r="E31" s="116">
        <v>114.4</v>
      </c>
      <c r="F31" s="29">
        <v>124.76</v>
      </c>
    </row>
    <row r="32" spans="1:6" ht="20" customHeight="1" thickBot="1">
      <c r="A32" s="302" t="s">
        <v>103</v>
      </c>
      <c r="B32" s="29">
        <v>70.5</v>
      </c>
      <c r="C32" s="116">
        <v>75.8</v>
      </c>
      <c r="D32" s="29">
        <v>78.900000000000006</v>
      </c>
      <c r="E32" s="116">
        <v>86</v>
      </c>
      <c r="F32" s="29">
        <v>98.045000000000002</v>
      </c>
    </row>
    <row r="33" spans="1:6" ht="30" customHeight="1" thickBot="1">
      <c r="A33" s="12" t="s">
        <v>104</v>
      </c>
      <c r="B33" s="356">
        <v>48.8</v>
      </c>
      <c r="C33" s="357">
        <v>57</v>
      </c>
      <c r="D33" s="356">
        <v>65</v>
      </c>
      <c r="E33" s="357">
        <v>79</v>
      </c>
      <c r="F33" s="356">
        <v>99.8</v>
      </c>
    </row>
    <row r="34" spans="1:6" ht="20" customHeight="1">
      <c r="A34" s="9" t="s">
        <v>290</v>
      </c>
      <c r="B34" s="669"/>
      <c r="C34" s="669"/>
      <c r="D34" s="669"/>
      <c r="E34" s="669"/>
      <c r="F34" s="669"/>
    </row>
    <row r="35" spans="1:6" ht="15.75" customHeight="1">
      <c r="A35" s="37"/>
      <c r="B35" s="670"/>
      <c r="C35" s="670"/>
      <c r="D35" s="670"/>
      <c r="E35" s="670"/>
      <c r="F35" s="670"/>
    </row>
    <row r="36" spans="1:6" ht="20.25" customHeight="1">
      <c r="A36" s="37" t="s">
        <v>291</v>
      </c>
      <c r="B36" s="670"/>
      <c r="C36" s="670"/>
      <c r="D36" s="670"/>
      <c r="E36" s="670"/>
      <c r="F36" s="670"/>
    </row>
    <row r="37" spans="1:6" ht="13.5" customHeight="1">
      <c r="A37" s="37"/>
      <c r="B37" s="670"/>
      <c r="C37" s="670"/>
      <c r="D37" s="670"/>
      <c r="E37" s="670"/>
      <c r="F37" s="670"/>
    </row>
    <row r="38" spans="1:6" ht="12.75" customHeight="1">
      <c r="A38" s="37" t="s">
        <v>285</v>
      </c>
      <c r="B38" s="670"/>
      <c r="C38" s="670"/>
      <c r="D38" s="670"/>
      <c r="E38" s="670"/>
      <c r="F38" s="670"/>
    </row>
    <row r="39" spans="1:6">
      <c r="A39" s="3" t="s">
        <v>303</v>
      </c>
      <c r="B39" s="355"/>
      <c r="C39" s="355"/>
      <c r="D39" s="355"/>
      <c r="E39" s="355"/>
      <c r="F39" s="355"/>
    </row>
    <row r="40" spans="1:6">
      <c r="B40" s="355"/>
      <c r="C40" s="355"/>
      <c r="D40" s="355"/>
      <c r="E40" s="355"/>
      <c r="F40" s="355"/>
    </row>
    <row r="41" spans="1:6">
      <c r="B41" s="355"/>
      <c r="C41" s="355"/>
      <c r="D41" s="355"/>
      <c r="E41" s="355"/>
      <c r="F41" s="355"/>
    </row>
    <row r="42" spans="1:6">
      <c r="A42" s="3" t="s">
        <v>256</v>
      </c>
      <c r="B42" s="355"/>
      <c r="C42" s="355"/>
      <c r="D42" s="355"/>
      <c r="E42" s="355"/>
      <c r="F42" s="355"/>
    </row>
  </sheetData>
  <phoneticPr fontId="0" type="noConversion"/>
  <pageMargins left="0.65" right="0.54" top="0.9" bottom="0.47244094488188981" header="0.57999999999999996" footer="0.51181102362204722"/>
  <pageSetup paperSize="9" scale="84" orientation="portrait" horizontalDpi="4294967292" verticalDpi="4294967292"/>
  <headerFooter alignWithMargins="0">
    <oddHeader>&amp;L&amp;"Arial,Bold"Prämientarife in der OKP</oddHead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95CD9-F8C6-3A42-80C9-A673AFF9743B}">
  <sheetPr>
    <pageSetUpPr fitToPage="1"/>
  </sheetPr>
  <dimension ref="A1:K42"/>
  <sheetViews>
    <sheetView zoomScale="75" workbookViewId="0">
      <selection activeCell="A2" sqref="A2"/>
    </sheetView>
  </sheetViews>
  <sheetFormatPr baseColWidth="10" defaultColWidth="11.3984375" defaultRowHeight="13"/>
  <cols>
    <col min="1" max="1" width="12.3984375" style="3" customWidth="1"/>
    <col min="2" max="11" width="10.3984375" style="3" customWidth="1"/>
    <col min="12" max="16384" width="11.3984375" style="3"/>
  </cols>
  <sheetData>
    <row r="1" spans="1:11" s="1" customFormat="1" ht="14" customHeight="1"/>
    <row r="2" spans="1:11" s="1" customFormat="1" ht="28" customHeight="1">
      <c r="A2" s="59" t="s">
        <v>298</v>
      </c>
    </row>
    <row r="3" spans="1:11" ht="24" customHeight="1">
      <c r="A3" s="2" t="s">
        <v>70</v>
      </c>
      <c r="B3" s="69" t="s">
        <v>299</v>
      </c>
      <c r="C3" s="16">
        <v>1997</v>
      </c>
      <c r="D3" s="69">
        <v>1998</v>
      </c>
      <c r="E3" s="16">
        <v>1999</v>
      </c>
      <c r="F3" s="69">
        <v>2000</v>
      </c>
      <c r="G3" s="16">
        <v>2001</v>
      </c>
      <c r="H3" s="69">
        <v>2002</v>
      </c>
      <c r="I3" s="16">
        <v>2003</v>
      </c>
      <c r="J3" s="69">
        <v>2004</v>
      </c>
      <c r="K3" s="16">
        <v>2005</v>
      </c>
    </row>
    <row r="4" spans="1:11" ht="15" customHeight="1">
      <c r="A4" s="77"/>
      <c r="B4" s="70"/>
      <c r="C4" s="17"/>
      <c r="D4" s="70"/>
      <c r="E4" s="17"/>
      <c r="F4" s="14"/>
      <c r="G4" s="61"/>
      <c r="H4" s="70"/>
      <c r="I4" s="17"/>
      <c r="J4" s="70"/>
      <c r="K4" s="17"/>
    </row>
    <row r="5" spans="1:11" ht="16" customHeight="1">
      <c r="A5" s="78"/>
      <c r="B5" s="73"/>
      <c r="C5" s="18"/>
      <c r="D5" s="73"/>
      <c r="E5" s="18"/>
      <c r="F5" s="15"/>
      <c r="G5" s="62"/>
      <c r="H5" s="73"/>
      <c r="I5" s="18"/>
      <c r="J5" s="73"/>
      <c r="K5" s="18"/>
    </row>
    <row r="6" spans="1:11" ht="30" customHeight="1" thickBot="1">
      <c r="A6" s="297" t="s">
        <v>78</v>
      </c>
      <c r="B6" s="19">
        <v>140.45020035188517</v>
      </c>
      <c r="C6" s="86">
        <v>152.60734096663364</v>
      </c>
      <c r="D6" s="19">
        <v>162.80735826577748</v>
      </c>
      <c r="E6" s="86">
        <v>169.30075711716398</v>
      </c>
      <c r="F6" s="19">
        <v>177.3694424437096</v>
      </c>
      <c r="G6" s="86">
        <v>187.29217686599966</v>
      </c>
      <c r="H6" s="19">
        <v>207</v>
      </c>
      <c r="I6" s="63">
        <v>229.52696643173866</v>
      </c>
      <c r="J6" s="28">
        <v>238.52914043029816</v>
      </c>
      <c r="K6" s="63">
        <v>244.65579652500168</v>
      </c>
    </row>
    <row r="7" spans="1:11" ht="20" customHeight="1" thickBot="1">
      <c r="A7" s="302" t="s">
        <v>79</v>
      </c>
      <c r="B7" s="29">
        <v>135.27302403687969</v>
      </c>
      <c r="C7" s="116">
        <v>146.98203670100099</v>
      </c>
      <c r="D7" s="29">
        <v>154.6685174034175</v>
      </c>
      <c r="E7" s="116">
        <v>163.74523128816909</v>
      </c>
      <c r="F7" s="29">
        <v>167.64615788338639</v>
      </c>
      <c r="G7" s="116">
        <v>175.56469703558949</v>
      </c>
      <c r="H7" s="29">
        <v>195.01</v>
      </c>
      <c r="I7" s="63">
        <v>215.34088215986247</v>
      </c>
      <c r="J7" s="28">
        <v>226.01192736754265</v>
      </c>
      <c r="K7" s="63">
        <v>236.62129622522593</v>
      </c>
    </row>
    <row r="8" spans="1:11" ht="20" customHeight="1" thickBot="1">
      <c r="A8" s="302" t="s">
        <v>80</v>
      </c>
      <c r="B8" s="29">
        <v>105.5372654341526</v>
      </c>
      <c r="C8" s="116">
        <v>114.67239925927005</v>
      </c>
      <c r="D8" s="29">
        <v>121.57687539246692</v>
      </c>
      <c r="E8" s="116">
        <v>121.54291399151097</v>
      </c>
      <c r="F8" s="29">
        <v>129.40473457703979</v>
      </c>
      <c r="G8" s="116">
        <v>138.4582185146495</v>
      </c>
      <c r="H8" s="29">
        <v>154.06</v>
      </c>
      <c r="I8" s="63">
        <v>171.51795402398645</v>
      </c>
      <c r="J8" s="28">
        <v>182.37242807594123</v>
      </c>
      <c r="K8" s="63">
        <v>190.82172309875926</v>
      </c>
    </row>
    <row r="9" spans="1:11" ht="20" customHeight="1" thickBot="1">
      <c r="A9" s="302" t="s">
        <v>81</v>
      </c>
      <c r="B9" s="29">
        <v>106.6452775209424</v>
      </c>
      <c r="C9" s="116">
        <v>115.87631906785872</v>
      </c>
      <c r="D9" s="29">
        <v>121.42135368794523</v>
      </c>
      <c r="E9" s="116">
        <v>120.24072800410242</v>
      </c>
      <c r="F9" s="29">
        <v>123.463097593238</v>
      </c>
      <c r="G9" s="116">
        <v>129.21297250533078</v>
      </c>
      <c r="H9" s="29">
        <v>143.09</v>
      </c>
      <c r="I9" s="63">
        <v>159.88083761353488</v>
      </c>
      <c r="J9" s="28">
        <v>167.520462004433</v>
      </c>
      <c r="K9" s="63">
        <v>175.10374904291365</v>
      </c>
    </row>
    <row r="10" spans="1:11" ht="20" customHeight="1" thickBot="1">
      <c r="A10" s="302" t="s">
        <v>82</v>
      </c>
      <c r="B10" s="29">
        <v>112.67793877642957</v>
      </c>
      <c r="C10" s="116">
        <v>122.43115765723616</v>
      </c>
      <c r="D10" s="29">
        <v>126.36737162404613</v>
      </c>
      <c r="E10" s="116">
        <v>124.52047066149895</v>
      </c>
      <c r="F10" s="29">
        <v>127.61526163656967</v>
      </c>
      <c r="G10" s="116">
        <v>135.60486509944081</v>
      </c>
      <c r="H10" s="29">
        <v>152.87</v>
      </c>
      <c r="I10" s="63">
        <v>171.3960713901657</v>
      </c>
      <c r="J10" s="28">
        <v>181.15120282763834</v>
      </c>
      <c r="K10" s="63">
        <v>190.42392772667452</v>
      </c>
    </row>
    <row r="11" spans="1:11" ht="20" customHeight="1" thickBot="1">
      <c r="A11" s="302" t="s">
        <v>83</v>
      </c>
      <c r="B11" s="29">
        <v>110.04339836376072</v>
      </c>
      <c r="C11" s="116">
        <v>119.56857571688128</v>
      </c>
      <c r="D11" s="29">
        <v>119.34250606989576</v>
      </c>
      <c r="E11" s="116">
        <v>118.79132356898296</v>
      </c>
      <c r="F11" s="29">
        <v>122.93636791223469</v>
      </c>
      <c r="G11" s="116">
        <v>129.46484230596218</v>
      </c>
      <c r="H11" s="29">
        <v>140.55000000000001</v>
      </c>
      <c r="I11" s="63">
        <v>150.89298248630496</v>
      </c>
      <c r="J11" s="28">
        <v>158.52717497977079</v>
      </c>
      <c r="K11" s="63">
        <v>166.32033431923384</v>
      </c>
    </row>
    <row r="12" spans="1:11" ht="20" customHeight="1" thickBot="1">
      <c r="A12" s="302" t="s">
        <v>84</v>
      </c>
      <c r="B12" s="29">
        <v>105.83266147253008</v>
      </c>
      <c r="C12" s="116">
        <v>114.99336429766744</v>
      </c>
      <c r="D12" s="29">
        <v>115.9470284464475</v>
      </c>
      <c r="E12" s="116">
        <v>114.41822563904888</v>
      </c>
      <c r="F12" s="29">
        <v>117.83010927047764</v>
      </c>
      <c r="G12" s="116">
        <v>123.99901736935983</v>
      </c>
      <c r="H12" s="29">
        <v>135.32</v>
      </c>
      <c r="I12" s="63">
        <v>148.60417521519628</v>
      </c>
      <c r="J12" s="28">
        <v>157.81270102685173</v>
      </c>
      <c r="K12" s="63">
        <v>165.34786794295709</v>
      </c>
    </row>
    <row r="13" spans="1:11" ht="20" customHeight="1" thickBot="1">
      <c r="A13" s="302" t="s">
        <v>85</v>
      </c>
      <c r="B13" s="29">
        <v>105.25751056473344</v>
      </c>
      <c r="C13" s="116">
        <v>114.36842926394384</v>
      </c>
      <c r="D13" s="29">
        <v>121.34682266211954</v>
      </c>
      <c r="E13" s="116">
        <v>122.10018480225708</v>
      </c>
      <c r="F13" s="29">
        <v>125.28062689041737</v>
      </c>
      <c r="G13" s="116">
        <v>135.58592396070981</v>
      </c>
      <c r="H13" s="29">
        <v>152.69999999999999</v>
      </c>
      <c r="I13" s="63">
        <v>172.6823511510751</v>
      </c>
      <c r="J13" s="28">
        <v>183.10490653663214</v>
      </c>
      <c r="K13" s="63">
        <v>192.72498516168099</v>
      </c>
    </row>
    <row r="14" spans="1:11" ht="20" customHeight="1" thickBot="1">
      <c r="A14" s="302" t="s">
        <v>86</v>
      </c>
      <c r="B14" s="29">
        <v>115.4090382870759</v>
      </c>
      <c r="C14" s="116">
        <v>125.39865669383983</v>
      </c>
      <c r="D14" s="29">
        <v>124.66776959325912</v>
      </c>
      <c r="E14" s="116">
        <v>123.75527926978356</v>
      </c>
      <c r="F14" s="29">
        <v>128.81195260121376</v>
      </c>
      <c r="G14" s="116">
        <v>135.9303013741733</v>
      </c>
      <c r="H14" s="29">
        <v>152.28</v>
      </c>
      <c r="I14" s="63">
        <v>172.47833586160894</v>
      </c>
      <c r="J14" s="28">
        <v>183.53568412417891</v>
      </c>
      <c r="K14" s="63">
        <v>192.96340404888085</v>
      </c>
    </row>
    <row r="15" spans="1:11" ht="20" customHeight="1" thickBot="1">
      <c r="A15" s="302" t="s">
        <v>87</v>
      </c>
      <c r="B15" s="29">
        <v>143.91760565838428</v>
      </c>
      <c r="C15" s="116">
        <v>156.37487922968123</v>
      </c>
      <c r="D15" s="29">
        <v>153.11797475668317</v>
      </c>
      <c r="E15" s="116">
        <v>155.50799202221646</v>
      </c>
      <c r="F15" s="29">
        <v>164.34449273930224</v>
      </c>
      <c r="G15" s="116">
        <v>175.0414663002212</v>
      </c>
      <c r="H15" s="29">
        <v>189.68</v>
      </c>
      <c r="I15" s="63">
        <v>203.13127818400665</v>
      </c>
      <c r="J15" s="28">
        <v>207.37883983738206</v>
      </c>
      <c r="K15" s="63">
        <v>215.82991843176629</v>
      </c>
    </row>
    <row r="16" spans="1:11" ht="20" customHeight="1" thickBot="1">
      <c r="A16" s="302" t="s">
        <v>88</v>
      </c>
      <c r="B16" s="29">
        <v>131.6324045614426</v>
      </c>
      <c r="C16" s="116">
        <v>143.02629113263708</v>
      </c>
      <c r="D16" s="29">
        <v>153.81926660393125</v>
      </c>
      <c r="E16" s="116">
        <v>155.69675376417268</v>
      </c>
      <c r="F16" s="29">
        <v>161.04997582719795</v>
      </c>
      <c r="G16" s="116">
        <v>169.13087676850023</v>
      </c>
      <c r="H16" s="29">
        <v>178.64</v>
      </c>
      <c r="I16" s="63">
        <v>196.41981675885333</v>
      </c>
      <c r="J16" s="28">
        <v>207.0584128841264</v>
      </c>
      <c r="K16" s="63">
        <v>214.97893215636424</v>
      </c>
    </row>
    <row r="17" spans="1:11" ht="20" customHeight="1" thickBot="1">
      <c r="A17" s="302" t="s">
        <v>89</v>
      </c>
      <c r="B17" s="29">
        <v>179.50071397728129</v>
      </c>
      <c r="C17" s="116">
        <v>195.03800345641494</v>
      </c>
      <c r="D17" s="29">
        <v>212.4608811236975</v>
      </c>
      <c r="E17" s="116">
        <v>229.38281202498428</v>
      </c>
      <c r="F17" s="29">
        <v>240.71169180951762</v>
      </c>
      <c r="G17" s="116">
        <v>256.37235902656107</v>
      </c>
      <c r="H17" s="29">
        <v>279.36</v>
      </c>
      <c r="I17" s="63">
        <v>305.99291785725143</v>
      </c>
      <c r="J17" s="28">
        <v>325.86357374939058</v>
      </c>
      <c r="K17" s="63">
        <v>335.77203569013272</v>
      </c>
    </row>
    <row r="18" spans="1:11" ht="20" customHeight="1" thickBot="1">
      <c r="A18" s="302" t="s">
        <v>90</v>
      </c>
      <c r="B18" s="29">
        <v>147.30403413551483</v>
      </c>
      <c r="C18" s="116">
        <v>160.05443144088349</v>
      </c>
      <c r="D18" s="29">
        <v>169.87864025961926</v>
      </c>
      <c r="E18" s="116">
        <v>170.83240023335424</v>
      </c>
      <c r="F18" s="29">
        <v>176.82185754903838</v>
      </c>
      <c r="G18" s="116">
        <v>185.53808423666015</v>
      </c>
      <c r="H18" s="29">
        <v>204.73</v>
      </c>
      <c r="I18" s="63">
        <v>226.20255308481759</v>
      </c>
      <c r="J18" s="28">
        <v>237.88434597370332</v>
      </c>
      <c r="K18" s="63">
        <v>246.03271926181739</v>
      </c>
    </row>
    <row r="19" spans="1:11" ht="20" customHeight="1" thickBot="1">
      <c r="A19" s="302" t="s">
        <v>91</v>
      </c>
      <c r="B19" s="29">
        <v>126.73505004596342</v>
      </c>
      <c r="C19" s="116">
        <v>137.70502958579883</v>
      </c>
      <c r="D19" s="29">
        <v>143.70980920059324</v>
      </c>
      <c r="E19" s="116">
        <v>149.80676772214503</v>
      </c>
      <c r="F19" s="29">
        <v>154.9842090076331</v>
      </c>
      <c r="G19" s="116">
        <v>165.98831239274116</v>
      </c>
      <c r="H19" s="29">
        <v>191.64</v>
      </c>
      <c r="I19" s="63">
        <v>210.20010817089576</v>
      </c>
      <c r="J19" s="28">
        <v>220.97305995700691</v>
      </c>
      <c r="K19" s="63">
        <v>227.65865170068395</v>
      </c>
    </row>
    <row r="20" spans="1:11" ht="20" customHeight="1" thickBot="1">
      <c r="A20" s="302" t="s">
        <v>92</v>
      </c>
      <c r="B20" s="29">
        <v>100.76550744113698</v>
      </c>
      <c r="C20" s="116">
        <v>109.48760566534177</v>
      </c>
      <c r="D20" s="29">
        <v>116.94181598862123</v>
      </c>
      <c r="E20" s="116">
        <v>116.00385278841101</v>
      </c>
      <c r="F20" s="29">
        <v>119.54510241428474</v>
      </c>
      <c r="G20" s="116">
        <v>127.84343596895174</v>
      </c>
      <c r="H20" s="29">
        <v>141.47999999999999</v>
      </c>
      <c r="I20" s="63">
        <v>157.19451718595911</v>
      </c>
      <c r="J20" s="28">
        <v>163.98546667780576</v>
      </c>
      <c r="K20" s="63">
        <v>173.53694581672488</v>
      </c>
    </row>
    <row r="21" spans="1:11" ht="20" customHeight="1" thickBot="1">
      <c r="A21" s="302" t="s">
        <v>93</v>
      </c>
      <c r="B21" s="29">
        <v>91.605767435524882</v>
      </c>
      <c r="C21" s="116">
        <v>99.535013481777852</v>
      </c>
      <c r="D21" s="29">
        <v>103.41541633145616</v>
      </c>
      <c r="E21" s="116">
        <v>101.72360709396341</v>
      </c>
      <c r="F21" s="29">
        <v>103.03943013468769</v>
      </c>
      <c r="G21" s="116">
        <v>112.14168527711223</v>
      </c>
      <c r="H21" s="29">
        <v>123.19</v>
      </c>
      <c r="I21" s="63">
        <v>135.1673947804565</v>
      </c>
      <c r="J21" s="28">
        <v>143.4285743998816</v>
      </c>
      <c r="K21" s="63">
        <v>151.21257689146964</v>
      </c>
    </row>
    <row r="22" spans="1:11" ht="20" customHeight="1" thickBot="1">
      <c r="A22" s="302" t="s">
        <v>94</v>
      </c>
      <c r="B22" s="29">
        <v>108.09027479490744</v>
      </c>
      <c r="C22" s="116">
        <v>117.4463929526332</v>
      </c>
      <c r="D22" s="29">
        <v>125.20191978532219</v>
      </c>
      <c r="E22" s="116">
        <v>126.74270419277191</v>
      </c>
      <c r="F22" s="29">
        <v>130.7506728474529</v>
      </c>
      <c r="G22" s="116">
        <v>139.75121014548694</v>
      </c>
      <c r="H22" s="29">
        <v>154.63999999999999</v>
      </c>
      <c r="I22" s="63">
        <v>168.75547366359552</v>
      </c>
      <c r="J22" s="28">
        <v>181.14131396871781</v>
      </c>
      <c r="K22" s="63">
        <v>191.08121168390565</v>
      </c>
    </row>
    <row r="23" spans="1:11" ht="20" customHeight="1" thickBot="1">
      <c r="A23" s="302" t="s">
        <v>95</v>
      </c>
      <c r="B23" s="29">
        <v>108.54991923267944</v>
      </c>
      <c r="C23" s="116">
        <v>117.94582346439286</v>
      </c>
      <c r="D23" s="29">
        <v>119.36792735693827</v>
      </c>
      <c r="E23" s="116">
        <v>119.7366249157985</v>
      </c>
      <c r="F23" s="29">
        <v>126.14676311319943</v>
      </c>
      <c r="G23" s="116">
        <v>136.56433512318108</v>
      </c>
      <c r="H23" s="29">
        <v>155.72999999999999</v>
      </c>
      <c r="I23" s="63">
        <v>177.26207371186936</v>
      </c>
      <c r="J23" s="28">
        <v>189.22900035783209</v>
      </c>
      <c r="K23" s="63">
        <v>195.00094657018991</v>
      </c>
    </row>
    <row r="24" spans="1:11" ht="20" customHeight="1" thickBot="1">
      <c r="A24" s="302" t="s">
        <v>96</v>
      </c>
      <c r="B24" s="29">
        <v>111.8792559218065</v>
      </c>
      <c r="C24" s="116">
        <v>121.56334211539787</v>
      </c>
      <c r="D24" s="29">
        <v>128.77888154953607</v>
      </c>
      <c r="E24" s="116">
        <v>133.14823903844282</v>
      </c>
      <c r="F24" s="29">
        <v>140.86350327161873</v>
      </c>
      <c r="G24" s="116">
        <v>152.95820999083728</v>
      </c>
      <c r="H24" s="29">
        <v>171.32</v>
      </c>
      <c r="I24" s="63">
        <v>188.5318013682969</v>
      </c>
      <c r="J24" s="28">
        <v>198.89618845022116</v>
      </c>
      <c r="K24" s="63">
        <v>207.21413870719633</v>
      </c>
    </row>
    <row r="25" spans="1:11" ht="20" customHeight="1" thickBot="1">
      <c r="A25" s="302" t="s">
        <v>97</v>
      </c>
      <c r="B25" s="29">
        <v>113.12329814778697</v>
      </c>
      <c r="C25" s="116">
        <v>122.91506661049607</v>
      </c>
      <c r="D25" s="29">
        <v>131.36415244254533</v>
      </c>
      <c r="E25" s="116">
        <v>136.92567358277574</v>
      </c>
      <c r="F25" s="29">
        <v>142.41456845322548</v>
      </c>
      <c r="G25" s="116">
        <v>156.63969169583524</v>
      </c>
      <c r="H25" s="29">
        <v>178.55</v>
      </c>
      <c r="I25" s="63">
        <v>199.45557555690419</v>
      </c>
      <c r="J25" s="28">
        <v>210.32280867395335</v>
      </c>
      <c r="K25" s="63">
        <v>217.71247980909959</v>
      </c>
    </row>
    <row r="26" spans="1:11" ht="20" customHeight="1" thickBot="1">
      <c r="A26" s="302" t="s">
        <v>98</v>
      </c>
      <c r="B26" s="29">
        <v>173.07175432402272</v>
      </c>
      <c r="C26" s="116">
        <v>188.05256352533979</v>
      </c>
      <c r="D26" s="29">
        <v>201.98092751569794</v>
      </c>
      <c r="E26" s="116">
        <v>204.17897419044306</v>
      </c>
      <c r="F26" s="29">
        <v>208.07487818376802</v>
      </c>
      <c r="G26" s="116">
        <v>216.95609390047369</v>
      </c>
      <c r="H26" s="29">
        <v>236.39</v>
      </c>
      <c r="I26" s="63">
        <v>260.66452981111331</v>
      </c>
      <c r="J26" s="28">
        <v>279.70654460343394</v>
      </c>
      <c r="K26" s="63">
        <v>290.77888895770712</v>
      </c>
    </row>
    <row r="27" spans="1:11" ht="20" customHeight="1" thickBot="1">
      <c r="A27" s="302" t="s">
        <v>99</v>
      </c>
      <c r="B27" s="29">
        <v>201.96681954920294</v>
      </c>
      <c r="C27" s="116">
        <v>219.44873853985987</v>
      </c>
      <c r="D27" s="29">
        <v>216.94173934631459</v>
      </c>
      <c r="E27" s="116">
        <v>222.00147174174947</v>
      </c>
      <c r="F27" s="29">
        <v>225.5992218815378</v>
      </c>
      <c r="G27" s="116">
        <v>236.13660390772483</v>
      </c>
      <c r="H27" s="29">
        <v>253.23</v>
      </c>
      <c r="I27" s="63">
        <v>278.44554076993421</v>
      </c>
      <c r="J27" s="28">
        <v>281.51077587451692</v>
      </c>
      <c r="K27" s="63">
        <v>291.1228728010542</v>
      </c>
    </row>
    <row r="28" spans="1:11" ht="20" customHeight="1" thickBot="1">
      <c r="A28" s="302" t="s">
        <v>100</v>
      </c>
      <c r="B28" s="29">
        <v>130.06708580544677</v>
      </c>
      <c r="C28" s="116">
        <v>141.32548093429466</v>
      </c>
      <c r="D28" s="29">
        <v>135.48324083336809</v>
      </c>
      <c r="E28" s="116">
        <v>136.524053318131</v>
      </c>
      <c r="F28" s="29">
        <v>138.40803643782442</v>
      </c>
      <c r="G28" s="116">
        <v>144.88756273159518</v>
      </c>
      <c r="H28" s="29">
        <v>157.22</v>
      </c>
      <c r="I28" s="63">
        <v>173.02278376179109</v>
      </c>
      <c r="J28" s="28">
        <v>185.13501411267444</v>
      </c>
      <c r="K28" s="63">
        <v>195.35604512865964</v>
      </c>
    </row>
    <row r="29" spans="1:11" ht="20" customHeight="1" thickBot="1">
      <c r="A29" s="302" t="s">
        <v>101</v>
      </c>
      <c r="B29" s="29">
        <v>159.03582070618171</v>
      </c>
      <c r="C29" s="116">
        <v>172.80170235151201</v>
      </c>
      <c r="D29" s="29">
        <v>189.49639832494023</v>
      </c>
      <c r="E29" s="116">
        <v>198.46023456379575</v>
      </c>
      <c r="F29" s="29">
        <v>203.68191468536494</v>
      </c>
      <c r="G29" s="116">
        <v>216.58429674187832</v>
      </c>
      <c r="H29" s="29">
        <v>240.83</v>
      </c>
      <c r="I29" s="63">
        <v>263.38873518338357</v>
      </c>
      <c r="J29" s="28">
        <v>273.75428811236355</v>
      </c>
      <c r="K29" s="63">
        <v>285.32928098115138</v>
      </c>
    </row>
    <row r="30" spans="1:11" ht="20" customHeight="1" thickBot="1">
      <c r="A30" s="302" t="s">
        <v>102</v>
      </c>
      <c r="B30" s="29">
        <v>215.9579128253136</v>
      </c>
      <c r="C30" s="116">
        <v>234.65087806500108</v>
      </c>
      <c r="D30" s="29">
        <v>242.39431149968868</v>
      </c>
      <c r="E30" s="116">
        <v>245.95001439646009</v>
      </c>
      <c r="F30" s="29">
        <v>264.02227625852606</v>
      </c>
      <c r="G30" s="116">
        <v>277.6124581388579</v>
      </c>
      <c r="H30" s="29">
        <v>298.83</v>
      </c>
      <c r="I30" s="63">
        <v>321.84253977936146</v>
      </c>
      <c r="J30" s="28">
        <v>329.09357335162815</v>
      </c>
      <c r="K30" s="63">
        <v>341.07370882796442</v>
      </c>
    </row>
    <row r="31" spans="1:11" ht="20" customHeight="1" thickBot="1">
      <c r="A31" s="302" t="s">
        <v>103</v>
      </c>
      <c r="B31" s="29">
        <v>150.04359339406253</v>
      </c>
      <c r="C31" s="116">
        <v>163.03112248738989</v>
      </c>
      <c r="D31" s="29">
        <v>177.585382965695</v>
      </c>
      <c r="E31" s="116">
        <v>179.47485599423203</v>
      </c>
      <c r="F31" s="29">
        <v>188.93497525036813</v>
      </c>
      <c r="G31" s="116">
        <v>209.80311198605813</v>
      </c>
      <c r="H31" s="29">
        <v>228.74</v>
      </c>
      <c r="I31" s="63">
        <v>243.30983077027776</v>
      </c>
      <c r="J31" s="28">
        <v>251.19087221921035</v>
      </c>
      <c r="K31" s="63">
        <v>259.37056232629925</v>
      </c>
    </row>
    <row r="32" spans="1:11" ht="30" customHeight="1" thickBot="1">
      <c r="A32" s="12" t="s">
        <v>104</v>
      </c>
      <c r="B32" s="356">
        <v>142.39827814900238</v>
      </c>
      <c r="C32" s="357">
        <v>154.7240412053614</v>
      </c>
      <c r="D32" s="356">
        <v>160.95747176627057</v>
      </c>
      <c r="E32" s="357">
        <v>165.56772502218746</v>
      </c>
      <c r="F32" s="356">
        <v>171.91540871121077</v>
      </c>
      <c r="G32" s="357">
        <v>181.94521710727568</v>
      </c>
      <c r="H32" s="356">
        <v>200.08</v>
      </c>
      <c r="I32" s="67">
        <v>220.36690082804964</v>
      </c>
      <c r="J32" s="562">
        <v>230.35130257930879</v>
      </c>
      <c r="K32" s="563">
        <v>239.14568308166847</v>
      </c>
    </row>
    <row r="33" spans="1:9" ht="20" customHeight="1">
      <c r="A33" s="9" t="s">
        <v>290</v>
      </c>
      <c r="B33" s="309"/>
      <c r="C33" s="309"/>
      <c r="D33" s="309"/>
      <c r="E33" s="309"/>
      <c r="F33" s="309"/>
      <c r="G33" s="309"/>
      <c r="H33" s="309"/>
      <c r="I33" s="671"/>
    </row>
    <row r="34" spans="1:9" ht="15.75" customHeight="1">
      <c r="A34" s="37"/>
      <c r="B34" s="311"/>
      <c r="C34" s="311"/>
      <c r="D34" s="311"/>
      <c r="E34" s="311"/>
      <c r="F34" s="311"/>
      <c r="G34" s="311"/>
      <c r="H34" s="311"/>
      <c r="I34" s="672"/>
    </row>
    <row r="35" spans="1:9" ht="14.25" customHeight="1">
      <c r="A35" s="37" t="s">
        <v>291</v>
      </c>
      <c r="B35" s="311"/>
      <c r="C35" s="311"/>
      <c r="D35" s="311"/>
      <c r="E35" s="311"/>
      <c r="F35" s="311"/>
      <c r="G35" s="311"/>
      <c r="H35" s="311"/>
      <c r="I35" s="672"/>
    </row>
    <row r="36" spans="1:9" ht="13.5" customHeight="1">
      <c r="A36" s="37"/>
      <c r="B36" s="311"/>
      <c r="C36" s="311"/>
      <c r="D36" s="311"/>
      <c r="E36" s="311"/>
      <c r="F36" s="311"/>
      <c r="G36" s="311"/>
      <c r="H36" s="311"/>
      <c r="I36" s="672"/>
    </row>
    <row r="37" spans="1:9" ht="12.75" customHeight="1">
      <c r="A37" s="37" t="s">
        <v>285</v>
      </c>
      <c r="B37" s="311"/>
      <c r="C37" s="311"/>
      <c r="D37" s="311"/>
      <c r="E37" s="311"/>
      <c r="F37" s="311"/>
      <c r="G37" s="311"/>
      <c r="H37" s="311"/>
      <c r="I37" s="672"/>
    </row>
    <row r="38" spans="1:9">
      <c r="A38" s="37" t="s">
        <v>296</v>
      </c>
    </row>
    <row r="39" spans="1:9">
      <c r="A39" s="37" t="s">
        <v>297</v>
      </c>
    </row>
    <row r="41" spans="1:9">
      <c r="A41" s="37"/>
    </row>
    <row r="42" spans="1:9">
      <c r="A42" s="37" t="s">
        <v>256</v>
      </c>
    </row>
  </sheetData>
  <phoneticPr fontId="0" type="noConversion"/>
  <pageMargins left="0.51" right="0.49" top="0.99" bottom="0.49" header="0.56000000000000005" footer="0.4921259845"/>
  <pageSetup paperSize="9" scale="80" orientation="portrait" horizontalDpi="4294967292" verticalDpi="4294967292"/>
  <headerFooter alignWithMargins="0">
    <oddHeader>&amp;L&amp;"Arial,Bold"Prämientarife in der OKP</oddHead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5E8FA-A062-724A-940D-CB7F67B42032}">
  <sheetPr>
    <pageSetUpPr fitToPage="1"/>
  </sheetPr>
  <dimension ref="A1:F43"/>
  <sheetViews>
    <sheetView zoomScale="75" workbookViewId="0"/>
  </sheetViews>
  <sheetFormatPr baseColWidth="10" defaultColWidth="11.3984375" defaultRowHeight="13"/>
  <cols>
    <col min="1" max="1" width="15.19921875" style="3" customWidth="1"/>
    <col min="2" max="6" width="15.796875" style="3" customWidth="1"/>
    <col min="7" max="16384" width="11.3984375" style="3"/>
  </cols>
  <sheetData>
    <row r="1" spans="1:6" s="1" customFormat="1" ht="14" customHeight="1">
      <c r="A1" s="372"/>
      <c r="B1" s="372"/>
      <c r="C1" s="372"/>
      <c r="D1" s="372"/>
      <c r="E1" s="372"/>
      <c r="F1" s="372"/>
    </row>
    <row r="2" spans="1:6" s="1" customFormat="1" ht="23.25" customHeight="1">
      <c r="A2" s="374" t="s">
        <v>294</v>
      </c>
      <c r="B2" s="372"/>
      <c r="C2" s="372"/>
      <c r="D2" s="372"/>
      <c r="E2" s="372"/>
      <c r="F2" s="372"/>
    </row>
    <row r="3" spans="1:6" s="1" customFormat="1" ht="27.75" customHeight="1">
      <c r="A3" s="374" t="s">
        <v>295</v>
      </c>
      <c r="B3" s="372"/>
      <c r="C3" s="372"/>
      <c r="D3" s="372"/>
      <c r="E3" s="372"/>
      <c r="F3" s="372"/>
    </row>
    <row r="4" spans="1:6" ht="24" customHeight="1">
      <c r="A4" s="2" t="s">
        <v>70</v>
      </c>
      <c r="B4" s="665" t="s">
        <v>280</v>
      </c>
      <c r="C4" s="666" t="s">
        <v>281</v>
      </c>
      <c r="D4" s="665" t="s">
        <v>282</v>
      </c>
      <c r="E4" s="666" t="s">
        <v>283</v>
      </c>
      <c r="F4" s="665" t="s">
        <v>22</v>
      </c>
    </row>
    <row r="5" spans="1:6" ht="24.75" customHeight="1">
      <c r="A5" s="77"/>
      <c r="B5" s="667"/>
      <c r="C5" s="668"/>
      <c r="D5" s="667"/>
      <c r="E5" s="668"/>
      <c r="F5" s="667"/>
    </row>
    <row r="6" spans="1:6" ht="16" customHeight="1">
      <c r="A6" s="78"/>
      <c r="B6" s="73"/>
      <c r="C6" s="18"/>
      <c r="D6" s="73"/>
      <c r="E6" s="18"/>
      <c r="F6" s="15"/>
    </row>
    <row r="7" spans="1:6" ht="30" customHeight="1" thickBot="1">
      <c r="A7" s="297" t="s">
        <v>78</v>
      </c>
      <c r="B7" s="28">
        <v>335.43422414431802</v>
      </c>
      <c r="C7" s="63">
        <v>283.04259196262501</v>
      </c>
      <c r="D7" s="28">
        <v>265.06093894683698</v>
      </c>
      <c r="E7" s="63" t="s">
        <v>969</v>
      </c>
      <c r="F7" s="513">
        <v>292.56547431664393</v>
      </c>
    </row>
    <row r="8" spans="1:6" ht="20" customHeight="1" thickBot="1">
      <c r="A8" s="302" t="s">
        <v>79</v>
      </c>
      <c r="B8" s="29">
        <v>319.38647750633504</v>
      </c>
      <c r="C8" s="116">
        <v>275.12121178158299</v>
      </c>
      <c r="D8" s="29">
        <v>260.59023131639606</v>
      </c>
      <c r="E8" s="116" t="s">
        <v>969</v>
      </c>
      <c r="F8" s="84">
        <v>285.23096933241277</v>
      </c>
    </row>
    <row r="9" spans="1:6" ht="20" customHeight="1" thickBot="1">
      <c r="A9" s="302" t="s">
        <v>80</v>
      </c>
      <c r="B9" s="29">
        <v>249.211789032295</v>
      </c>
      <c r="C9" s="116">
        <v>231.59130231049301</v>
      </c>
      <c r="D9" s="29">
        <v>221.71285060241001</v>
      </c>
      <c r="E9" s="116" t="s">
        <v>969</v>
      </c>
      <c r="F9" s="84">
        <v>235.7660711752128</v>
      </c>
    </row>
    <row r="10" spans="1:6" ht="20" customHeight="1" thickBot="1">
      <c r="A10" s="302" t="s">
        <v>81</v>
      </c>
      <c r="B10" s="29" t="s">
        <v>969</v>
      </c>
      <c r="C10" s="116" t="s">
        <v>969</v>
      </c>
      <c r="D10" s="29" t="s">
        <v>969</v>
      </c>
      <c r="E10" s="116">
        <v>215.23461604705801</v>
      </c>
      <c r="F10" s="84">
        <v>215.23330582702548</v>
      </c>
    </row>
    <row r="11" spans="1:6" ht="20" customHeight="1" thickBot="1">
      <c r="A11" s="302" t="s">
        <v>82</v>
      </c>
      <c r="B11" s="29" t="s">
        <v>969</v>
      </c>
      <c r="C11" s="116" t="s">
        <v>969</v>
      </c>
      <c r="D11" s="29" t="s">
        <v>969</v>
      </c>
      <c r="E11" s="116">
        <v>235.39258254782001</v>
      </c>
      <c r="F11" s="84">
        <v>235.39211061064699</v>
      </c>
    </row>
    <row r="12" spans="1:6" ht="20" customHeight="1" thickBot="1">
      <c r="A12" s="302" t="s">
        <v>83</v>
      </c>
      <c r="B12" s="29" t="s">
        <v>969</v>
      </c>
      <c r="C12" s="116" t="s">
        <v>969</v>
      </c>
      <c r="D12" s="29" t="s">
        <v>969</v>
      </c>
      <c r="E12" s="116">
        <v>206.98309661959999</v>
      </c>
      <c r="F12" s="84">
        <v>206.98166069521869</v>
      </c>
    </row>
    <row r="13" spans="1:6" ht="20" customHeight="1" thickBot="1">
      <c r="A13" s="302" t="s">
        <v>84</v>
      </c>
      <c r="B13" s="29" t="s">
        <v>969</v>
      </c>
      <c r="C13" s="116" t="s">
        <v>969</v>
      </c>
      <c r="D13" s="29" t="s">
        <v>969</v>
      </c>
      <c r="E13" s="116">
        <v>201.39342146065002</v>
      </c>
      <c r="F13" s="84">
        <v>201.39448518799912</v>
      </c>
    </row>
    <row r="14" spans="1:6" ht="20" customHeight="1" thickBot="1">
      <c r="A14" s="302" t="s">
        <v>85</v>
      </c>
      <c r="B14" s="29" t="s">
        <v>969</v>
      </c>
      <c r="C14" s="116" t="s">
        <v>969</v>
      </c>
      <c r="D14" s="29" t="s">
        <v>969</v>
      </c>
      <c r="E14" s="116">
        <v>236.975357833115</v>
      </c>
      <c r="F14" s="84">
        <v>236.97408544868864</v>
      </c>
    </row>
    <row r="15" spans="1:6" ht="20" customHeight="1" thickBot="1">
      <c r="A15" s="302" t="s">
        <v>86</v>
      </c>
      <c r="B15" s="29" t="s">
        <v>969</v>
      </c>
      <c r="C15" s="116" t="s">
        <v>969</v>
      </c>
      <c r="D15" s="29" t="s">
        <v>969</v>
      </c>
      <c r="E15" s="116">
        <v>233.48302446946701</v>
      </c>
      <c r="F15" s="84">
        <v>233.48223674042862</v>
      </c>
    </row>
    <row r="16" spans="1:6" ht="20" customHeight="1" thickBot="1">
      <c r="A16" s="302" t="s">
        <v>87</v>
      </c>
      <c r="B16" s="29">
        <v>285.33660780984701</v>
      </c>
      <c r="C16" s="116">
        <v>258.41164982537805</v>
      </c>
      <c r="D16" s="29" t="s">
        <v>969</v>
      </c>
      <c r="E16" s="116" t="s">
        <v>969</v>
      </c>
      <c r="F16" s="84">
        <v>267.94934127347727</v>
      </c>
    </row>
    <row r="17" spans="1:6" ht="20" customHeight="1" thickBot="1">
      <c r="A17" s="302" t="s">
        <v>88</v>
      </c>
      <c r="B17" s="29" t="s">
        <v>969</v>
      </c>
      <c r="C17" s="116" t="s">
        <v>969</v>
      </c>
      <c r="D17" s="29" t="s">
        <v>969</v>
      </c>
      <c r="E17" s="116">
        <v>261.60655755653505</v>
      </c>
      <c r="F17" s="84">
        <v>261.60649368847061</v>
      </c>
    </row>
    <row r="18" spans="1:6" ht="20" customHeight="1" thickBot="1">
      <c r="A18" s="302" t="s">
        <v>89</v>
      </c>
      <c r="B18" s="29" t="s">
        <v>969</v>
      </c>
      <c r="C18" s="116" t="s">
        <v>969</v>
      </c>
      <c r="D18" s="29" t="s">
        <v>969</v>
      </c>
      <c r="E18" s="116">
        <v>388.87985134464208</v>
      </c>
      <c r="F18" s="84">
        <v>388.8796583090612</v>
      </c>
    </row>
    <row r="19" spans="1:6" ht="20" customHeight="1" thickBot="1">
      <c r="A19" s="302" t="s">
        <v>90</v>
      </c>
      <c r="B19" s="29">
        <v>300.74141039349098</v>
      </c>
      <c r="C19" s="116">
        <v>278.20201061832603</v>
      </c>
      <c r="D19" s="29" t="s">
        <v>969</v>
      </c>
      <c r="E19" s="116" t="s">
        <v>969</v>
      </c>
      <c r="F19" s="84">
        <v>294.88832131060462</v>
      </c>
    </row>
    <row r="20" spans="1:6" ht="20" customHeight="1" thickBot="1">
      <c r="A20" s="302" t="s">
        <v>91</v>
      </c>
      <c r="B20" s="29">
        <v>285.72985650668005</v>
      </c>
      <c r="C20" s="116">
        <v>262.91547543211402</v>
      </c>
      <c r="D20" s="29" t="s">
        <v>969</v>
      </c>
      <c r="E20" s="116" t="s">
        <v>969</v>
      </c>
      <c r="F20" s="84">
        <v>275.75601151496562</v>
      </c>
    </row>
    <row r="21" spans="1:6" ht="20" customHeight="1" thickBot="1">
      <c r="A21" s="302" t="s">
        <v>92</v>
      </c>
      <c r="B21" s="29" t="s">
        <v>969</v>
      </c>
      <c r="C21" s="116" t="s">
        <v>969</v>
      </c>
      <c r="D21" s="29" t="s">
        <v>969</v>
      </c>
      <c r="E21" s="116">
        <v>214.75510913366099</v>
      </c>
      <c r="F21" s="84">
        <v>214.75282596580126</v>
      </c>
    </row>
    <row r="22" spans="1:6" ht="20" customHeight="1" thickBot="1">
      <c r="A22" s="302" t="s">
        <v>93</v>
      </c>
      <c r="B22" s="29" t="s">
        <v>969</v>
      </c>
      <c r="C22" s="116" t="s">
        <v>969</v>
      </c>
      <c r="D22" s="29" t="s">
        <v>969</v>
      </c>
      <c r="E22" s="116">
        <v>193.26740657592501</v>
      </c>
      <c r="F22" s="84">
        <v>193.25574765665991</v>
      </c>
    </row>
    <row r="23" spans="1:6" ht="20" customHeight="1" thickBot="1">
      <c r="A23" s="302" t="s">
        <v>94</v>
      </c>
      <c r="B23" s="29">
        <v>251.73171026380001</v>
      </c>
      <c r="C23" s="116">
        <v>233.294057883048</v>
      </c>
      <c r="D23" s="29">
        <v>227.017918061763</v>
      </c>
      <c r="E23" s="116" t="s">
        <v>969</v>
      </c>
      <c r="F23" s="84">
        <v>237.31876460814382</v>
      </c>
    </row>
    <row r="24" spans="1:6" ht="20" customHeight="1" thickBot="1">
      <c r="A24" s="302" t="s">
        <v>95</v>
      </c>
      <c r="B24" s="29">
        <v>249.76603365384602</v>
      </c>
      <c r="C24" s="116">
        <v>240.79451213615701</v>
      </c>
      <c r="D24" s="29">
        <v>225.940033646861</v>
      </c>
      <c r="E24" s="116" t="s">
        <v>969</v>
      </c>
      <c r="F24" s="84">
        <v>235.56881996024393</v>
      </c>
    </row>
    <row r="25" spans="1:6" ht="20" customHeight="1" thickBot="1">
      <c r="A25" s="302" t="s">
        <v>96</v>
      </c>
      <c r="B25" s="29" t="s">
        <v>969</v>
      </c>
      <c r="C25" s="116" t="s">
        <v>969</v>
      </c>
      <c r="D25" s="29" t="s">
        <v>969</v>
      </c>
      <c r="E25" s="116">
        <v>253.92235847407099</v>
      </c>
      <c r="F25" s="84">
        <v>253.92230421171496</v>
      </c>
    </row>
    <row r="26" spans="1:6" ht="20" customHeight="1" thickBot="1">
      <c r="A26" s="302" t="s">
        <v>97</v>
      </c>
      <c r="B26" s="29" t="s">
        <v>969</v>
      </c>
      <c r="C26" s="116" t="s">
        <v>969</v>
      </c>
      <c r="D26" s="29" t="s">
        <v>969</v>
      </c>
      <c r="E26" s="116">
        <v>271.97619315290405</v>
      </c>
      <c r="F26" s="84">
        <v>271.97590756003279</v>
      </c>
    </row>
    <row r="27" spans="1:6" ht="20" customHeight="1" thickBot="1">
      <c r="A27" s="302" t="s">
        <v>98</v>
      </c>
      <c r="B27" s="29">
        <v>346.36304541093904</v>
      </c>
      <c r="C27" s="116">
        <v>326.36618416562402</v>
      </c>
      <c r="D27" s="29" t="s">
        <v>969</v>
      </c>
      <c r="E27" s="116" t="s">
        <v>969</v>
      </c>
      <c r="F27" s="84">
        <v>343.36133739708555</v>
      </c>
    </row>
    <row r="28" spans="1:6" ht="20" customHeight="1" thickBot="1">
      <c r="A28" s="302" t="s">
        <v>99</v>
      </c>
      <c r="B28" s="29">
        <v>378.48085488675605</v>
      </c>
      <c r="C28" s="116">
        <v>345.05355669525403</v>
      </c>
      <c r="D28" s="29">
        <v>332.12584065519405</v>
      </c>
      <c r="E28" s="116" t="s">
        <v>969</v>
      </c>
      <c r="F28" s="84">
        <v>353.09690522660532</v>
      </c>
    </row>
    <row r="29" spans="1:6" ht="20" customHeight="1" thickBot="1">
      <c r="A29" s="302" t="s">
        <v>100</v>
      </c>
      <c r="B29" s="29">
        <v>247.56142801399002</v>
      </c>
      <c r="C29" s="116">
        <v>214.54128436063399</v>
      </c>
      <c r="D29" s="29" t="s">
        <v>969</v>
      </c>
      <c r="E29" s="116" t="s">
        <v>969</v>
      </c>
      <c r="F29" s="84">
        <v>237.12477848949436</v>
      </c>
    </row>
    <row r="30" spans="1:6" ht="20" customHeight="1" thickBot="1">
      <c r="A30" s="302" t="s">
        <v>101</v>
      </c>
      <c r="B30" s="29" t="s">
        <v>969</v>
      </c>
      <c r="C30" s="116" t="s">
        <v>969</v>
      </c>
      <c r="D30" s="29" t="s">
        <v>969</v>
      </c>
      <c r="E30" s="116">
        <v>346.23333545326403</v>
      </c>
      <c r="F30" s="84">
        <v>346.23349645897997</v>
      </c>
    </row>
    <row r="31" spans="1:6" ht="20" customHeight="1" thickBot="1">
      <c r="A31" s="302" t="s">
        <v>102</v>
      </c>
      <c r="B31" s="29" t="s">
        <v>969</v>
      </c>
      <c r="C31" s="116" t="s">
        <v>969</v>
      </c>
      <c r="D31" s="29" t="s">
        <v>969</v>
      </c>
      <c r="E31" s="116">
        <v>410.85298270167505</v>
      </c>
      <c r="F31" s="84">
        <v>410.85283098214046</v>
      </c>
    </row>
    <row r="32" spans="1:6" ht="20" customHeight="1" thickBot="1">
      <c r="A32" s="302" t="s">
        <v>103</v>
      </c>
      <c r="B32" s="29" t="s">
        <v>969</v>
      </c>
      <c r="C32" s="116" t="s">
        <v>969</v>
      </c>
      <c r="D32" s="29" t="s">
        <v>969</v>
      </c>
      <c r="E32" s="116">
        <v>318.935776088924</v>
      </c>
      <c r="F32" s="84">
        <v>318.93631269266461</v>
      </c>
    </row>
    <row r="33" spans="1:6" s="109" customFormat="1" ht="30" customHeight="1" thickBot="1">
      <c r="A33" s="12" t="s">
        <v>104</v>
      </c>
      <c r="B33" s="33" t="s">
        <v>1013</v>
      </c>
      <c r="C33" s="117" t="s">
        <v>1013</v>
      </c>
      <c r="D33" s="33" t="s">
        <v>1013</v>
      </c>
      <c r="E33" s="117" t="s">
        <v>1013</v>
      </c>
      <c r="F33" s="33">
        <v>290.21806622890591</v>
      </c>
    </row>
    <row r="34" spans="1:6" ht="20" customHeight="1">
      <c r="A34" s="9" t="s">
        <v>290</v>
      </c>
      <c r="B34" s="669"/>
      <c r="C34" s="669"/>
      <c r="D34" s="669"/>
      <c r="E34" s="669"/>
      <c r="F34" s="669"/>
    </row>
    <row r="35" spans="1:6" ht="12.75" customHeight="1">
      <c r="A35" s="37"/>
      <c r="B35" s="670"/>
      <c r="C35" s="670"/>
      <c r="D35" s="670"/>
      <c r="E35" s="670"/>
      <c r="F35" s="670"/>
    </row>
    <row r="36" spans="1:6" ht="15.75" customHeight="1">
      <c r="A36" s="37" t="s">
        <v>291</v>
      </c>
      <c r="B36" s="670"/>
      <c r="C36" s="670"/>
      <c r="D36" s="670"/>
      <c r="E36" s="670"/>
      <c r="F36" s="670"/>
    </row>
    <row r="37" spans="1:6" ht="13.5" customHeight="1">
      <c r="A37" s="37"/>
      <c r="B37" s="670"/>
      <c r="C37" s="670"/>
      <c r="D37" s="670"/>
      <c r="E37" s="670"/>
      <c r="F37" s="670"/>
    </row>
    <row r="38" spans="1:6" ht="12.75" customHeight="1">
      <c r="A38" s="37" t="s">
        <v>285</v>
      </c>
      <c r="B38" s="670"/>
      <c r="C38" s="670"/>
      <c r="D38" s="670"/>
      <c r="E38" s="670"/>
      <c r="F38" s="670"/>
    </row>
    <row r="39" spans="1:6">
      <c r="A39" s="3" t="s">
        <v>286</v>
      </c>
      <c r="B39" s="355"/>
      <c r="C39" s="355"/>
      <c r="D39" s="355"/>
      <c r="E39" s="355"/>
      <c r="F39" s="355"/>
    </row>
    <row r="40" spans="1:6">
      <c r="A40" s="3" t="s">
        <v>287</v>
      </c>
      <c r="B40" s="355"/>
      <c r="C40" s="355"/>
      <c r="D40" s="355"/>
      <c r="E40" s="355"/>
      <c r="F40" s="355"/>
    </row>
    <row r="41" spans="1:6">
      <c r="B41" s="355"/>
      <c r="C41" s="355"/>
      <c r="D41" s="355"/>
      <c r="E41" s="355"/>
      <c r="F41" s="355"/>
    </row>
    <row r="42" spans="1:6">
      <c r="B42" s="355"/>
      <c r="C42" s="355"/>
      <c r="D42" s="355"/>
      <c r="E42" s="355"/>
      <c r="F42" s="355"/>
    </row>
    <row r="43" spans="1:6">
      <c r="A43" s="3" t="s">
        <v>256</v>
      </c>
    </row>
  </sheetData>
  <phoneticPr fontId="0" type="noConversion"/>
  <pageMargins left="0.57999999999999996" right="0.62" top="0.96" bottom="0.47244094488188981" header="0.44" footer="0.51181102362204722"/>
  <pageSetup paperSize="9" scale="91" orientation="portrait" horizontalDpi="4294967292" verticalDpi="4294967292"/>
  <headerFooter alignWithMargins="0">
    <oddHeader>&amp;L&amp;"Arial,Bold"Prämientarife in der OKP</oddHead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42599-BB89-2847-9477-B2D07FE27C28}">
  <sheetPr>
    <pageSetUpPr fitToPage="1"/>
  </sheetPr>
  <dimension ref="A1:F43"/>
  <sheetViews>
    <sheetView zoomScale="75" workbookViewId="0">
      <selection sqref="A1:F43"/>
    </sheetView>
  </sheetViews>
  <sheetFormatPr baseColWidth="10" defaultColWidth="11.3984375" defaultRowHeight="13"/>
  <cols>
    <col min="1" max="6" width="16" style="3" customWidth="1"/>
    <col min="7" max="16384" width="11.3984375" style="3"/>
  </cols>
  <sheetData>
    <row r="1" spans="1:6" s="1" customFormat="1" ht="14" customHeight="1">
      <c r="A1" s="372"/>
      <c r="B1" s="372"/>
      <c r="C1" s="372"/>
      <c r="D1" s="372"/>
      <c r="E1" s="372"/>
      <c r="F1" s="372"/>
    </row>
    <row r="2" spans="1:6" s="1" customFormat="1" ht="21" customHeight="1">
      <c r="A2" s="374" t="s">
        <v>292</v>
      </c>
      <c r="B2" s="372"/>
      <c r="C2" s="372"/>
      <c r="D2" s="372"/>
      <c r="E2" s="372"/>
      <c r="F2" s="372"/>
    </row>
    <row r="3" spans="1:6" s="1" customFormat="1" ht="27" customHeight="1">
      <c r="A3" s="374" t="s">
        <v>293</v>
      </c>
      <c r="B3" s="372"/>
      <c r="C3" s="372"/>
      <c r="D3" s="372"/>
      <c r="E3" s="372"/>
      <c r="F3" s="372"/>
    </row>
    <row r="4" spans="1:6" ht="24" customHeight="1">
      <c r="A4" s="2" t="s">
        <v>70</v>
      </c>
      <c r="B4" s="665" t="s">
        <v>280</v>
      </c>
      <c r="C4" s="666" t="s">
        <v>281</v>
      </c>
      <c r="D4" s="665" t="s">
        <v>282</v>
      </c>
      <c r="E4" s="666" t="s">
        <v>283</v>
      </c>
      <c r="F4" s="665" t="s">
        <v>22</v>
      </c>
    </row>
    <row r="5" spans="1:6" ht="24.75" customHeight="1">
      <c r="A5" s="77"/>
      <c r="B5" s="667"/>
      <c r="C5" s="668"/>
      <c r="D5" s="667"/>
      <c r="E5" s="668"/>
      <c r="F5" s="667"/>
    </row>
    <row r="6" spans="1:6" ht="16" customHeight="1">
      <c r="A6" s="78"/>
      <c r="B6" s="73"/>
      <c r="C6" s="18"/>
      <c r="D6" s="73"/>
      <c r="E6" s="18"/>
      <c r="F6" s="15"/>
    </row>
    <row r="7" spans="1:6" ht="30" customHeight="1" thickBot="1">
      <c r="A7" s="297" t="s">
        <v>78</v>
      </c>
      <c r="B7" s="28">
        <v>258.32957075358399</v>
      </c>
      <c r="C7" s="63">
        <v>215.51350001294102</v>
      </c>
      <c r="D7" s="28">
        <v>200.989790970641</v>
      </c>
      <c r="E7" s="63" t="s">
        <v>969</v>
      </c>
      <c r="F7" s="513">
        <v>221.44627356036315</v>
      </c>
    </row>
    <row r="8" spans="1:6" ht="20" customHeight="1" thickBot="1">
      <c r="A8" s="302" t="s">
        <v>79</v>
      </c>
      <c r="B8" s="29">
        <v>244.09318348287903</v>
      </c>
      <c r="C8" s="116">
        <v>209.01134935508799</v>
      </c>
      <c r="D8" s="29">
        <v>195.45825539225001</v>
      </c>
      <c r="E8" s="116" t="s">
        <v>969</v>
      </c>
      <c r="F8" s="84">
        <v>215.11004977363322</v>
      </c>
    </row>
    <row r="9" spans="1:6" ht="20" customHeight="1" thickBot="1">
      <c r="A9" s="302" t="s">
        <v>80</v>
      </c>
      <c r="B9" s="29">
        <v>191.70532407407401</v>
      </c>
      <c r="C9" s="116">
        <v>180.76414833438102</v>
      </c>
      <c r="D9" s="29">
        <v>172.89612681680202</v>
      </c>
      <c r="E9" s="116" t="s">
        <v>969</v>
      </c>
      <c r="F9" s="84">
        <v>181.80248445195153</v>
      </c>
    </row>
    <row r="10" spans="1:6" ht="20" customHeight="1" thickBot="1">
      <c r="A10" s="302" t="s">
        <v>81</v>
      </c>
      <c r="B10" s="29" t="s">
        <v>969</v>
      </c>
      <c r="C10" s="116" t="s">
        <v>969</v>
      </c>
      <c r="D10" s="29" t="s">
        <v>969</v>
      </c>
      <c r="E10" s="116">
        <v>169.707749456486</v>
      </c>
      <c r="F10" s="84">
        <v>169.71616503100199</v>
      </c>
    </row>
    <row r="11" spans="1:6" ht="20" customHeight="1" thickBot="1">
      <c r="A11" s="302" t="s">
        <v>82</v>
      </c>
      <c r="B11" s="29" t="s">
        <v>969</v>
      </c>
      <c r="C11" s="116" t="s">
        <v>969</v>
      </c>
      <c r="D11" s="29" t="s">
        <v>969</v>
      </c>
      <c r="E11" s="116">
        <v>182.63807032375601</v>
      </c>
      <c r="F11" s="84">
        <v>182.65670623243545</v>
      </c>
    </row>
    <row r="12" spans="1:6" ht="20" customHeight="1" thickBot="1">
      <c r="A12" s="302" t="s">
        <v>83</v>
      </c>
      <c r="B12" s="29" t="s">
        <v>969</v>
      </c>
      <c r="C12" s="116" t="s">
        <v>969</v>
      </c>
      <c r="D12" s="29" t="s">
        <v>969</v>
      </c>
      <c r="E12" s="116">
        <v>161.618051971971</v>
      </c>
      <c r="F12" s="84">
        <v>161.63967635759852</v>
      </c>
    </row>
    <row r="13" spans="1:6" ht="20" customHeight="1" thickBot="1">
      <c r="A13" s="302" t="s">
        <v>84</v>
      </c>
      <c r="B13" s="29" t="s">
        <v>969</v>
      </c>
      <c r="C13" s="116" t="s">
        <v>969</v>
      </c>
      <c r="D13" s="29" t="s">
        <v>969</v>
      </c>
      <c r="E13" s="116">
        <v>156.46122621486703</v>
      </c>
      <c r="F13" s="84">
        <v>156.51267345793133</v>
      </c>
    </row>
    <row r="14" spans="1:6" ht="20" customHeight="1" thickBot="1">
      <c r="A14" s="302" t="s">
        <v>85</v>
      </c>
      <c r="B14" s="29" t="s">
        <v>969</v>
      </c>
      <c r="C14" s="116" t="s">
        <v>969</v>
      </c>
      <c r="D14" s="29" t="s">
        <v>969</v>
      </c>
      <c r="E14" s="116">
        <v>183.70400969987699</v>
      </c>
      <c r="F14" s="84">
        <v>183.72615669362864</v>
      </c>
    </row>
    <row r="15" spans="1:6" ht="20" customHeight="1" thickBot="1">
      <c r="A15" s="302" t="s">
        <v>86</v>
      </c>
      <c r="B15" s="29" t="s">
        <v>969</v>
      </c>
      <c r="C15" s="116" t="s">
        <v>969</v>
      </c>
      <c r="D15" s="29" t="s">
        <v>969</v>
      </c>
      <c r="E15" s="116">
        <v>181.63686549746402</v>
      </c>
      <c r="F15" s="84">
        <v>181.66398646544454</v>
      </c>
    </row>
    <row r="16" spans="1:6" ht="20" customHeight="1" thickBot="1">
      <c r="A16" s="302" t="s">
        <v>87</v>
      </c>
      <c r="B16" s="29">
        <v>233.78747736093101</v>
      </c>
      <c r="C16" s="116">
        <v>209.787768867571</v>
      </c>
      <c r="D16" s="29" t="s">
        <v>969</v>
      </c>
      <c r="E16" s="116" t="s">
        <v>969</v>
      </c>
      <c r="F16" s="84">
        <v>218.59136178292249</v>
      </c>
    </row>
    <row r="17" spans="1:6" ht="20" customHeight="1" thickBot="1">
      <c r="A17" s="302" t="s">
        <v>88</v>
      </c>
      <c r="B17" s="29" t="s">
        <v>969</v>
      </c>
      <c r="C17" s="116" t="s">
        <v>969</v>
      </c>
      <c r="D17" s="29" t="s">
        <v>969</v>
      </c>
      <c r="E17" s="116">
        <v>200.089027933094</v>
      </c>
      <c r="F17" s="84">
        <v>200.0979227909263</v>
      </c>
    </row>
    <row r="18" spans="1:6" ht="20" customHeight="1" thickBot="1">
      <c r="A18" s="302" t="s">
        <v>89</v>
      </c>
      <c r="B18" s="29" t="s">
        <v>969</v>
      </c>
      <c r="C18" s="116" t="s">
        <v>969</v>
      </c>
      <c r="D18" s="29" t="s">
        <v>969</v>
      </c>
      <c r="E18" s="116">
        <v>315.59431889516605</v>
      </c>
      <c r="F18" s="84">
        <v>315.60744948729871</v>
      </c>
    </row>
    <row r="19" spans="1:6" ht="20" customHeight="1" thickBot="1">
      <c r="A19" s="302" t="s">
        <v>90</v>
      </c>
      <c r="B19" s="29">
        <v>233.53028490794202</v>
      </c>
      <c r="C19" s="116">
        <v>214.261283031989</v>
      </c>
      <c r="D19" s="29" t="s">
        <v>969</v>
      </c>
      <c r="E19" s="116" t="s">
        <v>969</v>
      </c>
      <c r="F19" s="84">
        <v>228.15884556205111</v>
      </c>
    </row>
    <row r="20" spans="1:6" ht="20" customHeight="1" thickBot="1">
      <c r="A20" s="302" t="s">
        <v>91</v>
      </c>
      <c r="B20" s="29">
        <v>214.03076713076703</v>
      </c>
      <c r="C20" s="116">
        <v>198.15044444444402</v>
      </c>
      <c r="D20" s="29" t="s">
        <v>969</v>
      </c>
      <c r="E20" s="116" t="s">
        <v>969</v>
      </c>
      <c r="F20" s="84">
        <v>207.2924819230908</v>
      </c>
    </row>
    <row r="21" spans="1:6" ht="20" customHeight="1" thickBot="1">
      <c r="A21" s="302" t="s">
        <v>92</v>
      </c>
      <c r="B21" s="29" t="s">
        <v>969</v>
      </c>
      <c r="C21" s="116" t="s">
        <v>969</v>
      </c>
      <c r="D21" s="29" t="s">
        <v>969</v>
      </c>
      <c r="E21" s="116">
        <v>164.14888180175299</v>
      </c>
      <c r="F21" s="84">
        <v>164.18628268196784</v>
      </c>
    </row>
    <row r="22" spans="1:6" ht="20" customHeight="1" thickBot="1">
      <c r="A22" s="302" t="s">
        <v>93</v>
      </c>
      <c r="B22" s="29" t="s">
        <v>969</v>
      </c>
      <c r="C22" s="116" t="s">
        <v>969</v>
      </c>
      <c r="D22" s="29" t="s">
        <v>969</v>
      </c>
      <c r="E22" s="116">
        <v>147.82029382038201</v>
      </c>
      <c r="F22" s="84">
        <v>147.89034066694799</v>
      </c>
    </row>
    <row r="23" spans="1:6" ht="20" customHeight="1" thickBot="1">
      <c r="A23" s="302" t="s">
        <v>94</v>
      </c>
      <c r="B23" s="29">
        <v>191.626028192371</v>
      </c>
      <c r="C23" s="116">
        <v>178.712270753512</v>
      </c>
      <c r="D23" s="29">
        <v>173.71975259377501</v>
      </c>
      <c r="E23" s="116" t="s">
        <v>969</v>
      </c>
      <c r="F23" s="84">
        <v>181.24942888161328</v>
      </c>
    </row>
    <row r="24" spans="1:6" ht="20" customHeight="1" thickBot="1">
      <c r="A24" s="302" t="s">
        <v>95</v>
      </c>
      <c r="B24" s="29">
        <v>193.61388965138599</v>
      </c>
      <c r="C24" s="116">
        <v>188.42524200913201</v>
      </c>
      <c r="D24" s="29">
        <v>179.368306913254</v>
      </c>
      <c r="E24" s="116" t="s">
        <v>969</v>
      </c>
      <c r="F24" s="84">
        <v>184.9437495127612</v>
      </c>
    </row>
    <row r="25" spans="1:6" ht="20" customHeight="1" thickBot="1">
      <c r="A25" s="302" t="s">
        <v>96</v>
      </c>
      <c r="B25" s="29" t="s">
        <v>969</v>
      </c>
      <c r="C25" s="116" t="s">
        <v>969</v>
      </c>
      <c r="D25" s="29" t="s">
        <v>969</v>
      </c>
      <c r="E25" s="116">
        <v>196.203070905739</v>
      </c>
      <c r="F25" s="84">
        <v>196.20559437086871</v>
      </c>
    </row>
    <row r="26" spans="1:6" ht="20" customHeight="1" thickBot="1">
      <c r="A26" s="302" t="s">
        <v>97</v>
      </c>
      <c r="B26" s="29" t="s">
        <v>969</v>
      </c>
      <c r="C26" s="116" t="s">
        <v>969</v>
      </c>
      <c r="D26" s="29" t="s">
        <v>969</v>
      </c>
      <c r="E26" s="116">
        <v>209.464038278988</v>
      </c>
      <c r="F26" s="84">
        <v>209.47026319107218</v>
      </c>
    </row>
    <row r="27" spans="1:6" ht="20" customHeight="1" thickBot="1">
      <c r="A27" s="302" t="s">
        <v>98</v>
      </c>
      <c r="B27" s="29">
        <v>273.29686904578006</v>
      </c>
      <c r="C27" s="116">
        <v>257.38105495719401</v>
      </c>
      <c r="D27" s="29" t="s">
        <v>969</v>
      </c>
      <c r="E27" s="116" t="s">
        <v>969</v>
      </c>
      <c r="F27" s="84">
        <v>270.795528857835</v>
      </c>
    </row>
    <row r="28" spans="1:6" ht="20" customHeight="1" thickBot="1">
      <c r="A28" s="302" t="s">
        <v>99</v>
      </c>
      <c r="B28" s="29">
        <v>316.75290315572204</v>
      </c>
      <c r="C28" s="116">
        <v>286.73102072214999</v>
      </c>
      <c r="D28" s="29">
        <v>280.43417168302102</v>
      </c>
      <c r="E28" s="116" t="s">
        <v>969</v>
      </c>
      <c r="F28" s="84">
        <v>296.01030381901819</v>
      </c>
    </row>
    <row r="29" spans="1:6" ht="20" customHeight="1" thickBot="1">
      <c r="A29" s="302" t="s">
        <v>100</v>
      </c>
      <c r="B29" s="29">
        <v>205.03164099427201</v>
      </c>
      <c r="C29" s="116">
        <v>166.30616163996203</v>
      </c>
      <c r="D29" s="29" t="s">
        <v>969</v>
      </c>
      <c r="E29" s="116" t="s">
        <v>969</v>
      </c>
      <c r="F29" s="84">
        <v>192.61415156048051</v>
      </c>
    </row>
    <row r="30" spans="1:6" ht="20" customHeight="1" thickBot="1">
      <c r="A30" s="302" t="s">
        <v>101</v>
      </c>
      <c r="B30" s="29" t="s">
        <v>969</v>
      </c>
      <c r="C30" s="116" t="s">
        <v>969</v>
      </c>
      <c r="D30" s="29" t="s">
        <v>969</v>
      </c>
      <c r="E30" s="116">
        <v>290.26132018844305</v>
      </c>
      <c r="F30" s="84">
        <v>290.26435985324292</v>
      </c>
    </row>
    <row r="31" spans="1:6" ht="20" customHeight="1" thickBot="1">
      <c r="A31" s="302" t="s">
        <v>102</v>
      </c>
      <c r="B31" s="29" t="s">
        <v>969</v>
      </c>
      <c r="C31" s="116" t="s">
        <v>969</v>
      </c>
      <c r="D31" s="29" t="s">
        <v>969</v>
      </c>
      <c r="E31" s="116">
        <v>344.6315482549</v>
      </c>
      <c r="F31" s="84">
        <v>344.63633083994421</v>
      </c>
    </row>
    <row r="32" spans="1:6" ht="20" customHeight="1" thickBot="1">
      <c r="A32" s="302" t="s">
        <v>103</v>
      </c>
      <c r="B32" s="29" t="s">
        <v>969</v>
      </c>
      <c r="C32" s="116" t="s">
        <v>969</v>
      </c>
      <c r="D32" s="29" t="s">
        <v>969</v>
      </c>
      <c r="E32" s="116">
        <v>266.25106698246606</v>
      </c>
      <c r="F32" s="84">
        <v>266.24991617000836</v>
      </c>
    </row>
    <row r="33" spans="1:6" s="109" customFormat="1" ht="30" customHeight="1" thickBot="1">
      <c r="A33" s="12" t="s">
        <v>104</v>
      </c>
      <c r="B33" s="33" t="s">
        <v>1013</v>
      </c>
      <c r="C33" s="117" t="s">
        <v>1013</v>
      </c>
      <c r="D33" s="33" t="s">
        <v>1013</v>
      </c>
      <c r="E33" s="117" t="s">
        <v>1013</v>
      </c>
      <c r="F33" s="33">
        <v>225.09346768269774</v>
      </c>
    </row>
    <row r="34" spans="1:6" ht="20" customHeight="1">
      <c r="A34" s="9" t="s">
        <v>290</v>
      </c>
      <c r="B34" s="669"/>
      <c r="C34" s="669"/>
      <c r="D34" s="669"/>
      <c r="E34" s="669"/>
      <c r="F34" s="669"/>
    </row>
    <row r="35" spans="1:6" ht="12.75" customHeight="1">
      <c r="A35" s="37"/>
      <c r="B35" s="670"/>
      <c r="C35" s="670"/>
      <c r="D35" s="670"/>
      <c r="E35" s="670"/>
      <c r="F35" s="670"/>
    </row>
    <row r="36" spans="1:6" ht="15.75" customHeight="1">
      <c r="A36" s="37" t="s">
        <v>291</v>
      </c>
      <c r="B36" s="670"/>
      <c r="C36" s="670"/>
      <c r="D36" s="670"/>
      <c r="E36" s="670"/>
      <c r="F36" s="670"/>
    </row>
    <row r="37" spans="1:6" ht="13.5" customHeight="1">
      <c r="A37" s="37"/>
      <c r="B37" s="670"/>
      <c r="C37" s="670"/>
      <c r="D37" s="670"/>
      <c r="E37" s="670"/>
      <c r="F37" s="670"/>
    </row>
    <row r="38" spans="1:6" ht="12.75" customHeight="1">
      <c r="A38" s="37" t="s">
        <v>285</v>
      </c>
      <c r="B38" s="670"/>
      <c r="C38" s="670"/>
      <c r="D38" s="670"/>
      <c r="E38" s="670"/>
      <c r="F38" s="670"/>
    </row>
    <row r="39" spans="1:6">
      <c r="A39" s="3" t="s">
        <v>286</v>
      </c>
      <c r="B39" s="355"/>
      <c r="C39" s="355"/>
      <c r="D39" s="355"/>
      <c r="E39" s="355"/>
      <c r="F39" s="355"/>
    </row>
    <row r="40" spans="1:6">
      <c r="A40" s="3" t="s">
        <v>287</v>
      </c>
      <c r="B40" s="355"/>
      <c r="C40" s="355"/>
      <c r="D40" s="355"/>
      <c r="E40" s="355"/>
      <c r="F40" s="355"/>
    </row>
    <row r="41" spans="1:6">
      <c r="B41" s="355"/>
      <c r="C41" s="355"/>
      <c r="D41" s="355"/>
      <c r="E41" s="355"/>
      <c r="F41" s="355"/>
    </row>
    <row r="42" spans="1:6">
      <c r="B42" s="355"/>
      <c r="C42" s="355"/>
      <c r="D42" s="355"/>
      <c r="E42" s="355"/>
      <c r="F42" s="355"/>
    </row>
    <row r="43" spans="1:6">
      <c r="A43" s="3" t="s">
        <v>256</v>
      </c>
    </row>
  </sheetData>
  <phoneticPr fontId="0" type="noConversion"/>
  <pageMargins left="0.56000000000000005" right="0.54" top="1.01" bottom="0.47244094488188981" header="0.63" footer="0.51181102362204722"/>
  <pageSetup paperSize="9" scale="91" orientation="portrait" horizontalDpi="4294967292" verticalDpi="4294967292"/>
  <headerFooter alignWithMargins="0">
    <oddHeader>&amp;L&amp;"Arial,Bold"Prämientarife in der OKP</oddHead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1FB96-3197-FE41-89A3-4387B756DD4A}">
  <sheetPr>
    <pageSetUpPr fitToPage="1"/>
  </sheetPr>
  <dimension ref="A1:F43"/>
  <sheetViews>
    <sheetView zoomScale="75" workbookViewId="0">
      <selection sqref="A1:F43"/>
    </sheetView>
  </sheetViews>
  <sheetFormatPr baseColWidth="10" defaultColWidth="11.3984375" defaultRowHeight="13"/>
  <cols>
    <col min="1" max="6" width="16" style="3" customWidth="1"/>
    <col min="7" max="16384" width="11.3984375" style="3"/>
  </cols>
  <sheetData>
    <row r="1" spans="1:6" s="1" customFormat="1" ht="14" customHeight="1">
      <c r="A1" s="372"/>
      <c r="B1" s="372"/>
      <c r="C1" s="372"/>
      <c r="D1" s="372"/>
      <c r="E1" s="372"/>
      <c r="F1" s="372"/>
    </row>
    <row r="2" spans="1:6" s="1" customFormat="1" ht="18.75" customHeight="1">
      <c r="A2" s="374" t="s">
        <v>288</v>
      </c>
      <c r="B2" s="372"/>
      <c r="C2" s="372"/>
      <c r="D2" s="372"/>
      <c r="E2" s="372"/>
      <c r="F2" s="372"/>
    </row>
    <row r="3" spans="1:6" s="1" customFormat="1" ht="24" customHeight="1">
      <c r="A3" s="374" t="s">
        <v>289</v>
      </c>
      <c r="B3" s="372"/>
      <c r="C3" s="372"/>
      <c r="D3" s="372"/>
      <c r="E3" s="372"/>
      <c r="F3" s="372"/>
    </row>
    <row r="4" spans="1:6" ht="24" customHeight="1">
      <c r="A4" s="2" t="s">
        <v>70</v>
      </c>
      <c r="B4" s="665" t="s">
        <v>280</v>
      </c>
      <c r="C4" s="666" t="s">
        <v>281</v>
      </c>
      <c r="D4" s="665" t="s">
        <v>282</v>
      </c>
      <c r="E4" s="666" t="s">
        <v>283</v>
      </c>
      <c r="F4" s="665" t="s">
        <v>22</v>
      </c>
    </row>
    <row r="5" spans="1:6" ht="24.75" customHeight="1">
      <c r="A5" s="77"/>
      <c r="B5" s="667"/>
      <c r="C5" s="668"/>
      <c r="D5" s="667"/>
      <c r="E5" s="668"/>
      <c r="F5" s="667"/>
    </row>
    <row r="6" spans="1:6" ht="16" customHeight="1">
      <c r="A6" s="78"/>
      <c r="B6" s="73"/>
      <c r="C6" s="18"/>
      <c r="D6" s="73"/>
      <c r="E6" s="18"/>
      <c r="F6" s="15"/>
    </row>
    <row r="7" spans="1:6" ht="30" customHeight="1" thickBot="1">
      <c r="A7" s="297" t="s">
        <v>78</v>
      </c>
      <c r="B7" s="28">
        <v>82.08632451084479</v>
      </c>
      <c r="C7" s="63">
        <v>70.342495832236608</v>
      </c>
      <c r="D7" s="28">
        <v>65.407286546513703</v>
      </c>
      <c r="E7" s="63" t="s">
        <v>969</v>
      </c>
      <c r="F7" s="513">
        <v>71.143465364966588</v>
      </c>
    </row>
    <row r="8" spans="1:6" ht="20" customHeight="1" thickBot="1">
      <c r="A8" s="302" t="s">
        <v>79</v>
      </c>
      <c r="B8" s="29">
        <v>80.763239684119199</v>
      </c>
      <c r="C8" s="116">
        <v>70.300611827945204</v>
      </c>
      <c r="D8" s="29">
        <v>66.342524986648399</v>
      </c>
      <c r="E8" s="116" t="s">
        <v>969</v>
      </c>
      <c r="F8" s="84">
        <v>71.799993741828587</v>
      </c>
    </row>
    <row r="9" spans="1:6" ht="20" customHeight="1" thickBot="1">
      <c r="A9" s="302" t="s">
        <v>80</v>
      </c>
      <c r="B9" s="29">
        <v>62.140259641084398</v>
      </c>
      <c r="C9" s="116">
        <v>58.354488919599198</v>
      </c>
      <c r="D9" s="29">
        <v>55.411551282814493</v>
      </c>
      <c r="E9" s="116" t="s">
        <v>969</v>
      </c>
      <c r="F9" s="84">
        <v>58.357895238113684</v>
      </c>
    </row>
    <row r="10" spans="1:6" ht="20" customHeight="1" thickBot="1">
      <c r="A10" s="302" t="s">
        <v>81</v>
      </c>
      <c r="B10" s="29" t="s">
        <v>969</v>
      </c>
      <c r="C10" s="116" t="s">
        <v>969</v>
      </c>
      <c r="D10" s="29" t="s">
        <v>969</v>
      </c>
      <c r="E10" s="116">
        <v>53.994368785647595</v>
      </c>
      <c r="F10" s="84">
        <v>53.993688496421697</v>
      </c>
    </row>
    <row r="11" spans="1:6" ht="20" customHeight="1" thickBot="1">
      <c r="A11" s="302" t="s">
        <v>82</v>
      </c>
      <c r="B11" s="29" t="s">
        <v>969</v>
      </c>
      <c r="C11" s="116" t="s">
        <v>969</v>
      </c>
      <c r="D11" s="29" t="s">
        <v>969</v>
      </c>
      <c r="E11" s="116">
        <v>58.516720630578</v>
      </c>
      <c r="F11" s="84">
        <v>58.5178217736985</v>
      </c>
    </row>
    <row r="12" spans="1:6" ht="20" customHeight="1" thickBot="1">
      <c r="A12" s="302" t="s">
        <v>83</v>
      </c>
      <c r="B12" s="29" t="s">
        <v>969</v>
      </c>
      <c r="C12" s="116" t="s">
        <v>969</v>
      </c>
      <c r="D12" s="29" t="s">
        <v>969</v>
      </c>
      <c r="E12" s="116">
        <v>51.998693139503793</v>
      </c>
      <c r="F12" s="84">
        <v>51.996797969440962</v>
      </c>
    </row>
    <row r="13" spans="1:6" ht="20" customHeight="1" thickBot="1">
      <c r="A13" s="302" t="s">
        <v>84</v>
      </c>
      <c r="B13" s="29" t="s">
        <v>969</v>
      </c>
      <c r="C13" s="116" t="s">
        <v>969</v>
      </c>
      <c r="D13" s="29" t="s">
        <v>969</v>
      </c>
      <c r="E13" s="116">
        <v>50.893829508976296</v>
      </c>
      <c r="F13" s="84">
        <v>50.894153047774623</v>
      </c>
    </row>
    <row r="14" spans="1:6" ht="20" customHeight="1" thickBot="1">
      <c r="A14" s="302" t="s">
        <v>85</v>
      </c>
      <c r="B14" s="29" t="s">
        <v>969</v>
      </c>
      <c r="C14" s="116" t="s">
        <v>969</v>
      </c>
      <c r="D14" s="29" t="s">
        <v>969</v>
      </c>
      <c r="E14" s="116">
        <v>58.408508452636099</v>
      </c>
      <c r="F14" s="84">
        <v>58.413925647594262</v>
      </c>
    </row>
    <row r="15" spans="1:6" ht="20" customHeight="1" thickBot="1">
      <c r="A15" s="302" t="s">
        <v>86</v>
      </c>
      <c r="B15" s="29" t="s">
        <v>969</v>
      </c>
      <c r="C15" s="116" t="s">
        <v>969</v>
      </c>
      <c r="D15" s="29" t="s">
        <v>969</v>
      </c>
      <c r="E15" s="116">
        <v>58.330468044666191</v>
      </c>
      <c r="F15" s="84">
        <v>58.330476837688686</v>
      </c>
    </row>
    <row r="16" spans="1:6" ht="20" customHeight="1" thickBot="1">
      <c r="A16" s="302" t="s">
        <v>87</v>
      </c>
      <c r="B16" s="29">
        <v>71.461956468333895</v>
      </c>
      <c r="C16" s="116">
        <v>65.144450231782898</v>
      </c>
      <c r="D16" s="29" t="s">
        <v>969</v>
      </c>
      <c r="E16" s="116" t="s">
        <v>969</v>
      </c>
      <c r="F16" s="84">
        <v>67.333016467085358</v>
      </c>
    </row>
    <row r="17" spans="1:6" ht="20" customHeight="1" thickBot="1">
      <c r="A17" s="302" t="s">
        <v>88</v>
      </c>
      <c r="B17" s="29" t="s">
        <v>969</v>
      </c>
      <c r="C17" s="116" t="s">
        <v>969</v>
      </c>
      <c r="D17" s="29" t="s">
        <v>969</v>
      </c>
      <c r="E17" s="116">
        <v>64.975648928024498</v>
      </c>
      <c r="F17" s="84">
        <v>64.975847324237691</v>
      </c>
    </row>
    <row r="18" spans="1:6" ht="20" customHeight="1" thickBot="1">
      <c r="A18" s="302" t="s">
        <v>89</v>
      </c>
      <c r="B18" s="29" t="s">
        <v>969</v>
      </c>
      <c r="C18" s="116" t="s">
        <v>969</v>
      </c>
      <c r="D18" s="29" t="s">
        <v>969</v>
      </c>
      <c r="E18" s="116">
        <v>96.230980130571311</v>
      </c>
      <c r="F18" s="84">
        <v>96.23377831835252</v>
      </c>
    </row>
    <row r="19" spans="1:6" ht="20" customHeight="1" thickBot="1">
      <c r="A19" s="302" t="s">
        <v>90</v>
      </c>
      <c r="B19" s="29">
        <v>75.497763975155294</v>
      </c>
      <c r="C19" s="116">
        <v>69.426778322613501</v>
      </c>
      <c r="D19" s="29" t="s">
        <v>969</v>
      </c>
      <c r="E19" s="116" t="s">
        <v>969</v>
      </c>
      <c r="F19" s="84">
        <v>73.661902515574909</v>
      </c>
    </row>
    <row r="20" spans="1:6" ht="20" customHeight="1" thickBot="1">
      <c r="A20" s="302" t="s">
        <v>91</v>
      </c>
      <c r="B20" s="29">
        <v>70.630344012604994</v>
      </c>
      <c r="C20" s="116">
        <v>64.883196088522894</v>
      </c>
      <c r="D20" s="29" t="s">
        <v>969</v>
      </c>
      <c r="E20" s="116" t="s">
        <v>969</v>
      </c>
      <c r="F20" s="84">
        <v>67.727635537495416</v>
      </c>
    </row>
    <row r="21" spans="1:6" ht="20" customHeight="1" thickBot="1">
      <c r="A21" s="302" t="s">
        <v>92</v>
      </c>
      <c r="B21" s="29" t="s">
        <v>969</v>
      </c>
      <c r="C21" s="116" t="s">
        <v>969</v>
      </c>
      <c r="D21" s="29" t="s">
        <v>969</v>
      </c>
      <c r="E21" s="116">
        <v>52.675520970563099</v>
      </c>
      <c r="F21" s="84">
        <v>52.679216017947418</v>
      </c>
    </row>
    <row r="22" spans="1:6" ht="20" customHeight="1" thickBot="1">
      <c r="A22" s="302" t="s">
        <v>93</v>
      </c>
      <c r="B22" s="29" t="s">
        <v>969</v>
      </c>
      <c r="C22" s="116" t="s">
        <v>969</v>
      </c>
      <c r="D22" s="29" t="s">
        <v>969</v>
      </c>
      <c r="E22" s="116">
        <v>47.627429417982498</v>
      </c>
      <c r="F22" s="84">
        <v>47.628780512439704</v>
      </c>
    </row>
    <row r="23" spans="1:6" ht="20" customHeight="1" thickBot="1">
      <c r="A23" s="302" t="s">
        <v>94</v>
      </c>
      <c r="B23" s="29">
        <v>61.915224087478791</v>
      </c>
      <c r="C23" s="116">
        <v>57.2899415601253</v>
      </c>
      <c r="D23" s="29">
        <v>55.83241314904739</v>
      </c>
      <c r="E23" s="116" t="s">
        <v>969</v>
      </c>
      <c r="F23" s="84">
        <v>58.07834299500238</v>
      </c>
    </row>
    <row r="24" spans="1:6" ht="20" customHeight="1" thickBot="1">
      <c r="A24" s="302" t="s">
        <v>95</v>
      </c>
      <c r="B24" s="29">
        <v>61.747726324572405</v>
      </c>
      <c r="C24" s="116">
        <v>59.246077375528095</v>
      </c>
      <c r="D24" s="29">
        <v>56.091742512838799</v>
      </c>
      <c r="E24" s="116" t="s">
        <v>969</v>
      </c>
      <c r="F24" s="84">
        <v>58.114611822119521</v>
      </c>
    </row>
    <row r="25" spans="1:6" ht="20" customHeight="1" thickBot="1">
      <c r="A25" s="302" t="s">
        <v>96</v>
      </c>
      <c r="B25" s="29" t="s">
        <v>969</v>
      </c>
      <c r="C25" s="116" t="s">
        <v>969</v>
      </c>
      <c r="D25" s="29" t="s">
        <v>969</v>
      </c>
      <c r="E25" s="116">
        <v>62.755658221267893</v>
      </c>
      <c r="F25" s="84">
        <v>62.755689744103172</v>
      </c>
    </row>
    <row r="26" spans="1:6" ht="20" customHeight="1" thickBot="1">
      <c r="A26" s="302" t="s">
        <v>97</v>
      </c>
      <c r="B26" s="29" t="s">
        <v>969</v>
      </c>
      <c r="C26" s="116" t="s">
        <v>969</v>
      </c>
      <c r="D26" s="29" t="s">
        <v>969</v>
      </c>
      <c r="E26" s="116">
        <v>67.137838673566506</v>
      </c>
      <c r="F26" s="84">
        <v>67.137751183768685</v>
      </c>
    </row>
    <row r="27" spans="1:6" ht="20" customHeight="1" thickBot="1">
      <c r="A27" s="302" t="s">
        <v>98</v>
      </c>
      <c r="B27" s="29">
        <v>85.481218715095409</v>
      </c>
      <c r="C27" s="116">
        <v>80.681557198782102</v>
      </c>
      <c r="D27" s="29" t="s">
        <v>969</v>
      </c>
      <c r="E27" s="116" t="s">
        <v>969</v>
      </c>
      <c r="F27" s="84">
        <v>84.714167476335049</v>
      </c>
    </row>
    <row r="28" spans="1:6" ht="20" customHeight="1" thickBot="1">
      <c r="A28" s="302" t="s">
        <v>99</v>
      </c>
      <c r="B28" s="29">
        <v>98.673847853164403</v>
      </c>
      <c r="C28" s="116">
        <v>90.860299008903098</v>
      </c>
      <c r="D28" s="29">
        <v>88.4511672059256</v>
      </c>
      <c r="E28" s="116" t="s">
        <v>969</v>
      </c>
      <c r="F28" s="84">
        <v>92.598065538322643</v>
      </c>
    </row>
    <row r="29" spans="1:6" ht="20" customHeight="1" thickBot="1">
      <c r="A29" s="302" t="s">
        <v>100</v>
      </c>
      <c r="B29" s="29">
        <v>63.390032931856396</v>
      </c>
      <c r="C29" s="116">
        <v>53.786899353252394</v>
      </c>
      <c r="D29" s="29" t="s">
        <v>969</v>
      </c>
      <c r="E29" s="116" t="s">
        <v>969</v>
      </c>
      <c r="F29" s="84">
        <v>60.498362656551102</v>
      </c>
    </row>
    <row r="30" spans="1:6" ht="20" customHeight="1" thickBot="1">
      <c r="A30" s="302" t="s">
        <v>101</v>
      </c>
      <c r="B30" s="29" t="s">
        <v>969</v>
      </c>
      <c r="C30" s="116" t="s">
        <v>969</v>
      </c>
      <c r="D30" s="29" t="s">
        <v>969</v>
      </c>
      <c r="E30" s="116">
        <v>83.942197759519402</v>
      </c>
      <c r="F30" s="84">
        <v>83.942605884006937</v>
      </c>
    </row>
    <row r="31" spans="1:6" ht="20" customHeight="1" thickBot="1">
      <c r="A31" s="302" t="s">
        <v>102</v>
      </c>
      <c r="B31" s="29" t="s">
        <v>969</v>
      </c>
      <c r="C31" s="116" t="s">
        <v>969</v>
      </c>
      <c r="D31" s="29" t="s">
        <v>969</v>
      </c>
      <c r="E31" s="116">
        <v>105.35245910523</v>
      </c>
      <c r="F31" s="84">
        <v>105.35244332317907</v>
      </c>
    </row>
    <row r="32" spans="1:6" ht="20" customHeight="1" thickBot="1">
      <c r="A32" s="302" t="s">
        <v>103</v>
      </c>
      <c r="B32" s="29" t="s">
        <v>969</v>
      </c>
      <c r="C32" s="116" t="s">
        <v>969</v>
      </c>
      <c r="D32" s="29" t="s">
        <v>969</v>
      </c>
      <c r="E32" s="116">
        <v>79.918657743307492</v>
      </c>
      <c r="F32" s="84">
        <v>79.919521132501785</v>
      </c>
    </row>
    <row r="33" spans="1:6" s="109" customFormat="1" ht="30" customHeight="1" thickBot="1">
      <c r="A33" s="12" t="s">
        <v>104</v>
      </c>
      <c r="B33" s="33" t="s">
        <v>1013</v>
      </c>
      <c r="C33" s="117" t="s">
        <v>1013</v>
      </c>
      <c r="D33" s="33" t="s">
        <v>1013</v>
      </c>
      <c r="E33" s="117" t="s">
        <v>1013</v>
      </c>
      <c r="F33" s="33">
        <v>71.95510451056029</v>
      </c>
    </row>
    <row r="34" spans="1:6" ht="20" customHeight="1">
      <c r="A34" s="9" t="s">
        <v>290</v>
      </c>
      <c r="B34" s="669"/>
      <c r="C34" s="669"/>
      <c r="D34" s="669"/>
      <c r="E34" s="669"/>
      <c r="F34" s="669"/>
    </row>
    <row r="35" spans="1:6" ht="12.75" customHeight="1">
      <c r="A35" s="37"/>
      <c r="B35" s="670"/>
      <c r="C35" s="670"/>
      <c r="D35" s="670"/>
      <c r="E35" s="670"/>
      <c r="F35" s="670"/>
    </row>
    <row r="36" spans="1:6" ht="15.75" customHeight="1">
      <c r="A36" s="37" t="s">
        <v>284</v>
      </c>
      <c r="B36" s="670"/>
      <c r="C36" s="670"/>
      <c r="D36" s="670"/>
      <c r="E36" s="670"/>
      <c r="F36" s="670"/>
    </row>
    <row r="37" spans="1:6" ht="13.5" customHeight="1">
      <c r="A37" s="37"/>
      <c r="B37" s="670"/>
      <c r="C37" s="670"/>
      <c r="D37" s="670"/>
      <c r="E37" s="670"/>
      <c r="F37" s="670"/>
    </row>
    <row r="38" spans="1:6" ht="12.75" customHeight="1">
      <c r="A38" s="37" t="s">
        <v>285</v>
      </c>
      <c r="B38" s="670"/>
      <c r="C38" s="670"/>
      <c r="D38" s="670"/>
      <c r="E38" s="670"/>
      <c r="F38" s="670"/>
    </row>
    <row r="39" spans="1:6">
      <c r="A39" s="3" t="s">
        <v>286</v>
      </c>
      <c r="B39" s="355"/>
      <c r="C39" s="355"/>
      <c r="D39" s="355"/>
      <c r="E39" s="355"/>
      <c r="F39" s="355"/>
    </row>
    <row r="40" spans="1:6">
      <c r="A40" s="3" t="s">
        <v>287</v>
      </c>
      <c r="B40" s="355"/>
      <c r="C40" s="355"/>
      <c r="D40" s="355"/>
      <c r="E40" s="355"/>
      <c r="F40" s="355"/>
    </row>
    <row r="41" spans="1:6">
      <c r="B41" s="355"/>
      <c r="C41" s="355"/>
      <c r="D41" s="355"/>
      <c r="E41" s="355"/>
      <c r="F41" s="355"/>
    </row>
    <row r="42" spans="1:6">
      <c r="B42" s="355"/>
      <c r="C42" s="355"/>
      <c r="D42" s="355"/>
      <c r="E42" s="355"/>
      <c r="F42" s="355"/>
    </row>
    <row r="43" spans="1:6">
      <c r="A43" s="3" t="s">
        <v>256</v>
      </c>
    </row>
  </sheetData>
  <phoneticPr fontId="0" type="noConversion"/>
  <pageMargins left="0.62" right="0.54" top="0.9" bottom="0.47244094488188981" header="0.53" footer="0.51181102362204722"/>
  <pageSetup paperSize="9" scale="93" orientation="portrait" horizontalDpi="4294967292" verticalDpi="4294967292"/>
  <headerFooter alignWithMargins="0">
    <oddHeader>&amp;L&amp;"Arial,Bold"Prämientarife in der OKP</oddHead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22D09-5274-354A-957C-9F422452FAE1}">
  <sheetPr>
    <pageSetUpPr fitToPage="1"/>
  </sheetPr>
  <dimension ref="A1:B18"/>
  <sheetViews>
    <sheetView workbookViewId="0">
      <selection activeCell="B15" sqref="B15"/>
    </sheetView>
  </sheetViews>
  <sheetFormatPr baseColWidth="10" defaultColWidth="11.3984375" defaultRowHeight="13"/>
  <cols>
    <col min="1" max="1" width="5.59765625" style="291" customWidth="1"/>
    <col min="2" max="16384" width="11.3984375" style="291"/>
  </cols>
  <sheetData>
    <row r="1" spans="1:2" ht="16">
      <c r="A1" s="290" t="s">
        <v>2052</v>
      </c>
    </row>
    <row r="2" spans="1:2" ht="16">
      <c r="A2" s="290"/>
    </row>
    <row r="3" spans="1:2">
      <c r="A3" s="291">
        <v>4.01</v>
      </c>
      <c r="B3" s="292" t="s">
        <v>2053</v>
      </c>
    </row>
    <row r="4" spans="1:2">
      <c r="A4" s="291">
        <v>4.0199999999999996</v>
      </c>
      <c r="B4" s="292" t="s">
        <v>2054</v>
      </c>
    </row>
    <row r="5" spans="1:2">
      <c r="A5" s="291">
        <v>4.03</v>
      </c>
      <c r="B5" s="292" t="s">
        <v>2055</v>
      </c>
    </row>
    <row r="6" spans="1:2">
      <c r="A6" s="291">
        <v>4.04</v>
      </c>
      <c r="B6" s="292" t="s">
        <v>2056</v>
      </c>
    </row>
    <row r="7" spans="1:2">
      <c r="A7" s="291">
        <v>4.05</v>
      </c>
      <c r="B7" s="292" t="s">
        <v>1435</v>
      </c>
    </row>
    <row r="8" spans="1:2">
      <c r="A8" s="291">
        <v>4.0599999999999996</v>
      </c>
      <c r="B8" s="292" t="s">
        <v>1436</v>
      </c>
    </row>
    <row r="9" spans="1:2">
      <c r="A9" s="291">
        <v>4.07</v>
      </c>
      <c r="B9" s="292" t="s">
        <v>1437</v>
      </c>
    </row>
    <row r="10" spans="1:2">
      <c r="A10" s="291">
        <v>4.08</v>
      </c>
      <c r="B10" s="292" t="s">
        <v>1438</v>
      </c>
    </row>
    <row r="11" spans="1:2">
      <c r="A11" s="291">
        <v>4.09</v>
      </c>
      <c r="B11" s="292" t="s">
        <v>1439</v>
      </c>
    </row>
    <row r="12" spans="1:2">
      <c r="A12" s="293">
        <v>4.0999999999999996</v>
      </c>
      <c r="B12" s="292" t="s">
        <v>1440</v>
      </c>
    </row>
    <row r="13" spans="1:2">
      <c r="A13" s="291">
        <v>4.1100000000000003</v>
      </c>
      <c r="B13" s="294" t="s">
        <v>2089</v>
      </c>
    </row>
    <row r="14" spans="1:2">
      <c r="A14" s="293">
        <v>4.12</v>
      </c>
      <c r="B14" s="294" t="s">
        <v>2090</v>
      </c>
    </row>
    <row r="15" spans="1:2">
      <c r="A15" s="291">
        <v>4.13</v>
      </c>
      <c r="B15" s="294" t="s">
        <v>1441</v>
      </c>
    </row>
    <row r="18" spans="1:1">
      <c r="A18" s="295" t="s">
        <v>256</v>
      </c>
    </row>
  </sheetData>
  <phoneticPr fontId="21" type="noConversion"/>
  <pageMargins left="0.46" right="0.35" top="0.78" bottom="0.984251969" header="0.38" footer="0.4921259845"/>
  <pageSetup paperSize="9" orientation="portrait"/>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DDFE2-0D67-7F4A-AA8A-98565A26EB4D}">
  <sheetPr>
    <pageSetUpPr fitToPage="1"/>
  </sheetPr>
  <dimension ref="A1:H35"/>
  <sheetViews>
    <sheetView zoomScale="75" workbookViewId="0">
      <selection activeCell="A16" sqref="A16"/>
    </sheetView>
  </sheetViews>
  <sheetFormatPr baseColWidth="10" defaultColWidth="11.3984375" defaultRowHeight="13"/>
  <cols>
    <col min="1" max="1" width="16.796875" style="3" customWidth="1"/>
    <col min="2" max="2" width="12.796875" style="3" customWidth="1"/>
    <col min="3" max="3" width="11.3984375" style="3"/>
    <col min="4" max="4" width="11.796875" style="3" customWidth="1"/>
    <col min="5" max="5" width="12.796875" style="3" customWidth="1"/>
    <col min="6" max="6" width="11.3984375" style="3"/>
    <col min="7" max="7" width="12.796875" style="3" customWidth="1"/>
    <col min="8" max="8" width="13.19921875" style="3" customWidth="1"/>
    <col min="9" max="16384" width="11.3984375" style="3"/>
  </cols>
  <sheetData>
    <row r="1" spans="1:8" s="1" customFormat="1" ht="14" customHeight="1"/>
    <row r="2" spans="1:8" s="1" customFormat="1" ht="37.5" customHeight="1">
      <c r="A2" s="1473" t="s">
        <v>2091</v>
      </c>
      <c r="B2" s="1474"/>
      <c r="C2" s="1474"/>
      <c r="D2" s="1474"/>
      <c r="E2" s="1474"/>
      <c r="F2" s="1474"/>
      <c r="G2" s="1474"/>
      <c r="H2" s="321">
        <v>2003</v>
      </c>
    </row>
    <row r="3" spans="1:8" ht="24" customHeight="1">
      <c r="A3" s="2" t="s">
        <v>2102</v>
      </c>
      <c r="B3" s="69" t="s">
        <v>1623</v>
      </c>
      <c r="C3" s="16" t="s">
        <v>24</v>
      </c>
      <c r="D3" s="69" t="s">
        <v>2092</v>
      </c>
      <c r="E3" s="16" t="s">
        <v>2093</v>
      </c>
      <c r="F3" s="69" t="s">
        <v>24</v>
      </c>
      <c r="G3" s="16" t="s">
        <v>2094</v>
      </c>
      <c r="H3" s="69" t="s">
        <v>2094</v>
      </c>
    </row>
    <row r="4" spans="1:8" ht="15" customHeight="1">
      <c r="A4" s="77"/>
      <c r="B4" s="70" t="s">
        <v>2092</v>
      </c>
      <c r="C4" s="17" t="s">
        <v>25</v>
      </c>
      <c r="D4" s="70" t="s">
        <v>2095</v>
      </c>
      <c r="E4" s="17" t="s">
        <v>2096</v>
      </c>
      <c r="F4" s="70" t="s">
        <v>25</v>
      </c>
      <c r="G4" s="17" t="s">
        <v>14</v>
      </c>
      <c r="H4" s="70" t="s">
        <v>15</v>
      </c>
    </row>
    <row r="5" spans="1:8" ht="15" customHeight="1">
      <c r="A5" s="77"/>
      <c r="B5" s="70" t="s">
        <v>2097</v>
      </c>
      <c r="C5" s="17" t="s">
        <v>26</v>
      </c>
      <c r="D5" s="70" t="s">
        <v>2103</v>
      </c>
      <c r="E5" s="17" t="s">
        <v>1545</v>
      </c>
      <c r="F5" s="70" t="s">
        <v>26</v>
      </c>
      <c r="G5" s="471" t="s">
        <v>1925</v>
      </c>
      <c r="H5" s="470" t="s">
        <v>1925</v>
      </c>
    </row>
    <row r="6" spans="1:8" ht="15" customHeight="1">
      <c r="A6" s="78"/>
      <c r="B6" s="73"/>
      <c r="C6" s="18"/>
      <c r="D6" s="73"/>
      <c r="E6" s="17"/>
      <c r="F6" s="73"/>
      <c r="G6" s="18"/>
      <c r="H6" s="73"/>
    </row>
    <row r="7" spans="1:8" ht="30" customHeight="1" thickBot="1">
      <c r="A7" s="79">
        <v>1996</v>
      </c>
      <c r="B7" s="19">
        <v>1656431</v>
      </c>
      <c r="C7" s="300" t="s">
        <v>258</v>
      </c>
      <c r="D7" s="301">
        <v>0.23300000000000001</v>
      </c>
      <c r="E7" s="86">
        <v>821972</v>
      </c>
      <c r="F7" s="301" t="s">
        <v>258</v>
      </c>
      <c r="G7" s="86">
        <v>1508.6632014229194</v>
      </c>
      <c r="H7" s="19">
        <v>901.63486133741753</v>
      </c>
    </row>
    <row r="8" spans="1:8" ht="20" customHeight="1" thickBot="1">
      <c r="A8" s="79">
        <v>1997</v>
      </c>
      <c r="B8" s="29">
        <v>1955994</v>
      </c>
      <c r="C8" s="25">
        <v>0.1808484627491275</v>
      </c>
      <c r="D8" s="381">
        <v>0.27500000000000002</v>
      </c>
      <c r="E8" s="116">
        <v>988940</v>
      </c>
      <c r="F8" s="381">
        <v>0.203131006895612</v>
      </c>
      <c r="G8" s="116">
        <v>2016.5343367646167</v>
      </c>
      <c r="H8" s="29">
        <v>1019.5488672255641</v>
      </c>
    </row>
    <row r="9" spans="1:8" ht="20" customHeight="1" thickBot="1">
      <c r="A9" s="79">
        <v>1998</v>
      </c>
      <c r="B9" s="29">
        <v>2240522</v>
      </c>
      <c r="C9" s="25">
        <v>0.14546465888954668</v>
      </c>
      <c r="D9" s="381">
        <v>0.314</v>
      </c>
      <c r="E9" s="116">
        <v>1178551</v>
      </c>
      <c r="F9" s="381">
        <v>0.19173155095354621</v>
      </c>
      <c r="G9" s="116">
        <v>2075.8295126812504</v>
      </c>
      <c r="H9" s="29">
        <v>1091.9200739827595</v>
      </c>
    </row>
    <row r="10" spans="1:8" ht="20" customHeight="1" thickBot="1">
      <c r="A10" s="79">
        <v>1999</v>
      </c>
      <c r="B10" s="29">
        <v>2334267</v>
      </c>
      <c r="C10" s="25">
        <v>4.1840696052080718E-2</v>
      </c>
      <c r="D10" s="381">
        <v>0.32570843248350928</v>
      </c>
      <c r="E10" s="116">
        <v>1230090</v>
      </c>
      <c r="F10" s="381">
        <v>4.3730818606916459E-2</v>
      </c>
      <c r="G10" s="116">
        <v>2186.5653545675523</v>
      </c>
      <c r="H10" s="29">
        <v>1152.2555804455958</v>
      </c>
    </row>
    <row r="11" spans="1:8" ht="21" customHeight="1" thickBot="1">
      <c r="A11" s="79">
        <v>2000</v>
      </c>
      <c r="B11" s="29">
        <v>2337717</v>
      </c>
      <c r="C11" s="25">
        <v>1.4779800254212565E-3</v>
      </c>
      <c r="D11" s="381">
        <v>0.32427568045795824</v>
      </c>
      <c r="E11" s="116">
        <v>1242695</v>
      </c>
      <c r="F11" s="381">
        <v>1.0247217683258949E-2</v>
      </c>
      <c r="G11" s="116">
        <v>2048</v>
      </c>
      <c r="H11" s="29">
        <v>1088.8085894058177</v>
      </c>
    </row>
    <row r="12" spans="1:8" s="526" customFormat="1" ht="24" customHeight="1" thickBot="1">
      <c r="A12" s="704">
        <v>2001</v>
      </c>
      <c r="B12" s="407">
        <v>2376421</v>
      </c>
      <c r="C12" s="453">
        <v>1.6556323969068969E-2</v>
      </c>
      <c r="D12" s="561">
        <v>0.32731543251630535</v>
      </c>
      <c r="E12" s="408">
        <v>1268943</v>
      </c>
      <c r="F12" s="561">
        <v>2.1121836009640339E-2</v>
      </c>
      <c r="G12" s="408">
        <v>2094.0647990098846</v>
      </c>
      <c r="H12" s="407">
        <v>1118.1520446082575</v>
      </c>
    </row>
    <row r="13" spans="1:8" s="526" customFormat="1" ht="24" customHeight="1" thickBot="1">
      <c r="A13" s="704">
        <v>2002</v>
      </c>
      <c r="B13" s="407">
        <v>2433822</v>
      </c>
      <c r="C13" s="453">
        <v>2.415439015224996E-2</v>
      </c>
      <c r="D13" s="561">
        <v>0.33123274136234532</v>
      </c>
      <c r="E13" s="408">
        <v>1289405</v>
      </c>
      <c r="F13" s="561">
        <v>1.6125231787401009E-2</v>
      </c>
      <c r="G13" s="408">
        <v>2242.922441746387</v>
      </c>
      <c r="H13" s="407">
        <v>1188.2690726766377</v>
      </c>
    </row>
    <row r="14" spans="1:8" ht="27.75" customHeight="1" thickBot="1">
      <c r="A14" s="705">
        <v>2003</v>
      </c>
      <c r="B14" s="356">
        <v>2427518.2400000002</v>
      </c>
      <c r="C14" s="68">
        <v>-2.5900661593164071E-3</v>
      </c>
      <c r="D14" s="488">
        <v>0.32781924661963846</v>
      </c>
      <c r="E14" s="357">
        <v>1287365.05</v>
      </c>
      <c r="F14" s="706">
        <v>-1.5820863111279649E-3</v>
      </c>
      <c r="G14" s="357">
        <v>2381.2207531966164</v>
      </c>
      <c r="H14" s="66">
        <v>1262.8124985787954</v>
      </c>
    </row>
    <row r="15" spans="1:8" ht="16.5" customHeight="1">
      <c r="A15" s="308" t="s">
        <v>2098</v>
      </c>
      <c r="B15" s="9"/>
      <c r="C15" s="9"/>
      <c r="D15" s="9"/>
      <c r="E15" s="9"/>
      <c r="F15" s="9"/>
      <c r="G15" s="9"/>
      <c r="H15" s="9"/>
    </row>
    <row r="16" spans="1:8" ht="10.5" customHeight="1">
      <c r="A16" s="310"/>
      <c r="B16" s="37"/>
      <c r="C16" s="37"/>
      <c r="D16" s="37"/>
      <c r="E16" s="37"/>
      <c r="F16" s="37"/>
      <c r="G16" s="37"/>
      <c r="H16" s="37"/>
    </row>
    <row r="17" spans="1:8" ht="16.5" customHeight="1">
      <c r="A17" s="310" t="s">
        <v>2099</v>
      </c>
      <c r="B17" s="37"/>
      <c r="C17" s="37"/>
      <c r="D17" s="37"/>
      <c r="E17" s="37"/>
      <c r="F17" s="37"/>
      <c r="G17" s="37"/>
      <c r="H17" s="37"/>
    </row>
    <row r="18" spans="1:8" ht="12.75" customHeight="1">
      <c r="A18" s="310"/>
      <c r="B18" s="37"/>
      <c r="C18" s="37"/>
      <c r="D18" s="37"/>
      <c r="E18" s="37"/>
      <c r="F18" s="37"/>
      <c r="G18" s="37"/>
      <c r="H18" s="37"/>
    </row>
    <row r="19" spans="1:8">
      <c r="A19" s="37" t="s">
        <v>2100</v>
      </c>
      <c r="B19" s="37"/>
      <c r="C19" s="37"/>
      <c r="D19" s="37"/>
      <c r="E19" s="37"/>
      <c r="F19" s="37"/>
      <c r="G19" s="37"/>
      <c r="H19" s="37"/>
    </row>
    <row r="20" spans="1:8" ht="15" customHeight="1">
      <c r="A20" s="353" t="s">
        <v>2101</v>
      </c>
    </row>
    <row r="21" spans="1:8" ht="15" customHeight="1"/>
    <row r="22" spans="1:8" ht="15" customHeight="1">
      <c r="A22" s="707"/>
    </row>
    <row r="23" spans="1:8" ht="15" customHeight="1">
      <c r="A23" s="57" t="s">
        <v>256</v>
      </c>
    </row>
    <row r="24" spans="1:8" ht="30" customHeight="1"/>
    <row r="25" spans="1:8" ht="30" customHeight="1"/>
    <row r="26" spans="1:8" ht="30" customHeight="1"/>
    <row r="27" spans="1:8" ht="30" customHeight="1"/>
    <row r="28" spans="1:8" ht="30" customHeight="1"/>
    <row r="29" spans="1:8" ht="30" customHeight="1"/>
    <row r="30" spans="1:8" ht="30" customHeight="1"/>
    <row r="31" spans="1:8" ht="30" customHeight="1"/>
    <row r="32" spans="1:8" ht="30" customHeight="1"/>
    <row r="33" ht="30" customHeight="1"/>
    <row r="34" ht="30" customHeight="1"/>
    <row r="35" ht="30" customHeight="1"/>
  </sheetData>
  <mergeCells count="1">
    <mergeCell ref="A2:G2"/>
  </mergeCells>
  <phoneticPr fontId="0" type="noConversion"/>
  <pageMargins left="0.57999999999999996" right="0.66" top="0.83" bottom="0.76" header="0.47" footer="0.47"/>
  <pageSetup paperSize="9" scale="88" orientation="portrait" horizontalDpi="4294967292" verticalDpi="4294967292"/>
  <headerFooter alignWithMargins="0">
    <oddHeader>&amp;L&amp;"Arial,Bold"Prämienverbilligung in der OKP</oddHead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A0B9A-B784-7245-A3F2-93852E8EF0AC}">
  <sheetPr>
    <pageSetUpPr fitToPage="1"/>
  </sheetPr>
  <dimension ref="A1:H42"/>
  <sheetViews>
    <sheetView zoomScale="75" workbookViewId="0">
      <selection activeCell="A2" sqref="A2:G42"/>
    </sheetView>
  </sheetViews>
  <sheetFormatPr baseColWidth="10" defaultColWidth="11.3984375" defaultRowHeight="13"/>
  <cols>
    <col min="1" max="5" width="13.19921875" style="3" customWidth="1"/>
    <col min="6" max="6" width="13.796875" style="21" customWidth="1"/>
    <col min="7" max="7" width="14.3984375" style="21" customWidth="1"/>
    <col min="8" max="16384" width="11.3984375" style="3"/>
  </cols>
  <sheetData>
    <row r="1" spans="1:8" s="1" customFormat="1" ht="14" customHeight="1">
      <c r="F1" s="23"/>
      <c r="G1" s="23"/>
    </row>
    <row r="2" spans="1:8" s="1" customFormat="1" ht="28" customHeight="1">
      <c r="A2" s="59" t="s">
        <v>613</v>
      </c>
      <c r="F2" s="23"/>
      <c r="G2" s="321">
        <v>2003</v>
      </c>
    </row>
    <row r="3" spans="1:8" ht="24" customHeight="1">
      <c r="A3" s="2" t="s">
        <v>70</v>
      </c>
      <c r="B3" s="1489" t="s">
        <v>623</v>
      </c>
      <c r="C3" s="1477"/>
      <c r="D3" s="1477"/>
      <c r="E3" s="2"/>
      <c r="F3" s="69"/>
      <c r="G3" s="358"/>
    </row>
    <row r="4" spans="1:8" ht="15" customHeight="1">
      <c r="A4" s="77"/>
      <c r="B4" s="70" t="s">
        <v>614</v>
      </c>
      <c r="C4" s="61" t="s">
        <v>615</v>
      </c>
      <c r="D4" s="14" t="s">
        <v>22</v>
      </c>
      <c r="E4" s="61" t="s">
        <v>24</v>
      </c>
      <c r="F4" s="14" t="s">
        <v>616</v>
      </c>
      <c r="G4" s="61" t="s">
        <v>616</v>
      </c>
    </row>
    <row r="5" spans="1:8" ht="15" customHeight="1">
      <c r="A5" s="77"/>
      <c r="B5" s="70" t="s">
        <v>617</v>
      </c>
      <c r="C5" s="17" t="s">
        <v>617</v>
      </c>
      <c r="D5" s="70" t="s">
        <v>617</v>
      </c>
      <c r="E5" s="17" t="s">
        <v>25</v>
      </c>
      <c r="F5" s="14" t="s">
        <v>618</v>
      </c>
      <c r="G5" s="61" t="s">
        <v>619</v>
      </c>
    </row>
    <row r="6" spans="1:8" ht="15" customHeight="1">
      <c r="A6" s="77"/>
      <c r="B6" s="70"/>
      <c r="C6" s="17"/>
      <c r="D6" s="70"/>
      <c r="E6" s="17" t="s">
        <v>26</v>
      </c>
      <c r="F6" s="14" t="s">
        <v>620</v>
      </c>
      <c r="G6" s="61" t="s">
        <v>621</v>
      </c>
    </row>
    <row r="7" spans="1:8" ht="16" customHeight="1">
      <c r="A7" s="78"/>
      <c r="B7" s="73"/>
      <c r="C7" s="18"/>
      <c r="D7" s="73"/>
      <c r="E7" s="18"/>
      <c r="F7" s="14" t="s">
        <v>621</v>
      </c>
      <c r="G7" s="62"/>
      <c r="H7" s="21"/>
    </row>
    <row r="8" spans="1:8" ht="30" customHeight="1" thickBot="1">
      <c r="A8" s="297" t="s">
        <v>78</v>
      </c>
      <c r="B8" s="87">
        <v>179264</v>
      </c>
      <c r="C8" s="93">
        <v>213509</v>
      </c>
      <c r="D8" s="87">
        <v>392773</v>
      </c>
      <c r="E8" s="299">
        <v>4.5612942213135485E-2</v>
      </c>
      <c r="F8" s="19" t="s">
        <v>1013</v>
      </c>
      <c r="G8" s="86" t="s">
        <v>1013</v>
      </c>
      <c r="H8" s="42"/>
    </row>
    <row r="9" spans="1:8" ht="20" customHeight="1" thickBot="1">
      <c r="A9" s="302" t="s">
        <v>79</v>
      </c>
      <c r="B9" s="87">
        <v>146352.95999999999</v>
      </c>
      <c r="C9" s="93">
        <v>168848.28</v>
      </c>
      <c r="D9" s="87">
        <v>315201.24</v>
      </c>
      <c r="E9" s="299">
        <v>-3.4076139751962053E-2</v>
      </c>
      <c r="F9" s="19">
        <v>32514</v>
      </c>
      <c r="G9" s="86">
        <v>22852</v>
      </c>
      <c r="H9" s="42"/>
    </row>
    <row r="10" spans="1:8" ht="20" customHeight="1" thickBot="1">
      <c r="A10" s="302" t="s">
        <v>80</v>
      </c>
      <c r="B10" s="87">
        <v>73331</v>
      </c>
      <c r="C10" s="93">
        <v>80622</v>
      </c>
      <c r="D10" s="87">
        <v>153953</v>
      </c>
      <c r="E10" s="299">
        <v>0.14786647877662706</v>
      </c>
      <c r="F10" s="19">
        <v>15045</v>
      </c>
      <c r="G10" s="86">
        <v>7881</v>
      </c>
      <c r="H10" s="42"/>
    </row>
    <row r="11" spans="1:8" ht="20" customHeight="1" thickBot="1">
      <c r="A11" s="302" t="s">
        <v>81</v>
      </c>
      <c r="B11" s="87">
        <v>6780</v>
      </c>
      <c r="C11" s="93">
        <v>7045</v>
      </c>
      <c r="D11" s="87">
        <v>13825</v>
      </c>
      <c r="E11" s="299">
        <v>8.7469519389601194E-2</v>
      </c>
      <c r="F11" s="19">
        <v>915</v>
      </c>
      <c r="G11" s="86">
        <v>238</v>
      </c>
      <c r="H11" s="42"/>
    </row>
    <row r="12" spans="1:8" ht="20" customHeight="1" thickBot="1">
      <c r="A12" s="302" t="s">
        <v>82</v>
      </c>
      <c r="B12" s="87">
        <v>27493</v>
      </c>
      <c r="C12" s="93">
        <v>28168</v>
      </c>
      <c r="D12" s="87">
        <v>55661</v>
      </c>
      <c r="E12" s="299">
        <v>5.6045686531200789E-2</v>
      </c>
      <c r="F12" s="19">
        <v>3183</v>
      </c>
      <c r="G12" s="86">
        <v>1715</v>
      </c>
      <c r="H12" s="42"/>
    </row>
    <row r="13" spans="1:8" ht="20" customHeight="1" thickBot="1">
      <c r="A13" s="302" t="s">
        <v>83</v>
      </c>
      <c r="B13" s="87">
        <v>8272</v>
      </c>
      <c r="C13" s="93">
        <v>9140</v>
      </c>
      <c r="D13" s="87">
        <v>17412</v>
      </c>
      <c r="E13" s="299">
        <v>-3.0080213903743314E-2</v>
      </c>
      <c r="F13" s="19">
        <v>817</v>
      </c>
      <c r="G13" s="86">
        <v>348</v>
      </c>
      <c r="H13" s="42"/>
    </row>
    <row r="14" spans="1:8" ht="20" customHeight="1" thickBot="1">
      <c r="A14" s="302" t="s">
        <v>84</v>
      </c>
      <c r="B14" s="87">
        <v>6586</v>
      </c>
      <c r="C14" s="93">
        <v>7009</v>
      </c>
      <c r="D14" s="87">
        <v>13595</v>
      </c>
      <c r="E14" s="299">
        <v>-0.15851695964347612</v>
      </c>
      <c r="F14" s="19" t="s">
        <v>1013</v>
      </c>
      <c r="G14" s="86">
        <v>471</v>
      </c>
      <c r="H14" s="42"/>
    </row>
    <row r="15" spans="1:8" ht="20" customHeight="1" thickBot="1">
      <c r="A15" s="302" t="s">
        <v>85</v>
      </c>
      <c r="B15" s="87">
        <v>6548</v>
      </c>
      <c r="C15" s="93">
        <v>7226</v>
      </c>
      <c r="D15" s="87">
        <v>13774</v>
      </c>
      <c r="E15" s="299">
        <v>2.1810089020771514E-2</v>
      </c>
      <c r="F15" s="19">
        <v>126</v>
      </c>
      <c r="G15" s="86">
        <v>838</v>
      </c>
      <c r="H15" s="42"/>
    </row>
    <row r="16" spans="1:8" ht="20" customHeight="1" thickBot="1">
      <c r="A16" s="302" t="s">
        <v>86</v>
      </c>
      <c r="B16" s="87">
        <v>14677</v>
      </c>
      <c r="C16" s="93">
        <v>15701</v>
      </c>
      <c r="D16" s="87">
        <v>30378</v>
      </c>
      <c r="E16" s="299">
        <v>-2.6127656846087262E-2</v>
      </c>
      <c r="F16" s="19">
        <v>2</v>
      </c>
      <c r="G16" s="86">
        <v>1583</v>
      </c>
      <c r="H16" s="42"/>
    </row>
    <row r="17" spans="1:8" ht="20" customHeight="1" thickBot="1">
      <c r="A17" s="302" t="s">
        <v>87</v>
      </c>
      <c r="B17" s="87">
        <v>44432.144869743788</v>
      </c>
      <c r="C17" s="93">
        <v>49172.855130256212</v>
      </c>
      <c r="D17" s="87">
        <v>93605</v>
      </c>
      <c r="E17" s="299">
        <v>-1.6981369851504904E-2</v>
      </c>
      <c r="F17" s="19">
        <v>9847</v>
      </c>
      <c r="G17" s="86">
        <v>5456</v>
      </c>
      <c r="H17" s="42"/>
    </row>
    <row r="18" spans="1:8" ht="20" customHeight="1" thickBot="1">
      <c r="A18" s="302" t="s">
        <v>88</v>
      </c>
      <c r="B18" s="87">
        <v>34261</v>
      </c>
      <c r="C18" s="93">
        <v>36985</v>
      </c>
      <c r="D18" s="87">
        <v>71246</v>
      </c>
      <c r="E18" s="299">
        <v>-8.5064851675870037E-2</v>
      </c>
      <c r="F18" s="19" t="s">
        <v>1013</v>
      </c>
      <c r="G18" s="86">
        <v>5348</v>
      </c>
      <c r="H18" s="42"/>
    </row>
    <row r="19" spans="1:8" ht="20" customHeight="1" thickBot="1">
      <c r="A19" s="302" t="s">
        <v>89</v>
      </c>
      <c r="B19" s="87">
        <v>27615</v>
      </c>
      <c r="C19" s="93">
        <v>32499</v>
      </c>
      <c r="D19" s="87">
        <v>60114</v>
      </c>
      <c r="E19" s="299">
        <v>3.4290531821544706E-2</v>
      </c>
      <c r="F19" s="19">
        <v>12050</v>
      </c>
      <c r="G19" s="86">
        <v>10501</v>
      </c>
      <c r="H19" s="42"/>
    </row>
    <row r="20" spans="1:8" ht="20" customHeight="1" thickBot="1">
      <c r="A20" s="302" t="s">
        <v>90</v>
      </c>
      <c r="B20" s="87">
        <v>45845</v>
      </c>
      <c r="C20" s="93">
        <v>46848</v>
      </c>
      <c r="D20" s="87">
        <v>92693</v>
      </c>
      <c r="E20" s="299">
        <v>-0.20909734724699017</v>
      </c>
      <c r="F20" s="19" t="s">
        <v>1013</v>
      </c>
      <c r="G20" s="86" t="s">
        <v>1013</v>
      </c>
      <c r="H20" s="42"/>
    </row>
    <row r="21" spans="1:8" ht="20" customHeight="1" thickBot="1">
      <c r="A21" s="302" t="s">
        <v>91</v>
      </c>
      <c r="B21" s="87">
        <v>12707</v>
      </c>
      <c r="C21" s="93">
        <v>13165</v>
      </c>
      <c r="D21" s="87">
        <v>25872</v>
      </c>
      <c r="E21" s="299">
        <v>-2.8026147719588248E-2</v>
      </c>
      <c r="F21" s="19">
        <v>2168</v>
      </c>
      <c r="G21" s="86">
        <v>1906</v>
      </c>
      <c r="H21" s="42"/>
    </row>
    <row r="22" spans="1:8" ht="20" customHeight="1" thickBot="1">
      <c r="A22" s="302" t="s">
        <v>92</v>
      </c>
      <c r="B22" s="87">
        <v>5798</v>
      </c>
      <c r="C22" s="93">
        <v>6386</v>
      </c>
      <c r="D22" s="87">
        <v>12184</v>
      </c>
      <c r="E22" s="299">
        <v>-0.20407629997386986</v>
      </c>
      <c r="F22" s="19">
        <v>1205</v>
      </c>
      <c r="G22" s="86">
        <v>398</v>
      </c>
      <c r="H22" s="42"/>
    </row>
    <row r="23" spans="1:8" ht="20" customHeight="1" thickBot="1">
      <c r="A23" s="302" t="s">
        <v>93</v>
      </c>
      <c r="B23" s="87">
        <v>3702</v>
      </c>
      <c r="C23" s="93">
        <v>3541</v>
      </c>
      <c r="D23" s="87">
        <v>7243</v>
      </c>
      <c r="E23" s="299">
        <v>-0.17702533802976936</v>
      </c>
      <c r="F23" s="19">
        <v>259</v>
      </c>
      <c r="G23" s="86">
        <v>77</v>
      </c>
      <c r="H23" s="42"/>
    </row>
    <row r="24" spans="1:8" ht="20" customHeight="1" thickBot="1">
      <c r="A24" s="302" t="s">
        <v>94</v>
      </c>
      <c r="B24" s="87">
        <v>74718</v>
      </c>
      <c r="C24" s="93">
        <v>83199</v>
      </c>
      <c r="D24" s="87">
        <v>157917</v>
      </c>
      <c r="E24" s="299">
        <v>-8.3933730117294908E-2</v>
      </c>
      <c r="F24" s="19">
        <v>15590</v>
      </c>
      <c r="G24" s="86">
        <v>15590</v>
      </c>
      <c r="H24" s="42"/>
    </row>
    <row r="25" spans="1:8" ht="20" customHeight="1" thickBot="1">
      <c r="A25" s="302" t="s">
        <v>95</v>
      </c>
      <c r="B25" s="87">
        <v>30358</v>
      </c>
      <c r="C25" s="93">
        <v>34088</v>
      </c>
      <c r="D25" s="87">
        <v>64446</v>
      </c>
      <c r="E25" s="299">
        <v>-3.1120331950207469E-2</v>
      </c>
      <c r="F25" s="19">
        <v>4559</v>
      </c>
      <c r="G25" s="86">
        <v>1664</v>
      </c>
      <c r="H25" s="42"/>
    </row>
    <row r="26" spans="1:8" ht="20" customHeight="1" thickBot="1">
      <c r="A26" s="302" t="s">
        <v>96</v>
      </c>
      <c r="B26" s="87">
        <v>73945</v>
      </c>
      <c r="C26" s="93">
        <v>82189</v>
      </c>
      <c r="D26" s="87">
        <v>156134</v>
      </c>
      <c r="E26" s="299">
        <v>0.18339813698962384</v>
      </c>
      <c r="F26" s="19">
        <v>13563</v>
      </c>
      <c r="G26" s="86" t="s">
        <v>1013</v>
      </c>
      <c r="H26" s="42"/>
    </row>
    <row r="27" spans="1:8" ht="20" customHeight="1" thickBot="1">
      <c r="A27" s="302" t="s">
        <v>97</v>
      </c>
      <c r="B27" s="87">
        <v>43112</v>
      </c>
      <c r="C27" s="93">
        <v>46591</v>
      </c>
      <c r="D27" s="87">
        <v>89703</v>
      </c>
      <c r="E27" s="299">
        <v>-0.12179863721804511</v>
      </c>
      <c r="F27" s="19">
        <v>4816</v>
      </c>
      <c r="G27" s="86">
        <v>2917</v>
      </c>
      <c r="H27" s="42"/>
    </row>
    <row r="28" spans="1:8" ht="20" customHeight="1" thickBot="1">
      <c r="A28" s="302" t="s">
        <v>98</v>
      </c>
      <c r="B28" s="87">
        <v>39920</v>
      </c>
      <c r="C28" s="93">
        <v>53146</v>
      </c>
      <c r="D28" s="87">
        <v>93066</v>
      </c>
      <c r="E28" s="299">
        <v>7.9326421265047659E-2</v>
      </c>
      <c r="F28" s="19">
        <v>19506</v>
      </c>
      <c r="G28" s="86" t="s">
        <v>1013</v>
      </c>
      <c r="H28" s="42"/>
    </row>
    <row r="29" spans="1:8" ht="20" customHeight="1" thickBot="1">
      <c r="A29" s="302" t="s">
        <v>99</v>
      </c>
      <c r="B29" s="87">
        <v>67817</v>
      </c>
      <c r="C29" s="93">
        <v>83484</v>
      </c>
      <c r="D29" s="87">
        <v>151301</v>
      </c>
      <c r="E29" s="299">
        <v>-1.2743549923656153E-2</v>
      </c>
      <c r="F29" s="19">
        <v>28291</v>
      </c>
      <c r="G29" s="86">
        <v>15509</v>
      </c>
      <c r="H29" s="42"/>
    </row>
    <row r="30" spans="1:8" ht="20" customHeight="1" thickBot="1">
      <c r="A30" s="302" t="s">
        <v>100</v>
      </c>
      <c r="B30" s="87">
        <v>40424.167252873944</v>
      </c>
      <c r="C30" s="93">
        <v>49376.832747126056</v>
      </c>
      <c r="D30" s="87">
        <v>89801</v>
      </c>
      <c r="E30" s="299">
        <v>-1.1678864591907103E-3</v>
      </c>
      <c r="F30" s="19">
        <v>5351</v>
      </c>
      <c r="G30" s="86">
        <v>2007</v>
      </c>
      <c r="H30" s="42"/>
    </row>
    <row r="31" spans="1:8" ht="20" customHeight="1" thickBot="1">
      <c r="A31" s="302" t="s">
        <v>101</v>
      </c>
      <c r="B31" s="87">
        <v>25496</v>
      </c>
      <c r="C31" s="93">
        <v>31115</v>
      </c>
      <c r="D31" s="87">
        <v>56611</v>
      </c>
      <c r="E31" s="299">
        <v>-1.3143903076788983E-2</v>
      </c>
      <c r="F31" s="19">
        <v>8472</v>
      </c>
      <c r="G31" s="86">
        <v>6084</v>
      </c>
      <c r="H31" s="42"/>
    </row>
    <row r="32" spans="1:8" ht="20" customHeight="1" thickBot="1">
      <c r="A32" s="302" t="s">
        <v>102</v>
      </c>
      <c r="B32" s="87">
        <v>80656</v>
      </c>
      <c r="C32" s="93">
        <v>92777</v>
      </c>
      <c r="D32" s="87">
        <v>173433</v>
      </c>
      <c r="E32" s="299">
        <v>3.1111771700356717E-2</v>
      </c>
      <c r="F32" s="19">
        <v>25316</v>
      </c>
      <c r="G32" s="86">
        <v>14697</v>
      </c>
      <c r="H32" s="42"/>
    </row>
    <row r="33" spans="1:8" ht="20" customHeight="1" thickBot="1">
      <c r="A33" s="302" t="s">
        <v>103</v>
      </c>
      <c r="B33" s="87">
        <v>11167</v>
      </c>
      <c r="C33" s="93">
        <v>14410</v>
      </c>
      <c r="D33" s="87">
        <v>25577</v>
      </c>
      <c r="E33" s="299">
        <v>-3.3626780519137041E-2</v>
      </c>
      <c r="F33" s="19">
        <v>3891</v>
      </c>
      <c r="G33" s="86">
        <v>1320</v>
      </c>
      <c r="H33" s="42"/>
    </row>
    <row r="34" spans="1:8" ht="30" customHeight="1" thickBot="1">
      <c r="A34" s="303" t="s">
        <v>104</v>
      </c>
      <c r="B34" s="95">
        <v>1131277.2721226178</v>
      </c>
      <c r="C34" s="96">
        <v>1296240.9678773822</v>
      </c>
      <c r="D34" s="95">
        <v>2427518.2400000002</v>
      </c>
      <c r="E34" s="305">
        <v>-2.5900661593164071E-3</v>
      </c>
      <c r="F34" s="359">
        <v>207486</v>
      </c>
      <c r="G34" s="360">
        <v>119400</v>
      </c>
      <c r="H34" s="42"/>
    </row>
    <row r="35" spans="1:8" ht="20" customHeight="1">
      <c r="A35" s="308" t="s">
        <v>624</v>
      </c>
      <c r="B35" s="309"/>
      <c r="C35" s="309"/>
      <c r="D35" s="309"/>
      <c r="E35" s="309"/>
      <c r="F35" s="309"/>
      <c r="G35" s="309"/>
    </row>
    <row r="36" spans="1:8" ht="14.25" customHeight="1">
      <c r="A36" s="310"/>
      <c r="B36" s="311"/>
      <c r="C36" s="311"/>
      <c r="D36" s="311"/>
      <c r="E36" s="311"/>
      <c r="F36" s="311"/>
      <c r="G36" s="311"/>
    </row>
    <row r="37" spans="1:8" ht="20" customHeight="1">
      <c r="A37" s="310" t="s">
        <v>612</v>
      </c>
      <c r="B37" s="311"/>
      <c r="C37" s="311"/>
      <c r="D37" s="311"/>
      <c r="E37" s="311"/>
      <c r="F37" s="311"/>
      <c r="G37" s="311"/>
    </row>
    <row r="38" spans="1:8" ht="15.75" customHeight="1">
      <c r="A38" s="310"/>
      <c r="B38" s="311"/>
      <c r="C38" s="311"/>
      <c r="D38" s="311"/>
      <c r="E38" s="311"/>
      <c r="F38" s="311"/>
      <c r="G38" s="311"/>
    </row>
    <row r="39" spans="1:8" ht="11.25" customHeight="1">
      <c r="A39" s="37" t="s">
        <v>622</v>
      </c>
      <c r="B39" s="311"/>
      <c r="C39" s="311"/>
      <c r="D39" s="311"/>
      <c r="E39" s="311"/>
      <c r="F39" s="311"/>
      <c r="G39" s="311"/>
    </row>
    <row r="41" spans="1:8">
      <c r="E41" s="42"/>
    </row>
    <row r="42" spans="1:8">
      <c r="A42" s="3" t="s">
        <v>256</v>
      </c>
    </row>
  </sheetData>
  <mergeCells count="1">
    <mergeCell ref="B3:D3"/>
  </mergeCells>
  <phoneticPr fontId="0" type="noConversion"/>
  <pageMargins left="0.56000000000000005" right="0.5" top="0.76" bottom="0.49" header="0.42" footer="0.4921259845"/>
  <pageSetup paperSize="9" scale="95" orientation="portrait" horizontalDpi="1200" verticalDpi="1200"/>
  <headerFooter alignWithMargins="0">
    <oddHeader>&amp;L&amp;"Arial,Bold"Prämienverbilligung in der OKP</oddHead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30BBC-12DA-914D-A5DA-82A9294B0DD7}">
  <sheetPr>
    <pageSetUpPr fitToPage="1"/>
  </sheetPr>
  <dimension ref="A1:I35"/>
  <sheetViews>
    <sheetView zoomScale="75" workbookViewId="0">
      <selection activeCell="A2" sqref="A2:E377"/>
    </sheetView>
  </sheetViews>
  <sheetFormatPr baseColWidth="10" defaultColWidth="11.3984375" defaultRowHeight="13"/>
  <cols>
    <col min="1" max="5" width="17.796875" style="3" customWidth="1"/>
    <col min="6" max="16384" width="11.3984375" style="3"/>
  </cols>
  <sheetData>
    <row r="1" spans="1:9" s="1" customFormat="1" ht="14" customHeight="1"/>
    <row r="2" spans="1:9" s="1" customFormat="1" ht="28" customHeight="1">
      <c r="A2" s="59" t="s">
        <v>590</v>
      </c>
      <c r="E2" s="321">
        <v>2003</v>
      </c>
    </row>
    <row r="3" spans="1:9" ht="27" customHeight="1">
      <c r="A3" s="2" t="s">
        <v>591</v>
      </c>
      <c r="B3" s="69" t="s">
        <v>592</v>
      </c>
      <c r="C3" s="16" t="s">
        <v>593</v>
      </c>
      <c r="D3" s="69" t="s">
        <v>22</v>
      </c>
      <c r="E3" s="16" t="s">
        <v>594</v>
      </c>
    </row>
    <row r="4" spans="1:9" ht="15" customHeight="1">
      <c r="A4" s="4"/>
      <c r="B4" s="70"/>
      <c r="C4" s="17"/>
      <c r="D4" s="70"/>
      <c r="E4" s="17" t="s">
        <v>2020</v>
      </c>
    </row>
    <row r="5" spans="1:9" ht="15" customHeight="1">
      <c r="A5" s="4"/>
      <c r="B5" s="70"/>
      <c r="C5" s="17"/>
      <c r="D5" s="70"/>
      <c r="E5" s="17" t="s">
        <v>595</v>
      </c>
    </row>
    <row r="6" spans="1:9" ht="24" customHeight="1">
      <c r="A6" s="5"/>
      <c r="B6" s="73"/>
      <c r="C6" s="18"/>
      <c r="D6" s="73"/>
      <c r="E6" s="18"/>
    </row>
    <row r="7" spans="1:9" ht="30" customHeight="1" thickBot="1">
      <c r="A7" s="6" t="s">
        <v>991</v>
      </c>
      <c r="B7" s="87">
        <v>97633.312576882294</v>
      </c>
      <c r="C7" s="93">
        <v>93667.807423117716</v>
      </c>
      <c r="D7" s="87">
        <v>191301.12</v>
      </c>
      <c r="E7" s="299">
        <v>7.8805224549002767E-2</v>
      </c>
      <c r="G7" s="64"/>
      <c r="H7" s="64"/>
      <c r="I7" s="64"/>
    </row>
    <row r="8" spans="1:9" ht="20" customHeight="1" thickBot="1">
      <c r="A8" s="7" t="s">
        <v>992</v>
      </c>
      <c r="B8" s="75">
        <v>108852.66498588899</v>
      </c>
      <c r="C8" s="113">
        <v>103762.89501411101</v>
      </c>
      <c r="D8" s="75">
        <v>212615.56</v>
      </c>
      <c r="E8" s="299">
        <v>8.7585566401346585E-2</v>
      </c>
      <c r="G8" s="64"/>
      <c r="H8" s="64"/>
      <c r="I8" s="64"/>
    </row>
    <row r="9" spans="1:9" ht="20" customHeight="1" thickBot="1">
      <c r="A9" s="7" t="s">
        <v>993</v>
      </c>
      <c r="B9" s="75">
        <v>104425.29914396888</v>
      </c>
      <c r="C9" s="113">
        <v>99875.580856031127</v>
      </c>
      <c r="D9" s="75">
        <v>204300.88</v>
      </c>
      <c r="E9" s="299">
        <v>8.416038925417095E-2</v>
      </c>
      <c r="G9" s="64"/>
      <c r="H9" s="64"/>
      <c r="I9" s="64"/>
    </row>
    <row r="10" spans="1:9" ht="20" customHeight="1" thickBot="1">
      <c r="A10" s="7" t="s">
        <v>994</v>
      </c>
      <c r="B10" s="75">
        <v>50877.800173235169</v>
      </c>
      <c r="C10" s="113">
        <v>48737.639826764833</v>
      </c>
      <c r="D10" s="75">
        <v>99615.44</v>
      </c>
      <c r="E10" s="299">
        <v>4.1035918230628819E-2</v>
      </c>
      <c r="G10" s="64"/>
      <c r="H10" s="64"/>
      <c r="I10" s="64"/>
    </row>
    <row r="11" spans="1:9" ht="20" customHeight="1" thickBot="1">
      <c r="A11" s="7" t="s">
        <v>995</v>
      </c>
      <c r="B11" s="75">
        <v>43578.661666666667</v>
      </c>
      <c r="C11" s="113">
        <v>42087.85833333333</v>
      </c>
      <c r="D11" s="75">
        <v>85666.52</v>
      </c>
      <c r="E11" s="299">
        <v>3.5289753373799568E-2</v>
      </c>
      <c r="G11" s="64"/>
      <c r="H11" s="64"/>
      <c r="I11" s="64"/>
    </row>
    <row r="12" spans="1:9" ht="20" customHeight="1" thickBot="1">
      <c r="A12" s="7" t="s">
        <v>596</v>
      </c>
      <c r="B12" s="75">
        <v>88533.998745253426</v>
      </c>
      <c r="C12" s="113">
        <v>94876.561254746572</v>
      </c>
      <c r="D12" s="75">
        <v>183410.56</v>
      </c>
      <c r="E12" s="299">
        <v>7.5554760816132938E-2</v>
      </c>
      <c r="G12" s="64"/>
      <c r="H12" s="64"/>
      <c r="I12" s="64"/>
    </row>
    <row r="13" spans="1:9" ht="20" customHeight="1" thickBot="1">
      <c r="A13" s="7" t="s">
        <v>597</v>
      </c>
      <c r="B13" s="75">
        <v>70236.478688524585</v>
      </c>
      <c r="C13" s="113">
        <v>84666.241311475416</v>
      </c>
      <c r="D13" s="75">
        <v>154902.72</v>
      </c>
      <c r="E13" s="299">
        <v>6.3811145657962171E-2</v>
      </c>
      <c r="G13" s="64"/>
      <c r="H13" s="64"/>
      <c r="I13" s="64"/>
    </row>
    <row r="14" spans="1:9" ht="20" customHeight="1" thickBot="1">
      <c r="A14" s="7" t="s">
        <v>598</v>
      </c>
      <c r="B14" s="75">
        <v>76154.876464088404</v>
      </c>
      <c r="C14" s="113">
        <v>100830.9235359116</v>
      </c>
      <c r="D14" s="75">
        <v>176985.8</v>
      </c>
      <c r="E14" s="299">
        <v>7.2908123648125489E-2</v>
      </c>
      <c r="G14" s="64"/>
      <c r="H14" s="64"/>
      <c r="I14" s="64"/>
    </row>
    <row r="15" spans="1:9" ht="20" customHeight="1" thickBot="1">
      <c r="A15" s="7" t="s">
        <v>599</v>
      </c>
      <c r="B15" s="75">
        <v>97497.286946434659</v>
      </c>
      <c r="C15" s="113">
        <v>117410.99305356534</v>
      </c>
      <c r="D15" s="75">
        <v>214908.28</v>
      </c>
      <c r="E15" s="299">
        <v>8.8530037162563191E-2</v>
      </c>
      <c r="G15" s="64"/>
      <c r="H15" s="64"/>
      <c r="I15" s="64"/>
    </row>
    <row r="16" spans="1:9" ht="20" customHeight="1" thickBot="1">
      <c r="A16" s="7" t="s">
        <v>600</v>
      </c>
      <c r="B16" s="75">
        <v>88948.789844559593</v>
      </c>
      <c r="C16" s="113">
        <v>94176.370155440411</v>
      </c>
      <c r="D16" s="75">
        <v>183125.16</v>
      </c>
      <c r="E16" s="299">
        <v>7.543719218356934E-2</v>
      </c>
      <c r="G16" s="64"/>
      <c r="H16" s="64"/>
      <c r="I16" s="64"/>
    </row>
    <row r="17" spans="1:9" ht="20" customHeight="1" thickBot="1">
      <c r="A17" s="7" t="s">
        <v>601</v>
      </c>
      <c r="B17" s="75">
        <v>64635.431676300585</v>
      </c>
      <c r="C17" s="113">
        <v>62382.76832369942</v>
      </c>
      <c r="D17" s="75">
        <v>127018.2</v>
      </c>
      <c r="E17" s="299">
        <v>5.2324303029747776E-2</v>
      </c>
      <c r="G17" s="64"/>
      <c r="H17" s="64"/>
      <c r="I17" s="64"/>
    </row>
    <row r="18" spans="1:9" ht="20" customHeight="1" thickBot="1">
      <c r="A18" s="7" t="s">
        <v>602</v>
      </c>
      <c r="B18" s="75">
        <v>45416.671933174228</v>
      </c>
      <c r="C18" s="113">
        <v>45320.088066825774</v>
      </c>
      <c r="D18" s="75">
        <v>90736.76</v>
      </c>
      <c r="E18" s="299">
        <v>3.7378405033117283E-2</v>
      </c>
      <c r="G18" s="64"/>
      <c r="H18" s="64"/>
      <c r="I18" s="64"/>
    </row>
    <row r="19" spans="1:9" ht="20" customHeight="1" thickBot="1">
      <c r="A19" s="7" t="s">
        <v>603</v>
      </c>
      <c r="B19" s="75">
        <v>34979.145714285711</v>
      </c>
      <c r="C19" s="113">
        <v>39487.454285714288</v>
      </c>
      <c r="D19" s="75">
        <v>74466.600000000006</v>
      </c>
      <c r="E19" s="299">
        <v>3.0676020790682091E-2</v>
      </c>
      <c r="G19" s="64"/>
      <c r="H19" s="64"/>
      <c r="I19" s="64"/>
    </row>
    <row r="20" spans="1:9" ht="20" customHeight="1" thickBot="1">
      <c r="A20" s="7" t="s">
        <v>604</v>
      </c>
      <c r="B20" s="75">
        <v>29859.453146853146</v>
      </c>
      <c r="C20" s="113">
        <v>39199.706853146854</v>
      </c>
      <c r="D20" s="75">
        <v>69059.16</v>
      </c>
      <c r="E20" s="299">
        <v>2.8448461833184824E-2</v>
      </c>
      <c r="G20" s="64"/>
      <c r="H20" s="64"/>
      <c r="I20" s="64"/>
    </row>
    <row r="21" spans="1:9" ht="20" customHeight="1" thickBot="1">
      <c r="A21" s="7" t="s">
        <v>605</v>
      </c>
      <c r="B21" s="75">
        <v>30760.025705329153</v>
      </c>
      <c r="C21" s="113">
        <v>42251.134294670846</v>
      </c>
      <c r="D21" s="75">
        <v>73011.16</v>
      </c>
      <c r="E21" s="299">
        <v>3.0076461958942889E-2</v>
      </c>
      <c r="G21" s="64"/>
      <c r="H21" s="64"/>
      <c r="I21" s="64"/>
    </row>
    <row r="22" spans="1:9" ht="20" customHeight="1" thickBot="1">
      <c r="A22" s="7" t="s">
        <v>606</v>
      </c>
      <c r="B22" s="75">
        <v>28685.564618614415</v>
      </c>
      <c r="C22" s="113">
        <v>44338.115381385585</v>
      </c>
      <c r="D22" s="75">
        <v>73023.679999999993</v>
      </c>
      <c r="E22" s="299">
        <v>3.0081619489705662E-2</v>
      </c>
      <c r="G22" s="64"/>
      <c r="H22" s="64"/>
      <c r="I22" s="64"/>
    </row>
    <row r="23" spans="1:9" ht="20" customHeight="1" thickBot="1">
      <c r="A23" s="7" t="s">
        <v>607</v>
      </c>
      <c r="B23" s="75">
        <v>23365.49081081081</v>
      </c>
      <c r="C23" s="113">
        <v>43900.549189189187</v>
      </c>
      <c r="D23" s="75">
        <v>67266.039999999994</v>
      </c>
      <c r="E23" s="299">
        <v>2.7709797970457268E-2</v>
      </c>
      <c r="G23" s="64"/>
      <c r="H23" s="64"/>
      <c r="I23" s="64"/>
    </row>
    <row r="24" spans="1:9" ht="20" customHeight="1" thickBot="1">
      <c r="A24" s="7" t="s">
        <v>608</v>
      </c>
      <c r="B24" s="75">
        <v>17257.464841402336</v>
      </c>
      <c r="C24" s="113">
        <v>37424.455158597659</v>
      </c>
      <c r="D24" s="75">
        <v>54681.919999999998</v>
      </c>
      <c r="E24" s="299">
        <v>2.2525853399972803E-2</v>
      </c>
      <c r="G24" s="64"/>
      <c r="H24" s="64"/>
      <c r="I24" s="64"/>
    </row>
    <row r="25" spans="1:9" ht="20" customHeight="1" thickBot="1">
      <c r="A25" s="7" t="s">
        <v>609</v>
      </c>
      <c r="B25" s="75">
        <v>8980.8909090909092</v>
      </c>
      <c r="C25" s="113">
        <v>25628.589090909089</v>
      </c>
      <c r="D25" s="75">
        <v>34609.480000000003</v>
      </c>
      <c r="E25" s="299">
        <v>1.4257145190389998E-2</v>
      </c>
      <c r="G25" s="64"/>
      <c r="H25" s="64"/>
      <c r="I25" s="64"/>
    </row>
    <row r="26" spans="1:9" ht="20" customHeight="1" thickBot="1">
      <c r="A26" s="7" t="s">
        <v>997</v>
      </c>
      <c r="B26" s="75">
        <v>3439.4807667731629</v>
      </c>
      <c r="C26" s="113">
        <v>13734.839233226838</v>
      </c>
      <c r="D26" s="75">
        <v>17174.32</v>
      </c>
      <c r="E26" s="299">
        <v>7.0748469432715773E-3</v>
      </c>
      <c r="G26" s="64"/>
      <c r="H26" s="64"/>
      <c r="I26" s="64"/>
    </row>
    <row r="27" spans="1:9" ht="20" customHeight="1" thickBot="1">
      <c r="A27" s="7" t="s">
        <v>610</v>
      </c>
      <c r="B27" s="75">
        <v>1075.0978947368421</v>
      </c>
      <c r="C27" s="113">
        <v>4420.1421052631576</v>
      </c>
      <c r="D27" s="75">
        <v>5495.24</v>
      </c>
      <c r="E27" s="299">
        <v>2.2637275837729645E-3</v>
      </c>
      <c r="G27" s="64"/>
      <c r="H27" s="64"/>
      <c r="I27" s="64"/>
    </row>
    <row r="28" spans="1:9" ht="20" customHeight="1" thickBot="1">
      <c r="A28" s="7" t="s">
        <v>611</v>
      </c>
      <c r="B28" s="75">
        <v>16083.384869743786</v>
      </c>
      <c r="C28" s="113">
        <v>18060.255130256213</v>
      </c>
      <c r="D28" s="75">
        <v>34143.64</v>
      </c>
      <c r="E28" s="299">
        <v>1.4065245499452971E-2</v>
      </c>
      <c r="G28" s="64"/>
      <c r="H28" s="64"/>
      <c r="I28" s="64"/>
    </row>
    <row r="29" spans="1:9" ht="30" customHeight="1" thickBot="1">
      <c r="A29" s="12" t="s">
        <v>22</v>
      </c>
      <c r="B29" s="356">
        <v>1131277.2721226178</v>
      </c>
      <c r="C29" s="357">
        <v>1296240.9678773824</v>
      </c>
      <c r="D29" s="356">
        <v>2427518.2400000002</v>
      </c>
      <c r="E29" s="305">
        <v>1</v>
      </c>
      <c r="G29" s="64"/>
      <c r="H29" s="64"/>
      <c r="I29" s="64"/>
    </row>
    <row r="30" spans="1:9" ht="20" customHeight="1">
      <c r="A30" s="308" t="s">
        <v>624</v>
      </c>
      <c r="B30" s="9"/>
      <c r="C30" s="9"/>
      <c r="D30" s="9"/>
      <c r="E30" s="9"/>
    </row>
    <row r="32" spans="1:9">
      <c r="A32" s="310" t="s">
        <v>612</v>
      </c>
    </row>
    <row r="35" spans="1:1">
      <c r="A35" s="3" t="s">
        <v>256</v>
      </c>
    </row>
  </sheetData>
  <phoneticPr fontId="0" type="noConversion"/>
  <pageMargins left="0.74" right="0.88" top="0.85" bottom="0.49" header="0.49" footer="0.4921259845"/>
  <pageSetup paperSize="9" scale="97" orientation="portrait" horizontalDpi="1200" verticalDpi="1200"/>
  <headerFooter alignWithMargins="0">
    <oddHeader>&amp;L&amp;"Arial,Bold"Prämienverbilligung in der OKP</oddHead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31869-9A34-B941-BD98-2627CBD5813A}">
  <sheetPr>
    <pageSetUpPr fitToPage="1"/>
  </sheetPr>
  <dimension ref="A1:K43"/>
  <sheetViews>
    <sheetView topLeftCell="A30" zoomScale="75" workbookViewId="0">
      <selection activeCell="B43" sqref="B43"/>
    </sheetView>
  </sheetViews>
  <sheetFormatPr baseColWidth="10" defaultColWidth="11.3984375" defaultRowHeight="13"/>
  <cols>
    <col min="1" max="1" width="11.796875" style="3" customWidth="1"/>
    <col min="2" max="6" width="11.3984375" style="3"/>
    <col min="7" max="7" width="11.796875" style="3" customWidth="1"/>
    <col min="8" max="8" width="11.3984375" style="3"/>
    <col min="9" max="9" width="12.59765625" style="3" customWidth="1"/>
    <col min="10" max="16384" width="11.3984375" style="3"/>
  </cols>
  <sheetData>
    <row r="1" spans="1:11" s="1" customFormat="1" ht="14" customHeight="1"/>
    <row r="2" spans="1:11" s="1" customFormat="1" ht="27" customHeight="1">
      <c r="A2" s="59" t="s">
        <v>588</v>
      </c>
      <c r="I2" s="321">
        <v>2003</v>
      </c>
    </row>
    <row r="3" spans="1:11" ht="24" customHeight="1">
      <c r="A3" s="2" t="s">
        <v>70</v>
      </c>
      <c r="B3" s="1489" t="s">
        <v>1562</v>
      </c>
      <c r="C3" s="1477"/>
      <c r="D3" s="1477"/>
      <c r="E3" s="1477"/>
      <c r="F3" s="1477"/>
      <c r="G3" s="16" t="s">
        <v>1545</v>
      </c>
      <c r="H3" s="69"/>
      <c r="I3" s="16" t="s">
        <v>1563</v>
      </c>
    </row>
    <row r="4" spans="1:11" ht="15" customHeight="1">
      <c r="A4" s="77"/>
      <c r="B4" s="70" t="s">
        <v>1564</v>
      </c>
      <c r="C4" s="61" t="s">
        <v>1565</v>
      </c>
      <c r="D4" s="14" t="s">
        <v>1566</v>
      </c>
      <c r="E4" s="61" t="s">
        <v>1567</v>
      </c>
      <c r="F4" s="14" t="s">
        <v>1568</v>
      </c>
      <c r="G4" s="61" t="s">
        <v>22</v>
      </c>
      <c r="H4" s="71" t="s">
        <v>24</v>
      </c>
      <c r="I4" s="61" t="s">
        <v>1569</v>
      </c>
    </row>
    <row r="5" spans="1:11" ht="15" customHeight="1">
      <c r="A5" s="77"/>
      <c r="B5" s="70"/>
      <c r="C5" s="17" t="s">
        <v>1570</v>
      </c>
      <c r="D5" s="70" t="s">
        <v>1570</v>
      </c>
      <c r="E5" s="17" t="s">
        <v>1570</v>
      </c>
      <c r="F5" s="14" t="s">
        <v>1571</v>
      </c>
      <c r="G5" s="61"/>
      <c r="H5" s="71" t="s">
        <v>2064</v>
      </c>
      <c r="I5" s="61" t="s">
        <v>1572</v>
      </c>
    </row>
    <row r="6" spans="1:11" ht="15" customHeight="1">
      <c r="A6" s="77"/>
      <c r="B6" s="70"/>
      <c r="C6" s="17"/>
      <c r="D6" s="70"/>
      <c r="E6" s="17"/>
      <c r="F6" s="14" t="s">
        <v>1573</v>
      </c>
      <c r="G6" s="61"/>
      <c r="H6" s="71" t="s">
        <v>26</v>
      </c>
      <c r="I6" s="61" t="s">
        <v>589</v>
      </c>
    </row>
    <row r="7" spans="1:11" ht="13.5" customHeight="1">
      <c r="A7" s="78"/>
      <c r="B7" s="73"/>
      <c r="C7" s="18"/>
      <c r="D7" s="73"/>
      <c r="E7" s="18"/>
      <c r="F7" s="15"/>
      <c r="G7" s="62"/>
      <c r="H7" s="73"/>
      <c r="I7" s="62"/>
    </row>
    <row r="8" spans="1:11" ht="30" customHeight="1" thickBot="1">
      <c r="A8" s="297" t="s">
        <v>78</v>
      </c>
      <c r="B8" s="87">
        <v>188525</v>
      </c>
      <c r="C8" s="93">
        <v>32889</v>
      </c>
      <c r="D8" s="87">
        <v>13973</v>
      </c>
      <c r="E8" s="93">
        <v>14096</v>
      </c>
      <c r="F8" s="87">
        <v>7549</v>
      </c>
      <c r="G8" s="93">
        <v>257032</v>
      </c>
      <c r="H8" s="315">
        <v>3.5158798559818287E-2</v>
      </c>
      <c r="I8" s="106">
        <v>16811</v>
      </c>
      <c r="K8" s="64"/>
    </row>
    <row r="9" spans="1:11" ht="20" customHeight="1" thickBot="1">
      <c r="A9" s="302" t="s">
        <v>79</v>
      </c>
      <c r="B9" s="75">
        <v>109499.25</v>
      </c>
      <c r="C9" s="113">
        <v>31265.85</v>
      </c>
      <c r="D9" s="75">
        <v>14196</v>
      </c>
      <c r="E9" s="113">
        <v>18856.95</v>
      </c>
      <c r="F9" s="75">
        <v>12936</v>
      </c>
      <c r="G9" s="113">
        <v>186754.05</v>
      </c>
      <c r="H9" s="315">
        <v>-5.7135825032437776E-2</v>
      </c>
      <c r="I9" s="113">
        <v>13054.65</v>
      </c>
      <c r="K9" s="64"/>
    </row>
    <row r="10" spans="1:11" ht="20" customHeight="1" thickBot="1">
      <c r="A10" s="302" t="s">
        <v>80</v>
      </c>
      <c r="B10" s="75">
        <v>29016</v>
      </c>
      <c r="C10" s="113">
        <v>11452</v>
      </c>
      <c r="D10" s="75">
        <v>6453</v>
      </c>
      <c r="E10" s="113">
        <v>10320</v>
      </c>
      <c r="F10" s="75">
        <v>7598</v>
      </c>
      <c r="G10" s="113">
        <v>64839</v>
      </c>
      <c r="H10" s="315">
        <v>0.11747065818727057</v>
      </c>
      <c r="I10" s="113">
        <v>2243</v>
      </c>
      <c r="K10" s="64"/>
    </row>
    <row r="11" spans="1:11" ht="20" customHeight="1" thickBot="1">
      <c r="A11" s="302" t="s">
        <v>81</v>
      </c>
      <c r="B11" s="75">
        <v>2085</v>
      </c>
      <c r="C11" s="113">
        <v>1313</v>
      </c>
      <c r="D11" s="75">
        <v>551</v>
      </c>
      <c r="E11" s="113">
        <v>957</v>
      </c>
      <c r="F11" s="75">
        <v>674</v>
      </c>
      <c r="G11" s="113">
        <v>5580</v>
      </c>
      <c r="H11" s="315">
        <v>7.4730354391371337E-2</v>
      </c>
      <c r="I11" s="113">
        <v>226</v>
      </c>
      <c r="K11" s="64"/>
    </row>
    <row r="12" spans="1:11" ht="20" customHeight="1" thickBot="1">
      <c r="A12" s="302" t="s">
        <v>82</v>
      </c>
      <c r="B12" s="75">
        <v>11109</v>
      </c>
      <c r="C12" s="113">
        <v>3846</v>
      </c>
      <c r="D12" s="75">
        <v>2575</v>
      </c>
      <c r="E12" s="113">
        <v>3941</v>
      </c>
      <c r="F12" s="75">
        <v>2424</v>
      </c>
      <c r="G12" s="113">
        <v>23895</v>
      </c>
      <c r="H12" s="315">
        <v>5.5106636640614652E-2</v>
      </c>
      <c r="I12" s="113">
        <v>1205</v>
      </c>
      <c r="K12" s="64"/>
    </row>
    <row r="13" spans="1:11" ht="20" customHeight="1" thickBot="1">
      <c r="A13" s="302" t="s">
        <v>83</v>
      </c>
      <c r="B13" s="75">
        <v>3899</v>
      </c>
      <c r="C13" s="113">
        <v>1459</v>
      </c>
      <c r="D13" s="75">
        <v>734</v>
      </c>
      <c r="E13" s="113">
        <v>1115</v>
      </c>
      <c r="F13" s="75">
        <v>587</v>
      </c>
      <c r="G13" s="113">
        <v>7794</v>
      </c>
      <c r="H13" s="315">
        <v>-3.0717572441238652E-2</v>
      </c>
      <c r="I13" s="113">
        <v>351</v>
      </c>
      <c r="K13" s="64"/>
    </row>
    <row r="14" spans="1:11" ht="20" customHeight="1" thickBot="1">
      <c r="A14" s="302" t="s">
        <v>84</v>
      </c>
      <c r="B14" s="75">
        <v>3807</v>
      </c>
      <c r="C14" s="113">
        <v>1149</v>
      </c>
      <c r="D14" s="75">
        <v>481</v>
      </c>
      <c r="E14" s="113">
        <v>854</v>
      </c>
      <c r="F14" s="75">
        <v>488</v>
      </c>
      <c r="G14" s="113">
        <v>6779</v>
      </c>
      <c r="H14" s="315">
        <v>-8.7617765814266488E-2</v>
      </c>
      <c r="I14" s="113">
        <v>311</v>
      </c>
      <c r="K14" s="64"/>
    </row>
    <row r="15" spans="1:11" ht="20" customHeight="1" thickBot="1">
      <c r="A15" s="302" t="s">
        <v>85</v>
      </c>
      <c r="B15" s="75">
        <v>5024</v>
      </c>
      <c r="C15" s="113">
        <v>1160</v>
      </c>
      <c r="D15" s="75">
        <v>492</v>
      </c>
      <c r="E15" s="113">
        <v>701</v>
      </c>
      <c r="F15" s="75">
        <v>400</v>
      </c>
      <c r="G15" s="113">
        <v>7777</v>
      </c>
      <c r="H15" s="315">
        <v>0.11179413867047891</v>
      </c>
      <c r="I15" s="113">
        <v>346</v>
      </c>
      <c r="K15" s="64"/>
    </row>
    <row r="16" spans="1:11" ht="20" customHeight="1" thickBot="1">
      <c r="A16" s="302" t="s">
        <v>86</v>
      </c>
      <c r="B16" s="75">
        <v>8874</v>
      </c>
      <c r="C16" s="113">
        <v>2083</v>
      </c>
      <c r="D16" s="75">
        <v>1314</v>
      </c>
      <c r="E16" s="113">
        <v>2081</v>
      </c>
      <c r="F16" s="75">
        <v>968</v>
      </c>
      <c r="G16" s="113">
        <v>15320</v>
      </c>
      <c r="H16" s="315">
        <v>-5.3912184277156799E-2</v>
      </c>
      <c r="I16" s="113">
        <v>755</v>
      </c>
      <c r="K16" s="64"/>
    </row>
    <row r="17" spans="1:11" ht="20" customHeight="1" thickBot="1">
      <c r="A17" s="302" t="s">
        <v>1574</v>
      </c>
      <c r="B17" s="75">
        <v>18596</v>
      </c>
      <c r="C17" s="113">
        <v>6627</v>
      </c>
      <c r="D17" s="75">
        <v>3838</v>
      </c>
      <c r="E17" s="113">
        <v>5626</v>
      </c>
      <c r="F17" s="75">
        <v>3396</v>
      </c>
      <c r="G17" s="113">
        <v>38083</v>
      </c>
      <c r="H17" s="315">
        <v>1.5516515884704397E-3</v>
      </c>
      <c r="I17" s="113">
        <v>3936</v>
      </c>
      <c r="K17" s="64"/>
    </row>
    <row r="18" spans="1:11" ht="20" customHeight="1" thickBot="1">
      <c r="A18" s="302" t="s">
        <v>1575</v>
      </c>
      <c r="B18" s="75">
        <v>8739</v>
      </c>
      <c r="C18" s="113">
        <v>4678</v>
      </c>
      <c r="D18" s="75">
        <v>3402</v>
      </c>
      <c r="E18" s="113">
        <v>6144</v>
      </c>
      <c r="F18" s="75">
        <v>3469</v>
      </c>
      <c r="G18" s="113">
        <v>26432</v>
      </c>
      <c r="H18" s="315">
        <v>-9.6372773580390411E-2</v>
      </c>
      <c r="I18" s="113">
        <v>3009</v>
      </c>
      <c r="K18" s="64"/>
    </row>
    <row r="19" spans="1:11" ht="20" customHeight="1" thickBot="1">
      <c r="A19" s="302" t="s">
        <v>89</v>
      </c>
      <c r="B19" s="75">
        <v>23869</v>
      </c>
      <c r="C19" s="113">
        <v>5145</v>
      </c>
      <c r="D19" s="75">
        <v>3901</v>
      </c>
      <c r="E19" s="113">
        <v>2652</v>
      </c>
      <c r="F19" s="75">
        <v>1278</v>
      </c>
      <c r="G19" s="113">
        <v>36845</v>
      </c>
      <c r="H19" s="315">
        <v>9.7393894266567388E-2</v>
      </c>
      <c r="I19" s="113">
        <v>2451</v>
      </c>
      <c r="K19" s="64"/>
    </row>
    <row r="20" spans="1:11" ht="20" customHeight="1" thickBot="1">
      <c r="A20" s="302" t="s">
        <v>90</v>
      </c>
      <c r="B20" s="29">
        <v>18479</v>
      </c>
      <c r="C20" s="116">
        <v>9178</v>
      </c>
      <c r="D20" s="75">
        <v>4911</v>
      </c>
      <c r="E20" s="113">
        <v>6966</v>
      </c>
      <c r="F20" s="29">
        <v>2771</v>
      </c>
      <c r="G20" s="116">
        <v>42305</v>
      </c>
      <c r="H20" s="315">
        <v>-0.1664532145883002</v>
      </c>
      <c r="I20" s="116">
        <v>3149</v>
      </c>
      <c r="K20" s="64"/>
    </row>
    <row r="21" spans="1:11" ht="20" customHeight="1" thickBot="1">
      <c r="A21" s="302" t="s">
        <v>91</v>
      </c>
      <c r="B21" s="75">
        <v>6288</v>
      </c>
      <c r="C21" s="113">
        <v>1941</v>
      </c>
      <c r="D21" s="75">
        <v>1019</v>
      </c>
      <c r="E21" s="113">
        <v>1556</v>
      </c>
      <c r="F21" s="75">
        <v>804</v>
      </c>
      <c r="G21" s="113">
        <v>11608</v>
      </c>
      <c r="H21" s="315">
        <v>-0.10328312089609888</v>
      </c>
      <c r="I21" s="113">
        <v>884</v>
      </c>
      <c r="K21" s="64"/>
    </row>
    <row r="22" spans="1:11" ht="20" customHeight="1" thickBot="1">
      <c r="A22" s="302" t="s">
        <v>92</v>
      </c>
      <c r="B22" s="75">
        <v>1465</v>
      </c>
      <c r="C22" s="113">
        <v>458</v>
      </c>
      <c r="D22" s="75">
        <v>426</v>
      </c>
      <c r="E22" s="113">
        <v>758</v>
      </c>
      <c r="F22" s="75">
        <v>783</v>
      </c>
      <c r="G22" s="113">
        <v>3890</v>
      </c>
      <c r="H22" s="315">
        <v>-0.33287600754587549</v>
      </c>
      <c r="I22" s="113">
        <v>518</v>
      </c>
      <c r="K22" s="64"/>
    </row>
    <row r="23" spans="1:11" ht="20" customHeight="1" thickBot="1">
      <c r="A23" s="302" t="s">
        <v>93</v>
      </c>
      <c r="B23" s="75">
        <v>577</v>
      </c>
      <c r="C23" s="113">
        <v>410</v>
      </c>
      <c r="D23" s="75">
        <v>239</v>
      </c>
      <c r="E23" s="113">
        <v>508</v>
      </c>
      <c r="F23" s="75">
        <v>519</v>
      </c>
      <c r="G23" s="113">
        <v>2253</v>
      </c>
      <c r="H23" s="315">
        <v>-0.2484989993328886</v>
      </c>
      <c r="I23" s="113">
        <v>125</v>
      </c>
      <c r="K23" s="64"/>
    </row>
    <row r="24" spans="1:11" ht="20" customHeight="1" thickBot="1">
      <c r="A24" s="302" t="s">
        <v>94</v>
      </c>
      <c r="B24" s="75">
        <v>27164</v>
      </c>
      <c r="C24" s="113">
        <v>13082</v>
      </c>
      <c r="D24" s="75">
        <v>5923</v>
      </c>
      <c r="E24" s="113">
        <v>10415</v>
      </c>
      <c r="F24" s="75">
        <v>8350</v>
      </c>
      <c r="G24" s="113">
        <v>64934</v>
      </c>
      <c r="H24" s="315">
        <v>-5.9295637938777582E-2</v>
      </c>
      <c r="I24" s="113">
        <v>6676</v>
      </c>
      <c r="K24" s="64"/>
    </row>
    <row r="25" spans="1:11" ht="20" customHeight="1" thickBot="1">
      <c r="A25" s="302" t="s">
        <v>95</v>
      </c>
      <c r="B25" s="75">
        <v>13575</v>
      </c>
      <c r="C25" s="113">
        <v>4605</v>
      </c>
      <c r="D25" s="75">
        <v>2691</v>
      </c>
      <c r="E25" s="113">
        <v>4292</v>
      </c>
      <c r="F25" s="75">
        <v>2261</v>
      </c>
      <c r="G25" s="113">
        <v>27424</v>
      </c>
      <c r="H25" s="315">
        <v>-5.8144726448466529E-2</v>
      </c>
      <c r="I25" s="113">
        <v>2213</v>
      </c>
      <c r="K25" s="64"/>
    </row>
    <row r="26" spans="1:11" ht="20" customHeight="1" thickBot="1">
      <c r="A26" s="302" t="s">
        <v>96</v>
      </c>
      <c r="B26" s="75">
        <v>20110</v>
      </c>
      <c r="C26" s="113">
        <v>10537</v>
      </c>
      <c r="D26" s="75">
        <v>7831</v>
      </c>
      <c r="E26" s="113">
        <v>11844</v>
      </c>
      <c r="F26" s="75">
        <v>6801</v>
      </c>
      <c r="G26" s="113">
        <v>57123</v>
      </c>
      <c r="H26" s="315">
        <v>0.19150223186350174</v>
      </c>
      <c r="I26" s="113">
        <v>5065</v>
      </c>
      <c r="K26" s="64"/>
    </row>
    <row r="27" spans="1:11" ht="20" customHeight="1" thickBot="1">
      <c r="A27" s="302" t="s">
        <v>97</v>
      </c>
      <c r="B27" s="75">
        <v>35311</v>
      </c>
      <c r="C27" s="113">
        <v>12002</v>
      </c>
      <c r="D27" s="75">
        <v>4184</v>
      </c>
      <c r="E27" s="113">
        <v>2488</v>
      </c>
      <c r="F27" s="75">
        <v>1572</v>
      </c>
      <c r="G27" s="113">
        <v>55557</v>
      </c>
      <c r="H27" s="315">
        <v>-8.7374334713187465E-2</v>
      </c>
      <c r="I27" s="113">
        <v>2730</v>
      </c>
      <c r="K27" s="64"/>
    </row>
    <row r="28" spans="1:11" ht="20" customHeight="1" thickBot="1">
      <c r="A28" s="302" t="s">
        <v>98</v>
      </c>
      <c r="B28" s="75">
        <v>35731</v>
      </c>
      <c r="C28" s="113">
        <v>11446</v>
      </c>
      <c r="D28" s="75">
        <v>3616</v>
      </c>
      <c r="E28" s="113">
        <v>4570</v>
      </c>
      <c r="F28" s="75">
        <v>2130</v>
      </c>
      <c r="G28" s="113">
        <v>57493</v>
      </c>
      <c r="H28" s="315">
        <v>7.155104931598763E-2</v>
      </c>
      <c r="I28" s="113">
        <v>4213</v>
      </c>
      <c r="K28" s="64"/>
    </row>
    <row r="29" spans="1:11" ht="20" customHeight="1" thickBot="1">
      <c r="A29" s="302" t="s">
        <v>99</v>
      </c>
      <c r="B29" s="75">
        <v>44503</v>
      </c>
      <c r="C29" s="113">
        <v>13867</v>
      </c>
      <c r="D29" s="75">
        <v>7399</v>
      </c>
      <c r="E29" s="113">
        <v>8344</v>
      </c>
      <c r="F29" s="75">
        <v>4406</v>
      </c>
      <c r="G29" s="113">
        <v>78519</v>
      </c>
      <c r="H29" s="315">
        <v>5.6068811723478812E-4</v>
      </c>
      <c r="I29" s="113">
        <v>8334</v>
      </c>
      <c r="K29" s="64"/>
    </row>
    <row r="30" spans="1:11" ht="20" customHeight="1" thickBot="1">
      <c r="A30" s="302" t="s">
        <v>100</v>
      </c>
      <c r="B30" s="75">
        <v>31318</v>
      </c>
      <c r="C30" s="113">
        <v>5731</v>
      </c>
      <c r="D30" s="75">
        <v>3382</v>
      </c>
      <c r="E30" s="113">
        <v>5209</v>
      </c>
      <c r="F30" s="75">
        <v>3020</v>
      </c>
      <c r="G30" s="113">
        <v>48660</v>
      </c>
      <c r="H30" s="315">
        <v>1.6842897145484183E-2</v>
      </c>
      <c r="I30" s="113">
        <v>3681</v>
      </c>
      <c r="K30" s="64"/>
    </row>
    <row r="31" spans="1:11" ht="20" customHeight="1" thickBot="1">
      <c r="A31" s="302" t="s">
        <v>101</v>
      </c>
      <c r="B31" s="75">
        <v>19768</v>
      </c>
      <c r="C31" s="113">
        <v>5443</v>
      </c>
      <c r="D31" s="75">
        <v>2562</v>
      </c>
      <c r="E31" s="113">
        <v>2820</v>
      </c>
      <c r="F31" s="75">
        <v>1303</v>
      </c>
      <c r="G31" s="113">
        <v>31896</v>
      </c>
      <c r="H31" s="315">
        <v>-2.1865129258793584E-2</v>
      </c>
      <c r="I31" s="113">
        <v>2476</v>
      </c>
      <c r="K31" s="64"/>
    </row>
    <row r="32" spans="1:11" ht="20" customHeight="1" thickBot="1">
      <c r="A32" s="302" t="s">
        <v>102</v>
      </c>
      <c r="B32" s="75">
        <v>72468</v>
      </c>
      <c r="C32" s="113">
        <v>21454</v>
      </c>
      <c r="D32" s="75">
        <v>9760</v>
      </c>
      <c r="E32" s="113">
        <v>8020</v>
      </c>
      <c r="F32" s="75">
        <v>3219</v>
      </c>
      <c r="G32" s="113">
        <v>114921</v>
      </c>
      <c r="H32" s="315">
        <v>3.0302758626872629E-2</v>
      </c>
      <c r="I32" s="113">
        <v>11004</v>
      </c>
      <c r="K32" s="64"/>
    </row>
    <row r="33" spans="1:11" ht="20" customHeight="1" thickBot="1">
      <c r="A33" s="302" t="s">
        <v>103</v>
      </c>
      <c r="B33" s="75">
        <v>8754</v>
      </c>
      <c r="C33" s="113">
        <v>2048</v>
      </c>
      <c r="D33" s="75">
        <v>763</v>
      </c>
      <c r="E33" s="113">
        <v>1064</v>
      </c>
      <c r="F33" s="75">
        <v>1023</v>
      </c>
      <c r="G33" s="113">
        <v>13652</v>
      </c>
      <c r="H33" s="315">
        <v>-2.7566065959113897E-2</v>
      </c>
      <c r="I33" s="113">
        <v>1180</v>
      </c>
      <c r="J33" s="43"/>
      <c r="K33" s="64"/>
    </row>
    <row r="34" spans="1:11" ht="30" customHeight="1" thickBot="1">
      <c r="A34" s="333" t="s">
        <v>104</v>
      </c>
      <c r="B34" s="344">
        <v>748553.25</v>
      </c>
      <c r="C34" s="333">
        <v>215268.85</v>
      </c>
      <c r="D34" s="344">
        <v>106616</v>
      </c>
      <c r="E34" s="333">
        <v>136197.95000000001</v>
      </c>
      <c r="F34" s="344">
        <v>80729</v>
      </c>
      <c r="G34" s="333">
        <v>1287365.05</v>
      </c>
      <c r="H34" s="354">
        <v>-1.5820863111279649E-3</v>
      </c>
      <c r="I34" s="333">
        <v>96946.65</v>
      </c>
      <c r="K34" s="64"/>
    </row>
    <row r="35" spans="1:11" ht="19.5" customHeight="1">
      <c r="A35" s="308" t="s">
        <v>624</v>
      </c>
      <c r="B35" s="309"/>
      <c r="C35" s="309"/>
      <c r="D35" s="309"/>
      <c r="E35" s="309"/>
      <c r="F35" s="309"/>
      <c r="G35" s="309"/>
      <c r="H35" s="309"/>
      <c r="I35" s="309"/>
    </row>
    <row r="36" spans="1:11" ht="13.5" customHeight="1">
      <c r="A36" s="310"/>
      <c r="B36" s="311"/>
      <c r="C36" s="311"/>
      <c r="D36" s="311"/>
      <c r="E36" s="311"/>
      <c r="F36" s="311"/>
      <c r="G36" s="311"/>
      <c r="H36" s="311"/>
      <c r="I36" s="311"/>
    </row>
    <row r="37" spans="1:11" ht="15.75" customHeight="1">
      <c r="A37" s="310" t="s">
        <v>1559</v>
      </c>
      <c r="B37" s="311"/>
      <c r="C37" s="311"/>
      <c r="D37" s="311"/>
      <c r="E37" s="311"/>
      <c r="F37" s="311"/>
      <c r="G37" s="311"/>
      <c r="H37" s="311"/>
      <c r="I37" s="311"/>
    </row>
    <row r="38" spans="1:11" ht="13.5" customHeight="1">
      <c r="A38" s="310"/>
      <c r="B38" s="311"/>
      <c r="C38" s="311"/>
      <c r="D38" s="311"/>
      <c r="E38" s="311"/>
      <c r="F38" s="311"/>
      <c r="G38" s="311"/>
      <c r="H38" s="311"/>
      <c r="I38" s="311"/>
    </row>
    <row r="39" spans="1:11" ht="11.25" customHeight="1">
      <c r="A39" s="37" t="s">
        <v>1560</v>
      </c>
      <c r="B39" s="311"/>
      <c r="C39" s="311"/>
      <c r="D39" s="311"/>
      <c r="E39" s="311"/>
      <c r="F39" s="311"/>
      <c r="G39" s="311"/>
      <c r="H39" s="311"/>
      <c r="I39" s="311"/>
    </row>
    <row r="40" spans="1:11">
      <c r="A40" s="355" t="s">
        <v>587</v>
      </c>
    </row>
    <row r="43" spans="1:11">
      <c r="A43" s="3" t="s">
        <v>256</v>
      </c>
    </row>
  </sheetData>
  <mergeCells count="1">
    <mergeCell ref="B3:F3"/>
  </mergeCells>
  <phoneticPr fontId="0" type="noConversion"/>
  <pageMargins left="0.65" right="0.72" top="0.92" bottom="0.49" header="0.52" footer="0.4921259845"/>
  <pageSetup paperSize="9" scale="85" orientation="portrait" horizontalDpi="1200" verticalDpi="1200"/>
  <headerFooter alignWithMargins="0">
    <oddHeader>&amp;L&amp;"Arial,Bold"Prämienverbilligung in der OKP</oddHead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85A0F-A1ED-8A43-912E-FBA7C9313B0B}">
  <sheetPr>
    <pageSetUpPr fitToPage="1"/>
  </sheetPr>
  <dimension ref="A1:I42"/>
  <sheetViews>
    <sheetView topLeftCell="A30" zoomScale="75" workbookViewId="0">
      <selection activeCell="A42" sqref="A1:I42"/>
    </sheetView>
  </sheetViews>
  <sheetFormatPr baseColWidth="10" defaultColWidth="11.3984375" defaultRowHeight="13"/>
  <cols>
    <col min="1" max="9" width="12.19921875" style="3" customWidth="1"/>
    <col min="10" max="16384" width="11.3984375" style="3"/>
  </cols>
  <sheetData>
    <row r="1" spans="1:9" s="1" customFormat="1" ht="14" customHeight="1"/>
    <row r="2" spans="1:9" s="1" customFormat="1" ht="28" customHeight="1">
      <c r="A2" s="59" t="s">
        <v>1561</v>
      </c>
      <c r="I2" s="321">
        <v>2003</v>
      </c>
    </row>
    <row r="3" spans="1:9" ht="24" customHeight="1">
      <c r="A3" s="2" t="s">
        <v>70</v>
      </c>
      <c r="B3" s="85" t="s">
        <v>1544</v>
      </c>
      <c r="C3" s="16"/>
      <c r="D3" s="69"/>
      <c r="E3" s="2"/>
      <c r="F3" s="85"/>
      <c r="G3" s="16"/>
      <c r="H3" s="85"/>
      <c r="I3" s="16" t="s">
        <v>1545</v>
      </c>
    </row>
    <row r="4" spans="1:9" ht="15" customHeight="1">
      <c r="A4" s="77"/>
      <c r="B4" s="70" t="s">
        <v>1546</v>
      </c>
      <c r="C4" s="61" t="s">
        <v>1547</v>
      </c>
      <c r="D4" s="14" t="s">
        <v>1548</v>
      </c>
      <c r="E4" s="61" t="s">
        <v>1549</v>
      </c>
      <c r="F4" s="14" t="s">
        <v>1550</v>
      </c>
      <c r="G4" s="61" t="s">
        <v>1551</v>
      </c>
      <c r="H4" s="14" t="s">
        <v>1552</v>
      </c>
      <c r="I4" s="17" t="s">
        <v>22</v>
      </c>
    </row>
    <row r="5" spans="1:9" ht="15" customHeight="1">
      <c r="A5" s="77"/>
      <c r="B5" s="70" t="s">
        <v>2027</v>
      </c>
      <c r="C5" s="17" t="s">
        <v>1553</v>
      </c>
      <c r="D5" s="70" t="s">
        <v>1554</v>
      </c>
      <c r="E5" s="17" t="s">
        <v>1555</v>
      </c>
      <c r="F5" s="14" t="s">
        <v>1556</v>
      </c>
      <c r="G5" s="61" t="s">
        <v>1556</v>
      </c>
      <c r="H5" s="14" t="s">
        <v>1557</v>
      </c>
      <c r="I5" s="17"/>
    </row>
    <row r="6" spans="1:9" ht="15" customHeight="1">
      <c r="A6" s="77"/>
      <c r="B6" s="70"/>
      <c r="C6" s="17"/>
      <c r="D6" s="70"/>
      <c r="E6" s="17"/>
      <c r="F6" s="14"/>
      <c r="G6" s="61"/>
      <c r="H6" s="14" t="s">
        <v>1558</v>
      </c>
      <c r="I6" s="17"/>
    </row>
    <row r="7" spans="1:9" ht="16" customHeight="1">
      <c r="A7" s="78"/>
      <c r="B7" s="73"/>
      <c r="C7" s="18"/>
      <c r="D7" s="73"/>
      <c r="E7" s="18"/>
      <c r="F7" s="15"/>
      <c r="G7" s="62"/>
      <c r="H7" s="15"/>
      <c r="I7" s="18"/>
    </row>
    <row r="8" spans="1:9" ht="30" customHeight="1" thickBot="1">
      <c r="A8" s="297" t="s">
        <v>78</v>
      </c>
      <c r="B8" s="87">
        <v>23994</v>
      </c>
      <c r="C8" s="93">
        <v>110212</v>
      </c>
      <c r="D8" s="87">
        <v>59054</v>
      </c>
      <c r="E8" s="93">
        <v>46674</v>
      </c>
      <c r="F8" s="87">
        <v>8930</v>
      </c>
      <c r="G8" s="93">
        <v>7563</v>
      </c>
      <c r="H8" s="87">
        <v>605</v>
      </c>
      <c r="I8" s="93">
        <v>257032</v>
      </c>
    </row>
    <row r="9" spans="1:9" ht="20" customHeight="1" thickBot="1">
      <c r="A9" s="302" t="s">
        <v>79</v>
      </c>
      <c r="B9" s="75">
        <v>32721.15</v>
      </c>
      <c r="C9" s="113">
        <v>41489.699999999997</v>
      </c>
      <c r="D9" s="75">
        <v>48977.25</v>
      </c>
      <c r="E9" s="113">
        <v>34259.4</v>
      </c>
      <c r="F9" s="75">
        <v>14098.35</v>
      </c>
      <c r="G9" s="113">
        <v>15208.2</v>
      </c>
      <c r="H9" s="75">
        <v>0</v>
      </c>
      <c r="I9" s="113">
        <v>186754.05</v>
      </c>
    </row>
    <row r="10" spans="1:9" ht="20" customHeight="1" thickBot="1">
      <c r="A10" s="302" t="s">
        <v>80</v>
      </c>
      <c r="B10" s="75">
        <v>8315</v>
      </c>
      <c r="C10" s="113">
        <v>10024</v>
      </c>
      <c r="D10" s="75">
        <v>18926</v>
      </c>
      <c r="E10" s="113">
        <v>19059</v>
      </c>
      <c r="F10" s="75">
        <v>4254</v>
      </c>
      <c r="G10" s="113">
        <v>4261</v>
      </c>
      <c r="H10" s="75">
        <v>0</v>
      </c>
      <c r="I10" s="113">
        <v>64839</v>
      </c>
    </row>
    <row r="11" spans="1:9" ht="20" customHeight="1" thickBot="1">
      <c r="A11" s="302" t="s">
        <v>81</v>
      </c>
      <c r="B11" s="75">
        <v>806</v>
      </c>
      <c r="C11" s="113">
        <v>872</v>
      </c>
      <c r="D11" s="75">
        <v>2353</v>
      </c>
      <c r="E11" s="113">
        <v>817</v>
      </c>
      <c r="F11" s="75">
        <v>469</v>
      </c>
      <c r="G11" s="113">
        <v>263</v>
      </c>
      <c r="H11" s="75">
        <v>0</v>
      </c>
      <c r="I11" s="113">
        <v>5580</v>
      </c>
    </row>
    <row r="12" spans="1:9" ht="20" customHeight="1" thickBot="1">
      <c r="A12" s="302" t="s">
        <v>82</v>
      </c>
      <c r="B12" s="75">
        <v>1963</v>
      </c>
      <c r="C12" s="113">
        <v>3104</v>
      </c>
      <c r="D12" s="75">
        <v>7361</v>
      </c>
      <c r="E12" s="113">
        <v>4127</v>
      </c>
      <c r="F12" s="75">
        <v>2320</v>
      </c>
      <c r="G12" s="113">
        <v>997</v>
      </c>
      <c r="H12" s="75">
        <v>4023</v>
      </c>
      <c r="I12" s="113">
        <v>23895</v>
      </c>
    </row>
    <row r="13" spans="1:9" ht="20" customHeight="1" thickBot="1">
      <c r="A13" s="302" t="s">
        <v>83</v>
      </c>
      <c r="B13" s="75">
        <v>1673</v>
      </c>
      <c r="C13" s="113">
        <v>1274</v>
      </c>
      <c r="D13" s="75">
        <v>3398</v>
      </c>
      <c r="E13" s="113">
        <v>972</v>
      </c>
      <c r="F13" s="75">
        <v>346</v>
      </c>
      <c r="G13" s="113">
        <v>131</v>
      </c>
      <c r="H13" s="75">
        <v>0</v>
      </c>
      <c r="I13" s="113">
        <v>7794</v>
      </c>
    </row>
    <row r="14" spans="1:9" ht="20" customHeight="1" thickBot="1">
      <c r="A14" s="302" t="s">
        <v>84</v>
      </c>
      <c r="B14" s="75">
        <v>2127</v>
      </c>
      <c r="C14" s="113">
        <v>1769</v>
      </c>
      <c r="D14" s="75">
        <v>2391</v>
      </c>
      <c r="E14" s="113">
        <v>358</v>
      </c>
      <c r="F14" s="75">
        <v>94</v>
      </c>
      <c r="G14" s="113">
        <v>40</v>
      </c>
      <c r="H14" s="75">
        <v>0</v>
      </c>
      <c r="I14" s="113">
        <v>6779</v>
      </c>
    </row>
    <row r="15" spans="1:9" ht="20" customHeight="1" thickBot="1">
      <c r="A15" s="302" t="s">
        <v>85</v>
      </c>
      <c r="B15" s="75">
        <v>1270</v>
      </c>
      <c r="C15" s="113">
        <v>1372</v>
      </c>
      <c r="D15" s="75">
        <v>3380</v>
      </c>
      <c r="E15" s="113">
        <v>974</v>
      </c>
      <c r="F15" s="75">
        <v>408</v>
      </c>
      <c r="G15" s="113">
        <v>373</v>
      </c>
      <c r="H15" s="75">
        <v>0</v>
      </c>
      <c r="I15" s="113">
        <v>7777</v>
      </c>
    </row>
    <row r="16" spans="1:9" ht="20" customHeight="1" thickBot="1">
      <c r="A16" s="302" t="s">
        <v>86</v>
      </c>
      <c r="B16" s="75">
        <v>3186</v>
      </c>
      <c r="C16" s="113">
        <v>2900</v>
      </c>
      <c r="D16" s="75">
        <v>6364</v>
      </c>
      <c r="E16" s="113">
        <v>1808</v>
      </c>
      <c r="F16" s="75">
        <v>647</v>
      </c>
      <c r="G16" s="113">
        <v>415</v>
      </c>
      <c r="H16" s="75">
        <v>0</v>
      </c>
      <c r="I16" s="113">
        <v>15320</v>
      </c>
    </row>
    <row r="17" spans="1:9" ht="20" customHeight="1" thickBot="1">
      <c r="A17" s="302" t="s">
        <v>87</v>
      </c>
      <c r="B17" s="75">
        <v>1490</v>
      </c>
      <c r="C17" s="113">
        <v>5181</v>
      </c>
      <c r="D17" s="75">
        <v>17989</v>
      </c>
      <c r="E17" s="113">
        <v>7094</v>
      </c>
      <c r="F17" s="75">
        <v>3025</v>
      </c>
      <c r="G17" s="113">
        <v>3304</v>
      </c>
      <c r="H17" s="75">
        <v>0</v>
      </c>
      <c r="I17" s="113">
        <v>38083</v>
      </c>
    </row>
    <row r="18" spans="1:9" ht="20" customHeight="1" thickBot="1">
      <c r="A18" s="302" t="s">
        <v>88</v>
      </c>
      <c r="B18" s="75">
        <v>2157</v>
      </c>
      <c r="C18" s="113">
        <v>6261</v>
      </c>
      <c r="D18" s="75">
        <v>9967</v>
      </c>
      <c r="E18" s="113">
        <v>5176</v>
      </c>
      <c r="F18" s="75">
        <v>1766</v>
      </c>
      <c r="G18" s="113">
        <v>1105</v>
      </c>
      <c r="H18" s="75">
        <v>0</v>
      </c>
      <c r="I18" s="113">
        <v>26432</v>
      </c>
    </row>
    <row r="19" spans="1:9" ht="20" customHeight="1" thickBot="1">
      <c r="A19" s="302" t="s">
        <v>89</v>
      </c>
      <c r="B19" s="75">
        <v>6666</v>
      </c>
      <c r="C19" s="113">
        <v>3824</v>
      </c>
      <c r="D19" s="75">
        <v>6799</v>
      </c>
      <c r="E19" s="113">
        <v>5899</v>
      </c>
      <c r="F19" s="75">
        <v>9412</v>
      </c>
      <c r="G19" s="113">
        <v>4245</v>
      </c>
      <c r="H19" s="75">
        <v>0</v>
      </c>
      <c r="I19" s="113">
        <v>36845</v>
      </c>
    </row>
    <row r="20" spans="1:9" ht="20" customHeight="1" thickBot="1">
      <c r="A20" s="302" t="s">
        <v>90</v>
      </c>
      <c r="B20" s="29">
        <v>7798</v>
      </c>
      <c r="C20" s="116">
        <v>9285</v>
      </c>
      <c r="D20" s="75">
        <v>18068</v>
      </c>
      <c r="E20" s="113">
        <v>4691</v>
      </c>
      <c r="F20" s="29">
        <v>1733</v>
      </c>
      <c r="G20" s="116">
        <v>730</v>
      </c>
      <c r="H20" s="29">
        <v>0</v>
      </c>
      <c r="I20" s="113">
        <v>42305</v>
      </c>
    </row>
    <row r="21" spans="1:9" ht="20" customHeight="1" thickBot="1">
      <c r="A21" s="302" t="s">
        <v>91</v>
      </c>
      <c r="B21" s="75">
        <v>1625</v>
      </c>
      <c r="C21" s="113">
        <v>1607</v>
      </c>
      <c r="D21" s="75">
        <v>5617</v>
      </c>
      <c r="E21" s="113">
        <v>1512</v>
      </c>
      <c r="F21" s="75">
        <v>704</v>
      </c>
      <c r="G21" s="113">
        <v>543</v>
      </c>
      <c r="H21" s="75">
        <v>0</v>
      </c>
      <c r="I21" s="113">
        <v>11608</v>
      </c>
    </row>
    <row r="22" spans="1:9" ht="20" customHeight="1" thickBot="1">
      <c r="A22" s="302" t="s">
        <v>92</v>
      </c>
      <c r="B22" s="75">
        <v>254</v>
      </c>
      <c r="C22" s="113">
        <v>289</v>
      </c>
      <c r="D22" s="75">
        <v>1456</v>
      </c>
      <c r="E22" s="113">
        <v>494</v>
      </c>
      <c r="F22" s="75">
        <v>395</v>
      </c>
      <c r="G22" s="113">
        <v>1002</v>
      </c>
      <c r="H22" s="75">
        <v>0</v>
      </c>
      <c r="I22" s="113">
        <v>3890</v>
      </c>
    </row>
    <row r="23" spans="1:9" ht="20" customHeight="1" thickBot="1">
      <c r="A23" s="302" t="s">
        <v>93</v>
      </c>
      <c r="B23" s="75">
        <v>617</v>
      </c>
      <c r="C23" s="113">
        <v>459</v>
      </c>
      <c r="D23" s="75">
        <v>651</v>
      </c>
      <c r="E23" s="113">
        <v>204</v>
      </c>
      <c r="F23" s="75">
        <v>62</v>
      </c>
      <c r="G23" s="113">
        <v>260</v>
      </c>
      <c r="H23" s="75">
        <v>0</v>
      </c>
      <c r="I23" s="113">
        <v>2253</v>
      </c>
    </row>
    <row r="24" spans="1:9" ht="20" customHeight="1" thickBot="1">
      <c r="A24" s="302" t="s">
        <v>94</v>
      </c>
      <c r="B24" s="75">
        <v>13091</v>
      </c>
      <c r="C24" s="113">
        <v>11373</v>
      </c>
      <c r="D24" s="75">
        <v>30489</v>
      </c>
      <c r="E24" s="113">
        <v>5837</v>
      </c>
      <c r="F24" s="75">
        <v>2790</v>
      </c>
      <c r="G24" s="113">
        <v>1354</v>
      </c>
      <c r="H24" s="75">
        <v>0</v>
      </c>
      <c r="I24" s="113">
        <v>64934</v>
      </c>
    </row>
    <row r="25" spans="1:9" ht="20" customHeight="1" thickBot="1">
      <c r="A25" s="302" t="s">
        <v>95</v>
      </c>
      <c r="B25" s="75">
        <v>4182</v>
      </c>
      <c r="C25" s="113">
        <v>6839</v>
      </c>
      <c r="D25" s="75">
        <v>8618</v>
      </c>
      <c r="E25" s="113">
        <v>4776</v>
      </c>
      <c r="F25" s="75">
        <v>1847</v>
      </c>
      <c r="G25" s="113">
        <v>1162</v>
      </c>
      <c r="H25" s="75">
        <v>0</v>
      </c>
      <c r="I25" s="113">
        <v>27424</v>
      </c>
    </row>
    <row r="26" spans="1:9" ht="20" customHeight="1" thickBot="1">
      <c r="A26" s="302" t="s">
        <v>96</v>
      </c>
      <c r="B26" s="75">
        <v>3865</v>
      </c>
      <c r="C26" s="113">
        <v>6451</v>
      </c>
      <c r="D26" s="75">
        <v>14842</v>
      </c>
      <c r="E26" s="113">
        <v>18231</v>
      </c>
      <c r="F26" s="75">
        <v>7133</v>
      </c>
      <c r="G26" s="113">
        <v>6601</v>
      </c>
      <c r="H26" s="75">
        <v>0</v>
      </c>
      <c r="I26" s="113">
        <v>57123</v>
      </c>
    </row>
    <row r="27" spans="1:9" ht="20" customHeight="1" thickBot="1">
      <c r="A27" s="302" t="s">
        <v>97</v>
      </c>
      <c r="B27" s="75">
        <v>5053</v>
      </c>
      <c r="C27" s="113">
        <v>13881</v>
      </c>
      <c r="D27" s="75">
        <v>29893</v>
      </c>
      <c r="E27" s="113">
        <v>4806</v>
      </c>
      <c r="F27" s="75">
        <v>1690</v>
      </c>
      <c r="G27" s="113">
        <v>234</v>
      </c>
      <c r="H27" s="75">
        <v>0</v>
      </c>
      <c r="I27" s="113">
        <v>55557</v>
      </c>
    </row>
    <row r="28" spans="1:9" ht="20" customHeight="1" thickBot="1">
      <c r="A28" s="302" t="s">
        <v>98</v>
      </c>
      <c r="B28" s="75">
        <v>3401</v>
      </c>
      <c r="C28" s="113">
        <v>5453</v>
      </c>
      <c r="D28" s="75">
        <v>14472</v>
      </c>
      <c r="E28" s="113">
        <v>22878</v>
      </c>
      <c r="F28" s="75">
        <v>2973</v>
      </c>
      <c r="G28" s="113">
        <v>8316</v>
      </c>
      <c r="H28" s="75">
        <v>0</v>
      </c>
      <c r="I28" s="113">
        <v>57493</v>
      </c>
    </row>
    <row r="29" spans="1:9" ht="20" customHeight="1" thickBot="1">
      <c r="A29" s="302" t="s">
        <v>99</v>
      </c>
      <c r="B29" s="75">
        <v>3093</v>
      </c>
      <c r="C29" s="113">
        <v>3872</v>
      </c>
      <c r="D29" s="75">
        <v>11610</v>
      </c>
      <c r="E29" s="113">
        <v>14507</v>
      </c>
      <c r="F29" s="75">
        <v>25885</v>
      </c>
      <c r="G29" s="113">
        <v>19552</v>
      </c>
      <c r="H29" s="75">
        <v>0</v>
      </c>
      <c r="I29" s="113">
        <v>78519</v>
      </c>
    </row>
    <row r="30" spans="1:9" ht="20" customHeight="1" thickBot="1">
      <c r="A30" s="302" t="s">
        <v>100</v>
      </c>
      <c r="B30" s="75">
        <v>36</v>
      </c>
      <c r="C30" s="113">
        <v>5323</v>
      </c>
      <c r="D30" s="75">
        <v>21741</v>
      </c>
      <c r="E30" s="113">
        <v>11649</v>
      </c>
      <c r="F30" s="75">
        <v>3978</v>
      </c>
      <c r="G30" s="113">
        <v>5933</v>
      </c>
      <c r="H30" s="75">
        <v>0</v>
      </c>
      <c r="I30" s="113">
        <v>48660</v>
      </c>
    </row>
    <row r="31" spans="1:9" ht="20" customHeight="1" thickBot="1">
      <c r="A31" s="302" t="s">
        <v>101</v>
      </c>
      <c r="B31" s="75">
        <v>5337</v>
      </c>
      <c r="C31" s="113">
        <v>4734</v>
      </c>
      <c r="D31" s="75">
        <v>5897</v>
      </c>
      <c r="E31" s="113">
        <v>6196</v>
      </c>
      <c r="F31" s="75">
        <v>5941</v>
      </c>
      <c r="G31" s="113">
        <v>3791</v>
      </c>
      <c r="H31" s="75">
        <v>0</v>
      </c>
      <c r="I31" s="113">
        <v>31896</v>
      </c>
    </row>
    <row r="32" spans="1:9" ht="20" customHeight="1" thickBot="1">
      <c r="A32" s="302" t="s">
        <v>102</v>
      </c>
      <c r="B32" s="75">
        <v>10814</v>
      </c>
      <c r="C32" s="113">
        <v>48252</v>
      </c>
      <c r="D32" s="75">
        <v>16615</v>
      </c>
      <c r="E32" s="113">
        <v>10002</v>
      </c>
      <c r="F32" s="75">
        <v>15402</v>
      </c>
      <c r="G32" s="113">
        <v>13568</v>
      </c>
      <c r="H32" s="75">
        <v>268</v>
      </c>
      <c r="I32" s="113">
        <v>114921</v>
      </c>
    </row>
    <row r="33" spans="1:9" ht="20" customHeight="1" thickBot="1">
      <c r="A33" s="302" t="s">
        <v>103</v>
      </c>
      <c r="B33" s="75">
        <v>3294</v>
      </c>
      <c r="C33" s="113">
        <v>2544</v>
      </c>
      <c r="D33" s="75">
        <v>3187</v>
      </c>
      <c r="E33" s="113">
        <v>1800</v>
      </c>
      <c r="F33" s="75">
        <v>1949</v>
      </c>
      <c r="G33" s="113">
        <v>878</v>
      </c>
      <c r="H33" s="75">
        <v>0</v>
      </c>
      <c r="I33" s="113">
        <v>13652</v>
      </c>
    </row>
    <row r="34" spans="1:9" ht="30" customHeight="1" thickBot="1">
      <c r="A34" s="333" t="s">
        <v>104</v>
      </c>
      <c r="B34" s="344">
        <v>148828.15</v>
      </c>
      <c r="C34" s="333">
        <v>308644.7</v>
      </c>
      <c r="D34" s="344">
        <v>370115.25</v>
      </c>
      <c r="E34" s="333">
        <v>234800.4</v>
      </c>
      <c r="F34" s="344">
        <v>118251.35</v>
      </c>
      <c r="G34" s="333">
        <v>101829.2</v>
      </c>
      <c r="H34" s="344">
        <v>4896</v>
      </c>
      <c r="I34" s="333">
        <v>1287365.05</v>
      </c>
    </row>
    <row r="35" spans="1:9" ht="20" customHeight="1">
      <c r="A35" s="308" t="s">
        <v>624</v>
      </c>
      <c r="B35" s="309"/>
      <c r="C35" s="309"/>
      <c r="D35" s="309"/>
      <c r="E35" s="309"/>
      <c r="F35" s="309"/>
      <c r="G35" s="309"/>
      <c r="H35" s="309"/>
      <c r="I35" s="309"/>
    </row>
    <row r="36" spans="1:9" ht="14.25" customHeight="1">
      <c r="A36" s="310"/>
      <c r="B36" s="311"/>
      <c r="C36" s="311"/>
      <c r="D36" s="311"/>
      <c r="E36" s="311"/>
      <c r="F36" s="311"/>
      <c r="G36" s="311"/>
      <c r="H36" s="311"/>
      <c r="I36" s="311"/>
    </row>
    <row r="37" spans="1:9" ht="20" customHeight="1">
      <c r="A37" s="310" t="s">
        <v>1559</v>
      </c>
      <c r="B37" s="311"/>
      <c r="C37" s="311"/>
      <c r="D37" s="311"/>
      <c r="E37" s="311"/>
      <c r="F37" s="311"/>
      <c r="G37" s="311"/>
      <c r="H37" s="311"/>
      <c r="I37" s="311"/>
    </row>
    <row r="38" spans="1:9" ht="13.5" customHeight="1">
      <c r="A38" s="310"/>
      <c r="B38" s="311"/>
      <c r="C38" s="311"/>
      <c r="D38" s="311"/>
      <c r="E38" s="311"/>
      <c r="F38" s="311"/>
      <c r="G38" s="311"/>
      <c r="H38" s="311"/>
      <c r="I38" s="311"/>
    </row>
    <row r="39" spans="1:9" ht="11.25" customHeight="1">
      <c r="A39" s="37" t="s">
        <v>1560</v>
      </c>
      <c r="B39" s="311"/>
      <c r="C39" s="311"/>
      <c r="D39" s="311"/>
      <c r="E39" s="311"/>
      <c r="F39" s="311"/>
      <c r="G39" s="311"/>
      <c r="H39" s="311"/>
      <c r="I39" s="311"/>
    </row>
    <row r="40" spans="1:9" ht="11.25" customHeight="1">
      <c r="A40" s="37"/>
      <c r="B40" s="311"/>
      <c r="C40" s="311"/>
      <c r="D40" s="311"/>
      <c r="E40" s="311"/>
      <c r="F40" s="311"/>
      <c r="G40" s="311"/>
      <c r="H40" s="311"/>
      <c r="I40" s="311"/>
    </row>
    <row r="41" spans="1:9" ht="11.25" customHeight="1">
      <c r="A41" s="37"/>
      <c r="B41" s="311"/>
      <c r="C41" s="311"/>
      <c r="D41" s="311"/>
      <c r="E41" s="311"/>
      <c r="F41" s="311"/>
      <c r="G41" s="311"/>
      <c r="H41" s="311"/>
      <c r="I41" s="311"/>
    </row>
    <row r="42" spans="1:9">
      <c r="A42" s="353" t="s">
        <v>256</v>
      </c>
    </row>
  </sheetData>
  <phoneticPr fontId="0" type="noConversion"/>
  <pageMargins left="0.6" right="0.69" top="0.83" bottom="0.49" header="0.51" footer="0.4921259845"/>
  <pageSetup paperSize="9" scale="82" orientation="portrait" horizontalDpi="4294967292" verticalDpi="4294967292"/>
  <headerFooter alignWithMargins="0">
    <oddHeader>&amp;L&amp;"Arial,Bold"Prämienverbilligung in der OKP</oddHead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4FEFA-A2F8-B645-AE1E-3456EA59F9D8}">
  <sheetPr>
    <pageSetUpPr fitToPage="1"/>
  </sheetPr>
  <dimension ref="A1:I42"/>
  <sheetViews>
    <sheetView zoomScale="75" workbookViewId="0">
      <selection sqref="A1:I51"/>
    </sheetView>
  </sheetViews>
  <sheetFormatPr baseColWidth="10" defaultColWidth="11.3984375" defaultRowHeight="13"/>
  <cols>
    <col min="1" max="9" width="13.3984375" style="3" customWidth="1"/>
    <col min="10" max="10" width="16.19921875" style="3" customWidth="1"/>
    <col min="11" max="16384" width="11.3984375" style="3"/>
  </cols>
  <sheetData>
    <row r="1" spans="1:9" s="1" customFormat="1" ht="14" customHeight="1"/>
    <row r="2" spans="1:9" s="1" customFormat="1" ht="28" customHeight="1">
      <c r="A2" s="59" t="s">
        <v>1543</v>
      </c>
      <c r="I2" s="321">
        <v>2003</v>
      </c>
    </row>
    <row r="3" spans="1:9" ht="24" customHeight="1">
      <c r="A3" s="2" t="s">
        <v>70</v>
      </c>
      <c r="B3" s="85"/>
      <c r="C3" s="16"/>
      <c r="D3" s="85" t="s">
        <v>1532</v>
      </c>
      <c r="E3" s="2"/>
      <c r="F3" s="85"/>
      <c r="G3" s="16"/>
      <c r="H3" s="85"/>
      <c r="I3" s="16"/>
    </row>
    <row r="4" spans="1:9" ht="15" customHeight="1">
      <c r="A4" s="77"/>
      <c r="B4" s="347" t="s">
        <v>1533</v>
      </c>
      <c r="C4" s="61"/>
      <c r="D4" s="14"/>
      <c r="E4" s="61"/>
      <c r="F4" s="348" t="s">
        <v>1534</v>
      </c>
      <c r="G4" s="61"/>
      <c r="H4" s="14"/>
      <c r="I4" s="17"/>
    </row>
    <row r="5" spans="1:9" ht="15" customHeight="1">
      <c r="A5" s="77"/>
      <c r="B5" s="70" t="s">
        <v>1535</v>
      </c>
      <c r="C5" s="17" t="s">
        <v>1536</v>
      </c>
      <c r="D5" s="70" t="s">
        <v>1537</v>
      </c>
      <c r="E5" s="17" t="s">
        <v>1538</v>
      </c>
      <c r="F5" s="14" t="s">
        <v>1535</v>
      </c>
      <c r="G5" s="61" t="s">
        <v>1536</v>
      </c>
      <c r="H5" s="14" t="s">
        <v>1537</v>
      </c>
      <c r="I5" s="17" t="s">
        <v>1538</v>
      </c>
    </row>
    <row r="6" spans="1:9" ht="31" customHeight="1">
      <c r="A6" s="78"/>
      <c r="B6" s="73" t="s">
        <v>71</v>
      </c>
      <c r="C6" s="18"/>
      <c r="D6" s="73"/>
      <c r="E6" s="18"/>
      <c r="F6" s="15" t="s">
        <v>71</v>
      </c>
      <c r="G6" s="62"/>
      <c r="H6" s="15"/>
      <c r="I6" s="18"/>
    </row>
    <row r="7" spans="1:9" ht="30" customHeight="1" thickBot="1">
      <c r="A7" s="349" t="s">
        <v>78</v>
      </c>
      <c r="B7" s="74">
        <v>36000</v>
      </c>
      <c r="C7" s="106">
        <v>47500</v>
      </c>
      <c r="D7" s="74">
        <v>47500</v>
      </c>
      <c r="E7" s="106">
        <v>47500</v>
      </c>
      <c r="F7" s="74">
        <v>47500</v>
      </c>
      <c r="G7" s="106">
        <v>47500</v>
      </c>
      <c r="H7" s="74">
        <v>47500</v>
      </c>
      <c r="I7" s="106">
        <v>47500</v>
      </c>
    </row>
    <row r="8" spans="1:9" ht="20" customHeight="1" thickBot="1">
      <c r="A8" s="302" t="s">
        <v>79</v>
      </c>
      <c r="B8" s="75">
        <v>35200</v>
      </c>
      <c r="C8" s="113">
        <v>47200</v>
      </c>
      <c r="D8" s="75">
        <v>55700</v>
      </c>
      <c r="E8" s="113">
        <v>64200</v>
      </c>
      <c r="F8" s="75">
        <v>47000</v>
      </c>
      <c r="G8" s="113">
        <v>55500</v>
      </c>
      <c r="H8" s="75">
        <v>64500</v>
      </c>
      <c r="I8" s="113">
        <v>72500</v>
      </c>
    </row>
    <row r="9" spans="1:9" ht="20" customHeight="1" thickBot="1">
      <c r="A9" s="302" t="s">
        <v>80</v>
      </c>
      <c r="B9" s="75">
        <v>29500</v>
      </c>
      <c r="C9" s="113">
        <v>37300</v>
      </c>
      <c r="D9" s="75">
        <v>45100</v>
      </c>
      <c r="E9" s="113">
        <v>52900</v>
      </c>
      <c r="F9" s="75">
        <v>59700</v>
      </c>
      <c r="G9" s="113">
        <v>67500</v>
      </c>
      <c r="H9" s="75">
        <v>75300</v>
      </c>
      <c r="I9" s="113">
        <v>83100</v>
      </c>
    </row>
    <row r="10" spans="1:9" ht="20" customHeight="1" thickBot="1">
      <c r="A10" s="302" t="s">
        <v>81</v>
      </c>
      <c r="B10" s="75">
        <v>25600</v>
      </c>
      <c r="C10" s="113">
        <v>32600</v>
      </c>
      <c r="D10" s="75">
        <v>39600</v>
      </c>
      <c r="E10" s="113">
        <v>46600</v>
      </c>
      <c r="F10" s="75">
        <v>52300</v>
      </c>
      <c r="G10" s="113">
        <v>59300</v>
      </c>
      <c r="H10" s="75">
        <v>60000</v>
      </c>
      <c r="I10" s="113">
        <v>60000</v>
      </c>
    </row>
    <row r="11" spans="1:9" ht="20" customHeight="1" thickBot="1">
      <c r="A11" s="302" t="s">
        <v>82</v>
      </c>
      <c r="B11" s="75">
        <v>25680</v>
      </c>
      <c r="C11" s="113">
        <v>45192</v>
      </c>
      <c r="D11" s="75">
        <v>64152</v>
      </c>
      <c r="E11" s="113">
        <v>79590</v>
      </c>
      <c r="F11" s="75">
        <v>69336</v>
      </c>
      <c r="G11" s="113">
        <v>98532</v>
      </c>
      <c r="H11" s="75">
        <v>125892</v>
      </c>
      <c r="I11" s="113">
        <v>145878</v>
      </c>
    </row>
    <row r="12" spans="1:9" ht="20" customHeight="1" thickBot="1">
      <c r="A12" s="302" t="s">
        <v>83</v>
      </c>
      <c r="B12" s="75">
        <v>31100</v>
      </c>
      <c r="C12" s="113">
        <v>39700</v>
      </c>
      <c r="D12" s="75">
        <v>48200</v>
      </c>
      <c r="E12" s="113">
        <v>56800</v>
      </c>
      <c r="F12" s="75">
        <v>63700</v>
      </c>
      <c r="G12" s="113">
        <v>72200</v>
      </c>
      <c r="H12" s="75">
        <v>80800</v>
      </c>
      <c r="I12" s="113">
        <v>89400</v>
      </c>
    </row>
    <row r="13" spans="1:9" ht="20" customHeight="1" thickBot="1">
      <c r="A13" s="302" t="s">
        <v>84</v>
      </c>
      <c r="B13" s="75">
        <v>32000</v>
      </c>
      <c r="C13" s="113">
        <v>40600</v>
      </c>
      <c r="D13" s="75">
        <v>49200</v>
      </c>
      <c r="E13" s="113">
        <v>57800</v>
      </c>
      <c r="F13" s="75">
        <v>64000</v>
      </c>
      <c r="G13" s="113">
        <v>72600</v>
      </c>
      <c r="H13" s="75">
        <v>81200</v>
      </c>
      <c r="I13" s="113">
        <v>89800</v>
      </c>
    </row>
    <row r="14" spans="1:9" ht="20" customHeight="1" thickBot="1">
      <c r="A14" s="302" t="s">
        <v>85</v>
      </c>
      <c r="B14" s="75">
        <v>50000</v>
      </c>
      <c r="C14" s="113">
        <v>54200</v>
      </c>
      <c r="D14" s="75">
        <v>60000</v>
      </c>
      <c r="E14" s="113">
        <v>66000</v>
      </c>
      <c r="F14" s="75">
        <v>70000</v>
      </c>
      <c r="G14" s="113">
        <v>72750</v>
      </c>
      <c r="H14" s="75">
        <v>80000</v>
      </c>
      <c r="I14" s="113">
        <v>80000</v>
      </c>
    </row>
    <row r="15" spans="1:9" ht="20" customHeight="1" thickBot="1">
      <c r="A15" s="302" t="s">
        <v>86</v>
      </c>
      <c r="B15" s="75">
        <v>32900</v>
      </c>
      <c r="C15" s="113">
        <v>49700</v>
      </c>
      <c r="D15" s="75">
        <v>66500</v>
      </c>
      <c r="E15" s="113">
        <v>88300</v>
      </c>
      <c r="F15" s="75">
        <v>66500</v>
      </c>
      <c r="G15" s="113">
        <v>83300</v>
      </c>
      <c r="H15" s="75">
        <v>100100</v>
      </c>
      <c r="I15" s="113">
        <v>116900</v>
      </c>
    </row>
    <row r="16" spans="1:9" ht="20" customHeight="1" thickBot="1">
      <c r="A16" s="302" t="s">
        <v>87</v>
      </c>
      <c r="B16" s="75">
        <v>36800</v>
      </c>
      <c r="C16" s="113">
        <v>54700</v>
      </c>
      <c r="D16" s="75">
        <v>64200</v>
      </c>
      <c r="E16" s="113">
        <v>73700</v>
      </c>
      <c r="F16" s="75">
        <v>54600</v>
      </c>
      <c r="G16" s="113">
        <v>64100</v>
      </c>
      <c r="H16" s="75">
        <v>73600</v>
      </c>
      <c r="I16" s="113">
        <v>83100</v>
      </c>
    </row>
    <row r="17" spans="1:9" ht="20" customHeight="1" thickBot="1">
      <c r="A17" s="302" t="s">
        <v>88</v>
      </c>
      <c r="B17" s="75">
        <v>27900</v>
      </c>
      <c r="C17" s="113">
        <v>39100</v>
      </c>
      <c r="D17" s="75">
        <v>51300</v>
      </c>
      <c r="E17" s="113">
        <v>62500</v>
      </c>
      <c r="F17" s="75">
        <v>48900</v>
      </c>
      <c r="G17" s="113">
        <v>59100</v>
      </c>
      <c r="H17" s="75">
        <v>69300</v>
      </c>
      <c r="I17" s="113">
        <v>79500</v>
      </c>
    </row>
    <row r="18" spans="1:9" ht="20" customHeight="1" thickBot="1">
      <c r="A18" s="302" t="s">
        <v>89</v>
      </c>
      <c r="B18" s="75">
        <v>39000</v>
      </c>
      <c r="C18" s="113">
        <v>74000</v>
      </c>
      <c r="D18" s="75">
        <v>82000</v>
      </c>
      <c r="E18" s="113">
        <v>88000</v>
      </c>
      <c r="F18" s="75">
        <v>64000</v>
      </c>
      <c r="G18" s="113">
        <v>74000</v>
      </c>
      <c r="H18" s="75">
        <v>82000</v>
      </c>
      <c r="I18" s="113">
        <v>88000</v>
      </c>
    </row>
    <row r="19" spans="1:9" ht="20" customHeight="1" thickBot="1">
      <c r="A19" s="302" t="s">
        <v>90</v>
      </c>
      <c r="B19" s="29">
        <v>30736</v>
      </c>
      <c r="C19" s="116">
        <v>43216</v>
      </c>
      <c r="D19" s="75">
        <v>55216</v>
      </c>
      <c r="E19" s="113">
        <v>68176</v>
      </c>
      <c r="F19" s="29">
        <v>63376</v>
      </c>
      <c r="G19" s="116">
        <v>75856</v>
      </c>
      <c r="H19" s="29">
        <v>88336</v>
      </c>
      <c r="I19" s="113">
        <v>100816</v>
      </c>
    </row>
    <row r="20" spans="1:9" ht="20" customHeight="1" thickBot="1">
      <c r="A20" s="302" t="s">
        <v>91</v>
      </c>
      <c r="B20" s="75">
        <v>25800</v>
      </c>
      <c r="C20" s="113">
        <v>31800</v>
      </c>
      <c r="D20" s="75">
        <v>37800</v>
      </c>
      <c r="E20" s="113">
        <v>43800</v>
      </c>
      <c r="F20" s="75">
        <v>45800</v>
      </c>
      <c r="G20" s="113">
        <v>51800</v>
      </c>
      <c r="H20" s="75">
        <v>57800</v>
      </c>
      <c r="I20" s="113">
        <v>63800</v>
      </c>
    </row>
    <row r="21" spans="1:9" ht="20" customHeight="1" thickBot="1">
      <c r="A21" s="302" t="s">
        <v>92</v>
      </c>
      <c r="B21" s="75">
        <v>23463</v>
      </c>
      <c r="C21" s="113">
        <v>30574</v>
      </c>
      <c r="D21" s="75">
        <v>37684</v>
      </c>
      <c r="E21" s="113">
        <v>44795</v>
      </c>
      <c r="F21" s="75">
        <v>38303</v>
      </c>
      <c r="G21" s="113">
        <v>45413</v>
      </c>
      <c r="H21" s="75">
        <v>52524</v>
      </c>
      <c r="I21" s="113">
        <v>59634</v>
      </c>
    </row>
    <row r="22" spans="1:9" ht="20" customHeight="1" thickBot="1">
      <c r="A22" s="302" t="s">
        <v>93</v>
      </c>
      <c r="B22" s="75">
        <v>29900</v>
      </c>
      <c r="C22" s="113">
        <v>37600</v>
      </c>
      <c r="D22" s="75">
        <v>45300</v>
      </c>
      <c r="E22" s="113">
        <v>53000</v>
      </c>
      <c r="F22" s="75">
        <v>59700</v>
      </c>
      <c r="G22" s="113">
        <v>67400</v>
      </c>
      <c r="H22" s="75">
        <v>75100</v>
      </c>
      <c r="I22" s="113">
        <v>82800</v>
      </c>
    </row>
    <row r="23" spans="1:9" ht="20" customHeight="1" thickBot="1">
      <c r="A23" s="302" t="s">
        <v>94</v>
      </c>
      <c r="B23" s="75">
        <v>23750</v>
      </c>
      <c r="C23" s="113">
        <v>34866</v>
      </c>
      <c r="D23" s="75">
        <v>48622</v>
      </c>
      <c r="E23" s="113">
        <v>62377</v>
      </c>
      <c r="F23" s="75">
        <v>47500</v>
      </c>
      <c r="G23" s="113">
        <v>55977</v>
      </c>
      <c r="H23" s="75">
        <v>69733</v>
      </c>
      <c r="I23" s="113">
        <v>83488</v>
      </c>
    </row>
    <row r="24" spans="1:9" ht="20" customHeight="1" thickBot="1">
      <c r="A24" s="302" t="s">
        <v>95</v>
      </c>
      <c r="B24" s="75">
        <v>32000</v>
      </c>
      <c r="C24" s="113">
        <v>40000</v>
      </c>
      <c r="D24" s="75">
        <v>43000</v>
      </c>
      <c r="E24" s="113">
        <v>50000</v>
      </c>
      <c r="F24" s="75">
        <v>51000</v>
      </c>
      <c r="G24" s="113">
        <v>58000</v>
      </c>
      <c r="H24" s="75">
        <v>65000</v>
      </c>
      <c r="I24" s="113">
        <v>71000</v>
      </c>
    </row>
    <row r="25" spans="1:9" ht="20" customHeight="1" thickBot="1">
      <c r="A25" s="302" t="s">
        <v>96</v>
      </c>
      <c r="B25" s="75">
        <v>26500</v>
      </c>
      <c r="C25" s="113">
        <v>35400</v>
      </c>
      <c r="D25" s="75">
        <v>44300</v>
      </c>
      <c r="E25" s="113">
        <v>53200</v>
      </c>
      <c r="F25" s="75">
        <v>54300</v>
      </c>
      <c r="G25" s="113">
        <v>63200</v>
      </c>
      <c r="H25" s="75">
        <v>72100</v>
      </c>
      <c r="I25" s="113">
        <v>81000</v>
      </c>
    </row>
    <row r="26" spans="1:9" ht="20" customHeight="1" thickBot="1">
      <c r="A26" s="302" t="s">
        <v>97</v>
      </c>
      <c r="B26" s="75">
        <v>29800</v>
      </c>
      <c r="C26" s="113">
        <v>29800</v>
      </c>
      <c r="D26" s="75">
        <v>29800</v>
      </c>
      <c r="E26" s="113">
        <v>29800</v>
      </c>
      <c r="F26" s="75">
        <v>34800</v>
      </c>
      <c r="G26" s="113">
        <v>34800</v>
      </c>
      <c r="H26" s="75">
        <v>34800</v>
      </c>
      <c r="I26" s="113">
        <v>34800</v>
      </c>
    </row>
    <row r="27" spans="1:9" ht="20" customHeight="1" thickBot="1">
      <c r="A27" s="302" t="s">
        <v>98</v>
      </c>
      <c r="B27" s="75">
        <v>22000</v>
      </c>
      <c r="C27" s="113">
        <v>34000</v>
      </c>
      <c r="D27" s="75">
        <v>39000</v>
      </c>
      <c r="E27" s="113">
        <v>65000</v>
      </c>
      <c r="F27" s="75">
        <v>34000</v>
      </c>
      <c r="G27" s="113">
        <v>34000</v>
      </c>
      <c r="H27" s="75">
        <v>39000</v>
      </c>
      <c r="I27" s="113">
        <v>65000</v>
      </c>
    </row>
    <row r="28" spans="1:9" ht="20" customHeight="1" thickBot="1">
      <c r="A28" s="302" t="s">
        <v>99</v>
      </c>
      <c r="B28" s="75">
        <v>30000</v>
      </c>
      <c r="C28" s="113">
        <v>52000</v>
      </c>
      <c r="D28" s="75">
        <v>59000</v>
      </c>
      <c r="E28" s="113">
        <v>66000</v>
      </c>
      <c r="F28" s="75">
        <v>45000</v>
      </c>
      <c r="G28" s="113">
        <v>52000</v>
      </c>
      <c r="H28" s="75">
        <v>59000</v>
      </c>
      <c r="I28" s="113">
        <v>66000</v>
      </c>
    </row>
    <row r="29" spans="1:9" ht="20" customHeight="1" thickBot="1">
      <c r="A29" s="302" t="s">
        <v>100</v>
      </c>
      <c r="B29" s="75">
        <v>29500</v>
      </c>
      <c r="C29" s="113">
        <v>50825</v>
      </c>
      <c r="D29" s="75">
        <v>61825</v>
      </c>
      <c r="E29" s="113">
        <v>72825</v>
      </c>
      <c r="F29" s="75">
        <v>44250</v>
      </c>
      <c r="G29" s="113">
        <v>50250</v>
      </c>
      <c r="H29" s="75">
        <v>66250</v>
      </c>
      <c r="I29" s="113">
        <v>77250</v>
      </c>
    </row>
    <row r="30" spans="1:9" ht="20" customHeight="1" thickBot="1">
      <c r="A30" s="302" t="s">
        <v>101</v>
      </c>
      <c r="B30" s="75">
        <v>40000</v>
      </c>
      <c r="C30" s="113">
        <v>49000</v>
      </c>
      <c r="D30" s="75">
        <v>58000</v>
      </c>
      <c r="E30" s="113">
        <v>67000</v>
      </c>
      <c r="F30" s="75">
        <v>59000</v>
      </c>
      <c r="G30" s="113">
        <v>68000</v>
      </c>
      <c r="H30" s="75">
        <v>77000</v>
      </c>
      <c r="I30" s="113">
        <v>86000</v>
      </c>
    </row>
    <row r="31" spans="1:9" ht="20" customHeight="1" thickBot="1">
      <c r="A31" s="302" t="s">
        <v>102</v>
      </c>
      <c r="B31" s="75">
        <v>35000</v>
      </c>
      <c r="C31" s="113">
        <v>56000</v>
      </c>
      <c r="D31" s="75">
        <v>62000</v>
      </c>
      <c r="E31" s="113">
        <v>68000</v>
      </c>
      <c r="F31" s="75">
        <v>50000</v>
      </c>
      <c r="G31" s="113">
        <v>56000</v>
      </c>
      <c r="H31" s="75">
        <v>62000</v>
      </c>
      <c r="I31" s="113">
        <v>68000</v>
      </c>
    </row>
    <row r="32" spans="1:9" ht="23.25" customHeight="1" thickBot="1">
      <c r="A32" s="350" t="s">
        <v>103</v>
      </c>
      <c r="B32" s="351">
        <v>33000</v>
      </c>
      <c r="C32" s="352">
        <v>47000</v>
      </c>
      <c r="D32" s="351">
        <v>51000</v>
      </c>
      <c r="E32" s="352">
        <v>57000</v>
      </c>
      <c r="F32" s="351">
        <v>38000</v>
      </c>
      <c r="G32" s="352">
        <v>47000</v>
      </c>
      <c r="H32" s="351">
        <v>51000</v>
      </c>
      <c r="I32" s="352">
        <v>57000</v>
      </c>
    </row>
    <row r="33" spans="1:9" ht="17.25" customHeight="1">
      <c r="A33" s="310" t="s">
        <v>624</v>
      </c>
      <c r="B33" s="311"/>
      <c r="C33" s="311"/>
      <c r="D33" s="311"/>
      <c r="E33" s="311"/>
      <c r="F33" s="311"/>
      <c r="G33" s="311"/>
      <c r="H33" s="311"/>
      <c r="I33" s="311"/>
    </row>
    <row r="34" spans="1:9" ht="12" customHeight="1">
      <c r="A34" s="310"/>
      <c r="B34" s="311"/>
      <c r="C34" s="311"/>
      <c r="D34" s="311"/>
      <c r="E34" s="311"/>
      <c r="F34" s="311"/>
      <c r="G34" s="311"/>
      <c r="H34" s="311"/>
      <c r="I34" s="311"/>
    </row>
    <row r="35" spans="1:9" ht="17.25" customHeight="1">
      <c r="A35" s="310" t="s">
        <v>1539</v>
      </c>
      <c r="B35" s="311"/>
      <c r="C35" s="311"/>
      <c r="D35" s="311"/>
      <c r="E35" s="311"/>
      <c r="F35" s="311"/>
      <c r="G35" s="311"/>
      <c r="H35" s="311"/>
      <c r="I35" s="311"/>
    </row>
    <row r="36" spans="1:9" ht="12" customHeight="1">
      <c r="A36" s="310"/>
      <c r="B36" s="311"/>
      <c r="C36" s="311"/>
      <c r="D36" s="311"/>
      <c r="E36" s="311"/>
      <c r="F36" s="311"/>
      <c r="G36" s="311"/>
      <c r="H36" s="311"/>
      <c r="I36" s="311"/>
    </row>
    <row r="37" spans="1:9" ht="12" customHeight="1">
      <c r="A37" s="310" t="s">
        <v>1540</v>
      </c>
      <c r="B37" s="311"/>
      <c r="C37" s="311"/>
      <c r="D37" s="311"/>
      <c r="E37" s="311"/>
      <c r="F37" s="311"/>
      <c r="G37" s="311"/>
      <c r="H37" s="311"/>
      <c r="I37" s="311"/>
    </row>
    <row r="38" spans="1:9" ht="14.25" customHeight="1">
      <c r="A38" s="37" t="s">
        <v>1541</v>
      </c>
      <c r="B38" s="311"/>
      <c r="C38" s="311"/>
      <c r="D38" s="311"/>
      <c r="E38" s="311"/>
      <c r="F38" s="311"/>
      <c r="G38" s="311"/>
      <c r="H38" s="311"/>
      <c r="I38" s="311"/>
    </row>
    <row r="39" spans="1:9">
      <c r="A39" s="353" t="s">
        <v>1542</v>
      </c>
    </row>
    <row r="40" spans="1:9">
      <c r="A40" s="353"/>
    </row>
    <row r="42" spans="1:9">
      <c r="A42" s="3" t="s">
        <v>256</v>
      </c>
    </row>
  </sheetData>
  <phoneticPr fontId="0" type="noConversion"/>
  <pageMargins left="0.57999999999999996" right="0.59" top="0.78" bottom="0.49" header="0.4" footer="0.4921259845"/>
  <pageSetup paperSize="9" scale="76" orientation="portrait" horizontalDpi="4294967292" verticalDpi="4294967292"/>
  <headerFooter alignWithMargins="0">
    <oddHeader>&amp;L&amp;"Arial,Bold"Prämienverbilligung in der OKP</oddHead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EF4BC-1827-6E4E-A4BE-5F9F0D8AD527}">
  <sheetPr>
    <pageSetUpPr fitToPage="1"/>
  </sheetPr>
  <dimension ref="A1:L28"/>
  <sheetViews>
    <sheetView zoomScale="75" workbookViewId="0"/>
  </sheetViews>
  <sheetFormatPr baseColWidth="10" defaultColWidth="11.3984375" defaultRowHeight="13"/>
  <cols>
    <col min="1" max="3" width="12.3984375" style="3" customWidth="1"/>
    <col min="4" max="4" width="12.796875" style="3" customWidth="1"/>
    <col min="5" max="5" width="13.19921875" style="3" customWidth="1"/>
    <col min="6" max="6" width="12.3984375" style="3" customWidth="1"/>
    <col min="7" max="7" width="13.19921875" style="3" customWidth="1"/>
    <col min="8" max="8" width="12.3984375" style="460" customWidth="1"/>
    <col min="9" max="16384" width="11.3984375" style="3"/>
  </cols>
  <sheetData>
    <row r="1" spans="1:12" s="1" customFormat="1" ht="14" customHeight="1">
      <c r="H1" s="440"/>
    </row>
    <row r="2" spans="1:12" s="1" customFormat="1" ht="28" customHeight="1">
      <c r="A2" s="76" t="s">
        <v>1590</v>
      </c>
      <c r="B2" s="76"/>
      <c r="H2" s="321">
        <v>2003</v>
      </c>
    </row>
    <row r="3" spans="1:12" ht="24" customHeight="1">
      <c r="A3" s="2" t="s">
        <v>1591</v>
      </c>
      <c r="B3" s="69" t="s">
        <v>1592</v>
      </c>
      <c r="C3" s="16" t="s">
        <v>24</v>
      </c>
      <c r="D3" s="69" t="s">
        <v>1593</v>
      </c>
      <c r="E3" s="16" t="s">
        <v>1463</v>
      </c>
      <c r="F3" s="69" t="s">
        <v>24</v>
      </c>
      <c r="G3" s="16" t="s">
        <v>1594</v>
      </c>
      <c r="H3" s="441" t="s">
        <v>24</v>
      </c>
    </row>
    <row r="4" spans="1:12" ht="15" customHeight="1">
      <c r="A4" s="77"/>
      <c r="B4" s="70" t="s">
        <v>8</v>
      </c>
      <c r="C4" s="17" t="s">
        <v>25</v>
      </c>
      <c r="D4" s="70" t="s">
        <v>9</v>
      </c>
      <c r="E4" s="17" t="s">
        <v>1595</v>
      </c>
      <c r="F4" s="70" t="s">
        <v>25</v>
      </c>
      <c r="G4" s="17" t="s">
        <v>1596</v>
      </c>
      <c r="H4" s="442" t="s">
        <v>25</v>
      </c>
    </row>
    <row r="5" spans="1:12" ht="15" customHeight="1">
      <c r="A5" s="77"/>
      <c r="B5" s="70" t="s">
        <v>345</v>
      </c>
      <c r="C5" s="17" t="s">
        <v>26</v>
      </c>
      <c r="D5" s="70" t="s">
        <v>1597</v>
      </c>
      <c r="E5" s="17" t="s">
        <v>10</v>
      </c>
      <c r="F5" s="70" t="s">
        <v>26</v>
      </c>
      <c r="G5" s="17" t="s">
        <v>11</v>
      </c>
      <c r="H5" s="442" t="s">
        <v>26</v>
      </c>
    </row>
    <row r="6" spans="1:12" ht="24" customHeight="1">
      <c r="A6" s="78"/>
      <c r="B6" s="73"/>
      <c r="C6" s="18"/>
      <c r="D6" s="73" t="s">
        <v>1598</v>
      </c>
      <c r="E6" s="18" t="s">
        <v>345</v>
      </c>
      <c r="F6" s="73"/>
      <c r="G6" s="18" t="s">
        <v>345</v>
      </c>
      <c r="H6" s="443"/>
    </row>
    <row r="7" spans="1:12" ht="30" customHeight="1" thickBot="1">
      <c r="A7" s="79">
        <v>1996</v>
      </c>
      <c r="B7" s="444">
        <v>2470.5</v>
      </c>
      <c r="C7" s="445" t="s">
        <v>258</v>
      </c>
      <c r="D7" s="301">
        <v>0.26510074357417535</v>
      </c>
      <c r="E7" s="445">
        <v>1815.5686129999999</v>
      </c>
      <c r="F7" s="446" t="s">
        <v>258</v>
      </c>
      <c r="G7" s="445">
        <v>1493.4959349999999</v>
      </c>
      <c r="H7" s="301" t="s">
        <v>258</v>
      </c>
      <c r="J7" s="43"/>
      <c r="K7" s="43"/>
      <c r="L7" s="43"/>
    </row>
    <row r="8" spans="1:12" ht="20" customHeight="1" thickBot="1">
      <c r="A8" s="80">
        <v>1997</v>
      </c>
      <c r="B8" s="447">
        <v>2716.0039999999999</v>
      </c>
      <c r="C8" s="25">
        <v>9.9374215745800409E-2</v>
      </c>
      <c r="D8" s="381">
        <v>0.23152856917736497</v>
      </c>
      <c r="E8" s="88">
        <v>2087.17148</v>
      </c>
      <c r="F8" s="381">
        <v>0.14959658646621474</v>
      </c>
      <c r="G8" s="88">
        <v>1994.2314670000001</v>
      </c>
      <c r="H8" s="381">
        <v>0.33527746561961697</v>
      </c>
    </row>
    <row r="9" spans="1:12" ht="20" customHeight="1" thickBot="1">
      <c r="A9" s="80">
        <v>1998</v>
      </c>
      <c r="B9" s="447">
        <v>2972.5</v>
      </c>
      <c r="C9" s="25">
        <v>9.4438741621882774E-2</v>
      </c>
      <c r="D9" s="381">
        <v>0.23858957510513035</v>
      </c>
      <c r="E9" s="88">
        <v>2263.292488</v>
      </c>
      <c r="F9" s="381">
        <v>8.4382624852654686E-2</v>
      </c>
      <c r="G9" s="88">
        <v>2446.4709480000001</v>
      </c>
      <c r="H9" s="381">
        <v>0.22677381662236104</v>
      </c>
    </row>
    <row r="10" spans="1:12" ht="20" customHeight="1" thickBot="1">
      <c r="A10" s="80">
        <v>1999</v>
      </c>
      <c r="B10" s="447">
        <v>3270</v>
      </c>
      <c r="C10" s="25">
        <v>0.10008410428931876</v>
      </c>
      <c r="D10" s="381">
        <v>0.24261539724770631</v>
      </c>
      <c r="E10" s="88">
        <v>2476.6476510000002</v>
      </c>
      <c r="F10" s="381">
        <v>9.4267605327730042E-2</v>
      </c>
      <c r="G10" s="88">
        <v>2689.6721769999999</v>
      </c>
      <c r="H10" s="381">
        <v>9.9408999399243941E-2</v>
      </c>
    </row>
    <row r="11" spans="1:12" ht="20" customHeight="1" thickBot="1">
      <c r="A11" s="80">
        <v>2000</v>
      </c>
      <c r="B11" s="447">
        <v>3319.5</v>
      </c>
      <c r="C11" s="25">
        <v>1.5137614678899083E-2</v>
      </c>
      <c r="D11" s="381">
        <v>0.23698356288597677</v>
      </c>
      <c r="E11" s="88">
        <v>2532.833063</v>
      </c>
      <c r="F11" s="381">
        <v>2.2686074047438172E-2</v>
      </c>
      <c r="G11" s="88">
        <v>2545.3263492000001</v>
      </c>
      <c r="H11" s="381">
        <v>-5.3666699248456337E-2</v>
      </c>
    </row>
    <row r="12" spans="1:12" s="35" customFormat="1" ht="20" customHeight="1" thickBot="1">
      <c r="A12" s="80">
        <v>2001</v>
      </c>
      <c r="B12" s="447">
        <v>3369</v>
      </c>
      <c r="C12" s="25">
        <v>1.4911884319927699E-2</v>
      </c>
      <c r="D12" s="381">
        <v>0.20699731491831064</v>
      </c>
      <c r="E12" s="88">
        <v>2671.6260460402113</v>
      </c>
      <c r="F12" s="381">
        <v>5.4797524980118008E-2</v>
      </c>
      <c r="G12" s="88">
        <v>2657.2</v>
      </c>
      <c r="H12" s="381">
        <v>4.3952576389727702E-2</v>
      </c>
    </row>
    <row r="13" spans="1:12" ht="20" customHeight="1" thickBot="1">
      <c r="A13" s="80">
        <v>2002</v>
      </c>
      <c r="B13" s="447">
        <v>3420</v>
      </c>
      <c r="C13" s="25">
        <v>1.5138023152270703E-2</v>
      </c>
      <c r="D13" s="381">
        <v>0.16712682076023389</v>
      </c>
      <c r="E13" s="88">
        <v>2848.426273</v>
      </c>
      <c r="F13" s="381">
        <v>6.6177011270658809E-2</v>
      </c>
      <c r="G13" s="88">
        <v>2892</v>
      </c>
      <c r="H13" s="381">
        <v>8.83636911034172E-2</v>
      </c>
    </row>
    <row r="14" spans="1:12" s="35" customFormat="1" ht="21.75" customHeight="1" thickBot="1">
      <c r="A14" s="81">
        <v>2003</v>
      </c>
      <c r="B14" s="448">
        <v>3471</v>
      </c>
      <c r="C14" s="83">
        <v>1.4912280701754385E-2</v>
      </c>
      <c r="D14" s="449">
        <v>0.14690290982425813</v>
      </c>
      <c r="E14" s="450">
        <v>2961.1</v>
      </c>
      <c r="F14" s="449">
        <v>3.9556483546028531E-2</v>
      </c>
      <c r="G14" s="450">
        <v>3065.5</v>
      </c>
      <c r="H14" s="449">
        <v>5.9993084370677734E-2</v>
      </c>
    </row>
    <row r="15" spans="1:12" ht="21" customHeight="1" thickBot="1">
      <c r="A15" s="451">
        <v>2004</v>
      </c>
      <c r="B15" s="452">
        <v>3523.5</v>
      </c>
      <c r="C15" s="453">
        <v>1.512532411408816E-2</v>
      </c>
      <c r="D15" s="454">
        <v>0.14139350078047386</v>
      </c>
      <c r="E15" s="455">
        <v>3025.3</v>
      </c>
      <c r="F15" s="456">
        <v>2.1681132011752483E-2</v>
      </c>
      <c r="G15" s="455" t="s">
        <v>258</v>
      </c>
      <c r="H15" s="454" t="s">
        <v>258</v>
      </c>
    </row>
    <row r="16" spans="1:12" ht="20" customHeight="1">
      <c r="A16" s="457" t="s">
        <v>1605</v>
      </c>
      <c r="B16" s="9"/>
      <c r="C16" s="9"/>
      <c r="D16" s="9"/>
      <c r="E16" s="9"/>
      <c r="F16" s="9"/>
      <c r="G16" s="9"/>
      <c r="H16" s="458"/>
    </row>
    <row r="17" spans="1:8" ht="13.5" customHeight="1">
      <c r="A17" s="346"/>
      <c r="B17" s="37"/>
      <c r="C17" s="37"/>
      <c r="D17" s="37"/>
      <c r="E17" s="37"/>
      <c r="F17" s="37"/>
      <c r="G17" s="37"/>
      <c r="H17" s="459"/>
    </row>
    <row r="18" spans="1:8" ht="20" customHeight="1">
      <c r="A18" s="310" t="s">
        <v>1606</v>
      </c>
      <c r="B18" s="37"/>
      <c r="C18" s="37"/>
      <c r="D18" s="37"/>
      <c r="E18" s="37"/>
      <c r="F18" s="37"/>
      <c r="G18" s="37"/>
      <c r="H18" s="459"/>
    </row>
    <row r="19" spans="1:8" ht="12.75" customHeight="1">
      <c r="A19" s="346"/>
      <c r="B19" s="37"/>
      <c r="C19" s="37"/>
      <c r="D19" s="37"/>
      <c r="E19" s="37"/>
      <c r="F19" s="37"/>
      <c r="G19" s="37"/>
      <c r="H19" s="459"/>
    </row>
    <row r="20" spans="1:8" ht="14.25" customHeight="1">
      <c r="A20" s="346" t="s">
        <v>2</v>
      </c>
      <c r="B20" s="37"/>
      <c r="C20" s="37"/>
      <c r="D20" s="37"/>
      <c r="E20" s="37"/>
      <c r="F20" s="37"/>
      <c r="G20" s="37"/>
      <c r="H20" s="459"/>
    </row>
    <row r="21" spans="1:8" ht="12" customHeight="1">
      <c r="A21" s="353" t="s">
        <v>3</v>
      </c>
    </row>
    <row r="22" spans="1:8" ht="12" customHeight="1">
      <c r="A22" s="353" t="s">
        <v>4</v>
      </c>
    </row>
    <row r="23" spans="1:8">
      <c r="A23" s="353" t="s">
        <v>5</v>
      </c>
      <c r="B23" s="353"/>
    </row>
    <row r="24" spans="1:8">
      <c r="A24" s="353" t="s">
        <v>6</v>
      </c>
    </row>
    <row r="25" spans="1:8">
      <c r="A25" s="353" t="s">
        <v>7</v>
      </c>
    </row>
    <row r="28" spans="1:8">
      <c r="A28" s="3" t="s">
        <v>256</v>
      </c>
    </row>
  </sheetData>
  <phoneticPr fontId="0" type="noConversion"/>
  <pageMargins left="0.6" right="0.7" top="0.81" bottom="0.49" header="0.49" footer="0.4921259845"/>
  <pageSetup paperSize="9" scale="89" orientation="portrait" horizontalDpi="4294967292" verticalDpi="4294967292"/>
  <headerFooter alignWithMargins="0">
    <oddHeader>&amp;L&amp;"Arial,Bold"Prämienverbilligung in der OKP</oddHead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8C6ED-FFEF-F841-8E4E-826D5D42424E}">
  <sheetPr>
    <pageSetUpPr fitToPage="1"/>
  </sheetPr>
  <dimension ref="A1:M49"/>
  <sheetViews>
    <sheetView topLeftCell="A35" zoomScale="75" workbookViewId="0">
      <selection activeCell="A49" sqref="A1:I49"/>
    </sheetView>
  </sheetViews>
  <sheetFormatPr baseColWidth="10" defaultColWidth="11.3984375" defaultRowHeight="13"/>
  <cols>
    <col min="1" max="1" width="9.796875" style="3" customWidth="1"/>
    <col min="2" max="3" width="11" style="3" customWidth="1"/>
    <col min="4" max="4" width="11.19921875" style="100" customWidth="1"/>
    <col min="5" max="5" width="15.3984375" style="3" customWidth="1"/>
    <col min="6" max="6" width="14.796875" style="3" customWidth="1"/>
    <col min="7" max="7" width="11" style="3" customWidth="1"/>
    <col min="8" max="8" width="15" style="35" customWidth="1"/>
    <col min="9" max="9" width="10.19921875" style="3" customWidth="1"/>
    <col min="10" max="16384" width="11.3984375" style="3"/>
  </cols>
  <sheetData>
    <row r="1" spans="1:10" s="1" customFormat="1" ht="14" customHeight="1">
      <c r="D1" s="90"/>
      <c r="H1" s="58"/>
    </row>
    <row r="2" spans="1:10" s="1" customFormat="1" ht="28" customHeight="1">
      <c r="A2" s="59" t="s">
        <v>1527</v>
      </c>
      <c r="D2" s="90"/>
      <c r="H2" s="58"/>
      <c r="I2" s="321">
        <v>2003</v>
      </c>
    </row>
    <row r="3" spans="1:10" ht="24" customHeight="1">
      <c r="A3" s="2" t="s">
        <v>70</v>
      </c>
      <c r="B3" s="69" t="s">
        <v>1484</v>
      </c>
      <c r="C3" s="16" t="s">
        <v>1485</v>
      </c>
      <c r="D3" s="312" t="s">
        <v>1486</v>
      </c>
      <c r="E3" s="2" t="s">
        <v>625</v>
      </c>
      <c r="F3" s="85"/>
      <c r="G3" s="16"/>
      <c r="H3" s="339"/>
      <c r="I3" s="16"/>
    </row>
    <row r="4" spans="1:10" ht="15" customHeight="1">
      <c r="A4" s="77"/>
      <c r="B4" s="70" t="s">
        <v>1487</v>
      </c>
      <c r="C4" s="61" t="s">
        <v>1488</v>
      </c>
      <c r="D4" s="103" t="s">
        <v>1528</v>
      </c>
      <c r="E4" s="61" t="s">
        <v>1461</v>
      </c>
      <c r="F4" s="14" t="s">
        <v>1462</v>
      </c>
      <c r="G4" s="102" t="s">
        <v>1462</v>
      </c>
      <c r="H4" s="340" t="s">
        <v>22</v>
      </c>
      <c r="I4" s="4" t="s">
        <v>24</v>
      </c>
    </row>
    <row r="5" spans="1:10" ht="18.75" customHeight="1">
      <c r="A5" s="77"/>
      <c r="B5" s="70" t="s">
        <v>1529</v>
      </c>
      <c r="C5" s="17" t="s">
        <v>1489</v>
      </c>
      <c r="D5" s="71"/>
      <c r="E5" s="17" t="s">
        <v>1490</v>
      </c>
      <c r="F5" s="14" t="s">
        <v>1490</v>
      </c>
      <c r="G5" s="102" t="s">
        <v>1490</v>
      </c>
      <c r="H5" s="340" t="s">
        <v>1491</v>
      </c>
      <c r="I5" s="4" t="s">
        <v>2064</v>
      </c>
    </row>
    <row r="6" spans="1:10" ht="15" customHeight="1">
      <c r="A6" s="77"/>
      <c r="B6" s="70">
        <v>2000</v>
      </c>
      <c r="C6" s="17" t="s">
        <v>626</v>
      </c>
      <c r="D6" s="71"/>
      <c r="E6" s="17" t="s">
        <v>1925</v>
      </c>
      <c r="F6" s="14" t="s">
        <v>1925</v>
      </c>
      <c r="G6" s="102" t="s">
        <v>351</v>
      </c>
      <c r="H6" s="340" t="s">
        <v>1492</v>
      </c>
      <c r="I6" s="4" t="s">
        <v>26</v>
      </c>
    </row>
    <row r="7" spans="1:10" ht="18" customHeight="1">
      <c r="A7" s="77"/>
      <c r="B7" s="70"/>
      <c r="C7" s="17"/>
      <c r="D7" s="71"/>
      <c r="E7" s="17"/>
      <c r="F7" s="14"/>
      <c r="G7" s="102" t="s">
        <v>1461</v>
      </c>
      <c r="H7" s="340" t="s">
        <v>1530</v>
      </c>
      <c r="I7" s="17"/>
    </row>
    <row r="8" spans="1:10" ht="23.25" customHeight="1">
      <c r="A8" s="78"/>
      <c r="B8" s="73"/>
      <c r="C8" s="18"/>
      <c r="D8" s="72"/>
      <c r="E8" s="18"/>
      <c r="F8" s="15"/>
      <c r="G8" s="105" t="s">
        <v>1531</v>
      </c>
      <c r="H8" s="341"/>
      <c r="I8" s="18"/>
    </row>
    <row r="9" spans="1:10" ht="30" customHeight="1" thickBot="1">
      <c r="A9" s="297" t="s">
        <v>78</v>
      </c>
      <c r="B9" s="87">
        <v>1223182</v>
      </c>
      <c r="C9" s="93">
        <v>160</v>
      </c>
      <c r="D9" s="326" t="s">
        <v>1013</v>
      </c>
      <c r="E9" s="93">
        <v>280567510</v>
      </c>
      <c r="F9" s="87">
        <v>305057899</v>
      </c>
      <c r="G9" s="94">
        <v>1.0872887562783018</v>
      </c>
      <c r="H9" s="342">
        <v>585625409</v>
      </c>
      <c r="I9" s="94">
        <v>1.2870617726342237E-2</v>
      </c>
      <c r="J9" s="42"/>
    </row>
    <row r="10" spans="1:10" ht="20" customHeight="1" thickBot="1">
      <c r="A10" s="302" t="s">
        <v>79</v>
      </c>
      <c r="B10" s="75">
        <v>950833</v>
      </c>
      <c r="C10" s="113">
        <v>57</v>
      </c>
      <c r="D10" s="329" t="s">
        <v>1013</v>
      </c>
      <c r="E10" s="113">
        <v>366145687</v>
      </c>
      <c r="F10" s="75">
        <v>89086519</v>
      </c>
      <c r="G10" s="343">
        <v>0.24330894002856301</v>
      </c>
      <c r="H10" s="82">
        <v>455232206</v>
      </c>
      <c r="I10" s="343">
        <v>1.263432880294646E-2</v>
      </c>
      <c r="J10" s="42"/>
    </row>
    <row r="11" spans="1:10" ht="20" customHeight="1" thickBot="1">
      <c r="A11" s="302" t="s">
        <v>80</v>
      </c>
      <c r="B11" s="75">
        <v>344987</v>
      </c>
      <c r="C11" s="113">
        <v>67</v>
      </c>
      <c r="D11" s="329" t="s">
        <v>1013</v>
      </c>
      <c r="E11" s="113">
        <v>126330244</v>
      </c>
      <c r="F11" s="75">
        <v>38839840</v>
      </c>
      <c r="G11" s="343">
        <v>0.3074468850072038</v>
      </c>
      <c r="H11" s="82">
        <v>165170084</v>
      </c>
      <c r="I11" s="343">
        <v>1.2514574467717976E-2</v>
      </c>
      <c r="J11" s="42"/>
    </row>
    <row r="12" spans="1:10" ht="20" customHeight="1" thickBot="1">
      <c r="A12" s="302" t="s">
        <v>81</v>
      </c>
      <c r="B12" s="75">
        <v>34407</v>
      </c>
      <c r="C12" s="113">
        <v>64</v>
      </c>
      <c r="D12" s="329" t="s">
        <v>1013</v>
      </c>
      <c r="E12" s="113">
        <v>12791012</v>
      </c>
      <c r="F12" s="75">
        <v>3682093</v>
      </c>
      <c r="G12" s="343">
        <v>0.28786565128701308</v>
      </c>
      <c r="H12" s="82">
        <v>16473105</v>
      </c>
      <c r="I12" s="343">
        <v>1.2616657176583557E-2</v>
      </c>
      <c r="J12" s="42"/>
    </row>
    <row r="13" spans="1:10" ht="20" customHeight="1" thickBot="1">
      <c r="A13" s="302" t="s">
        <v>82</v>
      </c>
      <c r="B13" s="75">
        <v>128428</v>
      </c>
      <c r="C13" s="113">
        <v>112</v>
      </c>
      <c r="D13" s="329" t="s">
        <v>1013</v>
      </c>
      <c r="E13" s="113">
        <v>37502640</v>
      </c>
      <c r="F13" s="75">
        <v>23985079</v>
      </c>
      <c r="G13" s="343">
        <v>0.63955708184810456</v>
      </c>
      <c r="H13" s="82">
        <v>61487719</v>
      </c>
      <c r="I13" s="343">
        <v>1.2622830773644456E-2</v>
      </c>
      <c r="J13" s="42"/>
    </row>
    <row r="14" spans="1:10" ht="20" customHeight="1" thickBot="1">
      <c r="A14" s="302" t="s">
        <v>83</v>
      </c>
      <c r="B14" s="75">
        <v>32169</v>
      </c>
      <c r="C14" s="113">
        <v>35</v>
      </c>
      <c r="D14" s="329" t="s">
        <v>1013</v>
      </c>
      <c r="E14" s="113">
        <v>13837134</v>
      </c>
      <c r="F14" s="75">
        <v>1564479</v>
      </c>
      <c r="G14" s="343">
        <v>0.11306380353041316</v>
      </c>
      <c r="H14" s="82">
        <v>15401613</v>
      </c>
      <c r="I14" s="343">
        <v>1.2122778138518697E-2</v>
      </c>
      <c r="J14" s="42"/>
    </row>
    <row r="15" spans="1:10" ht="20" customHeight="1" thickBot="1">
      <c r="A15" s="302" t="s">
        <v>84</v>
      </c>
      <c r="B15" s="75">
        <v>36869</v>
      </c>
      <c r="C15" s="113">
        <v>129</v>
      </c>
      <c r="D15" s="329" t="s">
        <v>1013</v>
      </c>
      <c r="E15" s="113">
        <v>9883869</v>
      </c>
      <c r="F15" s="75">
        <v>7767973</v>
      </c>
      <c r="G15" s="343">
        <v>0.78592431769380999</v>
      </c>
      <c r="H15" s="82">
        <v>17651842</v>
      </c>
      <c r="I15" s="343">
        <v>1.2174761690688651E-2</v>
      </c>
      <c r="J15" s="42"/>
    </row>
    <row r="16" spans="1:10" ht="20" customHeight="1" thickBot="1">
      <c r="A16" s="302" t="s">
        <v>85</v>
      </c>
      <c r="B16" s="75">
        <v>38207</v>
      </c>
      <c r="C16" s="113">
        <v>82</v>
      </c>
      <c r="D16" s="329" t="s">
        <v>1013</v>
      </c>
      <c r="E16" s="113">
        <v>12974184</v>
      </c>
      <c r="F16" s="75">
        <v>5318254</v>
      </c>
      <c r="G16" s="343">
        <v>0.40991048068996094</v>
      </c>
      <c r="H16" s="82">
        <v>18292438</v>
      </c>
      <c r="I16" s="343">
        <v>1.2608029880189386E-2</v>
      </c>
      <c r="J16" s="42"/>
    </row>
    <row r="17" spans="1:10" ht="20" customHeight="1" thickBot="1">
      <c r="A17" s="302" t="s">
        <v>86</v>
      </c>
      <c r="B17" s="75">
        <v>98481</v>
      </c>
      <c r="C17" s="113">
        <v>216</v>
      </c>
      <c r="D17" s="329" t="s">
        <v>1013</v>
      </c>
      <c r="E17" s="113">
        <v>17043806</v>
      </c>
      <c r="F17" s="75">
        <v>30106130</v>
      </c>
      <c r="G17" s="343">
        <v>1.7663971298429471</v>
      </c>
      <c r="H17" s="82">
        <v>47149936</v>
      </c>
      <c r="I17" s="343">
        <v>1.2448864821036798E-2</v>
      </c>
      <c r="J17" s="42"/>
    </row>
    <row r="18" spans="1:10" ht="20" customHeight="1" thickBot="1">
      <c r="A18" s="302" t="s">
        <v>87</v>
      </c>
      <c r="B18" s="75">
        <v>237134</v>
      </c>
      <c r="C18" s="113">
        <v>51</v>
      </c>
      <c r="D18" s="329" t="s">
        <v>1013</v>
      </c>
      <c r="E18" s="113">
        <v>94113176</v>
      </c>
      <c r="F18" s="75">
        <v>19419921</v>
      </c>
      <c r="G18" s="343">
        <v>0.20634646311373023</v>
      </c>
      <c r="H18" s="82">
        <v>113533097</v>
      </c>
      <c r="I18" s="343">
        <v>1.2591205418371887E-2</v>
      </c>
      <c r="J18" s="42"/>
    </row>
    <row r="19" spans="1:10" ht="20" customHeight="1" thickBot="1">
      <c r="A19" s="302" t="s">
        <v>88</v>
      </c>
      <c r="B19" s="75">
        <v>242489</v>
      </c>
      <c r="C19" s="113">
        <v>82</v>
      </c>
      <c r="D19" s="329" t="s">
        <v>1013</v>
      </c>
      <c r="E19" s="113">
        <v>82343440</v>
      </c>
      <c r="F19" s="75">
        <v>33753443</v>
      </c>
      <c r="G19" s="343">
        <v>0.40991052839181846</v>
      </c>
      <c r="H19" s="82">
        <v>116096883</v>
      </c>
      <c r="I19" s="343">
        <v>1.3035101404525795E-2</v>
      </c>
      <c r="J19" s="42"/>
    </row>
    <row r="20" spans="1:10" ht="20" customHeight="1" thickBot="1">
      <c r="A20" s="302" t="s">
        <v>89</v>
      </c>
      <c r="B20" s="75">
        <v>198105</v>
      </c>
      <c r="C20" s="113">
        <v>173</v>
      </c>
      <c r="D20" s="329" t="s">
        <v>1013</v>
      </c>
      <c r="E20" s="113">
        <v>42564156</v>
      </c>
      <c r="F20" s="75">
        <v>52283163</v>
      </c>
      <c r="G20" s="343">
        <v>1.2283378296047971</v>
      </c>
      <c r="H20" s="82">
        <v>94847319</v>
      </c>
      <c r="I20" s="343">
        <v>2.8824764170373607E-2</v>
      </c>
      <c r="J20" s="42"/>
    </row>
    <row r="21" spans="1:10" ht="20" customHeight="1" thickBot="1">
      <c r="A21" s="302" t="s">
        <v>90</v>
      </c>
      <c r="B21" s="29">
        <v>261007</v>
      </c>
      <c r="C21" s="116">
        <v>120</v>
      </c>
      <c r="D21" s="329" t="s">
        <v>1013</v>
      </c>
      <c r="E21" s="113">
        <v>73211270</v>
      </c>
      <c r="F21" s="29">
        <v>51751453</v>
      </c>
      <c r="G21" s="343">
        <v>0.70687823063307054</v>
      </c>
      <c r="H21" s="84">
        <v>124962723</v>
      </c>
      <c r="I21" s="343">
        <v>1.9070299329556617E-2</v>
      </c>
      <c r="J21" s="42"/>
    </row>
    <row r="22" spans="1:10" ht="20" customHeight="1" thickBot="1">
      <c r="A22" s="302" t="s">
        <v>91</v>
      </c>
      <c r="B22" s="75">
        <v>73788</v>
      </c>
      <c r="C22" s="113">
        <v>107</v>
      </c>
      <c r="D22" s="329" t="s">
        <v>1013</v>
      </c>
      <c r="E22" s="113">
        <v>22095688</v>
      </c>
      <c r="F22" s="75">
        <v>13231704</v>
      </c>
      <c r="G22" s="343">
        <v>0.5988364788641114</v>
      </c>
      <c r="H22" s="82">
        <v>35327392</v>
      </c>
      <c r="I22" s="343">
        <v>1.7647418392507719E-2</v>
      </c>
      <c r="J22" s="42"/>
    </row>
    <row r="23" spans="1:10" ht="20" customHeight="1" thickBot="1">
      <c r="A23" s="302" t="s">
        <v>92</v>
      </c>
      <c r="B23" s="75">
        <v>53216</v>
      </c>
      <c r="C23" s="113">
        <v>63</v>
      </c>
      <c r="D23" s="329" t="s">
        <v>1013</v>
      </c>
      <c r="E23" s="113">
        <v>19883119</v>
      </c>
      <c r="F23" s="75">
        <v>5595188</v>
      </c>
      <c r="G23" s="343">
        <v>0.28140393868788893</v>
      </c>
      <c r="H23" s="82">
        <v>25478307</v>
      </c>
      <c r="I23" s="343">
        <v>1.2657469657903819E-2</v>
      </c>
      <c r="J23" s="42"/>
    </row>
    <row r="24" spans="1:10" ht="20" customHeight="1" thickBot="1">
      <c r="A24" s="302" t="s">
        <v>93</v>
      </c>
      <c r="B24" s="75">
        <v>14677</v>
      </c>
      <c r="C24" s="113">
        <v>62</v>
      </c>
      <c r="D24" s="329" t="s">
        <v>1013</v>
      </c>
      <c r="E24" s="113">
        <v>5511401</v>
      </c>
      <c r="F24" s="75">
        <v>1515496</v>
      </c>
      <c r="G24" s="343">
        <v>0.2749747296558534</v>
      </c>
      <c r="H24" s="82">
        <v>7026897</v>
      </c>
      <c r="I24" s="343">
        <v>1.1865364494308972E-2</v>
      </c>
      <c r="J24" s="42"/>
    </row>
    <row r="25" spans="1:10" ht="20" customHeight="1" thickBot="1">
      <c r="A25" s="302" t="s">
        <v>94</v>
      </c>
      <c r="B25" s="75">
        <v>449388</v>
      </c>
      <c r="C25" s="113">
        <v>80</v>
      </c>
      <c r="D25" s="329" t="s">
        <v>1013</v>
      </c>
      <c r="E25" s="113">
        <v>154144229</v>
      </c>
      <c r="F25" s="75">
        <v>61009968</v>
      </c>
      <c r="G25" s="343">
        <v>0.39579793804671076</v>
      </c>
      <c r="H25" s="82">
        <v>215154197</v>
      </c>
      <c r="I25" s="343">
        <v>1.4122637213996203E-2</v>
      </c>
      <c r="J25" s="42"/>
    </row>
    <row r="26" spans="1:10" ht="20" customHeight="1" thickBot="1">
      <c r="A26" s="302" t="s">
        <v>95</v>
      </c>
      <c r="B26" s="75">
        <v>189029</v>
      </c>
      <c r="C26" s="113">
        <v>77</v>
      </c>
      <c r="D26" s="329" t="s">
        <v>1013</v>
      </c>
      <c r="E26" s="113">
        <v>65824642</v>
      </c>
      <c r="F26" s="75">
        <v>24677229</v>
      </c>
      <c r="G26" s="343">
        <v>0.37489347834204706</v>
      </c>
      <c r="H26" s="82">
        <v>90501871</v>
      </c>
      <c r="I26" s="343">
        <v>1.461547479485481E-2</v>
      </c>
      <c r="J26" s="42"/>
    </row>
    <row r="27" spans="1:10" ht="20" customHeight="1" thickBot="1">
      <c r="A27" s="302" t="s">
        <v>96</v>
      </c>
      <c r="B27" s="75">
        <v>542519</v>
      </c>
      <c r="C27" s="113">
        <v>97</v>
      </c>
      <c r="D27" s="329" t="s">
        <v>1013</v>
      </c>
      <c r="E27" s="113">
        <v>170837984</v>
      </c>
      <c r="F27" s="75">
        <v>88904796</v>
      </c>
      <c r="G27" s="343">
        <v>0.52040415087080405</v>
      </c>
      <c r="H27" s="82">
        <v>259742780</v>
      </c>
      <c r="I27" s="343">
        <v>1.4186348815981686E-2</v>
      </c>
      <c r="J27" s="42"/>
    </row>
    <row r="28" spans="1:10" ht="20" customHeight="1" thickBot="1">
      <c r="A28" s="302" t="s">
        <v>97</v>
      </c>
      <c r="B28" s="75">
        <v>227835</v>
      </c>
      <c r="C28" s="113">
        <v>83</v>
      </c>
      <c r="D28" s="329" t="s">
        <v>1013</v>
      </c>
      <c r="E28" s="113">
        <v>76979193</v>
      </c>
      <c r="F28" s="75">
        <v>32101881</v>
      </c>
      <c r="G28" s="343">
        <v>0.41702023298685398</v>
      </c>
      <c r="H28" s="82">
        <v>109081074</v>
      </c>
      <c r="I28" s="343">
        <v>1.4084479545230622E-2</v>
      </c>
      <c r="J28" s="42"/>
    </row>
    <row r="29" spans="1:10" ht="20" customHeight="1" thickBot="1">
      <c r="A29" s="302" t="s">
        <v>98</v>
      </c>
      <c r="B29" s="75">
        <v>316431</v>
      </c>
      <c r="C29" s="113">
        <v>82</v>
      </c>
      <c r="D29" s="329" t="s">
        <v>1013</v>
      </c>
      <c r="E29" s="113">
        <v>107452539</v>
      </c>
      <c r="F29" s="75">
        <v>44045926</v>
      </c>
      <c r="G29" s="343">
        <v>0.40991051872678413</v>
      </c>
      <c r="H29" s="82">
        <v>151498465</v>
      </c>
      <c r="I29" s="343">
        <v>2.3252289670083082E-2</v>
      </c>
      <c r="J29" s="42"/>
    </row>
    <row r="30" spans="1:10" ht="20" customHeight="1" thickBot="1">
      <c r="A30" s="302" t="s">
        <v>99</v>
      </c>
      <c r="B30" s="75">
        <v>631309</v>
      </c>
      <c r="C30" s="113">
        <v>94</v>
      </c>
      <c r="D30" s="329" t="s">
        <v>1013</v>
      </c>
      <c r="E30" s="113">
        <v>201820260</v>
      </c>
      <c r="F30" s="75">
        <v>100432524</v>
      </c>
      <c r="G30" s="343">
        <v>0.49763350815225388</v>
      </c>
      <c r="H30" s="82">
        <v>302252784</v>
      </c>
      <c r="I30" s="343">
        <v>1.4417064587183503E-2</v>
      </c>
      <c r="J30" s="42"/>
    </row>
    <row r="31" spans="1:10" ht="20" customHeight="1" thickBot="1">
      <c r="A31" s="302" t="s">
        <v>100</v>
      </c>
      <c r="B31" s="75">
        <v>272951</v>
      </c>
      <c r="C31" s="113">
        <v>30</v>
      </c>
      <c r="D31" s="329" t="s">
        <v>1013</v>
      </c>
      <c r="E31" s="113">
        <v>120396910</v>
      </c>
      <c r="F31" s="75">
        <v>10284227</v>
      </c>
      <c r="G31" s="343">
        <v>8.54193600151366E-2</v>
      </c>
      <c r="H31" s="82">
        <v>130681137</v>
      </c>
      <c r="I31" s="343">
        <v>1.3229955934184634E-2</v>
      </c>
      <c r="J31" s="42"/>
    </row>
    <row r="32" spans="1:10" ht="20" customHeight="1" thickBot="1">
      <c r="A32" s="302" t="s">
        <v>101</v>
      </c>
      <c r="B32" s="75">
        <v>167261</v>
      </c>
      <c r="C32" s="113">
        <v>55</v>
      </c>
      <c r="D32" s="329" t="s">
        <v>1013</v>
      </c>
      <c r="E32" s="113">
        <v>65059807</v>
      </c>
      <c r="F32" s="75">
        <v>15019965</v>
      </c>
      <c r="G32" s="343">
        <v>0.23086396490539851</v>
      </c>
      <c r="H32" s="82">
        <v>80079772</v>
      </c>
      <c r="I32" s="343">
        <v>1.5476602391261363E-2</v>
      </c>
      <c r="J32" s="42"/>
    </row>
    <row r="33" spans="1:13" ht="20" customHeight="1" thickBot="1">
      <c r="A33" s="302" t="s">
        <v>102</v>
      </c>
      <c r="B33" s="75">
        <v>416970</v>
      </c>
      <c r="C33" s="113">
        <v>141</v>
      </c>
      <c r="D33" s="329" t="s">
        <v>1013</v>
      </c>
      <c r="E33" s="113">
        <v>105234005</v>
      </c>
      <c r="F33" s="75">
        <v>94399364</v>
      </c>
      <c r="G33" s="343">
        <v>0.89704239613421533</v>
      </c>
      <c r="H33" s="82">
        <v>199633369</v>
      </c>
      <c r="I33" s="343">
        <v>2.0685859463576817E-2</v>
      </c>
    </row>
    <row r="34" spans="1:13" ht="20" customHeight="1" thickBot="1">
      <c r="A34" s="302" t="s">
        <v>103</v>
      </c>
      <c r="B34" s="75">
        <v>68128</v>
      </c>
      <c r="C34" s="113">
        <v>34</v>
      </c>
      <c r="D34" s="329" t="s">
        <v>1013</v>
      </c>
      <c r="E34" s="113">
        <v>29452095</v>
      </c>
      <c r="F34" s="75">
        <v>3165486</v>
      </c>
      <c r="G34" s="343">
        <v>0.10747914537149225</v>
      </c>
      <c r="H34" s="82">
        <v>32617581</v>
      </c>
      <c r="I34" s="343">
        <v>1.8326649717856913E-2</v>
      </c>
      <c r="K34" s="43"/>
      <c r="L34" s="43"/>
      <c r="M34" s="43"/>
    </row>
    <row r="35" spans="1:13" s="35" customFormat="1" ht="30" customHeight="1" thickBot="1">
      <c r="A35" s="303" t="s">
        <v>104</v>
      </c>
      <c r="B35" s="344">
        <v>7249800</v>
      </c>
      <c r="C35" s="333">
        <v>100</v>
      </c>
      <c r="D35" s="334" t="s">
        <v>1013</v>
      </c>
      <c r="E35" s="333">
        <v>2314000000</v>
      </c>
      <c r="F35" s="344">
        <v>1157000000</v>
      </c>
      <c r="G35" s="345">
        <v>0.5</v>
      </c>
      <c r="H35" s="344">
        <v>3471000000</v>
      </c>
      <c r="I35" s="345">
        <v>1.4912280701754321E-2</v>
      </c>
    </row>
    <row r="36" spans="1:13" ht="20" customHeight="1">
      <c r="A36" s="308" t="s">
        <v>624</v>
      </c>
      <c r="B36" s="309"/>
      <c r="C36" s="309"/>
      <c r="D36" s="319"/>
      <c r="E36" s="309"/>
      <c r="F36" s="309"/>
      <c r="G36" s="309"/>
      <c r="H36" s="337"/>
      <c r="I36" s="309"/>
    </row>
    <row r="37" spans="1:13" ht="14.25" customHeight="1">
      <c r="A37" s="310"/>
      <c r="B37" s="311"/>
      <c r="C37" s="311"/>
      <c r="D37" s="320"/>
      <c r="E37" s="311"/>
      <c r="F37" s="311"/>
      <c r="G37" s="311"/>
      <c r="H37" s="338"/>
      <c r="I37" s="311"/>
    </row>
    <row r="38" spans="1:13" ht="15.75" customHeight="1">
      <c r="A38" s="310" t="s">
        <v>1493</v>
      </c>
      <c r="B38" s="311"/>
      <c r="C38" s="311"/>
      <c r="D38" s="320"/>
      <c r="E38" s="311"/>
      <c r="F38" s="311"/>
      <c r="G38" s="311"/>
      <c r="H38" s="338"/>
      <c r="I38" s="311"/>
    </row>
    <row r="39" spans="1:13" ht="13.5" customHeight="1">
      <c r="A39" s="310"/>
      <c r="B39" s="311"/>
      <c r="C39" s="311"/>
      <c r="D39" s="320"/>
      <c r="E39" s="311"/>
      <c r="F39" s="311"/>
      <c r="G39" s="311"/>
      <c r="H39" s="338"/>
      <c r="I39" s="311"/>
    </row>
    <row r="40" spans="1:13" ht="11.25" customHeight="1">
      <c r="A40" s="37" t="s">
        <v>1494</v>
      </c>
      <c r="B40" s="311"/>
      <c r="C40" s="311"/>
      <c r="D40" s="320"/>
      <c r="E40" s="311"/>
      <c r="F40" s="311"/>
      <c r="G40" s="311"/>
      <c r="H40" s="338"/>
      <c r="I40" s="311"/>
    </row>
    <row r="41" spans="1:13">
      <c r="A41" s="3" t="s">
        <v>1495</v>
      </c>
    </row>
    <row r="42" spans="1:13">
      <c r="A42" s="3" t="s">
        <v>1496</v>
      </c>
    </row>
    <row r="43" spans="1:13">
      <c r="A43" s="3" t="s">
        <v>1497</v>
      </c>
    </row>
    <row r="44" spans="1:13">
      <c r="A44" s="3" t="s">
        <v>1498</v>
      </c>
    </row>
    <row r="45" spans="1:13">
      <c r="A45" s="3" t="s">
        <v>1499</v>
      </c>
    </row>
    <row r="46" spans="1:13">
      <c r="A46" s="346" t="s">
        <v>1500</v>
      </c>
    </row>
    <row r="49" spans="1:1">
      <c r="A49" s="3" t="s">
        <v>256</v>
      </c>
    </row>
  </sheetData>
  <phoneticPr fontId="0" type="noConversion"/>
  <pageMargins left="0.56000000000000005" right="0.51" top="0.81" bottom="0.49" header="0.42" footer="0.4921259845"/>
  <pageSetup paperSize="9" scale="84" orientation="portrait" horizontalDpi="1200" verticalDpi="1200"/>
  <headerFooter alignWithMargins="0">
    <oddHeader>&amp;L&amp;"Arial,Bold"Prämienverbilligung in der OKP</oddHead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84317-B38C-3B48-9A7E-42FCFF9877E5}">
  <sheetPr>
    <pageSetUpPr fitToPage="1"/>
  </sheetPr>
  <dimension ref="A1:I47"/>
  <sheetViews>
    <sheetView zoomScale="75" workbookViewId="0"/>
  </sheetViews>
  <sheetFormatPr baseColWidth="10" defaultColWidth="11.3984375" defaultRowHeight="13"/>
  <cols>
    <col min="1" max="1" width="12.59765625" style="3" customWidth="1"/>
    <col min="2" max="2" width="12.59765625" style="100" customWidth="1"/>
    <col min="3" max="3" width="14.796875" style="35" customWidth="1"/>
    <col min="4" max="4" width="14.796875" style="42" customWidth="1"/>
    <col min="5" max="5" width="15.796875" style="3" customWidth="1"/>
    <col min="6" max="6" width="12.59765625" style="100" customWidth="1"/>
    <col min="7" max="7" width="13.19921875" style="100" customWidth="1"/>
    <col min="8" max="16384" width="11.3984375" style="3"/>
  </cols>
  <sheetData>
    <row r="1" spans="1:9" s="1" customFormat="1" ht="14" customHeight="1">
      <c r="B1" s="90"/>
      <c r="D1" s="101"/>
      <c r="E1" s="58"/>
      <c r="F1" s="101"/>
      <c r="H1" s="90"/>
      <c r="I1" s="90"/>
    </row>
    <row r="2" spans="1:9" s="1" customFormat="1" ht="28" customHeight="1">
      <c r="A2" s="59" t="s">
        <v>1459</v>
      </c>
      <c r="B2" s="90"/>
      <c r="D2" s="101"/>
      <c r="E2" s="58"/>
      <c r="F2" s="90"/>
      <c r="G2" s="321">
        <v>2003</v>
      </c>
    </row>
    <row r="3" spans="1:9" ht="24" customHeight="1">
      <c r="A3" s="2" t="s">
        <v>70</v>
      </c>
      <c r="B3" s="312" t="s">
        <v>1460</v>
      </c>
      <c r="C3" s="16" t="s">
        <v>1461</v>
      </c>
      <c r="D3" s="322" t="s">
        <v>1462</v>
      </c>
      <c r="E3" s="323" t="s">
        <v>1463</v>
      </c>
      <c r="F3" s="312" t="s">
        <v>1464</v>
      </c>
      <c r="G3" s="91" t="s">
        <v>24</v>
      </c>
    </row>
    <row r="4" spans="1:9" ht="15" customHeight="1">
      <c r="A4" s="77"/>
      <c r="B4" s="71" t="s">
        <v>1465</v>
      </c>
      <c r="C4" s="61" t="s">
        <v>1466</v>
      </c>
      <c r="D4" s="103" t="s">
        <v>1466</v>
      </c>
      <c r="E4" s="324" t="s">
        <v>1467</v>
      </c>
      <c r="F4" s="71" t="s">
        <v>22</v>
      </c>
      <c r="G4" s="4" t="s">
        <v>47</v>
      </c>
    </row>
    <row r="5" spans="1:9" ht="15.75" customHeight="1">
      <c r="A5" s="77"/>
      <c r="B5" s="71" t="s">
        <v>1479</v>
      </c>
      <c r="C5" s="17" t="s">
        <v>1468</v>
      </c>
      <c r="D5" s="103" t="s">
        <v>1468</v>
      </c>
      <c r="E5" s="324" t="s">
        <v>1468</v>
      </c>
      <c r="F5" s="71" t="s">
        <v>1469</v>
      </c>
      <c r="G5" s="4" t="s">
        <v>2064</v>
      </c>
    </row>
    <row r="6" spans="1:9" ht="15" customHeight="1">
      <c r="A6" s="77"/>
      <c r="B6" s="71"/>
      <c r="C6" s="17" t="s">
        <v>1470</v>
      </c>
      <c r="D6" s="103" t="s">
        <v>1470</v>
      </c>
      <c r="E6" s="324" t="s">
        <v>1470</v>
      </c>
      <c r="F6" s="71" t="s">
        <v>1471</v>
      </c>
      <c r="G6" s="4" t="s">
        <v>26</v>
      </c>
    </row>
    <row r="7" spans="1:9" ht="21" customHeight="1">
      <c r="A7" s="78"/>
      <c r="B7" s="72"/>
      <c r="C7" s="18" t="s">
        <v>1480</v>
      </c>
      <c r="D7" s="104" t="s">
        <v>1480</v>
      </c>
      <c r="E7" s="325" t="s">
        <v>1481</v>
      </c>
      <c r="F7" s="104" t="s">
        <v>1482</v>
      </c>
      <c r="G7" s="102"/>
    </row>
    <row r="8" spans="1:9" ht="30" customHeight="1" thickBot="1">
      <c r="A8" s="297" t="s">
        <v>78</v>
      </c>
      <c r="B8" s="315">
        <v>0.20000000034151522</v>
      </c>
      <c r="C8" s="93">
        <v>224454007.90418193</v>
      </c>
      <c r="D8" s="326">
        <v>244046319.09581807</v>
      </c>
      <c r="E8" s="327">
        <v>468500327</v>
      </c>
      <c r="F8" s="315">
        <v>0.79999999965848478</v>
      </c>
      <c r="G8" s="94">
        <v>1.2870616856000217E-2</v>
      </c>
    </row>
    <row r="9" spans="1:9" ht="20" customHeight="1" thickBot="1">
      <c r="A9" s="302" t="s">
        <v>79</v>
      </c>
      <c r="B9" s="328">
        <v>0</v>
      </c>
      <c r="C9" s="113">
        <v>366145687</v>
      </c>
      <c r="D9" s="329">
        <v>89086519</v>
      </c>
      <c r="E9" s="330">
        <v>455232206</v>
      </c>
      <c r="F9" s="315">
        <v>1</v>
      </c>
      <c r="G9" s="94">
        <v>1.263432880294646E-2</v>
      </c>
    </row>
    <row r="10" spans="1:9" ht="20" customHeight="1" thickBot="1">
      <c r="A10" s="302" t="s">
        <v>80</v>
      </c>
      <c r="B10" s="328">
        <v>0.21293253080866625</v>
      </c>
      <c r="C10" s="113">
        <v>99430425.427403674</v>
      </c>
      <c r="D10" s="329">
        <v>30569574.572596334</v>
      </c>
      <c r="E10" s="330">
        <v>130000000</v>
      </c>
      <c r="F10" s="315">
        <v>0.78706746919133375</v>
      </c>
      <c r="G10" s="94">
        <v>0.18942878515193229</v>
      </c>
    </row>
    <row r="11" spans="1:9" ht="20" customHeight="1" thickBot="1">
      <c r="A11" s="302" t="s">
        <v>81</v>
      </c>
      <c r="B11" s="328">
        <v>0.4</v>
      </c>
      <c r="C11" s="113">
        <v>7674607.1999999993</v>
      </c>
      <c r="D11" s="329">
        <v>2209255.7999999998</v>
      </c>
      <c r="E11" s="330">
        <v>9883863</v>
      </c>
      <c r="F11" s="315">
        <v>0.6</v>
      </c>
      <c r="G11" s="94">
        <v>1.2616698674226212E-2</v>
      </c>
    </row>
    <row r="12" spans="1:9" ht="20" customHeight="1" thickBot="1">
      <c r="A12" s="302" t="s">
        <v>82</v>
      </c>
      <c r="B12" s="328">
        <v>0.10000000162634104</v>
      </c>
      <c r="C12" s="113">
        <v>33752375.939007916</v>
      </c>
      <c r="D12" s="329">
        <v>21586571.060992081</v>
      </c>
      <c r="E12" s="330">
        <v>55338947</v>
      </c>
      <c r="F12" s="315">
        <v>0.89999999837365896</v>
      </c>
      <c r="G12" s="94">
        <v>0.13920068256176243</v>
      </c>
    </row>
    <row r="13" spans="1:9" ht="20" customHeight="1" thickBot="1">
      <c r="A13" s="302" t="s">
        <v>83</v>
      </c>
      <c r="B13" s="328">
        <v>0</v>
      </c>
      <c r="C13" s="113">
        <v>13837134</v>
      </c>
      <c r="D13" s="329">
        <v>1564479</v>
      </c>
      <c r="E13" s="330">
        <v>15401613</v>
      </c>
      <c r="F13" s="315">
        <v>1</v>
      </c>
      <c r="G13" s="94">
        <v>1.2122778138518697E-2</v>
      </c>
    </row>
    <row r="14" spans="1:9" ht="20" customHeight="1" thickBot="1">
      <c r="A14" s="302" t="s">
        <v>84</v>
      </c>
      <c r="B14" s="328">
        <v>0.5</v>
      </c>
      <c r="C14" s="113">
        <v>4941934.5</v>
      </c>
      <c r="D14" s="329">
        <v>3883986.5</v>
      </c>
      <c r="E14" s="330">
        <v>8825921</v>
      </c>
      <c r="F14" s="315">
        <v>0.5</v>
      </c>
      <c r="G14" s="94">
        <v>1.2174761690688651E-2</v>
      </c>
    </row>
    <row r="15" spans="1:9" ht="20" customHeight="1" thickBot="1">
      <c r="A15" s="302" t="s">
        <v>85</v>
      </c>
      <c r="B15" s="328">
        <v>0.29999997813304058</v>
      </c>
      <c r="C15" s="113">
        <v>9081929.0837059543</v>
      </c>
      <c r="D15" s="329">
        <v>3722777.9162940443</v>
      </c>
      <c r="E15" s="330">
        <v>12804707</v>
      </c>
      <c r="F15" s="315">
        <v>0.70000002186695942</v>
      </c>
      <c r="G15" s="94">
        <v>1.2608029481367522E-2</v>
      </c>
    </row>
    <row r="16" spans="1:9" ht="20" customHeight="1" thickBot="1">
      <c r="A16" s="302" t="s">
        <v>86</v>
      </c>
      <c r="B16" s="328">
        <v>0.3499999872746381</v>
      </c>
      <c r="C16" s="113">
        <v>11078474.116888599</v>
      </c>
      <c r="D16" s="329">
        <v>19568984.883111399</v>
      </c>
      <c r="E16" s="330">
        <v>30647459</v>
      </c>
      <c r="F16" s="315">
        <v>0.6500000127253619</v>
      </c>
      <c r="G16" s="94">
        <v>9.681962502908692E-2</v>
      </c>
    </row>
    <row r="17" spans="1:7" ht="20" customHeight="1" thickBot="1">
      <c r="A17" s="302" t="s">
        <v>87</v>
      </c>
      <c r="B17" s="328">
        <v>0</v>
      </c>
      <c r="C17" s="113">
        <v>94113176</v>
      </c>
      <c r="D17" s="329">
        <v>19419921</v>
      </c>
      <c r="E17" s="330">
        <v>113533097</v>
      </c>
      <c r="F17" s="315">
        <v>1</v>
      </c>
      <c r="G17" s="94">
        <v>1.2591205418371887E-2</v>
      </c>
    </row>
    <row r="18" spans="1:7" ht="20" customHeight="1" thickBot="1">
      <c r="A18" s="302" t="s">
        <v>88</v>
      </c>
      <c r="B18" s="328">
        <v>0.32000000378993809</v>
      </c>
      <c r="C18" s="113">
        <v>55993538.887923457</v>
      </c>
      <c r="D18" s="329">
        <v>22952341.11207654</v>
      </c>
      <c r="E18" s="330">
        <v>78945880</v>
      </c>
      <c r="F18" s="315">
        <v>0.67999999621006191</v>
      </c>
      <c r="G18" s="94">
        <v>0.11107075049941328</v>
      </c>
    </row>
    <row r="19" spans="1:7" ht="20" customHeight="1" thickBot="1">
      <c r="A19" s="302" t="s">
        <v>89</v>
      </c>
      <c r="B19" s="328">
        <v>0</v>
      </c>
      <c r="C19" s="113">
        <v>42564156</v>
      </c>
      <c r="D19" s="329">
        <v>52283163</v>
      </c>
      <c r="E19" s="330">
        <v>94847319</v>
      </c>
      <c r="F19" s="315">
        <v>1</v>
      </c>
      <c r="G19" s="94">
        <v>2.8824764170373607E-2</v>
      </c>
    </row>
    <row r="20" spans="1:7" ht="20" customHeight="1" thickBot="1">
      <c r="A20" s="302" t="s">
        <v>90</v>
      </c>
      <c r="B20" s="328">
        <v>0.19976135603255063</v>
      </c>
      <c r="C20" s="113">
        <v>58586487.427934811</v>
      </c>
      <c r="D20" s="329">
        <v>41413512.572065189</v>
      </c>
      <c r="E20" s="331">
        <v>100000000</v>
      </c>
      <c r="F20" s="315">
        <v>0.80023864396744937</v>
      </c>
      <c r="G20" s="94">
        <v>5.4434228605284352E-2</v>
      </c>
    </row>
    <row r="21" spans="1:7" ht="20" customHeight="1" thickBot="1">
      <c r="A21" s="302" t="s">
        <v>91</v>
      </c>
      <c r="B21" s="328">
        <v>0.17910724912838172</v>
      </c>
      <c r="C21" s="113">
        <v>18138190.104721006</v>
      </c>
      <c r="D21" s="329">
        <v>10861809.895278996</v>
      </c>
      <c r="E21" s="330">
        <v>29000000</v>
      </c>
      <c r="F21" s="315">
        <v>0.82089275087161828</v>
      </c>
      <c r="G21" s="94">
        <v>7.9301531130647529E-2</v>
      </c>
    </row>
    <row r="22" spans="1:7" ht="20" customHeight="1" thickBot="1">
      <c r="A22" s="302" t="s">
        <v>92</v>
      </c>
      <c r="B22" s="328">
        <v>0.19999998430036969</v>
      </c>
      <c r="C22" s="113">
        <v>15906495.512157617</v>
      </c>
      <c r="D22" s="329">
        <v>4476150.4878423829</v>
      </c>
      <c r="E22" s="330">
        <v>20382646</v>
      </c>
      <c r="F22" s="315">
        <v>0.80000001569963031</v>
      </c>
      <c r="G22" s="94">
        <v>0.19136174960382712</v>
      </c>
    </row>
    <row r="23" spans="1:7" ht="20" customHeight="1" thickBot="1">
      <c r="A23" s="302" t="s">
        <v>93</v>
      </c>
      <c r="B23" s="328">
        <v>0.29999984345864183</v>
      </c>
      <c r="C23" s="113">
        <v>3857981.562762198</v>
      </c>
      <c r="D23" s="329">
        <v>1060847.4372378022</v>
      </c>
      <c r="E23" s="330">
        <v>4918829</v>
      </c>
      <c r="F23" s="315">
        <v>0.70000015654135817</v>
      </c>
      <c r="G23" s="94">
        <v>1.1865507516844342E-2</v>
      </c>
    </row>
    <row r="24" spans="1:7" ht="20" customHeight="1" thickBot="1">
      <c r="A24" s="302" t="s">
        <v>94</v>
      </c>
      <c r="B24" s="328">
        <v>0.4559999961330059</v>
      </c>
      <c r="C24" s="113">
        <v>83854461.172074825</v>
      </c>
      <c r="D24" s="329">
        <v>33189422.827925187</v>
      </c>
      <c r="E24" s="330">
        <v>117043884</v>
      </c>
      <c r="F24" s="315">
        <v>0.5440000038669941</v>
      </c>
      <c r="G24" s="94">
        <v>1.4122644844599019E-2</v>
      </c>
    </row>
    <row r="25" spans="1:7" ht="20" customHeight="1" thickBot="1">
      <c r="A25" s="302" t="s">
        <v>95</v>
      </c>
      <c r="B25" s="328">
        <v>0.22754698629379722</v>
      </c>
      <c r="C25" s="113">
        <v>50846443.08903189</v>
      </c>
      <c r="D25" s="329">
        <v>19061999.910968106</v>
      </c>
      <c r="E25" s="330">
        <v>69908443</v>
      </c>
      <c r="F25" s="315">
        <v>0.77245301370620278</v>
      </c>
      <c r="G25" s="94">
        <v>0.32837760115846382</v>
      </c>
    </row>
    <row r="26" spans="1:7" ht="20" customHeight="1" thickBot="1">
      <c r="A26" s="302" t="s">
        <v>96</v>
      </c>
      <c r="B26" s="328">
        <v>0.46100522986625458</v>
      </c>
      <c r="C26" s="113">
        <v>92080779.916192472</v>
      </c>
      <c r="D26" s="329">
        <v>47919220.083807528</v>
      </c>
      <c r="E26" s="330">
        <v>140000000</v>
      </c>
      <c r="F26" s="315">
        <v>0.53899477013374542</v>
      </c>
      <c r="G26" s="94">
        <v>9.3282271636897507E-2</v>
      </c>
    </row>
    <row r="27" spans="1:7" ht="20" customHeight="1" thickBot="1">
      <c r="A27" s="302" t="s">
        <v>97</v>
      </c>
      <c r="B27" s="328">
        <v>0</v>
      </c>
      <c r="C27" s="113">
        <v>76979193</v>
      </c>
      <c r="D27" s="329">
        <v>32101881</v>
      </c>
      <c r="E27" s="330">
        <v>109081074</v>
      </c>
      <c r="F27" s="315">
        <v>1</v>
      </c>
      <c r="G27" s="94">
        <v>1.4084479545230622E-2</v>
      </c>
    </row>
    <row r="28" spans="1:7" ht="20" customHeight="1" thickBot="1">
      <c r="A28" s="302" t="s">
        <v>98</v>
      </c>
      <c r="B28" s="328">
        <v>0</v>
      </c>
      <c r="C28" s="113">
        <v>107452539</v>
      </c>
      <c r="D28" s="329">
        <v>44045926</v>
      </c>
      <c r="E28" s="330">
        <v>151498465</v>
      </c>
      <c r="F28" s="315">
        <v>1</v>
      </c>
      <c r="G28" s="94">
        <v>2.3252289670083082E-2</v>
      </c>
    </row>
    <row r="29" spans="1:7" ht="20" customHeight="1" thickBot="1">
      <c r="A29" s="302" t="s">
        <v>99</v>
      </c>
      <c r="B29" s="328">
        <v>0</v>
      </c>
      <c r="C29" s="113">
        <v>201820260</v>
      </c>
      <c r="D29" s="329">
        <v>100432524</v>
      </c>
      <c r="E29" s="330">
        <v>302252784</v>
      </c>
      <c r="F29" s="315">
        <v>1</v>
      </c>
      <c r="G29" s="94">
        <v>1.4417064587183503E-2</v>
      </c>
    </row>
    <row r="30" spans="1:7" ht="20" customHeight="1" thickBot="1">
      <c r="A30" s="302" t="s">
        <v>100</v>
      </c>
      <c r="B30" s="328">
        <v>0</v>
      </c>
      <c r="C30" s="113">
        <v>120396910</v>
      </c>
      <c r="D30" s="329">
        <v>10284227</v>
      </c>
      <c r="E30" s="330">
        <v>130681137</v>
      </c>
      <c r="F30" s="315">
        <v>1</v>
      </c>
      <c r="G30" s="94">
        <v>1.3229955934184634E-2</v>
      </c>
    </row>
    <row r="31" spans="1:7" ht="20" customHeight="1" thickBot="1">
      <c r="A31" s="302" t="s">
        <v>101</v>
      </c>
      <c r="B31" s="328">
        <v>0</v>
      </c>
      <c r="C31" s="113">
        <v>65059807</v>
      </c>
      <c r="D31" s="329">
        <v>15019965</v>
      </c>
      <c r="E31" s="330">
        <v>80079772</v>
      </c>
      <c r="F31" s="315">
        <v>1</v>
      </c>
      <c r="G31" s="94">
        <v>1.5476602391261363E-2</v>
      </c>
    </row>
    <row r="32" spans="1:7" ht="20" customHeight="1" thickBot="1">
      <c r="A32" s="302" t="s">
        <v>102</v>
      </c>
      <c r="B32" s="328">
        <v>0</v>
      </c>
      <c r="C32" s="113">
        <v>105234005</v>
      </c>
      <c r="D32" s="329">
        <v>94399364</v>
      </c>
      <c r="E32" s="330">
        <v>199633369</v>
      </c>
      <c r="F32" s="315">
        <v>1</v>
      </c>
      <c r="G32" s="94">
        <v>2.0685859463576817E-2</v>
      </c>
    </row>
    <row r="33" spans="1:9" ht="20" customHeight="1" thickBot="1">
      <c r="A33" s="302" t="s">
        <v>103</v>
      </c>
      <c r="B33" s="328">
        <v>0</v>
      </c>
      <c r="C33" s="113">
        <v>29452095</v>
      </c>
      <c r="D33" s="329">
        <v>3165486</v>
      </c>
      <c r="E33" s="330">
        <v>32617581</v>
      </c>
      <c r="F33" s="315">
        <v>1</v>
      </c>
      <c r="G33" s="94">
        <v>1.8326649717856913E-2</v>
      </c>
      <c r="H33" s="43"/>
      <c r="I33" s="43"/>
    </row>
    <row r="34" spans="1:9" s="109" customFormat="1" ht="30" customHeight="1" thickBot="1">
      <c r="A34" s="303" t="s">
        <v>1483</v>
      </c>
      <c r="B34" s="332">
        <v>0.14691462892538176</v>
      </c>
      <c r="C34" s="1466">
        <f>SUM(C8:C33)</f>
        <v>1992733093.8439863</v>
      </c>
      <c r="D34" s="1467">
        <f>SUM(D8:D33)</f>
        <v>968326229.15601373</v>
      </c>
      <c r="E34" s="333">
        <v>2961059323</v>
      </c>
      <c r="F34" s="318">
        <v>0.85308537107461824</v>
      </c>
      <c r="G34" s="335">
        <v>3.9542203028963607E-2</v>
      </c>
      <c r="H34" s="336"/>
    </row>
    <row r="35" spans="1:9" ht="20" customHeight="1">
      <c r="A35" s="1468" t="s">
        <v>1732</v>
      </c>
      <c r="B35" s="319"/>
      <c r="C35" s="337"/>
      <c r="D35" s="309"/>
      <c r="E35" s="309"/>
      <c r="F35" s="320"/>
    </row>
    <row r="36" spans="1:9" ht="11.25" customHeight="1">
      <c r="A36" s="310"/>
      <c r="B36" s="320"/>
      <c r="C36" s="338"/>
      <c r="D36" s="311"/>
      <c r="E36" s="311"/>
      <c r="F36" s="320"/>
    </row>
    <row r="37" spans="1:9" ht="15.75" customHeight="1">
      <c r="A37" s="310" t="s">
        <v>1472</v>
      </c>
      <c r="B37" s="320"/>
      <c r="C37" s="338"/>
      <c r="D37" s="311"/>
      <c r="E37" s="311"/>
      <c r="F37" s="320"/>
    </row>
    <row r="38" spans="1:9" ht="10.5" customHeight="1">
      <c r="A38" s="310"/>
      <c r="B38" s="320"/>
      <c r="C38" s="338"/>
      <c r="D38" s="311"/>
      <c r="E38" s="311"/>
      <c r="F38" s="320"/>
    </row>
    <row r="39" spans="1:9" ht="11.25" customHeight="1">
      <c r="A39" s="37" t="s">
        <v>1473</v>
      </c>
      <c r="B39" s="320"/>
      <c r="C39" s="338"/>
      <c r="D39" s="311"/>
      <c r="E39" s="311"/>
      <c r="F39" s="320"/>
    </row>
    <row r="40" spans="1:9">
      <c r="A40" s="3" t="s">
        <v>1474</v>
      </c>
    </row>
    <row r="41" spans="1:9">
      <c r="A41" s="3" t="s">
        <v>1475</v>
      </c>
    </row>
    <row r="42" spans="1:9">
      <c r="A42" s="3" t="s">
        <v>1476</v>
      </c>
    </row>
    <row r="43" spans="1:9">
      <c r="A43" s="3" t="s">
        <v>1477</v>
      </c>
    </row>
    <row r="44" spans="1:9">
      <c r="A44" s="3" t="s">
        <v>1478</v>
      </c>
    </row>
    <row r="47" spans="1:9">
      <c r="A47" s="3" t="s">
        <v>256</v>
      </c>
    </row>
  </sheetData>
  <phoneticPr fontId="0" type="noConversion"/>
  <pageMargins left="0.53" right="0.64" top="0.67" bottom="0.49" header="0.38" footer="0.4921259845"/>
  <pageSetup paperSize="9" scale="90" orientation="portrait" horizontalDpi="1200" verticalDpi="1200"/>
  <headerFooter alignWithMargins="0">
    <oddHeader>&amp;L&amp;"Arial,Bold"Prämienverbilligung in der OKP</oddHead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A1E61-2FDF-0A49-9E4E-382D9BE2A107}">
  <sheetPr>
    <pageSetUpPr fitToPage="1"/>
  </sheetPr>
  <dimension ref="A1:K42"/>
  <sheetViews>
    <sheetView zoomScale="75" workbookViewId="0"/>
  </sheetViews>
  <sheetFormatPr baseColWidth="10" defaultColWidth="11.3984375" defaultRowHeight="13"/>
  <cols>
    <col min="1" max="1" width="11.796875" style="3" customWidth="1"/>
    <col min="2" max="3" width="17.19921875" style="3" customWidth="1"/>
    <col min="4" max="4" width="17.19921875" style="35" customWidth="1"/>
    <col min="5" max="5" width="16" style="100" customWidth="1"/>
    <col min="6" max="6" width="13.19921875" style="100" customWidth="1"/>
    <col min="7" max="7" width="14.59765625" style="100" customWidth="1"/>
    <col min="8" max="8" width="7.3984375" style="3" customWidth="1"/>
    <col min="9" max="9" width="11.59765625" style="3" customWidth="1"/>
    <col min="10" max="16384" width="11.3984375" style="3"/>
  </cols>
  <sheetData>
    <row r="1" spans="1:9" s="1" customFormat="1" ht="14" customHeight="1">
      <c r="D1" s="58"/>
      <c r="E1" s="90"/>
      <c r="F1" s="90"/>
      <c r="G1" s="90"/>
    </row>
    <row r="2" spans="1:9" s="1" customFormat="1" ht="28" customHeight="1">
      <c r="A2" s="59" t="s">
        <v>12</v>
      </c>
      <c r="D2" s="58"/>
      <c r="E2" s="90"/>
      <c r="F2" s="90"/>
      <c r="G2" s="321">
        <v>2003</v>
      </c>
    </row>
    <row r="3" spans="1:9" ht="24" customHeight="1">
      <c r="A3" s="2" t="s">
        <v>70</v>
      </c>
      <c r="B3" s="69" t="s">
        <v>338</v>
      </c>
      <c r="C3" s="16" t="s">
        <v>338</v>
      </c>
      <c r="D3" s="339" t="s">
        <v>22</v>
      </c>
      <c r="E3" s="91" t="s">
        <v>24</v>
      </c>
      <c r="F3" s="312" t="s">
        <v>22</v>
      </c>
      <c r="G3" s="91" t="s">
        <v>22</v>
      </c>
    </row>
    <row r="4" spans="1:9" ht="15" customHeight="1">
      <c r="A4" s="77"/>
      <c r="B4" s="14" t="s">
        <v>13</v>
      </c>
      <c r="C4" s="61" t="s">
        <v>13</v>
      </c>
      <c r="D4" s="340" t="s">
        <v>338</v>
      </c>
      <c r="E4" s="4" t="s">
        <v>25</v>
      </c>
      <c r="F4" s="103" t="s">
        <v>338</v>
      </c>
      <c r="G4" s="4" t="s">
        <v>338</v>
      </c>
    </row>
    <row r="5" spans="1:9" ht="15" customHeight="1">
      <c r="A5" s="77"/>
      <c r="B5" s="70" t="s">
        <v>19</v>
      </c>
      <c r="C5" s="17" t="s">
        <v>20</v>
      </c>
      <c r="D5" s="340" t="s">
        <v>21</v>
      </c>
      <c r="E5" s="4" t="s">
        <v>26</v>
      </c>
      <c r="F5" s="103" t="s">
        <v>14</v>
      </c>
      <c r="G5" s="4" t="s">
        <v>15</v>
      </c>
    </row>
    <row r="6" spans="1:9" ht="15" customHeight="1">
      <c r="A6" s="77"/>
      <c r="B6" s="70" t="s">
        <v>1925</v>
      </c>
      <c r="C6" s="17" t="s">
        <v>16</v>
      </c>
      <c r="D6" s="340" t="s">
        <v>1925</v>
      </c>
      <c r="E6" s="4"/>
      <c r="F6" s="103" t="s">
        <v>1925</v>
      </c>
      <c r="G6" s="4" t="s">
        <v>1925</v>
      </c>
    </row>
    <row r="7" spans="1:9" ht="24" customHeight="1">
      <c r="A7" s="78"/>
      <c r="B7" s="73"/>
      <c r="C7" s="18" t="s">
        <v>1925</v>
      </c>
      <c r="D7" s="341"/>
      <c r="E7" s="105"/>
      <c r="F7" s="104"/>
      <c r="G7" s="105"/>
    </row>
    <row r="8" spans="1:9" ht="30" customHeight="1" thickBot="1">
      <c r="A8" s="297" t="s">
        <v>78</v>
      </c>
      <c r="B8" s="87">
        <v>467217913</v>
      </c>
      <c r="C8" s="93">
        <v>875048</v>
      </c>
      <c r="D8" s="342">
        <v>468092961</v>
      </c>
      <c r="E8" s="94">
        <v>0.16346175028175597</v>
      </c>
      <c r="F8" s="326">
        <v>1821.1466315478228</v>
      </c>
      <c r="G8" s="461">
        <v>1191.7646095836526</v>
      </c>
      <c r="H8" s="42"/>
      <c r="I8" s="64"/>
    </row>
    <row r="9" spans="1:9" ht="20" customHeight="1" thickBot="1">
      <c r="A9" s="302" t="s">
        <v>79</v>
      </c>
      <c r="B9" s="75">
        <v>436563121</v>
      </c>
      <c r="C9" s="113">
        <v>15747312</v>
      </c>
      <c r="D9" s="82">
        <v>452310433</v>
      </c>
      <c r="E9" s="94">
        <v>6.9559639261348874E-3</v>
      </c>
      <c r="F9" s="329">
        <v>2421.9578263496828</v>
      </c>
      <c r="G9" s="461">
        <v>1434.9893832904972</v>
      </c>
      <c r="H9" s="42"/>
      <c r="I9" s="64"/>
    </row>
    <row r="10" spans="1:9" ht="20" customHeight="1" thickBot="1">
      <c r="A10" s="302" t="s">
        <v>80</v>
      </c>
      <c r="B10" s="75">
        <v>142059884</v>
      </c>
      <c r="C10" s="113">
        <v>0</v>
      </c>
      <c r="D10" s="82">
        <v>142059884</v>
      </c>
      <c r="E10" s="94">
        <v>0.20253293631711858</v>
      </c>
      <c r="F10" s="329">
        <v>2190.9635250389424</v>
      </c>
      <c r="G10" s="461">
        <v>922.74839723811817</v>
      </c>
      <c r="H10" s="42"/>
      <c r="I10" s="64"/>
    </row>
    <row r="11" spans="1:9" ht="20" customHeight="1" thickBot="1">
      <c r="A11" s="302" t="s">
        <v>81</v>
      </c>
      <c r="B11" s="75">
        <v>11445523</v>
      </c>
      <c r="C11" s="113">
        <v>207006</v>
      </c>
      <c r="D11" s="82">
        <v>11652529</v>
      </c>
      <c r="E11" s="94">
        <v>0.1084253721241772</v>
      </c>
      <c r="F11" s="329">
        <v>2088.2668458781363</v>
      </c>
      <c r="G11" s="461">
        <v>842.85924050632912</v>
      </c>
      <c r="H11" s="42"/>
      <c r="I11" s="64"/>
    </row>
    <row r="12" spans="1:9" ht="20" customHeight="1" thickBot="1">
      <c r="A12" s="302" t="s">
        <v>82</v>
      </c>
      <c r="B12" s="75">
        <v>51238978</v>
      </c>
      <c r="C12" s="113">
        <v>160235</v>
      </c>
      <c r="D12" s="82">
        <v>51399213</v>
      </c>
      <c r="E12" s="94">
        <v>0.18102011416043889</v>
      </c>
      <c r="F12" s="329">
        <v>2151.0446955430007</v>
      </c>
      <c r="G12" s="461">
        <v>923.43315786636958</v>
      </c>
      <c r="H12" s="42"/>
      <c r="I12" s="64"/>
    </row>
    <row r="13" spans="1:9" ht="20" customHeight="1" thickBot="1">
      <c r="A13" s="302" t="s">
        <v>83</v>
      </c>
      <c r="B13" s="75">
        <v>14927972</v>
      </c>
      <c r="C13" s="113">
        <v>0</v>
      </c>
      <c r="D13" s="82">
        <v>14927972</v>
      </c>
      <c r="E13" s="94">
        <v>2.7167983565281436E-2</v>
      </c>
      <c r="F13" s="329">
        <v>1915.3158840133435</v>
      </c>
      <c r="G13" s="461">
        <v>857.338157592465</v>
      </c>
      <c r="H13" s="42"/>
      <c r="I13" s="64"/>
    </row>
    <row r="14" spans="1:9" ht="20" customHeight="1" thickBot="1">
      <c r="A14" s="302" t="s">
        <v>84</v>
      </c>
      <c r="B14" s="75">
        <v>9423800</v>
      </c>
      <c r="C14" s="113">
        <v>193531</v>
      </c>
      <c r="D14" s="82">
        <v>9617331</v>
      </c>
      <c r="E14" s="94">
        <v>-3.0733079003167924E-2</v>
      </c>
      <c r="F14" s="329">
        <v>1418.6946452279096</v>
      </c>
      <c r="G14" s="461">
        <v>707.41677087164396</v>
      </c>
      <c r="H14" s="42"/>
      <c r="I14" s="64"/>
    </row>
    <row r="15" spans="1:9" ht="20" customHeight="1" thickBot="1">
      <c r="A15" s="302" t="s">
        <v>85</v>
      </c>
      <c r="B15" s="75">
        <v>17291018</v>
      </c>
      <c r="C15" s="113">
        <v>2043</v>
      </c>
      <c r="D15" s="82">
        <v>17293061</v>
      </c>
      <c r="E15" s="94">
        <v>0.16749335409469862</v>
      </c>
      <c r="F15" s="329">
        <v>2223.6159187347307</v>
      </c>
      <c r="G15" s="461">
        <v>1255.4857702918541</v>
      </c>
      <c r="H15" s="42"/>
      <c r="I15" s="64"/>
    </row>
    <row r="16" spans="1:9" ht="20" customHeight="1" thickBot="1">
      <c r="A16" s="302" t="s">
        <v>86</v>
      </c>
      <c r="B16" s="75">
        <v>27180836</v>
      </c>
      <c r="C16" s="113">
        <v>1408551</v>
      </c>
      <c r="D16" s="82">
        <v>28589387</v>
      </c>
      <c r="E16" s="94">
        <v>0.11108746043099148</v>
      </c>
      <c r="F16" s="329">
        <v>1866.1479765013055</v>
      </c>
      <c r="G16" s="461">
        <v>941.12143656593582</v>
      </c>
      <c r="H16" s="42"/>
      <c r="I16" s="64"/>
    </row>
    <row r="17" spans="1:9" ht="20" customHeight="1" thickBot="1">
      <c r="A17" s="302" t="s">
        <v>87</v>
      </c>
      <c r="B17" s="75">
        <v>111441675</v>
      </c>
      <c r="C17" s="113">
        <v>769880</v>
      </c>
      <c r="D17" s="82">
        <v>112211555</v>
      </c>
      <c r="E17" s="94">
        <v>3.1189962574048265E-2</v>
      </c>
      <c r="F17" s="329">
        <v>2946.49988183704</v>
      </c>
      <c r="G17" s="461">
        <v>1198.7773623203889</v>
      </c>
      <c r="H17" s="42"/>
      <c r="I17" s="64"/>
    </row>
    <row r="18" spans="1:9" ht="20" customHeight="1" thickBot="1">
      <c r="A18" s="302" t="s">
        <v>88</v>
      </c>
      <c r="B18" s="75">
        <v>71715030</v>
      </c>
      <c r="C18" s="113">
        <v>5118765</v>
      </c>
      <c r="D18" s="82">
        <v>76833795</v>
      </c>
      <c r="E18" s="94">
        <v>2.5398765730695858E-2</v>
      </c>
      <c r="F18" s="329">
        <v>2906.847571125908</v>
      </c>
      <c r="G18" s="461">
        <v>1078.4295960474974</v>
      </c>
      <c r="H18" s="42"/>
      <c r="I18" s="64"/>
    </row>
    <row r="19" spans="1:9" ht="20" customHeight="1" thickBot="1">
      <c r="A19" s="302" t="s">
        <v>89</v>
      </c>
      <c r="B19" s="75">
        <v>109409790</v>
      </c>
      <c r="C19" s="113">
        <v>12521</v>
      </c>
      <c r="D19" s="82">
        <v>109422311</v>
      </c>
      <c r="E19" s="94">
        <v>0.13145866800119857</v>
      </c>
      <c r="F19" s="329">
        <v>2969.8008142217395</v>
      </c>
      <c r="G19" s="461">
        <v>1820.2467145756395</v>
      </c>
      <c r="H19" s="42"/>
      <c r="I19" s="64"/>
    </row>
    <row r="20" spans="1:9" ht="20" customHeight="1" thickBot="1">
      <c r="A20" s="302" t="s">
        <v>90</v>
      </c>
      <c r="B20" s="75">
        <v>85111705</v>
      </c>
      <c r="C20" s="113">
        <v>4688823</v>
      </c>
      <c r="D20" s="84">
        <v>89800528</v>
      </c>
      <c r="E20" s="94">
        <v>-0.20679135244423777</v>
      </c>
      <c r="F20" s="329">
        <v>2122.6930150100461</v>
      </c>
      <c r="G20" s="461">
        <v>968.79514094915476</v>
      </c>
      <c r="H20" s="42"/>
      <c r="I20" s="64"/>
    </row>
    <row r="21" spans="1:9" ht="20" customHeight="1" thickBot="1">
      <c r="A21" s="302" t="s">
        <v>91</v>
      </c>
      <c r="B21" s="75">
        <v>28240933</v>
      </c>
      <c r="C21" s="113">
        <v>1020112</v>
      </c>
      <c r="D21" s="82">
        <v>29261045</v>
      </c>
      <c r="E21" s="94">
        <v>4.9778284255692128E-3</v>
      </c>
      <c r="F21" s="329">
        <v>2520.7654203997245</v>
      </c>
      <c r="G21" s="461">
        <v>1130.9927721088436</v>
      </c>
      <c r="H21" s="42"/>
      <c r="I21" s="64"/>
    </row>
    <row r="22" spans="1:9" ht="20" customHeight="1" thickBot="1">
      <c r="A22" s="302" t="s">
        <v>92</v>
      </c>
      <c r="B22" s="75">
        <v>17218864</v>
      </c>
      <c r="C22" s="113">
        <v>1182459</v>
      </c>
      <c r="D22" s="82">
        <v>18401323</v>
      </c>
      <c r="E22" s="94">
        <v>-5.5383260952146282E-2</v>
      </c>
      <c r="F22" s="329">
        <v>4730.4172236503855</v>
      </c>
      <c r="G22" s="461">
        <v>1510.2858667104399</v>
      </c>
      <c r="H22" s="42"/>
      <c r="I22" s="64"/>
    </row>
    <row r="23" spans="1:9" ht="20" customHeight="1" thickBot="1">
      <c r="A23" s="302" t="s">
        <v>93</v>
      </c>
      <c r="B23" s="75">
        <v>4758603</v>
      </c>
      <c r="C23" s="113">
        <v>79745</v>
      </c>
      <c r="D23" s="82">
        <v>4838348</v>
      </c>
      <c r="E23" s="94">
        <v>-0.12253089011369463</v>
      </c>
      <c r="F23" s="329">
        <v>2147.5135375055484</v>
      </c>
      <c r="G23" s="461">
        <v>668.00331354411151</v>
      </c>
      <c r="H23" s="42"/>
      <c r="I23" s="64"/>
    </row>
    <row r="24" spans="1:9" ht="20" customHeight="1" thickBot="1">
      <c r="A24" s="302" t="s">
        <v>94</v>
      </c>
      <c r="B24" s="75">
        <v>114482056</v>
      </c>
      <c r="C24" s="113">
        <v>0</v>
      </c>
      <c r="D24" s="82">
        <v>114482056</v>
      </c>
      <c r="E24" s="94">
        <v>-6.4322259542045623E-2</v>
      </c>
      <c r="F24" s="329">
        <v>1763.0525764622539</v>
      </c>
      <c r="G24" s="461">
        <v>724.95080327007224</v>
      </c>
      <c r="H24" s="42"/>
      <c r="I24" s="64"/>
    </row>
    <row r="25" spans="1:9" ht="20" customHeight="1" thickBot="1">
      <c r="A25" s="302" t="s">
        <v>95</v>
      </c>
      <c r="B25" s="75">
        <v>61207846</v>
      </c>
      <c r="C25" s="113">
        <v>1426964</v>
      </c>
      <c r="D25" s="82">
        <v>62634810</v>
      </c>
      <c r="E25" s="94">
        <v>0.1018953625308313</v>
      </c>
      <c r="F25" s="329">
        <v>2283.9414381563593</v>
      </c>
      <c r="G25" s="461">
        <v>971.89600595847685</v>
      </c>
      <c r="H25" s="42"/>
      <c r="I25" s="64"/>
    </row>
    <row r="26" spans="1:9" ht="20" customHeight="1" thickBot="1">
      <c r="A26" s="302" t="s">
        <v>96</v>
      </c>
      <c r="B26" s="75">
        <v>142783312</v>
      </c>
      <c r="C26" s="113">
        <v>217456</v>
      </c>
      <c r="D26" s="82">
        <v>143000768</v>
      </c>
      <c r="E26" s="94">
        <v>0.10673965227200821</v>
      </c>
      <c r="F26" s="329">
        <v>2503.3833657195873</v>
      </c>
      <c r="G26" s="461">
        <v>915.88486812609676</v>
      </c>
      <c r="H26" s="42"/>
      <c r="I26" s="64"/>
    </row>
    <row r="27" spans="1:9" ht="20" customHeight="1" thickBot="1">
      <c r="A27" s="302" t="s">
        <v>97</v>
      </c>
      <c r="B27" s="75">
        <v>95961592</v>
      </c>
      <c r="C27" s="113">
        <v>5850000</v>
      </c>
      <c r="D27" s="82">
        <v>101811592</v>
      </c>
      <c r="E27" s="94">
        <v>8.3420204619811984E-3</v>
      </c>
      <c r="F27" s="329">
        <v>1832.5610094137553</v>
      </c>
      <c r="G27" s="461">
        <v>1134.9853628083788</v>
      </c>
      <c r="H27" s="42"/>
      <c r="I27" s="64"/>
    </row>
    <row r="28" spans="1:9" ht="20" customHeight="1" thickBot="1">
      <c r="A28" s="302" t="s">
        <v>98</v>
      </c>
      <c r="B28" s="75">
        <v>175818855</v>
      </c>
      <c r="C28" s="113">
        <v>3318897</v>
      </c>
      <c r="D28" s="82">
        <v>179137752</v>
      </c>
      <c r="E28" s="94">
        <v>0.14239261492640071</v>
      </c>
      <c r="F28" s="329">
        <v>3115.8184822500129</v>
      </c>
      <c r="G28" s="461">
        <v>1924.8463670943202</v>
      </c>
      <c r="H28" s="42"/>
      <c r="I28" s="64"/>
    </row>
    <row r="29" spans="1:9" ht="20" customHeight="1" thickBot="1">
      <c r="A29" s="302" t="s">
        <v>99</v>
      </c>
      <c r="B29" s="75">
        <v>325504985</v>
      </c>
      <c r="C29" s="113">
        <v>0</v>
      </c>
      <c r="D29" s="82">
        <v>325504985</v>
      </c>
      <c r="E29" s="94">
        <v>3.8543365786396541E-2</v>
      </c>
      <c r="F29" s="329">
        <v>4145.5569352640759</v>
      </c>
      <c r="G29" s="461">
        <v>2151.3736525204727</v>
      </c>
      <c r="H29" s="42"/>
      <c r="I29" s="64"/>
    </row>
    <row r="30" spans="1:9" ht="20" customHeight="1" thickBot="1">
      <c r="A30" s="302" t="s">
        <v>100</v>
      </c>
      <c r="B30" s="75">
        <v>126600185</v>
      </c>
      <c r="C30" s="113">
        <v>4132320</v>
      </c>
      <c r="D30" s="82">
        <v>130732505</v>
      </c>
      <c r="E30" s="94">
        <v>1.3538224924112071E-2</v>
      </c>
      <c r="F30" s="329">
        <v>2686.652383888204</v>
      </c>
      <c r="G30" s="461">
        <v>1455.8023295954388</v>
      </c>
      <c r="H30" s="42"/>
      <c r="I30" s="64"/>
    </row>
    <row r="31" spans="1:9" ht="20" customHeight="1" thickBot="1">
      <c r="A31" s="302" t="s">
        <v>101</v>
      </c>
      <c r="B31" s="75">
        <v>79815640</v>
      </c>
      <c r="C31" s="113">
        <v>0</v>
      </c>
      <c r="D31" s="82">
        <v>79815640</v>
      </c>
      <c r="E31" s="94">
        <v>7.9381167454615435E-3</v>
      </c>
      <c r="F31" s="329">
        <v>2502.3714572360172</v>
      </c>
      <c r="G31" s="461">
        <v>1409.8963099044356</v>
      </c>
      <c r="H31" s="42"/>
      <c r="I31" s="64"/>
    </row>
    <row r="32" spans="1:9" ht="20" customHeight="1" thickBot="1">
      <c r="A32" s="302" t="s">
        <v>102</v>
      </c>
      <c r="B32" s="75">
        <v>241979933</v>
      </c>
      <c r="C32" s="113">
        <v>17071076</v>
      </c>
      <c r="D32" s="82">
        <v>259051009</v>
      </c>
      <c r="E32" s="94">
        <v>9.8765632706148229E-2</v>
      </c>
      <c r="F32" s="329">
        <v>2254.1659835887262</v>
      </c>
      <c r="G32" s="461">
        <v>1493.6661938616064</v>
      </c>
      <c r="I32" s="64"/>
    </row>
    <row r="33" spans="1:11" ht="20" customHeight="1" thickBot="1">
      <c r="A33" s="302" t="s">
        <v>103</v>
      </c>
      <c r="B33" s="75">
        <v>29784576.25</v>
      </c>
      <c r="C33" s="113">
        <v>2833004.75</v>
      </c>
      <c r="D33" s="82">
        <v>32617581</v>
      </c>
      <c r="E33" s="94">
        <v>1.8326649717857017E-2</v>
      </c>
      <c r="F33" s="329">
        <v>2389.2163053032523</v>
      </c>
      <c r="G33" s="461">
        <v>1275.2700082105016</v>
      </c>
      <c r="I33" s="43"/>
      <c r="J33" s="43"/>
      <c r="K33" s="43"/>
    </row>
    <row r="34" spans="1:11" ht="30" customHeight="1" thickBot="1">
      <c r="A34" s="303" t="s">
        <v>104</v>
      </c>
      <c r="B34" s="344">
        <v>2999184625.25</v>
      </c>
      <c r="C34" s="333">
        <v>66315748.75</v>
      </c>
      <c r="D34" s="344">
        <v>3065500374</v>
      </c>
      <c r="E34" s="97">
        <v>5.9980234799414077E-2</v>
      </c>
      <c r="F34" s="334">
        <v>2381.2207531966164</v>
      </c>
      <c r="G34" s="462">
        <v>1262.8124985787954</v>
      </c>
      <c r="I34" s="64"/>
    </row>
    <row r="35" spans="1:11" ht="20" customHeight="1">
      <c r="A35" s="308" t="s">
        <v>1605</v>
      </c>
      <c r="B35" s="309"/>
      <c r="C35" s="309"/>
      <c r="D35" s="337"/>
      <c r="E35" s="319"/>
      <c r="F35" s="319"/>
      <c r="G35" s="319"/>
    </row>
    <row r="36" spans="1:11" ht="8.25" customHeight="1">
      <c r="A36" s="310"/>
      <c r="B36" s="311"/>
      <c r="C36" s="311"/>
      <c r="D36" s="338"/>
      <c r="E36" s="320"/>
      <c r="F36" s="320"/>
      <c r="G36" s="320"/>
    </row>
    <row r="37" spans="1:11" ht="14.25" customHeight="1">
      <c r="A37" s="310" t="s">
        <v>17</v>
      </c>
      <c r="B37" s="311"/>
      <c r="C37" s="311"/>
      <c r="D37" s="338"/>
      <c r="E37" s="320"/>
      <c r="F37" s="320"/>
      <c r="G37" s="320"/>
    </row>
    <row r="38" spans="1:11" ht="12.75" customHeight="1">
      <c r="A38" s="310"/>
      <c r="B38" s="311"/>
      <c r="C38" s="311"/>
      <c r="D38" s="338"/>
      <c r="E38" s="320"/>
      <c r="F38" s="320"/>
      <c r="G38" s="320"/>
    </row>
    <row r="39" spans="1:11" ht="11.25" customHeight="1">
      <c r="A39" s="37" t="s">
        <v>18</v>
      </c>
      <c r="B39" s="311"/>
      <c r="C39" s="311"/>
      <c r="D39" s="338"/>
      <c r="E39" s="320"/>
      <c r="F39" s="320"/>
      <c r="G39" s="320"/>
    </row>
    <row r="42" spans="1:11">
      <c r="A42" s="3" t="s">
        <v>256</v>
      </c>
    </row>
  </sheetData>
  <phoneticPr fontId="0" type="noConversion"/>
  <pageMargins left="0.59" right="0.56999999999999995" top="0.87" bottom="0.49" header="0.42" footer="0.4921259845"/>
  <pageSetup paperSize="9" scale="86" orientation="portrait" horizontalDpi="4294967292" verticalDpi="4294967292"/>
  <headerFooter alignWithMargins="0">
    <oddHeader>&amp;L&amp;"Arial,Bold"Prämienverbilligung in der OKP</oddHead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A92F6-E34B-FA48-A9A2-FCA2D7C16B22}">
  <sheetPr>
    <pageSetUpPr fitToPage="1"/>
  </sheetPr>
  <dimension ref="A1:N41"/>
  <sheetViews>
    <sheetView zoomScale="75" workbookViewId="0">
      <selection activeCell="A3" sqref="A3"/>
    </sheetView>
  </sheetViews>
  <sheetFormatPr baseColWidth="10" defaultColWidth="11.3984375" defaultRowHeight="13"/>
  <cols>
    <col min="1" max="1" width="11.19921875" style="3" customWidth="1"/>
    <col min="2" max="8" width="11.3984375" style="3"/>
    <col min="9" max="9" width="11.3984375" style="100"/>
    <col min="10" max="10" width="14.19921875" style="3" customWidth="1"/>
    <col min="11" max="16384" width="11.3984375" style="3"/>
  </cols>
  <sheetData>
    <row r="1" spans="1:11" s="1" customFormat="1" ht="14" customHeight="1">
      <c r="I1" s="90"/>
    </row>
    <row r="2" spans="1:11" s="1" customFormat="1" ht="28" customHeight="1">
      <c r="A2" s="59" t="s">
        <v>2041</v>
      </c>
      <c r="I2" s="296"/>
      <c r="J2" s="296">
        <v>2003</v>
      </c>
    </row>
    <row r="3" spans="1:11" ht="24" customHeight="1">
      <c r="A3" s="2"/>
      <c r="B3" s="69"/>
      <c r="C3" s="16"/>
      <c r="D3" s="69"/>
      <c r="E3" s="2"/>
      <c r="F3" s="85"/>
      <c r="G3" s="16"/>
      <c r="H3" s="69"/>
      <c r="I3" s="16"/>
      <c r="J3" s="312"/>
    </row>
    <row r="4" spans="1:11" ht="15" customHeight="1">
      <c r="A4" s="77" t="s">
        <v>70</v>
      </c>
      <c r="B4" s="70">
        <v>1996</v>
      </c>
      <c r="C4" s="17">
        <v>1997</v>
      </c>
      <c r="D4" s="70">
        <v>1998</v>
      </c>
      <c r="E4" s="17">
        <v>1999</v>
      </c>
      <c r="F4" s="70">
        <v>2000</v>
      </c>
      <c r="G4" s="17">
        <v>2001</v>
      </c>
      <c r="H4" s="70">
        <v>2002</v>
      </c>
      <c r="I4" s="17">
        <v>2003</v>
      </c>
      <c r="J4" s="71" t="s">
        <v>1456</v>
      </c>
    </row>
    <row r="5" spans="1:11" ht="15" customHeight="1">
      <c r="A5" s="77"/>
      <c r="B5" s="70"/>
      <c r="C5" s="17"/>
      <c r="D5" s="70"/>
      <c r="E5" s="17"/>
      <c r="F5" s="14"/>
      <c r="G5" s="102"/>
      <c r="H5" s="14"/>
      <c r="I5" s="102"/>
      <c r="J5" s="71" t="s">
        <v>1457</v>
      </c>
    </row>
    <row r="6" spans="1:11" ht="15" customHeight="1">
      <c r="A6" s="77"/>
      <c r="B6" s="70"/>
      <c r="C6" s="17"/>
      <c r="D6" s="70"/>
      <c r="E6" s="17"/>
      <c r="F6" s="14"/>
      <c r="G6" s="102"/>
      <c r="H6" s="14"/>
      <c r="I6" s="102"/>
      <c r="J6" s="71" t="s">
        <v>1458</v>
      </c>
    </row>
    <row r="7" spans="1:11" ht="15" customHeight="1">
      <c r="A7" s="77"/>
      <c r="B7" s="70"/>
      <c r="C7" s="17"/>
      <c r="D7" s="70"/>
      <c r="E7" s="17"/>
      <c r="F7" s="14"/>
      <c r="G7" s="102"/>
      <c r="H7" s="14"/>
      <c r="I7" s="102"/>
      <c r="J7" s="71" t="s">
        <v>627</v>
      </c>
    </row>
    <row r="8" spans="1:11" ht="16" customHeight="1">
      <c r="A8" s="78"/>
      <c r="B8" s="73"/>
      <c r="C8" s="18"/>
      <c r="D8" s="73"/>
      <c r="E8" s="18"/>
      <c r="F8" s="15"/>
      <c r="G8" s="105"/>
      <c r="H8" s="15"/>
      <c r="I8" s="105"/>
      <c r="J8" s="104"/>
    </row>
    <row r="9" spans="1:11" ht="30" customHeight="1" thickBot="1">
      <c r="A9" s="297" t="s">
        <v>78</v>
      </c>
      <c r="B9" s="313">
        <v>208.02833699999999</v>
      </c>
      <c r="C9" s="314">
        <v>229.52549999999999</v>
      </c>
      <c r="D9" s="313">
        <v>252.184923</v>
      </c>
      <c r="E9" s="314">
        <v>278.32009199999999</v>
      </c>
      <c r="F9" s="313">
        <v>283.539986</v>
      </c>
      <c r="G9" s="314">
        <v>374.5</v>
      </c>
      <c r="H9" s="313">
        <v>462.54706099999999</v>
      </c>
      <c r="I9" s="314">
        <v>468.50032700000003</v>
      </c>
      <c r="J9" s="315">
        <v>0.12297381248395212</v>
      </c>
      <c r="K9" s="42"/>
    </row>
    <row r="10" spans="1:11" ht="20" customHeight="1" thickBot="1">
      <c r="A10" s="302" t="s">
        <v>79</v>
      </c>
      <c r="B10" s="313">
        <v>302.45588199999997</v>
      </c>
      <c r="C10" s="314">
        <v>366.411</v>
      </c>
      <c r="D10" s="313">
        <v>401.072923</v>
      </c>
      <c r="E10" s="314">
        <v>440.72847000000002</v>
      </c>
      <c r="F10" s="313">
        <v>450.38905799999998</v>
      </c>
      <c r="G10" s="314">
        <v>445.1136643925189</v>
      </c>
      <c r="H10" s="313">
        <v>449.552413</v>
      </c>
      <c r="I10" s="314">
        <v>455.23220600000002</v>
      </c>
      <c r="J10" s="315">
        <v>6.0149902556479784E-2</v>
      </c>
      <c r="K10" s="42"/>
    </row>
    <row r="11" spans="1:11" ht="20" customHeight="1" thickBot="1">
      <c r="A11" s="302" t="s">
        <v>80</v>
      </c>
      <c r="B11" s="313">
        <v>59.121053000000003</v>
      </c>
      <c r="C11" s="314">
        <v>62.993000000000002</v>
      </c>
      <c r="D11" s="313">
        <v>68.385987</v>
      </c>
      <c r="E11" s="314">
        <v>75.359249000000005</v>
      </c>
      <c r="F11" s="313">
        <v>76.206051000000002</v>
      </c>
      <c r="G11" s="314">
        <v>90.4</v>
      </c>
      <c r="H11" s="313">
        <v>109.296161</v>
      </c>
      <c r="I11" s="314">
        <v>130</v>
      </c>
      <c r="J11" s="315">
        <v>0.11914377794593256</v>
      </c>
      <c r="K11" s="42"/>
    </row>
    <row r="12" spans="1:11" ht="20" customHeight="1" thickBot="1">
      <c r="A12" s="302" t="s">
        <v>81</v>
      </c>
      <c r="B12" s="313">
        <v>12.372119</v>
      </c>
      <c r="C12" s="314">
        <v>13.022</v>
      </c>
      <c r="D12" s="313">
        <v>10.546873</v>
      </c>
      <c r="E12" s="314">
        <v>9.482208</v>
      </c>
      <c r="F12" s="313">
        <v>9.4232610000000001</v>
      </c>
      <c r="G12" s="314">
        <v>9.3591941299035799</v>
      </c>
      <c r="H12" s="313">
        <v>9.7607149999999994</v>
      </c>
      <c r="I12" s="314">
        <v>9.8838629999999998</v>
      </c>
      <c r="J12" s="315">
        <v>-3.1568411466161628E-2</v>
      </c>
      <c r="K12" s="42"/>
    </row>
    <row r="13" spans="1:11" ht="20" customHeight="1" thickBot="1">
      <c r="A13" s="302" t="s">
        <v>82</v>
      </c>
      <c r="B13" s="313">
        <v>20.749811000000001</v>
      </c>
      <c r="C13" s="314">
        <v>22.084499999999998</v>
      </c>
      <c r="D13" s="313">
        <v>24.426442999999999</v>
      </c>
      <c r="E13" s="314">
        <v>26.996661</v>
      </c>
      <c r="F13" s="313">
        <v>27.426707</v>
      </c>
      <c r="G13" s="314">
        <v>28.228442394075312</v>
      </c>
      <c r="H13" s="313">
        <v>48.576996000000001</v>
      </c>
      <c r="I13" s="314">
        <v>55.338946999999997</v>
      </c>
      <c r="J13" s="315">
        <v>0.15042824303740598</v>
      </c>
      <c r="K13" s="42"/>
    </row>
    <row r="14" spans="1:11" ht="20" customHeight="1" thickBot="1">
      <c r="A14" s="302" t="s">
        <v>83</v>
      </c>
      <c r="B14" s="313">
        <v>5.4437319999999998</v>
      </c>
      <c r="C14" s="314">
        <v>5.7229999999999999</v>
      </c>
      <c r="D14" s="313">
        <v>6.2395350000000001</v>
      </c>
      <c r="E14" s="314">
        <v>8.2163050000000002</v>
      </c>
      <c r="F14" s="313">
        <v>13.891306999999999</v>
      </c>
      <c r="G14" s="314">
        <v>14.26696008169843</v>
      </c>
      <c r="H14" s="313">
        <v>15.217139</v>
      </c>
      <c r="I14" s="314">
        <v>15.401612999999999</v>
      </c>
      <c r="J14" s="315">
        <v>0.16017688917490758</v>
      </c>
      <c r="K14" s="42"/>
    </row>
    <row r="15" spans="1:11" ht="20" customHeight="1" thickBot="1">
      <c r="A15" s="302" t="s">
        <v>84</v>
      </c>
      <c r="B15" s="313">
        <v>6.0800130000000001</v>
      </c>
      <c r="C15" s="314">
        <v>6.4104999999999999</v>
      </c>
      <c r="D15" s="313">
        <v>8.5528999999999993</v>
      </c>
      <c r="E15" s="314">
        <v>7.7602570000000002</v>
      </c>
      <c r="F15" s="313">
        <v>7.8876049999999998</v>
      </c>
      <c r="G15" s="314">
        <v>8.0788652727799821</v>
      </c>
      <c r="H15" s="313">
        <v>8.7197600000000008</v>
      </c>
      <c r="I15" s="314">
        <v>8.8259209999999992</v>
      </c>
      <c r="J15" s="315">
        <v>5.4683661579530751E-2</v>
      </c>
      <c r="K15" s="42"/>
    </row>
    <row r="16" spans="1:11" ht="20" customHeight="1" thickBot="1">
      <c r="A16" s="302" t="s">
        <v>85</v>
      </c>
      <c r="B16" s="313">
        <v>6.8753640000000003</v>
      </c>
      <c r="C16" s="314">
        <v>7.1334999999999997</v>
      </c>
      <c r="D16" s="313">
        <v>11.703683</v>
      </c>
      <c r="E16" s="314">
        <v>10.225053000000001</v>
      </c>
      <c r="F16" s="313">
        <v>10.215057</v>
      </c>
      <c r="G16" s="314">
        <v>10.330177415570359</v>
      </c>
      <c r="H16" s="313">
        <v>12.645275</v>
      </c>
      <c r="I16" s="314">
        <v>12.804707000000001</v>
      </c>
      <c r="J16" s="315">
        <v>9.2903942908313608E-2</v>
      </c>
      <c r="K16" s="42"/>
    </row>
    <row r="17" spans="1:11" ht="20" customHeight="1" thickBot="1">
      <c r="A17" s="302" t="s">
        <v>86</v>
      </c>
      <c r="B17" s="313">
        <v>15.58887</v>
      </c>
      <c r="C17" s="314">
        <v>16.641999999999999</v>
      </c>
      <c r="D17" s="313">
        <v>18.408573000000001</v>
      </c>
      <c r="E17" s="314">
        <v>20.402721</v>
      </c>
      <c r="F17" s="313">
        <v>20.812159000000001</v>
      </c>
      <c r="G17" s="314">
        <v>21.509964723021834</v>
      </c>
      <c r="H17" s="313">
        <v>27.942114</v>
      </c>
      <c r="I17" s="314">
        <v>30.647459000000001</v>
      </c>
      <c r="J17" s="315">
        <v>0.10138707785114209</v>
      </c>
      <c r="K17" s="42"/>
    </row>
    <row r="18" spans="1:11" ht="20" customHeight="1" thickBot="1">
      <c r="A18" s="302" t="s">
        <v>87</v>
      </c>
      <c r="B18" s="313">
        <v>77.661556000000004</v>
      </c>
      <c r="C18" s="314">
        <v>86.614000000000004</v>
      </c>
      <c r="D18" s="313">
        <v>94.908370000000005</v>
      </c>
      <c r="E18" s="314">
        <v>104.299892</v>
      </c>
      <c r="F18" s="313">
        <v>106.172915</v>
      </c>
      <c r="G18" s="314">
        <v>109.42260126347651</v>
      </c>
      <c r="H18" s="313">
        <v>112.121354</v>
      </c>
      <c r="I18" s="314">
        <v>113.533097</v>
      </c>
      <c r="J18" s="315">
        <v>5.5746098853625581E-2</v>
      </c>
      <c r="K18" s="42"/>
    </row>
    <row r="19" spans="1:11" ht="20" customHeight="1" thickBot="1">
      <c r="A19" s="302" t="s">
        <v>88</v>
      </c>
      <c r="B19" s="313">
        <v>41.428924000000002</v>
      </c>
      <c r="C19" s="314">
        <v>47.377760000000002</v>
      </c>
      <c r="D19" s="313">
        <v>48.877597000000002</v>
      </c>
      <c r="E19" s="314">
        <v>54.281216999999998</v>
      </c>
      <c r="F19" s="313">
        <v>65.992671999999999</v>
      </c>
      <c r="G19" s="314">
        <v>67.724899335484295</v>
      </c>
      <c r="H19" s="313">
        <v>71.053872999999996</v>
      </c>
      <c r="I19" s="314">
        <v>78.945880000000002</v>
      </c>
      <c r="J19" s="315">
        <v>9.6487507497593716E-2</v>
      </c>
      <c r="K19" s="42"/>
    </row>
    <row r="20" spans="1:11" ht="20" customHeight="1" thickBot="1">
      <c r="A20" s="302" t="s">
        <v>89</v>
      </c>
      <c r="B20" s="313">
        <v>71.015961000000004</v>
      </c>
      <c r="C20" s="314">
        <v>79.185000000000002</v>
      </c>
      <c r="D20" s="313">
        <v>86.502579999999995</v>
      </c>
      <c r="E20" s="314">
        <v>94.720517999999998</v>
      </c>
      <c r="F20" s="313">
        <v>95.936736999999994</v>
      </c>
      <c r="G20" s="314">
        <v>97.711005187842218</v>
      </c>
      <c r="H20" s="313">
        <v>92.189965000000001</v>
      </c>
      <c r="I20" s="314">
        <v>94.847318999999999</v>
      </c>
      <c r="J20" s="315">
        <v>4.2203979909473555E-2</v>
      </c>
      <c r="K20" s="42"/>
    </row>
    <row r="21" spans="1:11" ht="20" customHeight="1" thickBot="1">
      <c r="A21" s="302" t="s">
        <v>90</v>
      </c>
      <c r="B21" s="313">
        <v>49.96922</v>
      </c>
      <c r="C21" s="314">
        <v>75.2</v>
      </c>
      <c r="D21" s="313">
        <v>69</v>
      </c>
      <c r="E21" s="314">
        <v>68</v>
      </c>
      <c r="F21" s="313">
        <v>68.866</v>
      </c>
      <c r="G21" s="314">
        <v>70.599999999999994</v>
      </c>
      <c r="H21" s="313">
        <v>94.837588999999994</v>
      </c>
      <c r="I21" s="314">
        <v>100</v>
      </c>
      <c r="J21" s="315">
        <v>0.10418664463108751</v>
      </c>
      <c r="K21" s="42"/>
    </row>
    <row r="22" spans="1:11" ht="20" customHeight="1" thickBot="1">
      <c r="A22" s="302" t="s">
        <v>91</v>
      </c>
      <c r="B22" s="313">
        <v>13.023387</v>
      </c>
      <c r="C22" s="314">
        <v>16.504200000000001</v>
      </c>
      <c r="D22" s="313">
        <v>19.61</v>
      </c>
      <c r="E22" s="314">
        <v>21.48</v>
      </c>
      <c r="F22" s="313">
        <v>21.7</v>
      </c>
      <c r="G22" s="314">
        <v>21</v>
      </c>
      <c r="H22" s="313">
        <v>26.869229000000001</v>
      </c>
      <c r="I22" s="314">
        <v>29</v>
      </c>
      <c r="J22" s="315">
        <v>0.12116032730063853</v>
      </c>
      <c r="K22" s="42"/>
    </row>
    <row r="23" spans="1:11" ht="20" customHeight="1" thickBot="1">
      <c r="A23" s="302" t="s">
        <v>92</v>
      </c>
      <c r="B23" s="313">
        <v>12.338538</v>
      </c>
      <c r="C23" s="314">
        <v>15.352069999999999</v>
      </c>
      <c r="D23" s="313">
        <v>11.720817</v>
      </c>
      <c r="E23" s="314">
        <v>19.864765999999999</v>
      </c>
      <c r="F23" s="313">
        <v>19.985984999999999</v>
      </c>
      <c r="G23" s="314">
        <v>17.692041315171217</v>
      </c>
      <c r="H23" s="313">
        <v>17.108695999999998</v>
      </c>
      <c r="I23" s="314">
        <v>20.382646000000001</v>
      </c>
      <c r="J23" s="315">
        <v>7.434163925457038E-2</v>
      </c>
      <c r="K23" s="42"/>
    </row>
    <row r="24" spans="1:11" ht="20" customHeight="1" thickBot="1">
      <c r="A24" s="302" t="s">
        <v>93</v>
      </c>
      <c r="B24" s="313">
        <v>5.054894</v>
      </c>
      <c r="C24" s="314">
        <v>5.1719999999999997</v>
      </c>
      <c r="D24" s="313">
        <v>4.4902410000000001</v>
      </c>
      <c r="E24" s="314">
        <v>4.3181000000000003</v>
      </c>
      <c r="F24" s="313">
        <v>4.3823920000000003</v>
      </c>
      <c r="G24" s="314">
        <v>4.4641876788328441</v>
      </c>
      <c r="H24" s="313">
        <v>4.8611490000000002</v>
      </c>
      <c r="I24" s="314">
        <v>4.9188289999999997</v>
      </c>
      <c r="J24" s="315">
        <v>-3.8904679963580602E-3</v>
      </c>
      <c r="K24" s="42"/>
    </row>
    <row r="25" spans="1:11" ht="20" customHeight="1" thickBot="1">
      <c r="A25" s="302" t="s">
        <v>94</v>
      </c>
      <c r="B25" s="313">
        <v>77.060625000000002</v>
      </c>
      <c r="C25" s="314">
        <v>81.010999999999996</v>
      </c>
      <c r="D25" s="313">
        <v>88.668353999999994</v>
      </c>
      <c r="E25" s="314">
        <v>97.827527000000003</v>
      </c>
      <c r="F25" s="313">
        <v>107.107665</v>
      </c>
      <c r="G25" s="314">
        <v>108.57650572945687</v>
      </c>
      <c r="H25" s="313">
        <v>115.413934</v>
      </c>
      <c r="I25" s="314">
        <v>117.04388400000001</v>
      </c>
      <c r="J25" s="315">
        <v>6.1526610097498491E-2</v>
      </c>
      <c r="K25" s="42"/>
    </row>
    <row r="26" spans="1:11" ht="20" customHeight="1" thickBot="1">
      <c r="A26" s="302" t="s">
        <v>95</v>
      </c>
      <c r="B26" s="313">
        <v>32.733091000000002</v>
      </c>
      <c r="C26" s="314">
        <v>44.806449999999998</v>
      </c>
      <c r="D26" s="313">
        <v>49.330170000000003</v>
      </c>
      <c r="E26" s="314">
        <v>50.118406</v>
      </c>
      <c r="F26" s="313">
        <v>44.911866000000003</v>
      </c>
      <c r="G26" s="314">
        <v>46.217323673464278</v>
      </c>
      <c r="H26" s="313">
        <v>52.626936000000001</v>
      </c>
      <c r="I26" s="314">
        <v>69.908443000000005</v>
      </c>
      <c r="J26" s="315">
        <v>0.11449343855519478</v>
      </c>
      <c r="K26" s="42"/>
    </row>
    <row r="27" spans="1:11" ht="20" customHeight="1" thickBot="1">
      <c r="A27" s="302" t="s">
        <v>96</v>
      </c>
      <c r="B27" s="313">
        <v>91.058794000000006</v>
      </c>
      <c r="C27" s="314">
        <v>95.263999999999996</v>
      </c>
      <c r="D27" s="313">
        <v>104.94936300000001</v>
      </c>
      <c r="E27" s="314">
        <v>116.237341</v>
      </c>
      <c r="F27" s="313">
        <v>118.30915400000001</v>
      </c>
      <c r="G27" s="314">
        <v>121.96191314696804</v>
      </c>
      <c r="H27" s="313">
        <v>128.05476100000001</v>
      </c>
      <c r="I27" s="314">
        <v>140</v>
      </c>
      <c r="J27" s="315">
        <v>6.3375357082589012E-2</v>
      </c>
      <c r="K27" s="42"/>
    </row>
    <row r="28" spans="1:11" ht="20" customHeight="1" thickBot="1">
      <c r="A28" s="302" t="s">
        <v>97</v>
      </c>
      <c r="B28" s="313">
        <v>76.282949000000002</v>
      </c>
      <c r="C28" s="314">
        <v>79.948999999999998</v>
      </c>
      <c r="D28" s="313">
        <v>89.029636999999994</v>
      </c>
      <c r="E28" s="314">
        <v>99.167377000000002</v>
      </c>
      <c r="F28" s="313">
        <v>101.064455</v>
      </c>
      <c r="G28" s="314">
        <v>103.64968751452297</v>
      </c>
      <c r="H28" s="313">
        <v>107.566062</v>
      </c>
      <c r="I28" s="314">
        <v>109.081074</v>
      </c>
      <c r="J28" s="315">
        <v>5.241940529851119E-2</v>
      </c>
      <c r="K28" s="42"/>
    </row>
    <row r="29" spans="1:11" ht="20" customHeight="1" thickBot="1">
      <c r="A29" s="302" t="s">
        <v>98</v>
      </c>
      <c r="B29" s="313">
        <v>104.03184400000001</v>
      </c>
      <c r="C29" s="314">
        <v>117.878</v>
      </c>
      <c r="D29" s="313">
        <v>129.50498099999999</v>
      </c>
      <c r="E29" s="314">
        <v>142.82915299999999</v>
      </c>
      <c r="F29" s="313">
        <v>143.635469</v>
      </c>
      <c r="G29" s="314">
        <v>147.12041913599123</v>
      </c>
      <c r="H29" s="313">
        <v>148.05582799999999</v>
      </c>
      <c r="I29" s="314">
        <v>151.49846500000001</v>
      </c>
      <c r="J29" s="315">
        <v>5.5164755605638272E-2</v>
      </c>
      <c r="K29" s="42"/>
    </row>
    <row r="30" spans="1:11" ht="20" customHeight="1" thickBot="1">
      <c r="A30" s="302" t="s">
        <v>99</v>
      </c>
      <c r="B30" s="313">
        <v>214.67393300000001</v>
      </c>
      <c r="C30" s="314">
        <v>253.94399999999999</v>
      </c>
      <c r="D30" s="313">
        <v>273.51549499999999</v>
      </c>
      <c r="E30" s="314">
        <v>298.11779300000001</v>
      </c>
      <c r="F30" s="313">
        <v>301.99840399999999</v>
      </c>
      <c r="G30" s="314">
        <v>309.29850757185102</v>
      </c>
      <c r="H30" s="313">
        <v>297.95711699999998</v>
      </c>
      <c r="I30" s="314">
        <v>302.25278400000002</v>
      </c>
      <c r="J30" s="315">
        <v>5.0091843757912313E-2</v>
      </c>
      <c r="K30" s="42"/>
    </row>
    <row r="31" spans="1:11" ht="20" customHeight="1" thickBot="1">
      <c r="A31" s="302" t="s">
        <v>100</v>
      </c>
      <c r="B31" s="313">
        <v>93.321123</v>
      </c>
      <c r="C31" s="314">
        <v>102.413</v>
      </c>
      <c r="D31" s="313">
        <v>110.830467</v>
      </c>
      <c r="E31" s="314">
        <v>120.494721</v>
      </c>
      <c r="F31" s="313">
        <v>121.71149</v>
      </c>
      <c r="G31" s="314">
        <v>123.17747842133434</v>
      </c>
      <c r="H31" s="313">
        <v>128.974806</v>
      </c>
      <c r="I31" s="314">
        <v>130.68113700000001</v>
      </c>
      <c r="J31" s="315">
        <v>4.9277647168514349E-2</v>
      </c>
      <c r="K31" s="42"/>
    </row>
    <row r="32" spans="1:11" ht="20" customHeight="1" thickBot="1">
      <c r="A32" s="302" t="s">
        <v>101</v>
      </c>
      <c r="B32" s="313">
        <v>58.042910999999997</v>
      </c>
      <c r="C32" s="314">
        <v>63.843000000000004</v>
      </c>
      <c r="D32" s="313">
        <v>70.720545999999999</v>
      </c>
      <c r="E32" s="314">
        <v>78.427205999999998</v>
      </c>
      <c r="F32" s="313">
        <v>79.717989000000003</v>
      </c>
      <c r="G32" s="314">
        <v>81.360590227278706</v>
      </c>
      <c r="H32" s="313">
        <v>78.859297999999995</v>
      </c>
      <c r="I32" s="314">
        <v>80.079772000000006</v>
      </c>
      <c r="J32" s="315">
        <v>4.7050583707526572E-2</v>
      </c>
      <c r="K32" s="42"/>
    </row>
    <row r="33" spans="1:14" ht="20" customHeight="1" thickBot="1">
      <c r="A33" s="302" t="s">
        <v>102</v>
      </c>
      <c r="B33" s="313">
        <v>137.43656300000001</v>
      </c>
      <c r="C33" s="314">
        <v>166.33799999999999</v>
      </c>
      <c r="D33" s="313">
        <v>181.58435900000001</v>
      </c>
      <c r="E33" s="314">
        <v>197.51832300000001</v>
      </c>
      <c r="F33" s="313">
        <v>199.71304699999999</v>
      </c>
      <c r="G33" s="314">
        <v>207.30310235958041</v>
      </c>
      <c r="H33" s="313">
        <v>195.58747399999999</v>
      </c>
      <c r="I33" s="314">
        <v>199.63336899999999</v>
      </c>
      <c r="J33" s="315">
        <v>5.4779182994612707E-2</v>
      </c>
    </row>
    <row r="34" spans="1:14" ht="20" customHeight="1" thickBot="1">
      <c r="A34" s="302" t="s">
        <v>103</v>
      </c>
      <c r="B34" s="313">
        <v>23.719118999999999</v>
      </c>
      <c r="C34" s="314">
        <v>26.375</v>
      </c>
      <c r="D34" s="313">
        <v>28.527671000000002</v>
      </c>
      <c r="E34" s="314">
        <v>31.454294999999998</v>
      </c>
      <c r="F34" s="313">
        <v>31.835632</v>
      </c>
      <c r="G34" s="314">
        <v>32.558516196523982</v>
      </c>
      <c r="H34" s="313">
        <v>32.030568000000002</v>
      </c>
      <c r="I34" s="314">
        <v>32.617581000000001</v>
      </c>
      <c r="J34" s="315">
        <v>4.6561471028080392E-2</v>
      </c>
      <c r="L34" s="43"/>
      <c r="M34" s="43"/>
      <c r="N34" s="43"/>
    </row>
    <row r="35" spans="1:14" s="109" customFormat="1" ht="30" customHeight="1" thickBot="1">
      <c r="A35" s="303" t="s">
        <v>104</v>
      </c>
      <c r="B35" s="316">
        <v>1815.5686129999999</v>
      </c>
      <c r="C35" s="317">
        <v>2087.17148</v>
      </c>
      <c r="D35" s="316">
        <v>2263.292488</v>
      </c>
      <c r="E35" s="317">
        <v>2476.6476510000002</v>
      </c>
      <c r="F35" s="316">
        <v>2532.833063</v>
      </c>
      <c r="G35" s="317">
        <v>2671.6260471673481</v>
      </c>
      <c r="H35" s="316">
        <v>2848.426273</v>
      </c>
      <c r="I35" s="317">
        <v>2961.0593229999999</v>
      </c>
      <c r="J35" s="318">
        <v>7.2377707792379953E-2</v>
      </c>
    </row>
    <row r="36" spans="1:14" ht="20" customHeight="1">
      <c r="A36" s="308" t="s">
        <v>624</v>
      </c>
      <c r="B36" s="309"/>
      <c r="C36" s="309"/>
      <c r="D36" s="309"/>
      <c r="E36" s="309"/>
      <c r="F36" s="309"/>
      <c r="G36" s="309"/>
      <c r="H36" s="309"/>
      <c r="I36" s="319"/>
    </row>
    <row r="37" spans="1:14" ht="11.25" customHeight="1">
      <c r="A37" s="37"/>
      <c r="B37" s="311"/>
      <c r="C37" s="311"/>
      <c r="D37" s="311"/>
      <c r="E37" s="311"/>
      <c r="F37" s="311"/>
      <c r="G37" s="311"/>
      <c r="H37" s="311"/>
      <c r="I37" s="320"/>
    </row>
    <row r="38" spans="1:14">
      <c r="A38" s="3" t="s">
        <v>1443</v>
      </c>
    </row>
    <row r="41" spans="1:14">
      <c r="A41" s="3" t="s">
        <v>256</v>
      </c>
    </row>
  </sheetData>
  <phoneticPr fontId="0" type="noConversion"/>
  <pageMargins left="0.56000000000000005" right="0.51" top="0.83" bottom="0.49" header="0.47" footer="0.4921259845"/>
  <pageSetup paperSize="9" scale="80" orientation="portrait" horizontalDpi="1200" verticalDpi="1200"/>
  <headerFooter alignWithMargins="0">
    <oddHeader>&amp;L&amp;"Arial,Bold"Prämienverbilligung in der OKP</oddHead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23AA4-314F-274C-A495-1D05275C9C84}">
  <sheetPr>
    <pageSetUpPr fitToPage="1"/>
  </sheetPr>
  <dimension ref="A1:N43"/>
  <sheetViews>
    <sheetView zoomScale="75" workbookViewId="0">
      <selection activeCell="A3" sqref="A3"/>
    </sheetView>
  </sheetViews>
  <sheetFormatPr baseColWidth="10" defaultColWidth="11.3984375" defaultRowHeight="13"/>
  <cols>
    <col min="1" max="6" width="11.19921875" style="3" customWidth="1"/>
    <col min="7" max="7" width="11.19921875" style="21" customWidth="1"/>
    <col min="8" max="8" width="11.19921875" style="3" customWidth="1"/>
    <col min="9" max="9" width="11.19921875" style="21" customWidth="1"/>
    <col min="10" max="10" width="11.796875" style="21" customWidth="1"/>
    <col min="11" max="16384" width="11.3984375" style="3"/>
  </cols>
  <sheetData>
    <row r="1" spans="1:11" s="1" customFormat="1" ht="14" customHeight="1">
      <c r="G1" s="23"/>
      <c r="I1" s="23"/>
      <c r="J1" s="23"/>
    </row>
    <row r="2" spans="1:11" s="1" customFormat="1" ht="28" customHeight="1">
      <c r="A2" s="59" t="s">
        <v>2042</v>
      </c>
      <c r="G2" s="23"/>
      <c r="I2" s="296"/>
      <c r="J2" s="296">
        <v>2003</v>
      </c>
    </row>
    <row r="3" spans="1:11" ht="24" customHeight="1">
      <c r="A3" s="2"/>
      <c r="B3" s="69"/>
      <c r="C3" s="16"/>
      <c r="D3" s="69"/>
      <c r="E3" s="2"/>
      <c r="F3" s="85"/>
      <c r="G3" s="16"/>
      <c r="H3" s="69"/>
      <c r="I3" s="16"/>
      <c r="J3" s="69"/>
    </row>
    <row r="4" spans="1:11" ht="15" customHeight="1">
      <c r="A4" s="77" t="s">
        <v>70</v>
      </c>
      <c r="B4" s="70">
        <v>1996</v>
      </c>
      <c r="C4" s="17">
        <v>1997</v>
      </c>
      <c r="D4" s="70">
        <v>1998</v>
      </c>
      <c r="E4" s="17">
        <v>1999</v>
      </c>
      <c r="F4" s="70">
        <v>2000</v>
      </c>
      <c r="G4" s="17">
        <v>2001</v>
      </c>
      <c r="H4" s="70">
        <v>2002</v>
      </c>
      <c r="I4" s="17">
        <v>2003</v>
      </c>
      <c r="J4" s="70" t="s">
        <v>1442</v>
      </c>
    </row>
    <row r="5" spans="1:11" ht="15" customHeight="1">
      <c r="A5" s="77"/>
      <c r="B5" s="70"/>
      <c r="C5" s="17"/>
      <c r="D5" s="70"/>
      <c r="E5" s="17"/>
      <c r="F5" s="14"/>
      <c r="G5" s="61"/>
      <c r="H5" s="14"/>
      <c r="I5" s="61"/>
      <c r="J5" s="70" t="s">
        <v>627</v>
      </c>
    </row>
    <row r="6" spans="1:11" ht="15" customHeight="1">
      <c r="A6" s="77"/>
      <c r="B6" s="70"/>
      <c r="C6" s="17"/>
      <c r="D6" s="70"/>
      <c r="E6" s="17"/>
      <c r="F6" s="14"/>
      <c r="G6" s="61"/>
      <c r="H6" s="14"/>
      <c r="I6" s="61"/>
      <c r="J6" s="70"/>
    </row>
    <row r="7" spans="1:11" ht="15" customHeight="1">
      <c r="A7" s="77"/>
      <c r="B7" s="70"/>
      <c r="C7" s="17"/>
      <c r="D7" s="70"/>
      <c r="E7" s="17"/>
      <c r="F7" s="14"/>
      <c r="G7" s="61"/>
      <c r="H7" s="14"/>
      <c r="I7" s="61"/>
      <c r="J7" s="70"/>
    </row>
    <row r="8" spans="1:11" ht="16" customHeight="1">
      <c r="A8" s="78"/>
      <c r="B8" s="73"/>
      <c r="C8" s="18"/>
      <c r="D8" s="73"/>
      <c r="E8" s="18"/>
      <c r="F8" s="15"/>
      <c r="G8" s="62"/>
      <c r="H8" s="15"/>
      <c r="I8" s="62"/>
      <c r="J8" s="73"/>
    </row>
    <row r="9" spans="1:11" ht="30" customHeight="1" thickBot="1">
      <c r="A9" s="297" t="s">
        <v>78</v>
      </c>
      <c r="B9" s="298">
        <v>0.5</v>
      </c>
      <c r="C9" s="299">
        <v>0.5</v>
      </c>
      <c r="D9" s="298">
        <v>0.5</v>
      </c>
      <c r="E9" s="299">
        <v>0.5</v>
      </c>
      <c r="F9" s="298">
        <v>0.5</v>
      </c>
      <c r="G9" s="300">
        <v>0.65864001941811379</v>
      </c>
      <c r="H9" s="298">
        <v>0.8</v>
      </c>
      <c r="I9" s="300">
        <v>0.79999999965848478</v>
      </c>
      <c r="J9" s="301">
        <v>0.59483000238457484</v>
      </c>
      <c r="K9" s="42"/>
    </row>
    <row r="10" spans="1:11" ht="20" customHeight="1" thickBot="1">
      <c r="A10" s="302" t="s">
        <v>79</v>
      </c>
      <c r="B10" s="298">
        <v>0.9</v>
      </c>
      <c r="C10" s="299">
        <v>1</v>
      </c>
      <c r="D10" s="298">
        <v>1</v>
      </c>
      <c r="E10" s="299">
        <v>1</v>
      </c>
      <c r="F10" s="298">
        <v>1</v>
      </c>
      <c r="G10" s="300">
        <v>1</v>
      </c>
      <c r="H10" s="298">
        <v>1</v>
      </c>
      <c r="I10" s="300">
        <v>1</v>
      </c>
      <c r="J10" s="301">
        <v>0.98750000000000004</v>
      </c>
      <c r="K10" s="42"/>
    </row>
    <row r="11" spans="1:11" ht="20" customHeight="1" thickBot="1">
      <c r="A11" s="302" t="s">
        <v>80</v>
      </c>
      <c r="B11" s="298">
        <v>0.5</v>
      </c>
      <c r="C11" s="299">
        <v>0.5</v>
      </c>
      <c r="D11" s="298">
        <v>0.5</v>
      </c>
      <c r="E11" s="299">
        <v>0.5</v>
      </c>
      <c r="F11" s="298">
        <v>0.5</v>
      </c>
      <c r="G11" s="300">
        <v>0.58473787438369773</v>
      </c>
      <c r="H11" s="298">
        <v>0.67</v>
      </c>
      <c r="I11" s="300">
        <v>0.78706746919133375</v>
      </c>
      <c r="J11" s="301">
        <v>0.56772566794687895</v>
      </c>
      <c r="K11" s="42"/>
    </row>
    <row r="12" spans="1:11" ht="20" customHeight="1" thickBot="1">
      <c r="A12" s="302" t="s">
        <v>81</v>
      </c>
      <c r="B12" s="298">
        <v>1</v>
      </c>
      <c r="C12" s="299">
        <v>1</v>
      </c>
      <c r="D12" s="298">
        <v>0.75</v>
      </c>
      <c r="E12" s="299">
        <v>0.62</v>
      </c>
      <c r="F12" s="298">
        <v>0.61299999999999999</v>
      </c>
      <c r="G12" s="300">
        <v>0.6</v>
      </c>
      <c r="H12" s="298">
        <v>0.6</v>
      </c>
      <c r="I12" s="300">
        <v>0.6</v>
      </c>
      <c r="J12" s="301">
        <v>0.72287499999999993</v>
      </c>
      <c r="K12" s="42"/>
    </row>
    <row r="13" spans="1:11" ht="20" customHeight="1" thickBot="1">
      <c r="A13" s="302" t="s">
        <v>82</v>
      </c>
      <c r="B13" s="298">
        <v>0.5</v>
      </c>
      <c r="C13" s="299">
        <v>0.5</v>
      </c>
      <c r="D13" s="298">
        <v>0.5</v>
      </c>
      <c r="E13" s="299">
        <v>0.5</v>
      </c>
      <c r="F13" s="298">
        <v>0.5</v>
      </c>
      <c r="G13" s="300">
        <v>0.5</v>
      </c>
      <c r="H13" s="298">
        <v>0.8</v>
      </c>
      <c r="I13" s="300">
        <v>0.89999999837365896</v>
      </c>
      <c r="J13" s="301">
        <v>0.58749999979670731</v>
      </c>
      <c r="K13" s="42"/>
    </row>
    <row r="14" spans="1:11" ht="20" customHeight="1" thickBot="1">
      <c r="A14" s="302" t="s">
        <v>83</v>
      </c>
      <c r="B14" s="298">
        <v>0.5</v>
      </c>
      <c r="C14" s="299">
        <v>0.5</v>
      </c>
      <c r="D14" s="298">
        <v>0.5</v>
      </c>
      <c r="E14" s="299">
        <v>0.6</v>
      </c>
      <c r="F14" s="298">
        <v>1</v>
      </c>
      <c r="G14" s="300">
        <v>1</v>
      </c>
      <c r="H14" s="298">
        <v>1</v>
      </c>
      <c r="I14" s="300">
        <v>1</v>
      </c>
      <c r="J14" s="301">
        <v>0.76249999999999996</v>
      </c>
      <c r="K14" s="42"/>
    </row>
    <row r="15" spans="1:11" ht="20" customHeight="1" thickBot="1">
      <c r="A15" s="302" t="s">
        <v>84</v>
      </c>
      <c r="B15" s="298">
        <v>0.5</v>
      </c>
      <c r="C15" s="299">
        <v>0.5</v>
      </c>
      <c r="D15" s="298">
        <v>0.60799999999999998</v>
      </c>
      <c r="E15" s="299">
        <v>0.5</v>
      </c>
      <c r="F15" s="298">
        <v>0.5</v>
      </c>
      <c r="G15" s="300">
        <v>0.5</v>
      </c>
      <c r="H15" s="298">
        <v>0.5</v>
      </c>
      <c r="I15" s="300">
        <v>0.5</v>
      </c>
      <c r="J15" s="301">
        <v>0.51350000000000007</v>
      </c>
      <c r="K15" s="42"/>
    </row>
    <row r="16" spans="1:11" ht="20" customHeight="1" thickBot="1">
      <c r="A16" s="302" t="s">
        <v>85</v>
      </c>
      <c r="B16" s="298">
        <v>0.5</v>
      </c>
      <c r="C16" s="299">
        <v>0.5</v>
      </c>
      <c r="D16" s="298">
        <v>0.75</v>
      </c>
      <c r="E16" s="299">
        <v>0.6</v>
      </c>
      <c r="F16" s="298">
        <v>0.6</v>
      </c>
      <c r="G16" s="300">
        <v>0.6</v>
      </c>
      <c r="H16" s="298">
        <v>0.7</v>
      </c>
      <c r="I16" s="300">
        <v>0.70000002186695942</v>
      </c>
      <c r="J16" s="301">
        <v>0.61875000273336989</v>
      </c>
      <c r="K16" s="42"/>
    </row>
    <row r="17" spans="1:11" ht="20" customHeight="1" thickBot="1">
      <c r="A17" s="302" t="s">
        <v>86</v>
      </c>
      <c r="B17" s="298">
        <v>0.5</v>
      </c>
      <c r="C17" s="299">
        <v>0.5</v>
      </c>
      <c r="D17" s="298">
        <v>0.5</v>
      </c>
      <c r="E17" s="299">
        <v>0.5</v>
      </c>
      <c r="F17" s="298">
        <v>0.5</v>
      </c>
      <c r="G17" s="300">
        <v>0.5</v>
      </c>
      <c r="H17" s="298">
        <v>0.6</v>
      </c>
      <c r="I17" s="300">
        <v>0.6500000127253619</v>
      </c>
      <c r="J17" s="301">
        <v>0.53125000159067026</v>
      </c>
      <c r="K17" s="42"/>
    </row>
    <row r="18" spans="1:11" ht="20" customHeight="1" thickBot="1">
      <c r="A18" s="302" t="s">
        <v>87</v>
      </c>
      <c r="B18" s="298">
        <v>1</v>
      </c>
      <c r="C18" s="299">
        <v>1</v>
      </c>
      <c r="D18" s="298">
        <v>1</v>
      </c>
      <c r="E18" s="299">
        <v>1</v>
      </c>
      <c r="F18" s="298">
        <v>1</v>
      </c>
      <c r="G18" s="300">
        <v>1</v>
      </c>
      <c r="H18" s="298">
        <v>1</v>
      </c>
      <c r="I18" s="300">
        <v>1</v>
      </c>
      <c r="J18" s="301">
        <v>1</v>
      </c>
      <c r="K18" s="42"/>
    </row>
    <row r="19" spans="1:11" ht="20" customHeight="1" thickBot="1">
      <c r="A19" s="302" t="s">
        <v>88</v>
      </c>
      <c r="B19" s="298">
        <v>0.5</v>
      </c>
      <c r="C19" s="299">
        <v>0.53</v>
      </c>
      <c r="D19" s="298">
        <v>0.5</v>
      </c>
      <c r="E19" s="299">
        <v>0.5</v>
      </c>
      <c r="F19" s="298">
        <v>0.6</v>
      </c>
      <c r="G19" s="300">
        <v>0.6</v>
      </c>
      <c r="H19" s="298">
        <v>0.62</v>
      </c>
      <c r="I19" s="300">
        <v>0.67999999621006191</v>
      </c>
      <c r="J19" s="301">
        <v>0.56624999952625776</v>
      </c>
      <c r="K19" s="42"/>
    </row>
    <row r="20" spans="1:11" ht="20" customHeight="1" thickBot="1">
      <c r="A20" s="302" t="s">
        <v>89</v>
      </c>
      <c r="B20" s="298">
        <v>1</v>
      </c>
      <c r="C20" s="299">
        <v>1</v>
      </c>
      <c r="D20" s="298">
        <v>1</v>
      </c>
      <c r="E20" s="299">
        <v>1</v>
      </c>
      <c r="F20" s="298">
        <v>1</v>
      </c>
      <c r="G20" s="300">
        <v>1</v>
      </c>
      <c r="H20" s="298">
        <v>1</v>
      </c>
      <c r="I20" s="300">
        <v>1</v>
      </c>
      <c r="J20" s="301">
        <v>1</v>
      </c>
      <c r="K20" s="42"/>
    </row>
    <row r="21" spans="1:11" ht="20" customHeight="1" thickBot="1">
      <c r="A21" s="302" t="s">
        <v>90</v>
      </c>
      <c r="B21" s="298">
        <v>0.56999999999999995</v>
      </c>
      <c r="C21" s="299">
        <v>0.78300000000000003</v>
      </c>
      <c r="D21" s="298">
        <v>0.65</v>
      </c>
      <c r="E21" s="299">
        <v>0.5875999999999999</v>
      </c>
      <c r="F21" s="298">
        <v>0.58750000000000002</v>
      </c>
      <c r="G21" s="300">
        <v>0.58790310592613926</v>
      </c>
      <c r="H21" s="298">
        <v>0.77339999999999998</v>
      </c>
      <c r="I21" s="300">
        <v>0.80023864396744937</v>
      </c>
      <c r="J21" s="301">
        <v>0.66745521873669855</v>
      </c>
      <c r="K21" s="42"/>
    </row>
    <row r="22" spans="1:11" ht="20" customHeight="1" thickBot="1">
      <c r="A22" s="302" t="s">
        <v>91</v>
      </c>
      <c r="B22" s="298">
        <v>0.504</v>
      </c>
      <c r="C22" s="299">
        <v>0.6</v>
      </c>
      <c r="D22" s="298">
        <v>0.65300000000000002</v>
      </c>
      <c r="E22" s="299">
        <v>0.65</v>
      </c>
      <c r="F22" s="298">
        <v>0.64779999999999993</v>
      </c>
      <c r="G22" s="300">
        <v>0.6175728838238721</v>
      </c>
      <c r="H22" s="298">
        <v>0.77400000000000002</v>
      </c>
      <c r="I22" s="300">
        <v>0.82089275087161828</v>
      </c>
      <c r="J22" s="301">
        <v>0.65840820433693625</v>
      </c>
      <c r="K22" s="42"/>
    </row>
    <row r="23" spans="1:11" ht="20" customHeight="1" thickBot="1">
      <c r="A23" s="302" t="s">
        <v>92</v>
      </c>
      <c r="B23" s="298">
        <v>0.65</v>
      </c>
      <c r="C23" s="299">
        <v>0.79</v>
      </c>
      <c r="D23" s="298">
        <v>0.55000000000000004</v>
      </c>
      <c r="E23" s="299">
        <v>0.85</v>
      </c>
      <c r="F23" s="298">
        <v>0.85</v>
      </c>
      <c r="G23" s="300">
        <v>0.74</v>
      </c>
      <c r="H23" s="298">
        <v>0.68</v>
      </c>
      <c r="I23" s="300">
        <v>0.80000001569963031</v>
      </c>
      <c r="J23" s="301">
        <v>0.73875000196245377</v>
      </c>
      <c r="K23" s="42"/>
    </row>
    <row r="24" spans="1:11" ht="20" customHeight="1" thickBot="1">
      <c r="A24" s="302" t="s">
        <v>93</v>
      </c>
      <c r="B24" s="298">
        <v>1</v>
      </c>
      <c r="C24" s="299">
        <v>1</v>
      </c>
      <c r="D24" s="298">
        <v>0.8</v>
      </c>
      <c r="E24" s="299">
        <v>0.7</v>
      </c>
      <c r="F24" s="298">
        <v>0.7</v>
      </c>
      <c r="G24" s="300">
        <v>0.7</v>
      </c>
      <c r="H24" s="298">
        <v>0.7</v>
      </c>
      <c r="I24" s="300">
        <v>0.70000015654135817</v>
      </c>
      <c r="J24" s="301">
        <v>0.7875000195676698</v>
      </c>
      <c r="K24" s="42"/>
    </row>
    <row r="25" spans="1:11" ht="20" customHeight="1" thickBot="1">
      <c r="A25" s="302" t="s">
        <v>94</v>
      </c>
      <c r="B25" s="298">
        <v>0.5</v>
      </c>
      <c r="C25" s="299">
        <v>0.5</v>
      </c>
      <c r="D25" s="298">
        <v>0.5</v>
      </c>
      <c r="E25" s="299">
        <v>0.5</v>
      </c>
      <c r="F25" s="298">
        <v>0.54</v>
      </c>
      <c r="G25" s="300">
        <v>0.54</v>
      </c>
      <c r="H25" s="298">
        <v>0.54400000000000004</v>
      </c>
      <c r="I25" s="300">
        <v>0.5440000038669941</v>
      </c>
      <c r="J25" s="301">
        <v>0.52100000048337425</v>
      </c>
      <c r="K25" s="42"/>
    </row>
    <row r="26" spans="1:11" ht="20" customHeight="1" thickBot="1">
      <c r="A26" s="302" t="s">
        <v>95</v>
      </c>
      <c r="B26" s="298">
        <v>0.5</v>
      </c>
      <c r="C26" s="299">
        <v>0.65</v>
      </c>
      <c r="D26" s="298">
        <v>0.65</v>
      </c>
      <c r="E26" s="299">
        <v>0.6</v>
      </c>
      <c r="F26" s="298">
        <v>0.53560000000000008</v>
      </c>
      <c r="G26" s="300">
        <v>0.55000000000000004</v>
      </c>
      <c r="H26" s="298">
        <v>0.59</v>
      </c>
      <c r="I26" s="300">
        <v>0.77245301370620278</v>
      </c>
      <c r="J26" s="301">
        <v>0.60600662671327532</v>
      </c>
      <c r="K26" s="42"/>
    </row>
    <row r="27" spans="1:11" ht="20" customHeight="1" thickBot="1">
      <c r="A27" s="302" t="s">
        <v>96</v>
      </c>
      <c r="B27" s="298">
        <v>0.5</v>
      </c>
      <c r="C27" s="299">
        <v>0.5</v>
      </c>
      <c r="D27" s="298">
        <v>0.5</v>
      </c>
      <c r="E27" s="299">
        <v>0.5</v>
      </c>
      <c r="F27" s="298">
        <v>0.5</v>
      </c>
      <c r="G27" s="300">
        <v>0.5</v>
      </c>
      <c r="H27" s="298">
        <v>0.5</v>
      </c>
      <c r="I27" s="300">
        <v>0.53899477013374542</v>
      </c>
      <c r="J27" s="301">
        <v>0.50487434626671823</v>
      </c>
      <c r="K27" s="42"/>
    </row>
    <row r="28" spans="1:11" ht="20" customHeight="1" thickBot="1">
      <c r="A28" s="302" t="s">
        <v>97</v>
      </c>
      <c r="B28" s="298">
        <v>1</v>
      </c>
      <c r="C28" s="299">
        <v>1</v>
      </c>
      <c r="D28" s="298">
        <v>1</v>
      </c>
      <c r="E28" s="299">
        <v>1</v>
      </c>
      <c r="F28" s="298">
        <v>1</v>
      </c>
      <c r="G28" s="300">
        <v>1</v>
      </c>
      <c r="H28" s="298">
        <v>1</v>
      </c>
      <c r="I28" s="300">
        <v>1</v>
      </c>
      <c r="J28" s="301">
        <v>1</v>
      </c>
      <c r="K28" s="42"/>
    </row>
    <row r="29" spans="1:11" ht="20" customHeight="1" thickBot="1">
      <c r="A29" s="302" t="s">
        <v>98</v>
      </c>
      <c r="B29" s="298">
        <v>1</v>
      </c>
      <c r="C29" s="299">
        <v>1</v>
      </c>
      <c r="D29" s="298">
        <v>1</v>
      </c>
      <c r="E29" s="299">
        <v>1</v>
      </c>
      <c r="F29" s="298">
        <v>1</v>
      </c>
      <c r="G29" s="300">
        <v>1</v>
      </c>
      <c r="H29" s="298">
        <v>1</v>
      </c>
      <c r="I29" s="300">
        <v>1</v>
      </c>
      <c r="J29" s="301">
        <v>1</v>
      </c>
      <c r="K29" s="42"/>
    </row>
    <row r="30" spans="1:11" ht="20" customHeight="1" thickBot="1">
      <c r="A30" s="302" t="s">
        <v>99</v>
      </c>
      <c r="B30" s="298">
        <v>1</v>
      </c>
      <c r="C30" s="299">
        <v>1</v>
      </c>
      <c r="D30" s="298">
        <v>1</v>
      </c>
      <c r="E30" s="299">
        <v>1</v>
      </c>
      <c r="F30" s="298">
        <v>1</v>
      </c>
      <c r="G30" s="300">
        <v>1</v>
      </c>
      <c r="H30" s="298">
        <v>1</v>
      </c>
      <c r="I30" s="300">
        <v>1</v>
      </c>
      <c r="J30" s="301">
        <v>1</v>
      </c>
      <c r="K30" s="42"/>
    </row>
    <row r="31" spans="1:11" ht="20" customHeight="1" thickBot="1">
      <c r="A31" s="302" t="s">
        <v>100</v>
      </c>
      <c r="B31" s="298">
        <v>1</v>
      </c>
      <c r="C31" s="299">
        <v>1</v>
      </c>
      <c r="D31" s="298">
        <v>1</v>
      </c>
      <c r="E31" s="299">
        <v>1</v>
      </c>
      <c r="F31" s="298">
        <v>1</v>
      </c>
      <c r="G31" s="300">
        <v>1</v>
      </c>
      <c r="H31" s="298">
        <v>1</v>
      </c>
      <c r="I31" s="300">
        <v>1</v>
      </c>
      <c r="J31" s="301">
        <v>1</v>
      </c>
      <c r="K31" s="42"/>
    </row>
    <row r="32" spans="1:11" ht="20" customHeight="1" thickBot="1">
      <c r="A32" s="302" t="s">
        <v>101</v>
      </c>
      <c r="B32" s="298">
        <v>1</v>
      </c>
      <c r="C32" s="299">
        <v>1</v>
      </c>
      <c r="D32" s="298">
        <v>1</v>
      </c>
      <c r="E32" s="299">
        <v>1</v>
      </c>
      <c r="F32" s="298">
        <v>1</v>
      </c>
      <c r="G32" s="300">
        <v>1</v>
      </c>
      <c r="H32" s="298">
        <v>1</v>
      </c>
      <c r="I32" s="300">
        <v>1</v>
      </c>
      <c r="J32" s="301">
        <v>1</v>
      </c>
      <c r="K32" s="42"/>
    </row>
    <row r="33" spans="1:14" ht="20" customHeight="1" thickBot="1">
      <c r="A33" s="302" t="s">
        <v>102</v>
      </c>
      <c r="B33" s="298">
        <v>1</v>
      </c>
      <c r="C33" s="299">
        <v>1</v>
      </c>
      <c r="D33" s="298">
        <v>1</v>
      </c>
      <c r="E33" s="299">
        <v>1</v>
      </c>
      <c r="F33" s="298">
        <v>1</v>
      </c>
      <c r="G33" s="300">
        <v>1</v>
      </c>
      <c r="H33" s="298">
        <v>1</v>
      </c>
      <c r="I33" s="300">
        <v>1</v>
      </c>
      <c r="J33" s="301">
        <v>1</v>
      </c>
    </row>
    <row r="34" spans="1:14" ht="20" customHeight="1" thickBot="1">
      <c r="A34" s="302" t="s">
        <v>103</v>
      </c>
      <c r="B34" s="298">
        <v>1</v>
      </c>
      <c r="C34" s="299">
        <v>1</v>
      </c>
      <c r="D34" s="298">
        <v>1</v>
      </c>
      <c r="E34" s="299">
        <v>1</v>
      </c>
      <c r="F34" s="298">
        <v>1</v>
      </c>
      <c r="G34" s="300">
        <v>1</v>
      </c>
      <c r="H34" s="298">
        <v>1</v>
      </c>
      <c r="I34" s="300">
        <v>1</v>
      </c>
      <c r="J34" s="301">
        <v>1</v>
      </c>
      <c r="L34" s="43"/>
      <c r="M34" s="43"/>
      <c r="N34" s="43"/>
    </row>
    <row r="35" spans="1:14" s="109" customFormat="1" ht="30" customHeight="1" thickBot="1">
      <c r="A35" s="303" t="s">
        <v>104</v>
      </c>
      <c r="B35" s="304">
        <v>0.73499999999999999</v>
      </c>
      <c r="C35" s="305">
        <v>0.76800000000000002</v>
      </c>
      <c r="D35" s="304">
        <v>0.76100000000000001</v>
      </c>
      <c r="E35" s="305">
        <v>0.75738460275229358</v>
      </c>
      <c r="F35" s="304">
        <v>0.76301643711402323</v>
      </c>
      <c r="G35" s="306">
        <v>0.79300268508168947</v>
      </c>
      <c r="H35" s="304">
        <v>0.83299999999999996</v>
      </c>
      <c r="I35" s="306">
        <v>0.85308537107461824</v>
      </c>
      <c r="J35" s="307">
        <v>0.78293613700282805</v>
      </c>
    </row>
    <row r="36" spans="1:14" ht="20" customHeight="1">
      <c r="A36" s="308" t="s">
        <v>624</v>
      </c>
      <c r="B36" s="309"/>
      <c r="C36" s="309"/>
      <c r="D36" s="309"/>
      <c r="E36" s="309"/>
      <c r="F36" s="309"/>
      <c r="G36" s="309"/>
      <c r="H36" s="309"/>
      <c r="I36" s="309"/>
    </row>
    <row r="37" spans="1:14" ht="11.25" customHeight="1">
      <c r="A37" s="310"/>
      <c r="B37" s="311"/>
      <c r="C37" s="311"/>
      <c r="D37" s="311"/>
      <c r="E37" s="311"/>
      <c r="F37" s="311"/>
      <c r="G37" s="311"/>
      <c r="H37" s="311"/>
      <c r="I37" s="311"/>
    </row>
    <row r="38" spans="1:14" ht="20" customHeight="1">
      <c r="A38" s="310" t="s">
        <v>1443</v>
      </c>
      <c r="B38" s="311"/>
      <c r="C38" s="311"/>
      <c r="D38" s="311"/>
      <c r="E38" s="311"/>
      <c r="F38" s="311"/>
      <c r="G38" s="311"/>
      <c r="H38" s="311"/>
      <c r="I38" s="311"/>
    </row>
    <row r="39" spans="1:14" ht="16.5" customHeight="1">
      <c r="A39" s="310"/>
      <c r="B39" s="311"/>
      <c r="C39" s="311"/>
      <c r="D39" s="311"/>
      <c r="E39" s="311"/>
      <c r="F39" s="311"/>
      <c r="G39" s="311"/>
      <c r="H39" s="311"/>
      <c r="I39" s="311"/>
    </row>
    <row r="40" spans="1:14" ht="11.25" customHeight="1">
      <c r="A40" s="3" t="s">
        <v>1455</v>
      </c>
      <c r="B40" s="311"/>
      <c r="C40" s="311"/>
      <c r="D40" s="311"/>
      <c r="E40" s="311"/>
      <c r="F40" s="311"/>
      <c r="G40" s="311"/>
      <c r="H40" s="311"/>
      <c r="I40" s="311"/>
    </row>
    <row r="43" spans="1:14">
      <c r="A43" s="3" t="s">
        <v>256</v>
      </c>
    </row>
  </sheetData>
  <phoneticPr fontId="0" type="noConversion"/>
  <pageMargins left="0.51" right="0.54" top="0.71" bottom="0.49" header="0.51" footer="0.4921259845"/>
  <pageSetup paperSize="9" scale="82" orientation="portrait" horizontalDpi="4294967292" verticalDpi="4294967292"/>
  <headerFooter alignWithMargins="0">
    <oddHeader>&amp;L&amp;"Arial,Bold"Prämienverbilligung in der OKP</oddHead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E3DEC-033B-464F-AD14-F08B01ED776F}">
  <sheetPr>
    <pageSetUpPr fitToPage="1"/>
  </sheetPr>
  <dimension ref="A1:I47"/>
  <sheetViews>
    <sheetView zoomScale="75" workbookViewId="0"/>
  </sheetViews>
  <sheetFormatPr baseColWidth="10" defaultColWidth="11.3984375" defaultRowHeight="13"/>
  <cols>
    <col min="1" max="7" width="13.19921875" style="3" customWidth="1"/>
    <col min="8" max="8" width="12.796875" style="3" customWidth="1"/>
    <col min="9" max="9" width="13.796875" style="100" customWidth="1"/>
    <col min="10" max="16384" width="11.3984375" style="3"/>
  </cols>
  <sheetData>
    <row r="1" spans="1:9" s="1" customFormat="1" ht="14" customHeight="1">
      <c r="I1" s="90"/>
    </row>
    <row r="2" spans="1:9" s="1" customFormat="1" ht="28" customHeight="1">
      <c r="A2" s="59" t="s">
        <v>571</v>
      </c>
      <c r="H2" s="694"/>
      <c r="I2" s="296">
        <v>2003</v>
      </c>
    </row>
    <row r="3" spans="1:9" ht="24" customHeight="1">
      <c r="A3" s="2" t="s">
        <v>70</v>
      </c>
      <c r="B3" s="1489" t="s">
        <v>583</v>
      </c>
      <c r="C3" s="1477"/>
      <c r="D3" s="1477"/>
      <c r="E3" s="1489" t="s">
        <v>584</v>
      </c>
      <c r="F3" s="1477"/>
      <c r="G3" s="1477"/>
      <c r="H3" s="890" t="s">
        <v>572</v>
      </c>
      <c r="I3" s="891" t="s">
        <v>573</v>
      </c>
    </row>
    <row r="4" spans="1:9" ht="15" customHeight="1">
      <c r="A4" s="77"/>
      <c r="B4" s="70" t="s">
        <v>614</v>
      </c>
      <c r="C4" s="61" t="s">
        <v>615</v>
      </c>
      <c r="D4" s="14" t="s">
        <v>22</v>
      </c>
      <c r="E4" s="61" t="s">
        <v>614</v>
      </c>
      <c r="F4" s="14" t="s">
        <v>615</v>
      </c>
      <c r="G4" s="17" t="s">
        <v>22</v>
      </c>
      <c r="H4" s="103" t="s">
        <v>574</v>
      </c>
      <c r="I4" s="4" t="s">
        <v>1545</v>
      </c>
    </row>
    <row r="5" spans="1:9" ht="18.75" customHeight="1">
      <c r="A5" s="77"/>
      <c r="B5" s="70" t="s">
        <v>617</v>
      </c>
      <c r="C5" s="17" t="s">
        <v>617</v>
      </c>
      <c r="D5" s="70" t="s">
        <v>617</v>
      </c>
      <c r="E5" s="61" t="s">
        <v>617</v>
      </c>
      <c r="F5" s="14" t="s">
        <v>617</v>
      </c>
      <c r="G5" s="17" t="s">
        <v>617</v>
      </c>
      <c r="H5" s="103" t="s">
        <v>585</v>
      </c>
      <c r="I5" s="4" t="s">
        <v>586</v>
      </c>
    </row>
    <row r="6" spans="1:9" ht="15" customHeight="1">
      <c r="A6" s="77"/>
      <c r="B6" s="70"/>
      <c r="C6" s="17"/>
      <c r="D6" s="70"/>
      <c r="E6" s="61"/>
      <c r="F6" s="14"/>
      <c r="G6" s="17"/>
      <c r="H6" s="892">
        <v>2000</v>
      </c>
      <c r="I6" s="4" t="s">
        <v>575</v>
      </c>
    </row>
    <row r="7" spans="1:9" ht="16" customHeight="1">
      <c r="A7" s="78"/>
      <c r="B7" s="73"/>
      <c r="C7" s="18"/>
      <c r="D7" s="73"/>
      <c r="E7" s="62"/>
      <c r="F7" s="15"/>
      <c r="G7" s="18"/>
      <c r="H7" s="15"/>
      <c r="I7" s="5"/>
    </row>
    <row r="8" spans="1:9" ht="30" customHeight="1" thickBot="1">
      <c r="A8" s="297" t="s">
        <v>78</v>
      </c>
      <c r="B8" s="87">
        <v>625728</v>
      </c>
      <c r="C8" s="93">
        <v>645283</v>
      </c>
      <c r="D8" s="87">
        <v>1271011</v>
      </c>
      <c r="E8" s="299">
        <v>0.28648869796461079</v>
      </c>
      <c r="F8" s="298">
        <v>0.33087653014258861</v>
      </c>
      <c r="G8" s="299">
        <v>0.30902407610949079</v>
      </c>
      <c r="H8" s="87">
        <v>567573</v>
      </c>
      <c r="I8" s="889">
        <v>0.45286157022973256</v>
      </c>
    </row>
    <row r="9" spans="1:9" ht="20" customHeight="1" thickBot="1">
      <c r="A9" s="302" t="s">
        <v>79</v>
      </c>
      <c r="B9" s="87">
        <v>466220</v>
      </c>
      <c r="C9" s="93">
        <v>492426</v>
      </c>
      <c r="D9" s="87">
        <v>958646</v>
      </c>
      <c r="E9" s="299">
        <v>0.31391394620565399</v>
      </c>
      <c r="F9" s="298">
        <v>0.34289066783638555</v>
      </c>
      <c r="G9" s="299">
        <v>0.32879836769777371</v>
      </c>
      <c r="H9" s="87">
        <v>415901</v>
      </c>
      <c r="I9" s="889">
        <v>0.44903486647062646</v>
      </c>
    </row>
    <row r="10" spans="1:9" ht="20" customHeight="1" thickBot="1">
      <c r="A10" s="302" t="s">
        <v>80</v>
      </c>
      <c r="B10" s="87">
        <v>173682</v>
      </c>
      <c r="C10" s="93">
        <v>179026</v>
      </c>
      <c r="D10" s="87">
        <v>352708</v>
      </c>
      <c r="E10" s="299">
        <v>0.42221416151357077</v>
      </c>
      <c r="F10" s="298">
        <v>0.45033682258442909</v>
      </c>
      <c r="G10" s="299">
        <v>0.43648854009548976</v>
      </c>
      <c r="H10" s="87">
        <v>140594</v>
      </c>
      <c r="I10" s="889">
        <v>0.46117899768126663</v>
      </c>
    </row>
    <row r="11" spans="1:9" ht="20" customHeight="1" thickBot="1">
      <c r="A11" s="302" t="s">
        <v>81</v>
      </c>
      <c r="B11" s="87">
        <v>17517</v>
      </c>
      <c r="C11" s="93">
        <v>17223</v>
      </c>
      <c r="D11" s="87">
        <v>34740</v>
      </c>
      <c r="E11" s="299">
        <v>0.38705257749614658</v>
      </c>
      <c r="F11" s="298">
        <v>0.40904604308192533</v>
      </c>
      <c r="G11" s="299">
        <v>0.39795624640184224</v>
      </c>
      <c r="H11" s="87">
        <v>13430</v>
      </c>
      <c r="I11" s="889">
        <v>0.41548771407297097</v>
      </c>
    </row>
    <row r="12" spans="1:9" ht="20" customHeight="1" thickBot="1">
      <c r="A12" s="302" t="s">
        <v>82</v>
      </c>
      <c r="B12" s="87">
        <v>67495</v>
      </c>
      <c r="C12" s="93">
        <v>66186</v>
      </c>
      <c r="D12" s="87">
        <v>133681</v>
      </c>
      <c r="E12" s="299">
        <v>0.4073338765834506</v>
      </c>
      <c r="F12" s="298">
        <v>0.42558849303478075</v>
      </c>
      <c r="G12" s="299">
        <v>0.41637181050411054</v>
      </c>
      <c r="H12" s="87">
        <v>50089</v>
      </c>
      <c r="I12" s="889">
        <v>0.47705084948791154</v>
      </c>
    </row>
    <row r="13" spans="1:9" ht="20" customHeight="1" thickBot="1">
      <c r="A13" s="302" t="s">
        <v>83</v>
      </c>
      <c r="B13" s="87">
        <v>16584</v>
      </c>
      <c r="C13" s="93">
        <v>16431</v>
      </c>
      <c r="D13" s="87">
        <v>33015</v>
      </c>
      <c r="E13" s="299">
        <v>0.49879401833092135</v>
      </c>
      <c r="F13" s="298">
        <v>0.55626559552066213</v>
      </c>
      <c r="G13" s="299">
        <v>0.5273966378918673</v>
      </c>
      <c r="H13" s="87">
        <v>12445</v>
      </c>
      <c r="I13" s="889">
        <v>0.62627561269586174</v>
      </c>
    </row>
    <row r="14" spans="1:9" ht="20" customHeight="1" thickBot="1">
      <c r="A14" s="302" t="s">
        <v>84</v>
      </c>
      <c r="B14" s="87">
        <v>19505</v>
      </c>
      <c r="C14" s="93">
        <v>18880</v>
      </c>
      <c r="D14" s="87">
        <v>38385</v>
      </c>
      <c r="E14" s="299">
        <v>0.33765701102281465</v>
      </c>
      <c r="F14" s="298">
        <v>0.371239406779661</v>
      </c>
      <c r="G14" s="299">
        <v>0.35417480786765665</v>
      </c>
      <c r="H14" s="87">
        <v>15153</v>
      </c>
      <c r="I14" s="889">
        <v>0.44737015772454297</v>
      </c>
    </row>
    <row r="15" spans="1:9" ht="20" customHeight="1" thickBot="1">
      <c r="A15" s="302" t="s">
        <v>85</v>
      </c>
      <c r="B15" s="87">
        <v>19023</v>
      </c>
      <c r="C15" s="93">
        <v>19260</v>
      </c>
      <c r="D15" s="87">
        <v>38283</v>
      </c>
      <c r="E15" s="299">
        <v>0.3442148977553488</v>
      </c>
      <c r="F15" s="298">
        <v>0.37518172377985465</v>
      </c>
      <c r="G15" s="299">
        <v>0.35979416451166313</v>
      </c>
      <c r="H15" s="87">
        <v>15382</v>
      </c>
      <c r="I15" s="889">
        <v>0.50559095046157843</v>
      </c>
    </row>
    <row r="16" spans="1:9" ht="20" customHeight="1" thickBot="1">
      <c r="A16" s="302" t="s">
        <v>86</v>
      </c>
      <c r="B16" s="87">
        <v>51889</v>
      </c>
      <c r="C16" s="93">
        <v>51267</v>
      </c>
      <c r="D16" s="87">
        <v>103156</v>
      </c>
      <c r="E16" s="299">
        <v>0.28285378403900635</v>
      </c>
      <c r="F16" s="298">
        <v>0.30625938713012268</v>
      </c>
      <c r="G16" s="299">
        <v>0.29448602117181744</v>
      </c>
      <c r="H16" s="87">
        <v>40819</v>
      </c>
      <c r="I16" s="889">
        <v>0.37531541684019698</v>
      </c>
    </row>
    <row r="17" spans="1:9" ht="20" customHeight="1" thickBot="1">
      <c r="A17" s="302" t="s">
        <v>87</v>
      </c>
      <c r="B17" s="87">
        <v>123208</v>
      </c>
      <c r="C17" s="93">
        <v>125303</v>
      </c>
      <c r="D17" s="87">
        <v>248511</v>
      </c>
      <c r="E17" s="299">
        <v>0.36062710919537522</v>
      </c>
      <c r="F17" s="298">
        <v>0.39243158687546359</v>
      </c>
      <c r="G17" s="299">
        <v>0.37666340725360248</v>
      </c>
      <c r="H17" s="87">
        <v>94093</v>
      </c>
      <c r="I17" s="889">
        <v>0.40473786572858766</v>
      </c>
    </row>
    <row r="18" spans="1:9" ht="20" customHeight="1" thickBot="1">
      <c r="A18" s="302" t="s">
        <v>88</v>
      </c>
      <c r="B18" s="87">
        <v>120760</v>
      </c>
      <c r="C18" s="93">
        <v>124913</v>
      </c>
      <c r="D18" s="87">
        <v>245673</v>
      </c>
      <c r="E18" s="299">
        <v>0.28371149387214312</v>
      </c>
      <c r="F18" s="298">
        <v>0.29608607590883257</v>
      </c>
      <c r="G18" s="299">
        <v>0.29000337847463903</v>
      </c>
      <c r="H18" s="87">
        <v>102584</v>
      </c>
      <c r="I18" s="889">
        <v>0.25766201356936752</v>
      </c>
    </row>
    <row r="19" spans="1:9" ht="20" customHeight="1" thickBot="1">
      <c r="A19" s="302" t="s">
        <v>89</v>
      </c>
      <c r="B19" s="87">
        <v>90526</v>
      </c>
      <c r="C19" s="93">
        <v>100192</v>
      </c>
      <c r="D19" s="87">
        <v>190718</v>
      </c>
      <c r="E19" s="299">
        <v>0.30505048273424212</v>
      </c>
      <c r="F19" s="298">
        <v>0.3243672149473012</v>
      </c>
      <c r="G19" s="299">
        <v>0.3151983556874548</v>
      </c>
      <c r="H19" s="87">
        <v>95999</v>
      </c>
      <c r="I19" s="889">
        <v>0.38380608131334704</v>
      </c>
    </row>
    <row r="20" spans="1:9" ht="20" customHeight="1" thickBot="1">
      <c r="A20" s="302" t="s">
        <v>90</v>
      </c>
      <c r="B20" s="87">
        <v>129022</v>
      </c>
      <c r="C20" s="93">
        <v>133891</v>
      </c>
      <c r="D20" s="87">
        <v>262913</v>
      </c>
      <c r="E20" s="299">
        <v>0.35532699849638044</v>
      </c>
      <c r="F20" s="298">
        <v>0.34989655764763877</v>
      </c>
      <c r="G20" s="299">
        <v>0.35256149372606149</v>
      </c>
      <c r="H20" s="87">
        <v>111675</v>
      </c>
      <c r="I20" s="889">
        <v>0.37882247593463175</v>
      </c>
    </row>
    <row r="21" spans="1:9" ht="20" customHeight="1" thickBot="1">
      <c r="A21" s="302" t="s">
        <v>91</v>
      </c>
      <c r="B21" s="87">
        <v>36291</v>
      </c>
      <c r="C21" s="93">
        <v>37884</v>
      </c>
      <c r="D21" s="87">
        <v>74175</v>
      </c>
      <c r="E21" s="299">
        <v>0.35014190846215315</v>
      </c>
      <c r="F21" s="298">
        <v>0.34750818287403651</v>
      </c>
      <c r="G21" s="299">
        <v>0.34879676440849344</v>
      </c>
      <c r="H21" s="87">
        <v>31427</v>
      </c>
      <c r="I21" s="889">
        <v>0.36936392274159163</v>
      </c>
    </row>
    <row r="22" spans="1:9" ht="20" customHeight="1" thickBot="1">
      <c r="A22" s="302" t="s">
        <v>92</v>
      </c>
      <c r="B22" s="87">
        <v>26244</v>
      </c>
      <c r="C22" s="93">
        <v>26457</v>
      </c>
      <c r="D22" s="87">
        <v>52701</v>
      </c>
      <c r="E22" s="299">
        <v>0.2209266880048773</v>
      </c>
      <c r="F22" s="298">
        <v>0.24137279358959821</v>
      </c>
      <c r="G22" s="299">
        <v>0.23119105899318798</v>
      </c>
      <c r="H22" s="87">
        <v>21572</v>
      </c>
      <c r="I22" s="889">
        <v>0.1803263489708882</v>
      </c>
    </row>
    <row r="23" spans="1:9" ht="20" customHeight="1" thickBot="1">
      <c r="A23" s="302" t="s">
        <v>93</v>
      </c>
      <c r="B23" s="87">
        <v>7487</v>
      </c>
      <c r="C23" s="93">
        <v>7189</v>
      </c>
      <c r="D23" s="87">
        <v>14676</v>
      </c>
      <c r="E23" s="299">
        <v>0.49445705890209696</v>
      </c>
      <c r="F23" s="298">
        <v>0.49255807483655584</v>
      </c>
      <c r="G23" s="299">
        <v>0.49352684655219403</v>
      </c>
      <c r="H23" s="87">
        <v>5290</v>
      </c>
      <c r="I23" s="889">
        <v>0.42589792060491494</v>
      </c>
    </row>
    <row r="24" spans="1:9" ht="20" customHeight="1" thickBot="1">
      <c r="A24" s="302" t="s">
        <v>94</v>
      </c>
      <c r="B24" s="87">
        <v>226669</v>
      </c>
      <c r="C24" s="93">
        <v>231210</v>
      </c>
      <c r="D24" s="87">
        <v>457879</v>
      </c>
      <c r="E24" s="299">
        <v>0.32963484199427356</v>
      </c>
      <c r="F24" s="298">
        <v>0.35984170234851431</v>
      </c>
      <c r="G24" s="299">
        <v>0.34488805994596827</v>
      </c>
      <c r="H24" s="87">
        <v>183750</v>
      </c>
      <c r="I24" s="889">
        <v>0.35338231292517008</v>
      </c>
    </row>
    <row r="25" spans="1:9" ht="20" customHeight="1" thickBot="1">
      <c r="A25" s="302" t="s">
        <v>95</v>
      </c>
      <c r="B25" s="87">
        <v>94950</v>
      </c>
      <c r="C25" s="93">
        <v>96246</v>
      </c>
      <c r="D25" s="87">
        <v>191196</v>
      </c>
      <c r="E25" s="299">
        <v>0.31972617166929962</v>
      </c>
      <c r="F25" s="298">
        <v>0.35417575795357731</v>
      </c>
      <c r="G25" s="299">
        <v>0.33706772108203098</v>
      </c>
      <c r="H25" s="87">
        <v>77781</v>
      </c>
      <c r="I25" s="889">
        <v>0.35257967884187658</v>
      </c>
    </row>
    <row r="26" spans="1:9" ht="20" customHeight="1" thickBot="1">
      <c r="A26" s="302" t="s">
        <v>96</v>
      </c>
      <c r="B26" s="87">
        <v>278592</v>
      </c>
      <c r="C26" s="93">
        <v>280293</v>
      </c>
      <c r="D26" s="87">
        <v>558885</v>
      </c>
      <c r="E26" s="299">
        <v>0.2654239892028486</v>
      </c>
      <c r="F26" s="298">
        <v>0.29322530352167198</v>
      </c>
      <c r="G26" s="299">
        <v>0.27936695384560328</v>
      </c>
      <c r="H26" s="87">
        <v>224128</v>
      </c>
      <c r="I26" s="889">
        <v>0.25486775414049112</v>
      </c>
    </row>
    <row r="27" spans="1:9" ht="20" customHeight="1" thickBot="1">
      <c r="A27" s="302" t="s">
        <v>97</v>
      </c>
      <c r="B27" s="87">
        <v>115172</v>
      </c>
      <c r="C27" s="93">
        <v>116289</v>
      </c>
      <c r="D27" s="87">
        <v>231461</v>
      </c>
      <c r="E27" s="299">
        <v>0.37432709339075471</v>
      </c>
      <c r="F27" s="298">
        <v>0.40064838462795277</v>
      </c>
      <c r="G27" s="299">
        <v>0.38755125053464728</v>
      </c>
      <c r="H27" s="87">
        <v>91537</v>
      </c>
      <c r="I27" s="889">
        <v>0.60693490064127076</v>
      </c>
    </row>
    <row r="28" spans="1:9" ht="20" customHeight="1" thickBot="1">
      <c r="A28" s="302" t="s">
        <v>98</v>
      </c>
      <c r="B28" s="87">
        <v>151369</v>
      </c>
      <c r="C28" s="93">
        <v>165152</v>
      </c>
      <c r="D28" s="87">
        <v>316521</v>
      </c>
      <c r="E28" s="299">
        <v>0.2637263904762534</v>
      </c>
      <c r="F28" s="298">
        <v>0.32180052315442742</v>
      </c>
      <c r="G28" s="299">
        <v>0.29402788440577404</v>
      </c>
      <c r="H28" s="87">
        <v>134916</v>
      </c>
      <c r="I28" s="889">
        <v>0.42613922737110499</v>
      </c>
    </row>
    <row r="29" spans="1:9" ht="20" customHeight="1" thickBot="1">
      <c r="A29" s="302" t="s">
        <v>99</v>
      </c>
      <c r="B29" s="87">
        <v>314902</v>
      </c>
      <c r="C29" s="93">
        <v>333624</v>
      </c>
      <c r="D29" s="87">
        <v>648526</v>
      </c>
      <c r="E29" s="299">
        <v>0.21535906408978031</v>
      </c>
      <c r="F29" s="298">
        <v>0.25023379612977481</v>
      </c>
      <c r="G29" s="299">
        <v>0.23329982144123751</v>
      </c>
      <c r="H29" s="87">
        <v>278752</v>
      </c>
      <c r="I29" s="889">
        <v>0.28168049018482377</v>
      </c>
    </row>
    <row r="30" spans="1:9" ht="20" customHeight="1" thickBot="1">
      <c r="A30" s="302" t="s">
        <v>100</v>
      </c>
      <c r="B30" s="87">
        <v>139903</v>
      </c>
      <c r="C30" s="93">
        <v>143687</v>
      </c>
      <c r="D30" s="87">
        <v>283590</v>
      </c>
      <c r="E30" s="299">
        <v>0.28894424889297543</v>
      </c>
      <c r="F30" s="298">
        <v>0.34364161508783714</v>
      </c>
      <c r="G30" s="299">
        <v>0.31665785112310024</v>
      </c>
      <c r="H30" s="87">
        <v>107378</v>
      </c>
      <c r="I30" s="889">
        <v>0.45316545288606602</v>
      </c>
    </row>
    <row r="31" spans="1:9" ht="20" customHeight="1" thickBot="1">
      <c r="A31" s="302" t="s">
        <v>101</v>
      </c>
      <c r="B31" s="87">
        <v>81376</v>
      </c>
      <c r="C31" s="93">
        <v>86795</v>
      </c>
      <c r="D31" s="87">
        <v>168171</v>
      </c>
      <c r="E31" s="299">
        <v>0.31331104994101455</v>
      </c>
      <c r="F31" s="298">
        <v>0.3584883921884901</v>
      </c>
      <c r="G31" s="299">
        <v>0.33662759928881913</v>
      </c>
      <c r="H31" s="87">
        <v>74049</v>
      </c>
      <c r="I31" s="889">
        <v>0.43074180610136531</v>
      </c>
    </row>
    <row r="32" spans="1:9" ht="20" customHeight="1" thickBot="1">
      <c r="A32" s="302" t="s">
        <v>102</v>
      </c>
      <c r="B32" s="87">
        <v>204559</v>
      </c>
      <c r="C32" s="93">
        <v>223355</v>
      </c>
      <c r="D32" s="87">
        <v>427914</v>
      </c>
      <c r="E32" s="299">
        <v>0.39429211132240577</v>
      </c>
      <c r="F32" s="298">
        <v>0.41537910501220032</v>
      </c>
      <c r="G32" s="299">
        <v>0.40529872824913415</v>
      </c>
      <c r="H32" s="87">
        <v>181611</v>
      </c>
      <c r="I32" s="889">
        <v>0.63278656028544522</v>
      </c>
    </row>
    <row r="33" spans="1:9" ht="20" customHeight="1" thickBot="1">
      <c r="A33" s="302" t="s">
        <v>103</v>
      </c>
      <c r="B33" s="87">
        <v>33342</v>
      </c>
      <c r="C33" s="93">
        <v>34574</v>
      </c>
      <c r="D33" s="87">
        <v>67916</v>
      </c>
      <c r="E33" s="299">
        <v>0.33492292004078938</v>
      </c>
      <c r="F33" s="298">
        <v>0.41678718111875979</v>
      </c>
      <c r="G33" s="299">
        <v>0.37659756169385711</v>
      </c>
      <c r="H33" s="87">
        <v>27471</v>
      </c>
      <c r="I33" s="889">
        <v>0.49696043099996362</v>
      </c>
    </row>
    <row r="34" spans="1:9" ht="30" customHeight="1" thickBot="1">
      <c r="A34" s="303" t="s">
        <v>104</v>
      </c>
      <c r="B34" s="344">
        <v>3632015</v>
      </c>
      <c r="C34" s="333">
        <v>3773036</v>
      </c>
      <c r="D34" s="344">
        <v>7405051</v>
      </c>
      <c r="E34" s="305">
        <v>0.31147373348475099</v>
      </c>
      <c r="F34" s="304">
        <v>0.34355382982759303</v>
      </c>
      <c r="G34" s="305">
        <v>0.32781924661963846</v>
      </c>
      <c r="H34" s="573">
        <v>3115399</v>
      </c>
      <c r="I34" s="893">
        <v>0.41322637967079018</v>
      </c>
    </row>
    <row r="35" spans="1:9" ht="20" customHeight="1">
      <c r="A35" s="308" t="s">
        <v>2098</v>
      </c>
      <c r="B35" s="309"/>
      <c r="C35" s="309"/>
      <c r="D35" s="309"/>
      <c r="E35" s="309"/>
      <c r="F35" s="309"/>
      <c r="G35" s="309"/>
    </row>
    <row r="36" spans="1:9" ht="14.25" customHeight="1">
      <c r="A36" s="310"/>
      <c r="B36" s="311"/>
      <c r="C36" s="311"/>
      <c r="D36" s="311"/>
      <c r="E36" s="311"/>
      <c r="F36" s="311"/>
      <c r="G36" s="311"/>
    </row>
    <row r="37" spans="1:9" ht="20" customHeight="1">
      <c r="A37" s="310" t="s">
        <v>576</v>
      </c>
      <c r="B37" s="311"/>
      <c r="C37" s="311"/>
      <c r="D37" s="311"/>
      <c r="E37" s="311"/>
      <c r="F37" s="311"/>
      <c r="G37" s="311"/>
    </row>
    <row r="38" spans="1:9" ht="15.75" customHeight="1">
      <c r="A38" s="310"/>
      <c r="B38" s="311"/>
      <c r="C38" s="311"/>
      <c r="D38" s="311"/>
      <c r="E38" s="311"/>
      <c r="F38" s="311"/>
      <c r="G38" s="311"/>
    </row>
    <row r="39" spans="1:9" ht="11.25" customHeight="1">
      <c r="A39" s="37" t="s">
        <v>577</v>
      </c>
      <c r="B39" s="311"/>
      <c r="C39" s="311"/>
      <c r="D39" s="311"/>
      <c r="E39" s="311"/>
      <c r="F39" s="311"/>
      <c r="G39" s="311"/>
    </row>
    <row r="40" spans="1:9">
      <c r="A40" s="3" t="s">
        <v>578</v>
      </c>
    </row>
    <row r="41" spans="1:9">
      <c r="A41" s="3" t="s">
        <v>579</v>
      </c>
    </row>
    <row r="42" spans="1:9">
      <c r="A42" s="3" t="s">
        <v>580</v>
      </c>
    </row>
    <row r="43" spans="1:9">
      <c r="A43" s="894" t="s">
        <v>581</v>
      </c>
    </row>
    <row r="44" spans="1:9">
      <c r="A44" s="894" t="s">
        <v>582</v>
      </c>
    </row>
    <row r="47" spans="1:9">
      <c r="A47" s="3" t="s">
        <v>256</v>
      </c>
    </row>
  </sheetData>
  <mergeCells count="2">
    <mergeCell ref="B3:D3"/>
    <mergeCell ref="E3:G3"/>
  </mergeCells>
  <phoneticPr fontId="0" type="noConversion"/>
  <pageMargins left="0.57999999999999996" right="0.51" top="0.87" bottom="0.49" header="0.51" footer="0.4921259845"/>
  <pageSetup paperSize="9" scale="78" orientation="portrait" horizontalDpi="1200" verticalDpi="1200"/>
  <headerFooter alignWithMargins="0">
    <oddHeader>&amp;L&amp;"Arial,Bold"Prämienverbilligung in der OKP</oddHead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109B2-852D-2B4A-BCEF-D29FCD43B3DF}">
  <dimension ref="A1:B9"/>
  <sheetViews>
    <sheetView workbookViewId="0">
      <selection activeCell="A9" sqref="A9"/>
    </sheetView>
  </sheetViews>
  <sheetFormatPr baseColWidth="10" defaultColWidth="11.3984375" defaultRowHeight="13"/>
  <cols>
    <col min="1" max="1" width="5.59765625" style="132" customWidth="1"/>
    <col min="2" max="16384" width="11.3984375" style="132"/>
  </cols>
  <sheetData>
    <row r="1" spans="1:2" ht="16">
      <c r="A1" s="131" t="s">
        <v>273</v>
      </c>
    </row>
    <row r="2" spans="1:2" ht="16">
      <c r="A2" s="131"/>
    </row>
    <row r="3" spans="1:2">
      <c r="A3" s="132">
        <v>5.01</v>
      </c>
      <c r="B3" s="133" t="s">
        <v>274</v>
      </c>
    </row>
    <row r="4" spans="1:2">
      <c r="A4" s="132">
        <v>5.0199999999999996</v>
      </c>
      <c r="B4" s="133" t="s">
        <v>275</v>
      </c>
    </row>
    <row r="5" spans="1:2">
      <c r="A5" s="132">
        <v>5.03</v>
      </c>
      <c r="B5" s="132" t="s">
        <v>276</v>
      </c>
    </row>
    <row r="6" spans="1:2">
      <c r="A6" s="132">
        <v>5.04</v>
      </c>
      <c r="B6" s="132" t="s">
        <v>277</v>
      </c>
    </row>
    <row r="9" spans="1:2">
      <c r="A9" s="289" t="s">
        <v>256</v>
      </c>
    </row>
  </sheetData>
  <phoneticPr fontId="21" type="noConversion"/>
  <pageMargins left="0.54" right="0.51" top="0.78" bottom="0.984251969" header="0.36" footer="0.4921259845"/>
  <pageSetup paperSize="9" orientation="portrait"/>
  <headerFooter alignWithMargins="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0718F-F40C-CA42-99BF-84451335B3D9}">
  <sheetPr>
    <pageSetUpPr fitToPage="1"/>
  </sheetPr>
  <dimension ref="A1:Q111"/>
  <sheetViews>
    <sheetView zoomScale="75" workbookViewId="0">
      <selection sqref="A1:Q174"/>
    </sheetView>
  </sheetViews>
  <sheetFormatPr baseColWidth="10" defaultColWidth="11.3984375" defaultRowHeight="13"/>
  <cols>
    <col min="1" max="1" width="5.796875" style="3" customWidth="1"/>
    <col min="2" max="2" width="48.796875" style="100" customWidth="1"/>
    <col min="3" max="4" width="10.796875" style="100" customWidth="1"/>
    <col min="5" max="5" width="10.796875" style="3" customWidth="1"/>
    <col min="6" max="7" width="10.796875" style="42" customWidth="1"/>
    <col min="8" max="16" width="10.796875" style="3" customWidth="1"/>
    <col min="17" max="17" width="12.796875" style="263" customWidth="1"/>
    <col min="18" max="16384" width="11.3984375" style="3"/>
  </cols>
  <sheetData>
    <row r="1" spans="1:17" s="1" customFormat="1" ht="14" customHeight="1">
      <c r="B1" s="90"/>
      <c r="C1" s="90"/>
      <c r="D1" s="90"/>
      <c r="F1" s="101"/>
      <c r="G1" s="101"/>
      <c r="Q1" s="211"/>
    </row>
    <row r="2" spans="1:17" s="1" customFormat="1" ht="19.5" customHeight="1">
      <c r="A2" s="76" t="s">
        <v>332</v>
      </c>
      <c r="C2" s="90"/>
      <c r="D2" s="90"/>
      <c r="F2" s="101"/>
      <c r="G2" s="101"/>
      <c r="H2" s="58"/>
      <c r="Q2" s="212">
        <v>2003</v>
      </c>
    </row>
    <row r="3" spans="1:17" s="1" customFormat="1" ht="20.25" customHeight="1">
      <c r="B3" s="90"/>
      <c r="C3" s="90"/>
      <c r="D3" s="90"/>
      <c r="F3" s="101"/>
      <c r="G3" s="101"/>
      <c r="Q3" s="211"/>
    </row>
    <row r="4" spans="1:17" ht="18" customHeight="1">
      <c r="A4" s="139" t="s">
        <v>1008</v>
      </c>
      <c r="B4" s="139" t="s">
        <v>333</v>
      </c>
      <c r="C4" s="140" t="s">
        <v>334</v>
      </c>
      <c r="D4" s="141" t="s">
        <v>335</v>
      </c>
      <c r="E4" s="140" t="s">
        <v>336</v>
      </c>
      <c r="F4" s="143" t="s">
        <v>337</v>
      </c>
      <c r="G4" s="142" t="s">
        <v>338</v>
      </c>
      <c r="H4" s="140" t="s">
        <v>338</v>
      </c>
      <c r="I4" s="141" t="s">
        <v>339</v>
      </c>
      <c r="J4" s="140" t="s">
        <v>339</v>
      </c>
      <c r="K4" s="141" t="s">
        <v>340</v>
      </c>
      <c r="L4" s="142" t="s">
        <v>341</v>
      </c>
      <c r="M4" s="143" t="s">
        <v>341</v>
      </c>
      <c r="N4" s="142" t="s">
        <v>341</v>
      </c>
      <c r="O4" s="141" t="s">
        <v>341</v>
      </c>
      <c r="P4" s="142" t="s">
        <v>342</v>
      </c>
      <c r="Q4" s="213" t="s">
        <v>343</v>
      </c>
    </row>
    <row r="5" spans="1:17" ht="15" customHeight="1">
      <c r="A5" s="145" t="s">
        <v>959</v>
      </c>
      <c r="B5" s="145"/>
      <c r="C5" s="146" t="s">
        <v>344</v>
      </c>
      <c r="D5" s="147" t="s">
        <v>22</v>
      </c>
      <c r="E5" s="146" t="s">
        <v>345</v>
      </c>
      <c r="F5" s="149" t="s">
        <v>346</v>
      </c>
      <c r="G5" s="148" t="s">
        <v>347</v>
      </c>
      <c r="H5" s="146" t="s">
        <v>347</v>
      </c>
      <c r="I5" s="147" t="s">
        <v>348</v>
      </c>
      <c r="J5" s="146" t="s">
        <v>348</v>
      </c>
      <c r="K5" s="147" t="s">
        <v>349</v>
      </c>
      <c r="L5" s="148" t="s">
        <v>350</v>
      </c>
      <c r="M5" s="149" t="s">
        <v>350</v>
      </c>
      <c r="N5" s="148" t="s">
        <v>342</v>
      </c>
      <c r="O5" s="147" t="s">
        <v>342</v>
      </c>
      <c r="P5" s="148" t="s">
        <v>351</v>
      </c>
      <c r="Q5" s="151" t="s">
        <v>961</v>
      </c>
    </row>
    <row r="6" spans="1:17" ht="15" customHeight="1">
      <c r="A6" s="145"/>
      <c r="B6" s="145"/>
      <c r="C6" s="146"/>
      <c r="D6" s="147" t="s">
        <v>345</v>
      </c>
      <c r="E6" s="146"/>
      <c r="F6" s="149" t="s">
        <v>352</v>
      </c>
      <c r="G6" s="148" t="s">
        <v>353</v>
      </c>
      <c r="H6" s="146" t="s">
        <v>353</v>
      </c>
      <c r="I6" s="147" t="s">
        <v>354</v>
      </c>
      <c r="J6" s="146" t="s">
        <v>354</v>
      </c>
      <c r="K6" s="147" t="s">
        <v>355</v>
      </c>
      <c r="L6" s="148" t="s">
        <v>356</v>
      </c>
      <c r="M6" s="149" t="s">
        <v>357</v>
      </c>
      <c r="N6" s="148" t="s">
        <v>358</v>
      </c>
      <c r="O6" s="147" t="s">
        <v>359</v>
      </c>
      <c r="P6" s="148" t="s">
        <v>336</v>
      </c>
      <c r="Q6" s="151" t="s">
        <v>360</v>
      </c>
    </row>
    <row r="7" spans="1:17" ht="15" customHeight="1">
      <c r="A7" s="145"/>
      <c r="B7" s="145"/>
      <c r="C7" s="146"/>
      <c r="D7" s="147"/>
      <c r="E7" s="146"/>
      <c r="F7" s="149" t="s">
        <v>361</v>
      </c>
      <c r="G7" s="148" t="s">
        <v>358</v>
      </c>
      <c r="H7" s="146" t="s">
        <v>359</v>
      </c>
      <c r="I7" s="147" t="s">
        <v>362</v>
      </c>
      <c r="J7" s="146" t="s">
        <v>363</v>
      </c>
      <c r="K7" s="147" t="s">
        <v>1915</v>
      </c>
      <c r="L7" s="148" t="s">
        <v>358</v>
      </c>
      <c r="M7" s="149" t="s">
        <v>355</v>
      </c>
      <c r="N7" s="148"/>
      <c r="O7" s="147" t="s">
        <v>1916</v>
      </c>
      <c r="P7" s="148"/>
      <c r="Q7" s="151" t="s">
        <v>1917</v>
      </c>
    </row>
    <row r="8" spans="1:17" ht="15" customHeight="1">
      <c r="A8" s="145"/>
      <c r="B8" s="145"/>
      <c r="C8" s="146"/>
      <c r="D8" s="147"/>
      <c r="E8" s="146"/>
      <c r="F8" s="149"/>
      <c r="G8" s="148"/>
      <c r="H8" s="146" t="s">
        <v>1916</v>
      </c>
      <c r="I8" s="147" t="s">
        <v>1918</v>
      </c>
      <c r="J8" s="146" t="s">
        <v>355</v>
      </c>
      <c r="K8" s="147" t="s">
        <v>1919</v>
      </c>
      <c r="L8" s="148"/>
      <c r="M8" s="149" t="s">
        <v>1920</v>
      </c>
      <c r="N8" s="148"/>
      <c r="O8" s="147" t="s">
        <v>1921</v>
      </c>
      <c r="P8" s="148"/>
      <c r="Q8" s="151" t="s">
        <v>1922</v>
      </c>
    </row>
    <row r="9" spans="1:17" ht="15" customHeight="1">
      <c r="A9" s="145"/>
      <c r="B9" s="145"/>
      <c r="C9" s="146"/>
      <c r="D9" s="147"/>
      <c r="E9" s="146"/>
      <c r="F9" s="149"/>
      <c r="G9" s="148"/>
      <c r="H9" s="146" t="s">
        <v>1921</v>
      </c>
      <c r="I9" s="147" t="s">
        <v>1923</v>
      </c>
      <c r="J9" s="146" t="s">
        <v>1924</v>
      </c>
      <c r="K9" s="147"/>
      <c r="L9" s="148"/>
      <c r="M9" s="149" t="s">
        <v>1925</v>
      </c>
      <c r="N9" s="148"/>
      <c r="O9" s="147"/>
      <c r="P9" s="148"/>
      <c r="Q9" s="151"/>
    </row>
    <row r="10" spans="1:17" ht="18" customHeight="1">
      <c r="A10" s="152"/>
      <c r="B10" s="153"/>
      <c r="C10" s="154">
        <v>1</v>
      </c>
      <c r="D10" s="155">
        <v>2</v>
      </c>
      <c r="E10" s="154">
        <v>3</v>
      </c>
      <c r="F10" s="157">
        <v>4</v>
      </c>
      <c r="G10" s="156">
        <v>5</v>
      </c>
      <c r="H10" s="154" t="s">
        <v>1926</v>
      </c>
      <c r="I10" s="155" t="s">
        <v>1049</v>
      </c>
      <c r="J10" s="154" t="s">
        <v>1051</v>
      </c>
      <c r="K10" s="155">
        <v>7</v>
      </c>
      <c r="L10" s="156">
        <v>8</v>
      </c>
      <c r="M10" s="157" t="s">
        <v>1927</v>
      </c>
      <c r="N10" s="156">
        <v>9</v>
      </c>
      <c r="O10" s="155" t="s">
        <v>1928</v>
      </c>
      <c r="P10" s="156" t="s">
        <v>1929</v>
      </c>
      <c r="Q10" s="158">
        <v>10</v>
      </c>
    </row>
    <row r="11" spans="1:17" ht="14" thickBot="1">
      <c r="A11" s="214">
        <v>8</v>
      </c>
      <c r="B11" s="215" t="s">
        <v>977</v>
      </c>
      <c r="C11" s="216">
        <v>972429</v>
      </c>
      <c r="D11" s="217">
        <v>2136.4310524000002</v>
      </c>
      <c r="E11" s="218">
        <v>2100.0946699000001</v>
      </c>
      <c r="F11" s="219">
        <v>-4.6115987871129999E-2</v>
      </c>
      <c r="G11" s="218">
        <v>2026.4227653200001</v>
      </c>
      <c r="H11" s="220">
        <v>2083.8773476726801</v>
      </c>
      <c r="I11" s="221">
        <v>5.552020382299E-2</v>
      </c>
      <c r="J11" s="220">
        <v>119.97548546989</v>
      </c>
      <c r="K11" s="222">
        <v>36.070860073074698</v>
      </c>
      <c r="L11" s="218">
        <v>550.6</v>
      </c>
      <c r="M11" s="222">
        <v>566.21100357969499</v>
      </c>
      <c r="N11" s="218">
        <v>321.52993050999999</v>
      </c>
      <c r="O11" s="222">
        <v>330.64617623497401</v>
      </c>
      <c r="P11" s="223">
        <v>0.15310258871582</v>
      </c>
      <c r="Q11" s="224" t="s">
        <v>969</v>
      </c>
    </row>
    <row r="12" spans="1:17" ht="14" thickBot="1">
      <c r="A12" s="225">
        <v>32</v>
      </c>
      <c r="B12" s="226" t="s">
        <v>1931</v>
      </c>
      <c r="C12" s="227">
        <v>33031</v>
      </c>
      <c r="D12" s="228">
        <v>69.732814279999999</v>
      </c>
      <c r="E12" s="229">
        <v>69.823622</v>
      </c>
      <c r="F12" s="230">
        <v>-2.8438143798900002E-3</v>
      </c>
      <c r="G12" s="229">
        <v>64.759966820000002</v>
      </c>
      <c r="H12" s="231">
        <v>1960.581478611</v>
      </c>
      <c r="I12" s="232">
        <v>2.149087599937E-2</v>
      </c>
      <c r="J12" s="231">
        <v>43.709692107414199</v>
      </c>
      <c r="K12" s="233">
        <v>77.260345433078001</v>
      </c>
      <c r="L12" s="229">
        <v>17.859180800000001</v>
      </c>
      <c r="M12" s="233">
        <v>540.67938603130403</v>
      </c>
      <c r="N12" s="229">
        <v>21.833690149999999</v>
      </c>
      <c r="O12" s="233">
        <v>661.00602918470497</v>
      </c>
      <c r="P12" s="234">
        <v>0.31269775936286998</v>
      </c>
      <c r="Q12" s="224" t="s">
        <v>1932</v>
      </c>
    </row>
    <row r="13" spans="1:17" ht="14" thickBot="1">
      <c r="A13" s="225">
        <v>57</v>
      </c>
      <c r="B13" s="226" t="s">
        <v>1933</v>
      </c>
      <c r="C13" s="227">
        <v>26295</v>
      </c>
      <c r="D13" s="228">
        <v>75.752656689999995</v>
      </c>
      <c r="E13" s="229">
        <v>73.561572749999996</v>
      </c>
      <c r="F13" s="230">
        <v>0.13641469093669001</v>
      </c>
      <c r="G13" s="229">
        <v>75.655960350000001</v>
      </c>
      <c r="H13" s="231">
        <v>2877.1994808898999</v>
      </c>
      <c r="I13" s="232">
        <v>3.7088118386170002E-2</v>
      </c>
      <c r="J13" s="231">
        <v>124.563605248146</v>
      </c>
      <c r="K13" s="233">
        <v>-477.70834607339799</v>
      </c>
      <c r="L13" s="229">
        <v>20.22175</v>
      </c>
      <c r="M13" s="233">
        <v>769.03403688914204</v>
      </c>
      <c r="N13" s="229">
        <v>0</v>
      </c>
      <c r="O13" s="233">
        <v>0</v>
      </c>
      <c r="P13" s="234">
        <v>0</v>
      </c>
      <c r="Q13" s="224" t="s">
        <v>969</v>
      </c>
    </row>
    <row r="14" spans="1:17" ht="14" thickBot="1">
      <c r="A14" s="225">
        <v>62</v>
      </c>
      <c r="B14" s="226" t="s">
        <v>1934</v>
      </c>
      <c r="C14" s="227">
        <v>80503</v>
      </c>
      <c r="D14" s="228">
        <v>259.17622030000001</v>
      </c>
      <c r="E14" s="229">
        <v>254.60043385</v>
      </c>
      <c r="F14" s="230">
        <v>-0.13963325843748001</v>
      </c>
      <c r="G14" s="229">
        <v>281.7459288</v>
      </c>
      <c r="H14" s="231">
        <v>3499.81899804976</v>
      </c>
      <c r="I14" s="232">
        <v>5.950771076512E-2</v>
      </c>
      <c r="J14" s="231">
        <v>181.20675540041901</v>
      </c>
      <c r="K14" s="233">
        <v>174.363331428642</v>
      </c>
      <c r="L14" s="229">
        <v>85.244382000000002</v>
      </c>
      <c r="M14" s="233">
        <v>1058.8969603617199</v>
      </c>
      <c r="N14" s="229">
        <v>1.5610267</v>
      </c>
      <c r="O14" s="233">
        <v>19.3909133821099</v>
      </c>
      <c r="P14" s="234">
        <v>6.1312805967899996E-3</v>
      </c>
      <c r="Q14" s="224" t="s">
        <v>969</v>
      </c>
    </row>
    <row r="15" spans="1:17" ht="14" thickBot="1">
      <c r="A15" s="225">
        <v>97</v>
      </c>
      <c r="B15" s="226" t="s">
        <v>1935</v>
      </c>
      <c r="C15" s="227">
        <v>974</v>
      </c>
      <c r="D15" s="228">
        <v>1.6603060000000001</v>
      </c>
      <c r="E15" s="229">
        <v>1.6761965000000001</v>
      </c>
      <c r="F15" s="230">
        <v>4.1425405919139999E-2</v>
      </c>
      <c r="G15" s="229">
        <v>1.473034</v>
      </c>
      <c r="H15" s="231">
        <v>1512.3552361396301</v>
      </c>
      <c r="I15" s="232">
        <v>3.4228848360299997E-2</v>
      </c>
      <c r="J15" s="231">
        <v>56.339117043121099</v>
      </c>
      <c r="K15" s="233">
        <v>58.672073921971197</v>
      </c>
      <c r="L15" s="229">
        <v>0.27</v>
      </c>
      <c r="M15" s="233">
        <v>277.20739219712499</v>
      </c>
      <c r="N15" s="229">
        <v>0.51300076999999999</v>
      </c>
      <c r="O15" s="233">
        <v>526.69483572895194</v>
      </c>
      <c r="P15" s="234">
        <v>0.30605049586965999</v>
      </c>
      <c r="Q15" s="224" t="s">
        <v>1932</v>
      </c>
    </row>
    <row r="16" spans="1:17" ht="14" thickBot="1">
      <c r="A16" s="225">
        <v>109</v>
      </c>
      <c r="B16" s="226" t="s">
        <v>1936</v>
      </c>
      <c r="C16" s="227">
        <v>270</v>
      </c>
      <c r="D16" s="228">
        <v>0.40753054999999999</v>
      </c>
      <c r="E16" s="229">
        <v>0.41379539999999998</v>
      </c>
      <c r="F16" s="230">
        <v>-1.1864141228180001E-2</v>
      </c>
      <c r="G16" s="229">
        <v>0.40511465000000002</v>
      </c>
      <c r="H16" s="231">
        <v>1500.4246296296201</v>
      </c>
      <c r="I16" s="232">
        <v>5.2342126779139998E-2</v>
      </c>
      <c r="J16" s="231">
        <v>84.552037037036996</v>
      </c>
      <c r="K16" s="233">
        <v>-106.000185185185</v>
      </c>
      <c r="L16" s="229">
        <v>0.125</v>
      </c>
      <c r="M16" s="233">
        <v>462.96296296296299</v>
      </c>
      <c r="N16" s="229">
        <v>0.30182195000000001</v>
      </c>
      <c r="O16" s="233">
        <v>1117.8590740740699</v>
      </c>
      <c r="P16" s="234">
        <v>0.72939899766889005</v>
      </c>
      <c r="Q16" s="224" t="s">
        <v>969</v>
      </c>
    </row>
    <row r="17" spans="1:17" ht="14" thickBot="1">
      <c r="A17" s="225">
        <v>134</v>
      </c>
      <c r="B17" s="226" t="s">
        <v>1937</v>
      </c>
      <c r="C17" s="227">
        <v>2098</v>
      </c>
      <c r="D17" s="228">
        <v>3.5941255000000001</v>
      </c>
      <c r="E17" s="229">
        <v>3.6054292000000001</v>
      </c>
      <c r="F17" s="230">
        <v>-3.2960729946679999E-2</v>
      </c>
      <c r="G17" s="229">
        <v>3.6996033499999998</v>
      </c>
      <c r="H17" s="231">
        <v>1763.3953050524301</v>
      </c>
      <c r="I17" s="232">
        <v>4.9999725366540002E-2</v>
      </c>
      <c r="J17" s="231">
        <v>84.608365109628195</v>
      </c>
      <c r="K17" s="233">
        <v>20.943279313632001</v>
      </c>
      <c r="L17" s="229">
        <v>1.25</v>
      </c>
      <c r="M17" s="233">
        <v>595.80552907530898</v>
      </c>
      <c r="N17" s="229">
        <v>1.8088457600000001</v>
      </c>
      <c r="O17" s="233">
        <v>862.17624404194396</v>
      </c>
      <c r="P17" s="234">
        <v>0.50170053540366</v>
      </c>
      <c r="Q17" s="224" t="s">
        <v>969</v>
      </c>
    </row>
    <row r="18" spans="1:17" ht="14" thickBot="1">
      <c r="A18" s="225">
        <v>160</v>
      </c>
      <c r="B18" s="226" t="s">
        <v>1938</v>
      </c>
      <c r="C18" s="227">
        <v>24029</v>
      </c>
      <c r="D18" s="228">
        <v>56.00611447</v>
      </c>
      <c r="E18" s="229">
        <v>55.411476100000002</v>
      </c>
      <c r="F18" s="230">
        <v>0.11790725981423</v>
      </c>
      <c r="G18" s="229">
        <v>41.937298859999999</v>
      </c>
      <c r="H18" s="231">
        <v>1745.27857422281</v>
      </c>
      <c r="I18" s="232">
        <v>6.3033822675369999E-2</v>
      </c>
      <c r="J18" s="231">
        <v>138.84997336551601</v>
      </c>
      <c r="K18" s="233">
        <v>127.98652711307101</v>
      </c>
      <c r="L18" s="229">
        <v>11.234999999999999</v>
      </c>
      <c r="M18" s="233">
        <v>467.560031628449</v>
      </c>
      <c r="N18" s="229">
        <v>8.9962655100000006</v>
      </c>
      <c r="O18" s="233">
        <v>374.39200590952601</v>
      </c>
      <c r="P18" s="234">
        <v>0.16235383251232</v>
      </c>
      <c r="Q18" s="224" t="s">
        <v>1932</v>
      </c>
    </row>
    <row r="19" spans="1:17" ht="14" thickBot="1">
      <c r="A19" s="225">
        <v>178</v>
      </c>
      <c r="B19" s="226" t="s">
        <v>1939</v>
      </c>
      <c r="C19" s="227">
        <v>976</v>
      </c>
      <c r="D19" s="228">
        <v>1.6397258299999999</v>
      </c>
      <c r="E19" s="229">
        <v>1.6950738299999999</v>
      </c>
      <c r="F19" s="230">
        <v>0.22491314904759999</v>
      </c>
      <c r="G19" s="229">
        <v>1.3954168499999999</v>
      </c>
      <c r="H19" s="231">
        <v>1429.7303790983599</v>
      </c>
      <c r="I19" s="232">
        <v>6.3084912254940007E-2</v>
      </c>
      <c r="J19" s="231">
        <v>104.953893442622</v>
      </c>
      <c r="K19" s="233">
        <v>16.354487704918</v>
      </c>
      <c r="L19" s="229">
        <v>0.4</v>
      </c>
      <c r="M19" s="233">
        <v>409.83606557376999</v>
      </c>
      <c r="N19" s="229">
        <v>0.62334067999999998</v>
      </c>
      <c r="O19" s="233">
        <v>638.66872950819595</v>
      </c>
      <c r="P19" s="234">
        <v>0.36773659587440999</v>
      </c>
      <c r="Q19" s="224" t="s">
        <v>1932</v>
      </c>
    </row>
    <row r="20" spans="1:17" ht="14" thickBot="1">
      <c r="A20" s="225">
        <v>182</v>
      </c>
      <c r="B20" s="226" t="s">
        <v>1940</v>
      </c>
      <c r="C20" s="227">
        <v>37575</v>
      </c>
      <c r="D20" s="228">
        <v>79.877995290000001</v>
      </c>
      <c r="E20" s="229">
        <v>78.847668889999994</v>
      </c>
      <c r="F20" s="230">
        <v>8.512982799971E-2</v>
      </c>
      <c r="G20" s="229">
        <v>65.16620752</v>
      </c>
      <c r="H20" s="231">
        <v>1734.2969399866899</v>
      </c>
      <c r="I20" s="232">
        <v>5.7140900455150002E-2</v>
      </c>
      <c r="J20" s="231">
        <v>117.798073453093</v>
      </c>
      <c r="K20" s="233">
        <v>64.291341317365195</v>
      </c>
      <c r="L20" s="229">
        <v>15.75</v>
      </c>
      <c r="M20" s="233">
        <v>419.16167664670598</v>
      </c>
      <c r="N20" s="229">
        <v>12.3610249</v>
      </c>
      <c r="O20" s="233">
        <v>328.96939188290003</v>
      </c>
      <c r="P20" s="234">
        <v>0.15677096195760001</v>
      </c>
      <c r="Q20" s="224" t="s">
        <v>1932</v>
      </c>
    </row>
    <row r="21" spans="1:17" ht="14" thickBot="1">
      <c r="A21" s="225">
        <v>194</v>
      </c>
      <c r="B21" s="226" t="s">
        <v>1941</v>
      </c>
      <c r="C21" s="227">
        <v>22408</v>
      </c>
      <c r="D21" s="228">
        <v>38.285485989999998</v>
      </c>
      <c r="E21" s="229">
        <v>37.587412950000001</v>
      </c>
      <c r="F21" s="230">
        <v>0.29301754489755999</v>
      </c>
      <c r="G21" s="229">
        <v>22.715971849999999</v>
      </c>
      <c r="H21" s="231">
        <v>1013.74383479114</v>
      </c>
      <c r="I21" s="232">
        <v>2.913542691311E-2</v>
      </c>
      <c r="J21" s="231">
        <v>47.9094028918243</v>
      </c>
      <c r="K21" s="233">
        <v>64.193934755444403</v>
      </c>
      <c r="L21" s="229">
        <v>4.6500000000000004</v>
      </c>
      <c r="M21" s="233">
        <v>207.51517315244499</v>
      </c>
      <c r="N21" s="229">
        <v>8.6233370699999998</v>
      </c>
      <c r="O21" s="233">
        <v>384.832964566226</v>
      </c>
      <c r="P21" s="234">
        <v>0.2294208723934</v>
      </c>
      <c r="Q21" s="224" t="s">
        <v>1932</v>
      </c>
    </row>
    <row r="22" spans="1:17" ht="14" thickBot="1">
      <c r="A22" s="225">
        <v>216</v>
      </c>
      <c r="B22" s="226" t="s">
        <v>1942</v>
      </c>
      <c r="C22" s="227">
        <v>1267</v>
      </c>
      <c r="D22" s="228">
        <v>2.7987938099999998</v>
      </c>
      <c r="E22" s="229">
        <v>2.7373848999999999</v>
      </c>
      <c r="F22" s="230">
        <v>4.6087710905720003E-2</v>
      </c>
      <c r="G22" s="229">
        <v>2.0983988999999998</v>
      </c>
      <c r="H22" s="231">
        <v>1656.19486977111</v>
      </c>
      <c r="I22" s="232">
        <v>8.2642272650389995E-2</v>
      </c>
      <c r="J22" s="231">
        <v>171.74668508287201</v>
      </c>
      <c r="K22" s="233">
        <v>130.79862667718999</v>
      </c>
      <c r="L22" s="229">
        <v>0.77500000000000002</v>
      </c>
      <c r="M22" s="233">
        <v>611.68113654301499</v>
      </c>
      <c r="N22" s="229">
        <v>1.68099686</v>
      </c>
      <c r="O22" s="233">
        <v>1326.75363851618</v>
      </c>
      <c r="P22" s="234">
        <v>0.61408859967042995</v>
      </c>
      <c r="Q22" s="224" t="s">
        <v>1932</v>
      </c>
    </row>
    <row r="23" spans="1:17" ht="14" thickBot="1">
      <c r="A23" s="225">
        <v>240</v>
      </c>
      <c r="B23" s="226" t="s">
        <v>1943</v>
      </c>
      <c r="C23" s="227">
        <v>288</v>
      </c>
      <c r="D23" s="228">
        <v>0.53568265000000004</v>
      </c>
      <c r="E23" s="229">
        <v>0.54450829999999995</v>
      </c>
      <c r="F23" s="230">
        <v>1.840081996308E-2</v>
      </c>
      <c r="G23" s="229">
        <v>0.58705845000000001</v>
      </c>
      <c r="H23" s="231">
        <v>2038.3973958333299</v>
      </c>
      <c r="I23" s="232">
        <v>0.17529119152916001</v>
      </c>
      <c r="J23" s="231">
        <v>326.04322916666598</v>
      </c>
      <c r="K23" s="233">
        <v>9.4739031434680004E-15</v>
      </c>
      <c r="L23" s="229">
        <v>0.16</v>
      </c>
      <c r="M23" s="233">
        <v>555.55555555555497</v>
      </c>
      <c r="N23" s="229">
        <v>0.61254383000000001</v>
      </c>
      <c r="O23" s="233">
        <v>2126.8882986111098</v>
      </c>
      <c r="P23" s="234">
        <v>1.1249485636858001</v>
      </c>
      <c r="Q23" s="224" t="s">
        <v>1932</v>
      </c>
    </row>
    <row r="24" spans="1:17" ht="14" thickBot="1">
      <c r="A24" s="225">
        <v>246</v>
      </c>
      <c r="B24" s="226" t="s">
        <v>1944</v>
      </c>
      <c r="C24" s="227">
        <v>5169</v>
      </c>
      <c r="D24" s="228">
        <v>8.7515782499999997</v>
      </c>
      <c r="E24" s="229">
        <v>9.1422053499999993</v>
      </c>
      <c r="F24" s="230">
        <v>0.25896894654400998</v>
      </c>
      <c r="G24" s="229">
        <v>6.2330949000000002</v>
      </c>
      <c r="H24" s="231">
        <v>1205.8608821822399</v>
      </c>
      <c r="I24" s="232">
        <v>5.6325026741189999E-2</v>
      </c>
      <c r="J24" s="231">
        <v>93.6782840007738</v>
      </c>
      <c r="K24" s="233">
        <v>29.915873476494401</v>
      </c>
      <c r="L24" s="229">
        <v>1.5249999999999999</v>
      </c>
      <c r="M24" s="233">
        <v>295.02805184755198</v>
      </c>
      <c r="N24" s="229">
        <v>2.7140786499999998</v>
      </c>
      <c r="O24" s="233">
        <v>525.06841748887598</v>
      </c>
      <c r="P24" s="234">
        <v>0.29687351641033999</v>
      </c>
      <c r="Q24" s="224" t="s">
        <v>1932</v>
      </c>
    </row>
    <row r="25" spans="1:17" ht="14" thickBot="1">
      <c r="A25" s="225">
        <v>261</v>
      </c>
      <c r="B25" s="226" t="s">
        <v>988</v>
      </c>
      <c r="C25" s="227">
        <v>26805</v>
      </c>
      <c r="D25" s="228">
        <v>48.46208481</v>
      </c>
      <c r="E25" s="229">
        <v>45.813261099999998</v>
      </c>
      <c r="F25" s="230">
        <v>0.21171602584217999</v>
      </c>
      <c r="G25" s="229">
        <v>32.893089799999998</v>
      </c>
      <c r="H25" s="231">
        <v>1227.1251557545199</v>
      </c>
      <c r="I25" s="232">
        <v>8.7611658324909997E-2</v>
      </c>
      <c r="J25" s="231">
        <v>154.59123670956899</v>
      </c>
      <c r="K25" s="233">
        <v>43.444128334265898</v>
      </c>
      <c r="L25" s="229">
        <v>7</v>
      </c>
      <c r="M25" s="233">
        <v>261.14530871106098</v>
      </c>
      <c r="N25" s="229">
        <v>3.7834599600000001</v>
      </c>
      <c r="O25" s="233">
        <v>141.14754560716199</v>
      </c>
      <c r="P25" s="234">
        <v>8.2584384284310003E-2</v>
      </c>
      <c r="Q25" s="224" t="s">
        <v>969</v>
      </c>
    </row>
    <row r="26" spans="1:17" ht="14" thickBot="1">
      <c r="A26" s="225">
        <v>263</v>
      </c>
      <c r="B26" s="226" t="s">
        <v>1945</v>
      </c>
      <c r="C26" s="227">
        <v>41791</v>
      </c>
      <c r="D26" s="228">
        <v>110.39038205999999</v>
      </c>
      <c r="E26" s="229">
        <v>108.4864886</v>
      </c>
      <c r="F26" s="230">
        <v>6.7172632811150004E-2</v>
      </c>
      <c r="G26" s="229">
        <v>86.383957069999994</v>
      </c>
      <c r="H26" s="231">
        <v>2067.0469017252499</v>
      </c>
      <c r="I26" s="232">
        <v>6.7343584717310001E-2</v>
      </c>
      <c r="J26" s="231">
        <v>169.12205283434201</v>
      </c>
      <c r="K26" s="233">
        <v>130.155662223923</v>
      </c>
      <c r="L26" s="229">
        <v>23.335999999999999</v>
      </c>
      <c r="M26" s="233">
        <v>558.39774114043701</v>
      </c>
      <c r="N26" s="229">
        <v>19.374593140000002</v>
      </c>
      <c r="O26" s="233">
        <v>463.60683257160599</v>
      </c>
      <c r="P26" s="234">
        <v>0.17858991833936999</v>
      </c>
      <c r="Q26" s="224" t="s">
        <v>1932</v>
      </c>
    </row>
    <row r="27" spans="1:17" ht="14" thickBot="1">
      <c r="A27" s="225">
        <v>290</v>
      </c>
      <c r="B27" s="226" t="s">
        <v>1946</v>
      </c>
      <c r="C27" s="227">
        <v>547393</v>
      </c>
      <c r="D27" s="228">
        <v>1172.6428382900001</v>
      </c>
      <c r="E27" s="229">
        <v>1165.8151245500001</v>
      </c>
      <c r="F27" s="230">
        <v>-4.1723838267189998E-2</v>
      </c>
      <c r="G27" s="229">
        <v>1119.31708269</v>
      </c>
      <c r="H27" s="231">
        <v>2044.81438872985</v>
      </c>
      <c r="I27" s="232">
        <v>5.6546569383540003E-2</v>
      </c>
      <c r="J27" s="231">
        <v>118.61087231659801</v>
      </c>
      <c r="K27" s="233">
        <v>44.6534947834554</v>
      </c>
      <c r="L27" s="229">
        <v>306.07149170000002</v>
      </c>
      <c r="M27" s="233">
        <v>559.14396366047697</v>
      </c>
      <c r="N27" s="229">
        <v>199.23471594</v>
      </c>
      <c r="O27" s="233">
        <v>363.97015661508198</v>
      </c>
      <c r="P27" s="234">
        <v>0.17089735048419</v>
      </c>
      <c r="Q27" s="224" t="s">
        <v>1932</v>
      </c>
    </row>
    <row r="28" spans="1:17" ht="14" thickBot="1">
      <c r="A28" s="225">
        <v>294</v>
      </c>
      <c r="B28" s="226" t="s">
        <v>1947</v>
      </c>
      <c r="C28" s="227">
        <v>10172</v>
      </c>
      <c r="D28" s="228">
        <v>13.847134730000001</v>
      </c>
      <c r="E28" s="229">
        <v>13.73029775</v>
      </c>
      <c r="F28" s="230">
        <v>0.20961246182660001</v>
      </c>
      <c r="G28" s="229">
        <v>8.7660798</v>
      </c>
      <c r="H28" s="231">
        <v>861.78527329925305</v>
      </c>
      <c r="I28" s="232">
        <v>5.227188770617E-2</v>
      </c>
      <c r="J28" s="231">
        <v>68.558985450255605</v>
      </c>
      <c r="K28" s="233">
        <v>49.714862367282699</v>
      </c>
      <c r="L28" s="229">
        <v>2</v>
      </c>
      <c r="M28" s="233">
        <v>196.61816751867801</v>
      </c>
      <c r="N28" s="229">
        <v>2.8173583500000001</v>
      </c>
      <c r="O28" s="233">
        <v>276.97191801022399</v>
      </c>
      <c r="P28" s="234">
        <v>0.20519280800010001</v>
      </c>
      <c r="Q28" s="224" t="s">
        <v>1932</v>
      </c>
    </row>
    <row r="29" spans="1:17" ht="14" thickBot="1">
      <c r="A29" s="225">
        <v>312</v>
      </c>
      <c r="B29" s="226" t="s">
        <v>974</v>
      </c>
      <c r="C29" s="227">
        <v>118503</v>
      </c>
      <c r="D29" s="228">
        <v>253.45115716999999</v>
      </c>
      <c r="E29" s="229">
        <v>253.24569510000001</v>
      </c>
      <c r="F29" s="230">
        <v>-3.2497993270059998E-2</v>
      </c>
      <c r="G29" s="229">
        <v>224.52293066999999</v>
      </c>
      <c r="H29" s="231">
        <v>1894.6603096124099</v>
      </c>
      <c r="I29" s="232">
        <v>4.3907726092609997E-2</v>
      </c>
      <c r="J29" s="231">
        <v>87.801653966566207</v>
      </c>
      <c r="K29" s="233">
        <v>139.08843928001801</v>
      </c>
      <c r="L29" s="229">
        <v>74.146000000000001</v>
      </c>
      <c r="M29" s="233">
        <v>625.68880112739703</v>
      </c>
      <c r="N29" s="229">
        <v>61.623723009999999</v>
      </c>
      <c r="O29" s="233">
        <v>520.01825278684896</v>
      </c>
      <c r="P29" s="234">
        <v>0.24333571785165001</v>
      </c>
      <c r="Q29" s="224" t="s">
        <v>1932</v>
      </c>
    </row>
    <row r="30" spans="1:17" ht="14" thickBot="1">
      <c r="A30" s="225">
        <v>343</v>
      </c>
      <c r="B30" s="226" t="s">
        <v>1948</v>
      </c>
      <c r="C30" s="227">
        <v>82481</v>
      </c>
      <c r="D30" s="228">
        <v>199.20718313</v>
      </c>
      <c r="E30" s="229">
        <v>196.30789949999999</v>
      </c>
      <c r="F30" s="230">
        <v>4.0447592669090003E-2</v>
      </c>
      <c r="G30" s="229">
        <v>164.01852962000001</v>
      </c>
      <c r="H30" s="231">
        <v>1988.5613610407199</v>
      </c>
      <c r="I30" s="232">
        <v>5.8816075922599999E-2</v>
      </c>
      <c r="J30" s="231">
        <v>131.644016318909</v>
      </c>
      <c r="K30" s="233">
        <v>176.95686582364399</v>
      </c>
      <c r="L30" s="229">
        <v>43.988700000000001</v>
      </c>
      <c r="M30" s="233">
        <v>533.31918866163096</v>
      </c>
      <c r="N30" s="229">
        <v>33.773921340000001</v>
      </c>
      <c r="O30" s="233">
        <v>409.47516809932</v>
      </c>
      <c r="P30" s="234">
        <v>0.172045655962</v>
      </c>
      <c r="Q30" s="224" t="s">
        <v>1932</v>
      </c>
    </row>
    <row r="31" spans="1:17" ht="14" thickBot="1">
      <c r="A31" s="225">
        <v>360</v>
      </c>
      <c r="B31" s="226" t="s">
        <v>1949</v>
      </c>
      <c r="C31" s="227">
        <v>15115</v>
      </c>
      <c r="D31" s="228">
        <v>25.239870660000001</v>
      </c>
      <c r="E31" s="229">
        <v>24.656114250000002</v>
      </c>
      <c r="F31" s="230">
        <v>0.23947749500868001</v>
      </c>
      <c r="G31" s="229">
        <v>16.9865821</v>
      </c>
      <c r="H31" s="231">
        <v>1123.82283162421</v>
      </c>
      <c r="I31" s="232">
        <v>3.2110871789179998E-2</v>
      </c>
      <c r="J31" s="231">
        <v>51.687343698312901</v>
      </c>
      <c r="K31" s="233">
        <v>60.203358253390597</v>
      </c>
      <c r="L31" s="229">
        <v>4.5510950499999998</v>
      </c>
      <c r="M31" s="233">
        <v>301.09791928547799</v>
      </c>
      <c r="N31" s="229">
        <v>7.8268546099999998</v>
      </c>
      <c r="O31" s="233">
        <v>517.82035130664894</v>
      </c>
      <c r="P31" s="234">
        <v>0.31744071797524998</v>
      </c>
      <c r="Q31" s="224" t="s">
        <v>1932</v>
      </c>
    </row>
    <row r="32" spans="1:17" ht="14" thickBot="1">
      <c r="A32" s="225">
        <v>376</v>
      </c>
      <c r="B32" s="226" t="s">
        <v>1950</v>
      </c>
      <c r="C32" s="227">
        <v>327618</v>
      </c>
      <c r="D32" s="228">
        <v>772.52695753</v>
      </c>
      <c r="E32" s="229">
        <v>770.84923404999995</v>
      </c>
      <c r="F32" s="230">
        <v>5.4042969754069997E-2</v>
      </c>
      <c r="G32" s="229">
        <v>647.07354069999997</v>
      </c>
      <c r="H32" s="231">
        <v>1975.0854370028501</v>
      </c>
      <c r="I32" s="232">
        <v>6.6488995296390005E-2</v>
      </c>
      <c r="J32" s="231">
        <v>154.16871539414799</v>
      </c>
      <c r="K32" s="233">
        <v>39.301077596469</v>
      </c>
      <c r="L32" s="229">
        <v>181.45541800000001</v>
      </c>
      <c r="M32" s="233">
        <v>553.86278531704602</v>
      </c>
      <c r="N32" s="229">
        <v>116.15290751000001</v>
      </c>
      <c r="O32" s="233">
        <v>354.53762464211297</v>
      </c>
      <c r="P32" s="234">
        <v>0.15068174472942999</v>
      </c>
      <c r="Q32" s="224" t="s">
        <v>969</v>
      </c>
    </row>
    <row r="33" spans="1:17" ht="14" thickBot="1">
      <c r="A33" s="225">
        <v>411</v>
      </c>
      <c r="B33" s="226" t="s">
        <v>1951</v>
      </c>
      <c r="C33" s="227">
        <v>46351</v>
      </c>
      <c r="D33" s="228">
        <v>80.868434629999996</v>
      </c>
      <c r="E33" s="229">
        <v>77.576597699999994</v>
      </c>
      <c r="F33" s="230">
        <v>0.15294680868487001</v>
      </c>
      <c r="G33" s="229">
        <v>59.026971879999998</v>
      </c>
      <c r="H33" s="231">
        <v>1273.47785117904</v>
      </c>
      <c r="I33" s="232">
        <v>5.2631649187600001E-2</v>
      </c>
      <c r="J33" s="231">
        <v>90.699633449116504</v>
      </c>
      <c r="K33" s="233">
        <v>21.405918750404499</v>
      </c>
      <c r="L33" s="229">
        <v>21.255511949999999</v>
      </c>
      <c r="M33" s="233">
        <v>458.577203296584</v>
      </c>
      <c r="N33" s="229">
        <v>5.7973903399999998</v>
      </c>
      <c r="O33" s="233">
        <v>125.07584172941201</v>
      </c>
      <c r="P33" s="234">
        <v>7.4731175533360006E-2</v>
      </c>
      <c r="Q33" s="224" t="s">
        <v>969</v>
      </c>
    </row>
    <row r="34" spans="1:17" ht="14" thickBot="1">
      <c r="A34" s="225">
        <v>445</v>
      </c>
      <c r="B34" s="226" t="s">
        <v>1952</v>
      </c>
      <c r="C34" s="227">
        <v>51641</v>
      </c>
      <c r="D34" s="228">
        <v>124.6849113</v>
      </c>
      <c r="E34" s="229">
        <v>123.14907220000001</v>
      </c>
      <c r="F34" s="230">
        <v>0.15865876707729001</v>
      </c>
      <c r="G34" s="229">
        <v>94.220098359999994</v>
      </c>
      <c r="H34" s="231">
        <v>1824.5211820065399</v>
      </c>
      <c r="I34" s="232">
        <v>5.5115587897070002E-2</v>
      </c>
      <c r="J34" s="231">
        <v>127.741250944017</v>
      </c>
      <c r="K34" s="233">
        <v>96.758456459015093</v>
      </c>
      <c r="L34" s="229">
        <v>24.732700000000001</v>
      </c>
      <c r="M34" s="233">
        <v>478.93534207315901</v>
      </c>
      <c r="N34" s="229">
        <v>16.469170389999999</v>
      </c>
      <c r="O34" s="233">
        <v>318.91656610057902</v>
      </c>
      <c r="P34" s="234">
        <v>0.13373361322002</v>
      </c>
      <c r="Q34" s="224" t="s">
        <v>1932</v>
      </c>
    </row>
    <row r="35" spans="1:17" ht="14" thickBot="1">
      <c r="A35" s="225">
        <v>455</v>
      </c>
      <c r="B35" s="226" t="s">
        <v>1953</v>
      </c>
      <c r="C35" s="227">
        <v>92045</v>
      </c>
      <c r="D35" s="228">
        <v>195.69948676000001</v>
      </c>
      <c r="E35" s="229">
        <v>181.83885864999999</v>
      </c>
      <c r="F35" s="230">
        <v>1.32061680017E-2</v>
      </c>
      <c r="G35" s="229">
        <v>157.13930245</v>
      </c>
      <c r="H35" s="231">
        <v>1707.2008523004999</v>
      </c>
      <c r="I35" s="232">
        <v>7.6700605427939994E-2</v>
      </c>
      <c r="J35" s="231">
        <v>148.09179759899999</v>
      </c>
      <c r="K35" s="233">
        <v>195.35095322939799</v>
      </c>
      <c r="L35" s="229">
        <v>41.375907699999999</v>
      </c>
      <c r="M35" s="233">
        <v>449.51825411483497</v>
      </c>
      <c r="N35" s="229">
        <v>36.466243849999998</v>
      </c>
      <c r="O35" s="233">
        <v>396.178432831767</v>
      </c>
      <c r="P35" s="234">
        <v>0.20054153507523001</v>
      </c>
      <c r="Q35" s="224" t="s">
        <v>969</v>
      </c>
    </row>
    <row r="36" spans="1:17" ht="14" thickBot="1">
      <c r="A36" s="225">
        <v>484</v>
      </c>
      <c r="B36" s="226" t="s">
        <v>1954</v>
      </c>
      <c r="C36" s="227">
        <v>46679</v>
      </c>
      <c r="D36" s="228">
        <v>91.662238919999993</v>
      </c>
      <c r="E36" s="229">
        <v>91.481979899999999</v>
      </c>
      <c r="F36" s="230">
        <v>5.7221873061350001E-2</v>
      </c>
      <c r="G36" s="229">
        <v>82.123202750000004</v>
      </c>
      <c r="H36" s="231">
        <v>1759.31795346944</v>
      </c>
      <c r="I36" s="232">
        <v>0.11344406358518</v>
      </c>
      <c r="J36" s="231">
        <v>217.72375843527001</v>
      </c>
      <c r="K36" s="233">
        <v>44.455012960860302</v>
      </c>
      <c r="L36" s="229">
        <v>16</v>
      </c>
      <c r="M36" s="233">
        <v>342.76655455343899</v>
      </c>
      <c r="N36" s="229">
        <v>4.0904287799999999</v>
      </c>
      <c r="O36" s="233">
        <v>87.628886222926795</v>
      </c>
      <c r="P36" s="234">
        <v>4.4712945483589998E-2</v>
      </c>
      <c r="Q36" s="224" t="s">
        <v>969</v>
      </c>
    </row>
    <row r="37" spans="1:17" ht="14" thickBot="1">
      <c r="A37" s="225">
        <v>509</v>
      </c>
      <c r="B37" s="226" t="s">
        <v>1955</v>
      </c>
      <c r="C37" s="227">
        <v>135381</v>
      </c>
      <c r="D37" s="228">
        <v>403.54897842000003</v>
      </c>
      <c r="E37" s="229">
        <v>374.04816239000002</v>
      </c>
      <c r="F37" s="230">
        <v>-1.069713524465E-2</v>
      </c>
      <c r="G37" s="229">
        <v>370.56830306000001</v>
      </c>
      <c r="H37" s="231">
        <v>2737.22533486973</v>
      </c>
      <c r="I37" s="232">
        <v>5.4866261907070002E-2</v>
      </c>
      <c r="J37" s="231">
        <v>159.09057179367801</v>
      </c>
      <c r="K37" s="233">
        <v>81.232562545704297</v>
      </c>
      <c r="L37" s="229">
        <v>108.15929594000001</v>
      </c>
      <c r="M37" s="233">
        <v>798.92522540090499</v>
      </c>
      <c r="N37" s="229">
        <v>60.367118689999998</v>
      </c>
      <c r="O37" s="233">
        <v>445.905398024833</v>
      </c>
      <c r="P37" s="234">
        <v>0.16138862520878999</v>
      </c>
      <c r="Q37" s="224" t="s">
        <v>1932</v>
      </c>
    </row>
    <row r="38" spans="1:17" ht="14" thickBot="1">
      <c r="A38" s="225">
        <v>556</v>
      </c>
      <c r="B38" s="226" t="s">
        <v>1956</v>
      </c>
      <c r="C38" s="227">
        <v>2810</v>
      </c>
      <c r="D38" s="228">
        <v>5.4230600999999998</v>
      </c>
      <c r="E38" s="229">
        <v>5.3939256999999996</v>
      </c>
      <c r="F38" s="230">
        <v>0.12485625966048</v>
      </c>
      <c r="G38" s="229">
        <v>4.6507142200000002</v>
      </c>
      <c r="H38" s="231">
        <v>1655.0584412811299</v>
      </c>
      <c r="I38" s="232">
        <v>4.3240778393730001E-2</v>
      </c>
      <c r="J38" s="231">
        <v>83.4510106761565</v>
      </c>
      <c r="K38" s="233">
        <v>1.0033571443046E-14</v>
      </c>
      <c r="L38" s="229">
        <v>1.05</v>
      </c>
      <c r="M38" s="233">
        <v>373.66548042704602</v>
      </c>
      <c r="N38" s="229">
        <v>2.06066292</v>
      </c>
      <c r="O38" s="233">
        <v>733.33199999999999</v>
      </c>
      <c r="P38" s="234">
        <v>0.38203398315255999</v>
      </c>
      <c r="Q38" s="224" t="s">
        <v>1932</v>
      </c>
    </row>
    <row r="39" spans="1:17" ht="14" thickBot="1">
      <c r="A39" s="225">
        <v>558</v>
      </c>
      <c r="B39" s="226" t="s">
        <v>1957</v>
      </c>
      <c r="C39" s="227">
        <v>1545</v>
      </c>
      <c r="D39" s="228">
        <v>2.7732231899999999</v>
      </c>
      <c r="E39" s="229">
        <v>2.7166423000000002</v>
      </c>
      <c r="F39" s="230">
        <v>0.17252199596671999</v>
      </c>
      <c r="G39" s="229">
        <v>1.6870231</v>
      </c>
      <c r="H39" s="231">
        <v>1091.92433656957</v>
      </c>
      <c r="I39" s="232">
        <v>9.0585260085560004E-2</v>
      </c>
      <c r="J39" s="231">
        <v>144.69186407766901</v>
      </c>
      <c r="K39" s="233">
        <v>197.66615533980499</v>
      </c>
      <c r="L39" s="229">
        <v>0.56000000000000005</v>
      </c>
      <c r="M39" s="233">
        <v>362.45954692556597</v>
      </c>
      <c r="N39" s="229">
        <v>1.4392699499999999</v>
      </c>
      <c r="O39" s="233">
        <v>931.56631067961098</v>
      </c>
      <c r="P39" s="234">
        <v>0.52979737155678996</v>
      </c>
      <c r="Q39" s="224" t="s">
        <v>969</v>
      </c>
    </row>
    <row r="40" spans="1:17" ht="14" thickBot="1">
      <c r="A40" s="225">
        <v>591</v>
      </c>
      <c r="B40" s="226" t="s">
        <v>1958</v>
      </c>
      <c r="C40" s="227">
        <v>8320</v>
      </c>
      <c r="D40" s="228">
        <v>13.24428844</v>
      </c>
      <c r="E40" s="229">
        <v>12.81742315</v>
      </c>
      <c r="F40" s="230">
        <v>7.2323028476710002E-2</v>
      </c>
      <c r="G40" s="229">
        <v>11.82754635</v>
      </c>
      <c r="H40" s="231">
        <v>1421.5800901442301</v>
      </c>
      <c r="I40" s="232">
        <v>3.8369739740789999E-2</v>
      </c>
      <c r="J40" s="231">
        <v>60.170638221153801</v>
      </c>
      <c r="K40" s="233">
        <v>23.682118990384598</v>
      </c>
      <c r="L40" s="229">
        <v>3.14</v>
      </c>
      <c r="M40" s="233">
        <v>377.40384615384602</v>
      </c>
      <c r="N40" s="229">
        <v>2.56470215</v>
      </c>
      <c r="O40" s="233">
        <v>308.25746995192299</v>
      </c>
      <c r="P40" s="234">
        <v>0.20009498945191001</v>
      </c>
      <c r="Q40" s="224" t="s">
        <v>1932</v>
      </c>
    </row>
    <row r="41" spans="1:17" ht="14" thickBot="1">
      <c r="A41" s="225">
        <v>623</v>
      </c>
      <c r="B41" s="226" t="s">
        <v>1959</v>
      </c>
      <c r="C41" s="227">
        <v>1322</v>
      </c>
      <c r="D41" s="228">
        <v>1.52799215</v>
      </c>
      <c r="E41" s="229">
        <v>1.4903997499999999</v>
      </c>
      <c r="F41" s="230">
        <v>0.1214842628609</v>
      </c>
      <c r="G41" s="229">
        <v>1.4169811000000001</v>
      </c>
      <c r="H41" s="231">
        <v>1071.8465204235999</v>
      </c>
      <c r="I41" s="232">
        <v>5.7829976778049998E-2</v>
      </c>
      <c r="J41" s="231">
        <v>67.593608169440202</v>
      </c>
      <c r="K41" s="233">
        <v>-13.014826021179999</v>
      </c>
      <c r="L41" s="229">
        <v>0.14599999999999999</v>
      </c>
      <c r="M41" s="233">
        <v>110.43872919818401</v>
      </c>
      <c r="N41" s="229">
        <v>0.73681680000000005</v>
      </c>
      <c r="O41" s="233">
        <v>557.35007564296495</v>
      </c>
      <c r="P41" s="234">
        <v>0.49437528421485</v>
      </c>
      <c r="Q41" s="224" t="s">
        <v>1932</v>
      </c>
    </row>
    <row r="42" spans="1:17" ht="14" thickBot="1">
      <c r="A42" s="225">
        <v>627</v>
      </c>
      <c r="B42" s="226" t="s">
        <v>1960</v>
      </c>
      <c r="C42" s="227">
        <v>2730</v>
      </c>
      <c r="D42" s="228">
        <v>3.83080065</v>
      </c>
      <c r="E42" s="229">
        <v>3.7164723</v>
      </c>
      <c r="F42" s="230">
        <v>0.16894118465808999</v>
      </c>
      <c r="G42" s="229">
        <v>3.0557918499999999</v>
      </c>
      <c r="H42" s="231">
        <v>1119.33767399267</v>
      </c>
      <c r="I42" s="232">
        <v>5.3811932231649998E-2</v>
      </c>
      <c r="J42" s="231">
        <v>79.074967032966995</v>
      </c>
      <c r="K42" s="233">
        <v>-66.245333333333306</v>
      </c>
      <c r="L42" s="229">
        <v>1</v>
      </c>
      <c r="M42" s="233">
        <v>366.30036630036602</v>
      </c>
      <c r="N42" s="229">
        <v>2.3235470500000002</v>
      </c>
      <c r="O42" s="233">
        <v>851.116135531135</v>
      </c>
      <c r="P42" s="234">
        <v>0.62520230542279998</v>
      </c>
      <c r="Q42" s="224" t="s">
        <v>969</v>
      </c>
    </row>
    <row r="43" spans="1:17" ht="14" thickBot="1">
      <c r="A43" s="225">
        <v>749</v>
      </c>
      <c r="B43" s="226" t="s">
        <v>1961</v>
      </c>
      <c r="C43" s="227">
        <v>64431</v>
      </c>
      <c r="D43" s="228">
        <v>174.82955361</v>
      </c>
      <c r="E43" s="229">
        <v>172.13798439999999</v>
      </c>
      <c r="F43" s="230">
        <v>0.11821796357213001</v>
      </c>
      <c r="G43" s="229">
        <v>136.63835688</v>
      </c>
      <c r="H43" s="231">
        <v>2120.6927857708201</v>
      </c>
      <c r="I43" s="232">
        <v>5.9567001706730002E-2</v>
      </c>
      <c r="J43" s="231">
        <v>152.84272244726901</v>
      </c>
      <c r="K43" s="233">
        <v>147.54261349350401</v>
      </c>
      <c r="L43" s="229">
        <v>37.899799999999999</v>
      </c>
      <c r="M43" s="233">
        <v>588.22306032810297</v>
      </c>
      <c r="N43" s="229">
        <v>29.999658060000002</v>
      </c>
      <c r="O43" s="233">
        <v>465.60907109931497</v>
      </c>
      <c r="P43" s="234">
        <v>0.17427680569494999</v>
      </c>
      <c r="Q43" s="224" t="s">
        <v>1932</v>
      </c>
    </row>
    <row r="44" spans="1:17" ht="14" thickBot="1">
      <c r="A44" s="225">
        <v>758</v>
      </c>
      <c r="B44" s="226" t="s">
        <v>1962</v>
      </c>
      <c r="C44" s="227">
        <v>1566</v>
      </c>
      <c r="D44" s="228">
        <v>2.2683229200000001</v>
      </c>
      <c r="E44" s="229">
        <v>2.180736</v>
      </c>
      <c r="F44" s="230">
        <v>1.210160588599E-2</v>
      </c>
      <c r="G44" s="229">
        <v>2.1962959999999998</v>
      </c>
      <c r="H44" s="231">
        <v>1402.48786717752</v>
      </c>
      <c r="I44" s="232">
        <v>6.7666069077139998E-2</v>
      </c>
      <c r="J44" s="231">
        <v>101.766315453384</v>
      </c>
      <c r="K44" s="233">
        <v>-55.466909323116198</v>
      </c>
      <c r="L44" s="229">
        <v>0.6</v>
      </c>
      <c r="M44" s="233">
        <v>383.141762452107</v>
      </c>
      <c r="N44" s="229">
        <v>1.46177011</v>
      </c>
      <c r="O44" s="233">
        <v>933.44196040868405</v>
      </c>
      <c r="P44" s="234">
        <v>0.67031044106210003</v>
      </c>
      <c r="Q44" s="224" t="s">
        <v>969</v>
      </c>
    </row>
    <row r="45" spans="1:17" ht="14" thickBot="1">
      <c r="A45" s="225">
        <v>762</v>
      </c>
      <c r="B45" s="226" t="s">
        <v>1963</v>
      </c>
      <c r="C45" s="227">
        <v>31090</v>
      </c>
      <c r="D45" s="228">
        <v>61.913384209999997</v>
      </c>
      <c r="E45" s="229">
        <v>60.977603000000002</v>
      </c>
      <c r="F45" s="230">
        <v>7.4394689593720004E-2</v>
      </c>
      <c r="G45" s="229">
        <v>50.939268740000003</v>
      </c>
      <c r="H45" s="231">
        <v>1638.4454403345101</v>
      </c>
      <c r="I45" s="232">
        <v>8.0202226486379993E-2</v>
      </c>
      <c r="J45" s="231">
        <v>152.535592795111</v>
      </c>
      <c r="K45" s="233">
        <v>89.537127372145406</v>
      </c>
      <c r="L45" s="229">
        <v>13.6</v>
      </c>
      <c r="M45" s="233">
        <v>437.43969121904098</v>
      </c>
      <c r="N45" s="229">
        <v>9.5667186100000006</v>
      </c>
      <c r="O45" s="233">
        <v>307.71047314248898</v>
      </c>
      <c r="P45" s="234">
        <v>0.15688905662625</v>
      </c>
      <c r="Q45" s="224" t="s">
        <v>1932</v>
      </c>
    </row>
    <row r="46" spans="1:17" ht="14" thickBot="1">
      <c r="A46" s="225">
        <v>774</v>
      </c>
      <c r="B46" s="226" t="s">
        <v>982</v>
      </c>
      <c r="C46" s="227">
        <v>1121</v>
      </c>
      <c r="D46" s="228">
        <v>2.7164761400000002</v>
      </c>
      <c r="E46" s="229">
        <v>2.7368041999999999</v>
      </c>
      <c r="F46" s="230">
        <v>-0.15285575083312999</v>
      </c>
      <c r="G46" s="229">
        <v>2.9274956300000001</v>
      </c>
      <c r="H46" s="231">
        <v>2611.5036842105201</v>
      </c>
      <c r="I46" s="232">
        <v>9.8786323931499997E-2</v>
      </c>
      <c r="J46" s="231">
        <v>224.20806422836699</v>
      </c>
      <c r="K46" s="233">
        <v>153.63494201605701</v>
      </c>
      <c r="L46" s="229">
        <v>0.83</v>
      </c>
      <c r="M46" s="233">
        <v>740.410347903657</v>
      </c>
      <c r="N46" s="229">
        <v>2.2140374</v>
      </c>
      <c r="O46" s="233">
        <v>1975.05566458519</v>
      </c>
      <c r="P46" s="234">
        <v>0.80898640830790003</v>
      </c>
      <c r="Q46" s="224" t="s">
        <v>1932</v>
      </c>
    </row>
    <row r="47" spans="1:17" ht="14" thickBot="1">
      <c r="A47" s="225">
        <v>780</v>
      </c>
      <c r="B47" s="226" t="s">
        <v>1964</v>
      </c>
      <c r="C47" s="227">
        <v>2912</v>
      </c>
      <c r="D47" s="228">
        <v>4.4797890000000002</v>
      </c>
      <c r="E47" s="229">
        <v>4.3830141999999999</v>
      </c>
      <c r="F47" s="230">
        <v>0.18852046379862</v>
      </c>
      <c r="G47" s="229">
        <v>3.3679548499999998</v>
      </c>
      <c r="H47" s="231">
        <v>1156.5779017857101</v>
      </c>
      <c r="I47" s="232">
        <v>2.708287159117E-2</v>
      </c>
      <c r="J47" s="231">
        <v>41.383533653846101</v>
      </c>
      <c r="K47" s="233">
        <v>10.3556318681318</v>
      </c>
      <c r="L47" s="229">
        <v>0.65</v>
      </c>
      <c r="M47" s="233">
        <v>223.21428571428501</v>
      </c>
      <c r="N47" s="229">
        <v>1.2906728999999999</v>
      </c>
      <c r="O47" s="233">
        <v>443.22558379120801</v>
      </c>
      <c r="P47" s="234">
        <v>0.29447153057364001</v>
      </c>
      <c r="Q47" s="224" t="s">
        <v>969</v>
      </c>
    </row>
    <row r="48" spans="1:17" ht="14" thickBot="1">
      <c r="A48" s="225">
        <v>790</v>
      </c>
      <c r="B48" s="226" t="s">
        <v>1965</v>
      </c>
      <c r="C48" s="227">
        <v>1647</v>
      </c>
      <c r="D48" s="228">
        <v>2.6668450699999999</v>
      </c>
      <c r="E48" s="229">
        <v>2.65655215</v>
      </c>
      <c r="F48" s="230">
        <v>-5.9188627706819999E-2</v>
      </c>
      <c r="G48" s="229">
        <v>2.9250119200000002</v>
      </c>
      <c r="H48" s="231">
        <v>1775.9635215543401</v>
      </c>
      <c r="I48" s="232">
        <v>6.1092385868420002E-2</v>
      </c>
      <c r="J48" s="231">
        <v>107.99149969641699</v>
      </c>
      <c r="K48" s="233">
        <v>-148.46150576806301</v>
      </c>
      <c r="L48" s="229">
        <v>0.7</v>
      </c>
      <c r="M48" s="233">
        <v>425.01517911353898</v>
      </c>
      <c r="N48" s="229">
        <v>0.57756048999999998</v>
      </c>
      <c r="O48" s="233">
        <v>350.674250151791</v>
      </c>
      <c r="P48" s="234">
        <v>0.21740980691833001</v>
      </c>
      <c r="Q48" s="224" t="s">
        <v>1932</v>
      </c>
    </row>
    <row r="49" spans="1:17" ht="14" thickBot="1">
      <c r="A49" s="225">
        <v>820</v>
      </c>
      <c r="B49" s="226" t="s">
        <v>1966</v>
      </c>
      <c r="C49" s="227">
        <v>3513</v>
      </c>
      <c r="D49" s="228">
        <v>5.68173599</v>
      </c>
      <c r="E49" s="229">
        <v>5.6621810000000004</v>
      </c>
      <c r="F49" s="230">
        <v>9.0640959190359999E-2</v>
      </c>
      <c r="G49" s="229">
        <v>4.3976792500000004</v>
      </c>
      <c r="H49" s="231">
        <v>1251.83013094221</v>
      </c>
      <c r="I49" s="232">
        <v>4.26364149814E-2</v>
      </c>
      <c r="J49" s="231">
        <v>68.655508112724107</v>
      </c>
      <c r="K49" s="233">
        <v>7.0906746370623397</v>
      </c>
      <c r="L49" s="229">
        <v>0.86</v>
      </c>
      <c r="M49" s="233">
        <v>244.80500996299401</v>
      </c>
      <c r="N49" s="229">
        <v>0.85814475000000001</v>
      </c>
      <c r="O49" s="233">
        <v>244.27690008539699</v>
      </c>
      <c r="P49" s="234">
        <v>0.15155727978316999</v>
      </c>
      <c r="Q49" s="224" t="s">
        <v>1932</v>
      </c>
    </row>
    <row r="50" spans="1:17" ht="14" thickBot="1">
      <c r="A50" s="225">
        <v>829</v>
      </c>
      <c r="B50" s="226" t="s">
        <v>1967</v>
      </c>
      <c r="C50" s="227">
        <v>11145</v>
      </c>
      <c r="D50" s="228">
        <v>22.954121369999999</v>
      </c>
      <c r="E50" s="229">
        <v>22.291642899999999</v>
      </c>
      <c r="F50" s="230">
        <v>2.1115815856640002E-2</v>
      </c>
      <c r="G50" s="229">
        <v>18.6849448</v>
      </c>
      <c r="H50" s="231">
        <v>1676.5316105877</v>
      </c>
      <c r="I50" s="232">
        <v>7.0449802426070005E-2</v>
      </c>
      <c r="J50" s="231">
        <v>133.01048900852399</v>
      </c>
      <c r="K50" s="233">
        <v>171.571262449529</v>
      </c>
      <c r="L50" s="229">
        <v>5.61</v>
      </c>
      <c r="M50" s="233">
        <v>503.36473755047098</v>
      </c>
      <c r="N50" s="229">
        <v>4.46</v>
      </c>
      <c r="O50" s="233">
        <v>400.179452669358</v>
      </c>
      <c r="P50" s="234">
        <v>0.20007497966872001</v>
      </c>
      <c r="Q50" s="224" t="s">
        <v>969</v>
      </c>
    </row>
    <row r="51" spans="1:17" ht="14" thickBot="1">
      <c r="A51" s="225">
        <v>881</v>
      </c>
      <c r="B51" s="226" t="s">
        <v>1968</v>
      </c>
      <c r="C51" s="227">
        <v>122869</v>
      </c>
      <c r="D51" s="228">
        <v>254.26608571</v>
      </c>
      <c r="E51" s="229">
        <v>247.02398944999999</v>
      </c>
      <c r="F51" s="230">
        <v>8.9506522021799997E-2</v>
      </c>
      <c r="G51" s="229">
        <v>187.86907725</v>
      </c>
      <c r="H51" s="231">
        <v>1529.0193397032599</v>
      </c>
      <c r="I51" s="232">
        <v>8.2937271578649996E-2</v>
      </c>
      <c r="J51" s="231">
        <v>159.887618032213</v>
      </c>
      <c r="K51" s="233">
        <v>141.594136112444</v>
      </c>
      <c r="L51" s="229">
        <v>62.85734102</v>
      </c>
      <c r="M51" s="233">
        <v>511.58014649748901</v>
      </c>
      <c r="N51" s="229">
        <v>53.408210390000001</v>
      </c>
      <c r="O51" s="233">
        <v>434.67604025425402</v>
      </c>
      <c r="P51" s="234">
        <v>0.21620657373769001</v>
      </c>
      <c r="Q51" s="224" t="s">
        <v>1932</v>
      </c>
    </row>
    <row r="52" spans="1:17" ht="14" thickBot="1">
      <c r="A52" s="225">
        <v>895</v>
      </c>
      <c r="B52" s="226" t="s">
        <v>1969</v>
      </c>
      <c r="C52" s="227">
        <v>646</v>
      </c>
      <c r="D52" s="228">
        <v>0.93551445</v>
      </c>
      <c r="E52" s="229">
        <v>0.869834</v>
      </c>
      <c r="F52" s="230">
        <v>0.10530997142802</v>
      </c>
      <c r="G52" s="229">
        <v>0.82591440000000005</v>
      </c>
      <c r="H52" s="231">
        <v>1278.5052631578901</v>
      </c>
      <c r="I52" s="232">
        <v>4.7468148677380001E-2</v>
      </c>
      <c r="J52" s="231">
        <v>71.312538699690407</v>
      </c>
      <c r="K52" s="233">
        <v>-54.159210526315803</v>
      </c>
      <c r="L52" s="229">
        <v>0.4</v>
      </c>
      <c r="M52" s="233">
        <v>619.19504643962796</v>
      </c>
      <c r="N52" s="229">
        <v>1.1804519099999999</v>
      </c>
      <c r="O52" s="233">
        <v>1827.32493808049</v>
      </c>
      <c r="P52" s="234">
        <v>1.35710021682298</v>
      </c>
      <c r="Q52" s="224" t="s">
        <v>969</v>
      </c>
    </row>
    <row r="53" spans="1:17" ht="14" thickBot="1">
      <c r="A53" s="225">
        <v>901</v>
      </c>
      <c r="B53" s="226" t="s">
        <v>1970</v>
      </c>
      <c r="C53" s="227">
        <v>2806</v>
      </c>
      <c r="D53" s="228">
        <v>4.0645048700000004</v>
      </c>
      <c r="E53" s="229">
        <v>4.0469641999999997</v>
      </c>
      <c r="F53" s="230">
        <v>0.14196791945288001</v>
      </c>
      <c r="G53" s="229">
        <v>2.7325655000000002</v>
      </c>
      <c r="H53" s="231">
        <v>973.82947255880197</v>
      </c>
      <c r="I53" s="232">
        <v>4.6117171494869998E-2</v>
      </c>
      <c r="J53" s="231">
        <v>68.288542409123295</v>
      </c>
      <c r="K53" s="233">
        <v>-32.256781895937202</v>
      </c>
      <c r="L53" s="229">
        <v>1.5548831999999999</v>
      </c>
      <c r="M53" s="233">
        <v>554.12801140413399</v>
      </c>
      <c r="N53" s="229">
        <v>1.70963859</v>
      </c>
      <c r="O53" s="233">
        <v>609.27961154668503</v>
      </c>
      <c r="P53" s="234">
        <v>0.42244964509445998</v>
      </c>
      <c r="Q53" s="224" t="s">
        <v>1932</v>
      </c>
    </row>
    <row r="54" spans="1:17" ht="14" thickBot="1">
      <c r="A54" s="225">
        <v>923</v>
      </c>
      <c r="B54" s="226" t="s">
        <v>1971</v>
      </c>
      <c r="C54" s="227">
        <v>15129</v>
      </c>
      <c r="D54" s="228">
        <v>30.431758309999999</v>
      </c>
      <c r="E54" s="229">
        <v>30.53625035</v>
      </c>
      <c r="F54" s="230">
        <v>-0.10408754458854</v>
      </c>
      <c r="G54" s="229">
        <v>30.43694275</v>
      </c>
      <c r="H54" s="231">
        <v>2011.82779760724</v>
      </c>
      <c r="I54" s="232">
        <v>9.5759503454629996E-2</v>
      </c>
      <c r="J54" s="231">
        <v>195.97922070196299</v>
      </c>
      <c r="K54" s="233">
        <v>-35.0921290237292</v>
      </c>
      <c r="L54" s="229">
        <v>9.1</v>
      </c>
      <c r="M54" s="233">
        <v>601.49381981624697</v>
      </c>
      <c r="N54" s="229">
        <v>17.886267849999999</v>
      </c>
      <c r="O54" s="233">
        <v>1182.2505023464801</v>
      </c>
      <c r="P54" s="234">
        <v>0.58573883973937002</v>
      </c>
      <c r="Q54" s="224" t="s">
        <v>969</v>
      </c>
    </row>
    <row r="55" spans="1:17" ht="14" thickBot="1">
      <c r="A55" s="235">
        <v>941</v>
      </c>
      <c r="B55" s="236" t="s">
        <v>1972</v>
      </c>
      <c r="C55" s="237">
        <v>14535</v>
      </c>
      <c r="D55" s="238">
        <v>22.842965769999999</v>
      </c>
      <c r="E55" s="239">
        <v>22.0195364</v>
      </c>
      <c r="F55" s="240">
        <v>0.13867507537748</v>
      </c>
      <c r="G55" s="239">
        <v>18.983897049999999</v>
      </c>
      <c r="H55" s="241">
        <v>1306.0816683866501</v>
      </c>
      <c r="I55" s="242">
        <v>1.751171169399E-2</v>
      </c>
      <c r="J55" s="241">
        <v>27.480829721362198</v>
      </c>
      <c r="K55" s="243">
        <v>2.3005717234262102</v>
      </c>
      <c r="L55" s="239">
        <v>5.8617699999999999</v>
      </c>
      <c r="M55" s="243">
        <v>403.28654970760198</v>
      </c>
      <c r="N55" s="239">
        <v>11.06492701</v>
      </c>
      <c r="O55" s="243">
        <v>761.26088820089399</v>
      </c>
      <c r="P55" s="244">
        <v>0.50250499415600003</v>
      </c>
      <c r="Q55" s="224" t="s">
        <v>1932</v>
      </c>
    </row>
    <row r="56" spans="1:17" ht="14" thickBot="1">
      <c r="A56" s="225">
        <v>966</v>
      </c>
      <c r="B56" s="226" t="s">
        <v>1973</v>
      </c>
      <c r="C56" s="227">
        <v>6752</v>
      </c>
      <c r="D56" s="228">
        <v>10.68427647</v>
      </c>
      <c r="E56" s="229">
        <v>10.316573999999999</v>
      </c>
      <c r="F56" s="230">
        <v>0.11312418331683</v>
      </c>
      <c r="G56" s="229">
        <v>8.2583719999999996</v>
      </c>
      <c r="H56" s="231">
        <v>1223.1001184834099</v>
      </c>
      <c r="I56" s="232">
        <v>3.7520262254850001E-2</v>
      </c>
      <c r="J56" s="231">
        <v>59.2770156990521</v>
      </c>
      <c r="K56" s="233">
        <v>2.5201436611374399</v>
      </c>
      <c r="L56" s="229">
        <v>2.7349999999999999</v>
      </c>
      <c r="M56" s="233">
        <v>405.06516587677697</v>
      </c>
      <c r="N56" s="229">
        <v>2.2128039400000001</v>
      </c>
      <c r="O56" s="233">
        <v>327.72570201421797</v>
      </c>
      <c r="P56" s="234">
        <v>0.21449019218977</v>
      </c>
      <c r="Q56" s="224" t="s">
        <v>1932</v>
      </c>
    </row>
    <row r="57" spans="1:17" ht="14" thickBot="1">
      <c r="A57" s="225">
        <v>979</v>
      </c>
      <c r="B57" s="226" t="s">
        <v>1974</v>
      </c>
      <c r="C57" s="227">
        <v>1791</v>
      </c>
      <c r="D57" s="228">
        <v>2.5019719899999999</v>
      </c>
      <c r="E57" s="229">
        <v>2.2532122000000001</v>
      </c>
      <c r="F57" s="230">
        <v>-4.9811748691870002E-2</v>
      </c>
      <c r="G57" s="229">
        <v>2.3229915499999998</v>
      </c>
      <c r="H57" s="231">
        <v>1297.03604131769</v>
      </c>
      <c r="I57" s="232">
        <v>8.7549977390859998E-2</v>
      </c>
      <c r="J57" s="231">
        <v>123.74584031267401</v>
      </c>
      <c r="K57" s="233">
        <v>-16.461580122836398</v>
      </c>
      <c r="L57" s="229">
        <v>0.89</v>
      </c>
      <c r="M57" s="233">
        <v>496.92908989391401</v>
      </c>
      <c r="N57" s="229">
        <v>3.3831874599999998</v>
      </c>
      <c r="O57" s="233">
        <v>1888.99355667225</v>
      </c>
      <c r="P57" s="234">
        <v>1.5014952697309201</v>
      </c>
      <c r="Q57" s="224" t="s">
        <v>969</v>
      </c>
    </row>
    <row r="58" spans="1:17" ht="14" thickBot="1">
      <c r="A58" s="225">
        <v>992</v>
      </c>
      <c r="B58" s="226" t="s">
        <v>1975</v>
      </c>
      <c r="C58" s="227">
        <v>48090</v>
      </c>
      <c r="D58" s="228">
        <v>113.55966511</v>
      </c>
      <c r="E58" s="229">
        <v>113.0630616</v>
      </c>
      <c r="F58" s="230">
        <v>0.1915980741835</v>
      </c>
      <c r="G58" s="229">
        <v>78.739865390000006</v>
      </c>
      <c r="H58" s="231">
        <v>1637.3438425868101</v>
      </c>
      <c r="I58" s="232">
        <v>8.9878328245889996E-2</v>
      </c>
      <c r="J58" s="231">
        <v>212.23319505094599</v>
      </c>
      <c r="K58" s="233">
        <v>5.9808276148879999E-2</v>
      </c>
      <c r="L58" s="229">
        <v>23.6892</v>
      </c>
      <c r="M58" s="233">
        <v>492.60137242669998</v>
      </c>
      <c r="N58" s="229">
        <v>4.5166756499999998</v>
      </c>
      <c r="O58" s="233">
        <v>93.9213069245165</v>
      </c>
      <c r="P58" s="234">
        <v>3.9948287142429997E-2</v>
      </c>
      <c r="Q58" s="224" t="s">
        <v>1932</v>
      </c>
    </row>
    <row r="59" spans="1:17" ht="14" thickBot="1">
      <c r="A59" s="225">
        <v>994</v>
      </c>
      <c r="B59" s="226" t="s">
        <v>1976</v>
      </c>
      <c r="C59" s="227">
        <v>113067</v>
      </c>
      <c r="D59" s="228">
        <v>218.33263928</v>
      </c>
      <c r="E59" s="229">
        <v>218.30903745000001</v>
      </c>
      <c r="F59" s="230">
        <v>0.32548988508705001</v>
      </c>
      <c r="G59" s="229">
        <v>117.03449565</v>
      </c>
      <c r="H59" s="231">
        <v>1035.0897755313199</v>
      </c>
      <c r="I59" s="232">
        <v>4.6836040752549997E-2</v>
      </c>
      <c r="J59" s="231">
        <v>85.428321879947305</v>
      </c>
      <c r="K59" s="233">
        <v>107.015481617094</v>
      </c>
      <c r="L59" s="229">
        <v>37.549999999999997</v>
      </c>
      <c r="M59" s="233">
        <v>332.10397375007699</v>
      </c>
      <c r="N59" s="229">
        <v>25.231361769999999</v>
      </c>
      <c r="O59" s="233">
        <v>223.154074752138</v>
      </c>
      <c r="P59" s="234">
        <v>0.11557635022681</v>
      </c>
      <c r="Q59" s="224" t="s">
        <v>1932</v>
      </c>
    </row>
    <row r="60" spans="1:17" ht="14" thickBot="1">
      <c r="A60" s="225">
        <v>1003</v>
      </c>
      <c r="B60" s="226" t="s">
        <v>1977</v>
      </c>
      <c r="C60" s="227">
        <v>194</v>
      </c>
      <c r="D60" s="228">
        <v>0.24272545000000001</v>
      </c>
      <c r="E60" s="229">
        <v>0.24342859999999999</v>
      </c>
      <c r="F60" s="230">
        <v>-0.31007461310710999</v>
      </c>
      <c r="G60" s="229">
        <v>0.29073015000000002</v>
      </c>
      <c r="H60" s="231">
        <v>1498.6090206185499</v>
      </c>
      <c r="I60" s="232">
        <v>9.4974205452509994E-2</v>
      </c>
      <c r="J60" s="231">
        <v>117.153350515463</v>
      </c>
      <c r="K60" s="233">
        <v>17.634020618556701</v>
      </c>
      <c r="L60" s="229">
        <v>0.20699999999999999</v>
      </c>
      <c r="M60" s="233">
        <v>1067.01030927835</v>
      </c>
      <c r="N60" s="229">
        <v>0.70728265999999995</v>
      </c>
      <c r="O60" s="233">
        <v>3645.7869072164899</v>
      </c>
      <c r="P60" s="234">
        <v>2.9055035439549801</v>
      </c>
      <c r="Q60" s="224" t="s">
        <v>969</v>
      </c>
    </row>
    <row r="61" spans="1:17" ht="14" thickBot="1">
      <c r="A61" s="225">
        <v>1007</v>
      </c>
      <c r="B61" s="226" t="s">
        <v>1978</v>
      </c>
      <c r="C61" s="227">
        <v>20734</v>
      </c>
      <c r="D61" s="228">
        <v>47.240385000000003</v>
      </c>
      <c r="E61" s="229">
        <v>46.842762999999998</v>
      </c>
      <c r="F61" s="230">
        <v>0.25359840483940999</v>
      </c>
      <c r="G61" s="229">
        <v>26.88815001</v>
      </c>
      <c r="H61" s="231">
        <v>1296.8144115944799</v>
      </c>
      <c r="I61" s="232">
        <v>7.2273716604640006E-2</v>
      </c>
      <c r="J61" s="231">
        <v>155.58830953988601</v>
      </c>
      <c r="K61" s="233">
        <v>125.63714912703701</v>
      </c>
      <c r="L61" s="229">
        <v>7.8320999999999996</v>
      </c>
      <c r="M61" s="233">
        <v>377.741873251664</v>
      </c>
      <c r="N61" s="229">
        <v>7.5962265899999997</v>
      </c>
      <c r="O61" s="233">
        <v>366.365708015819</v>
      </c>
      <c r="P61" s="234">
        <v>0.16216435802473</v>
      </c>
      <c r="Q61" s="224" t="s">
        <v>1932</v>
      </c>
    </row>
    <row r="62" spans="1:17" ht="14" thickBot="1">
      <c r="A62" s="225">
        <v>1040</v>
      </c>
      <c r="B62" s="226" t="s">
        <v>1979</v>
      </c>
      <c r="C62" s="227">
        <v>2528</v>
      </c>
      <c r="D62" s="228">
        <v>3.4495229900000002</v>
      </c>
      <c r="E62" s="229">
        <v>3.295086</v>
      </c>
      <c r="F62" s="230">
        <v>0.17421485571834999</v>
      </c>
      <c r="G62" s="229">
        <v>2.5260543000000002</v>
      </c>
      <c r="H62" s="231">
        <v>999.230340189873</v>
      </c>
      <c r="I62" s="232">
        <v>6.0933125410490001E-2</v>
      </c>
      <c r="J62" s="231">
        <v>83.3139636075949</v>
      </c>
      <c r="K62" s="233">
        <v>-2.7751621835443099</v>
      </c>
      <c r="L62" s="229">
        <v>0.86486510000000005</v>
      </c>
      <c r="M62" s="233">
        <v>342.11435917721502</v>
      </c>
      <c r="N62" s="229">
        <v>2.7430648899999999</v>
      </c>
      <c r="O62" s="233">
        <v>1085.0731368670799</v>
      </c>
      <c r="P62" s="234">
        <v>0.83247141045786999</v>
      </c>
      <c r="Q62" s="224" t="s">
        <v>1932</v>
      </c>
    </row>
    <row r="63" spans="1:17" ht="14" thickBot="1">
      <c r="A63" s="225">
        <v>1058</v>
      </c>
      <c r="B63" s="226" t="s">
        <v>1980</v>
      </c>
      <c r="C63" s="227">
        <v>110</v>
      </c>
      <c r="D63" s="228">
        <v>0.18417127</v>
      </c>
      <c r="E63" s="229">
        <v>7.7234999999999998E-2</v>
      </c>
      <c r="F63" s="230">
        <v>3.79934394762E-2</v>
      </c>
      <c r="G63" s="229">
        <v>0.21523524999999999</v>
      </c>
      <c r="H63" s="231">
        <v>1956.6840909090899</v>
      </c>
      <c r="I63" s="232">
        <v>3.3408213475210002E-2</v>
      </c>
      <c r="J63" s="231">
        <v>70.005909090909</v>
      </c>
      <c r="K63" s="233">
        <v>-421.18572727272698</v>
      </c>
      <c r="L63" s="229">
        <v>0.06</v>
      </c>
      <c r="M63" s="233">
        <v>545.45454545454504</v>
      </c>
      <c r="N63" s="229">
        <v>0.59412361999999996</v>
      </c>
      <c r="O63" s="233">
        <v>5401.1238181818098</v>
      </c>
      <c r="P63" s="234">
        <v>7.69241431993267</v>
      </c>
      <c r="Q63" s="224" t="s">
        <v>969</v>
      </c>
    </row>
    <row r="64" spans="1:17" ht="14" thickBot="1">
      <c r="A64" s="225">
        <v>1060</v>
      </c>
      <c r="B64" s="226" t="s">
        <v>1981</v>
      </c>
      <c r="C64" s="227">
        <v>286304</v>
      </c>
      <c r="D64" s="228">
        <v>687.96920651000005</v>
      </c>
      <c r="E64" s="229">
        <v>667.04096999000001</v>
      </c>
      <c r="F64" s="230">
        <v>-0.12962604162531</v>
      </c>
      <c r="G64" s="229">
        <v>733.14281289999997</v>
      </c>
      <c r="H64" s="231">
        <v>2560.7145303593302</v>
      </c>
      <c r="I64" s="232">
        <v>5.5167786111670003E-2</v>
      </c>
      <c r="J64" s="231">
        <v>133.10227621688799</v>
      </c>
      <c r="K64" s="233">
        <v>-9.7485542639990896</v>
      </c>
      <c r="L64" s="229">
        <v>183.5</v>
      </c>
      <c r="M64" s="233">
        <v>640.92712641108699</v>
      </c>
      <c r="N64" s="229">
        <v>100.67998412999999</v>
      </c>
      <c r="O64" s="233">
        <v>351.654130329998</v>
      </c>
      <c r="P64" s="234">
        <v>0.1509352328561</v>
      </c>
      <c r="Q64" s="224" t="s">
        <v>1932</v>
      </c>
    </row>
    <row r="65" spans="1:17" ht="14" thickBot="1">
      <c r="A65" s="225">
        <v>1079</v>
      </c>
      <c r="B65" s="226" t="s">
        <v>1982</v>
      </c>
      <c r="C65" s="227">
        <v>5537</v>
      </c>
      <c r="D65" s="228">
        <v>10.01017968</v>
      </c>
      <c r="E65" s="229">
        <v>9.8646899000000001</v>
      </c>
      <c r="F65" s="230">
        <v>0.16882254405246999</v>
      </c>
      <c r="G65" s="229">
        <v>6.8158909999999997</v>
      </c>
      <c r="H65" s="231">
        <v>1230.9718258984999</v>
      </c>
      <c r="I65" s="232">
        <v>7.0380160949030005E-2</v>
      </c>
      <c r="J65" s="231">
        <v>122.102905905725</v>
      </c>
      <c r="K65" s="233">
        <v>72.965448798988604</v>
      </c>
      <c r="L65" s="229">
        <v>2.0299999999999998</v>
      </c>
      <c r="M65" s="233">
        <v>366.62452591656103</v>
      </c>
      <c r="N65" s="229">
        <v>3.2872611699999998</v>
      </c>
      <c r="O65" s="233">
        <v>593.68993498284203</v>
      </c>
      <c r="P65" s="234">
        <v>0.33323512480610001</v>
      </c>
      <c r="Q65" s="224" t="s">
        <v>1932</v>
      </c>
    </row>
    <row r="66" spans="1:17" ht="14" thickBot="1">
      <c r="A66" s="225">
        <v>1097</v>
      </c>
      <c r="B66" s="226" t="s">
        <v>1983</v>
      </c>
      <c r="C66" s="227">
        <v>3070</v>
      </c>
      <c r="D66" s="228">
        <v>5.7467600799999996</v>
      </c>
      <c r="E66" s="229">
        <v>5.4726173999999999</v>
      </c>
      <c r="F66" s="230">
        <v>4.9285509758039997E-2</v>
      </c>
      <c r="G66" s="229">
        <v>4.7406606399999998</v>
      </c>
      <c r="H66" s="231">
        <v>1544.1891335504799</v>
      </c>
      <c r="I66" s="232">
        <v>8.3701075228890004E-2</v>
      </c>
      <c r="J66" s="231">
        <v>156.388280130293</v>
      </c>
      <c r="K66" s="233">
        <v>3.4945895765472299</v>
      </c>
      <c r="L66" s="229">
        <v>1.2649999999999999</v>
      </c>
      <c r="M66" s="233">
        <v>412.052117263843</v>
      </c>
      <c r="N66" s="229">
        <v>2.3914557799999998</v>
      </c>
      <c r="O66" s="233">
        <v>778.97582410423399</v>
      </c>
      <c r="P66" s="234">
        <v>0.43698574287323</v>
      </c>
      <c r="Q66" s="224" t="s">
        <v>1932</v>
      </c>
    </row>
    <row r="67" spans="1:17" ht="14" thickBot="1">
      <c r="A67" s="225">
        <v>1113</v>
      </c>
      <c r="B67" s="226" t="s">
        <v>1984</v>
      </c>
      <c r="C67" s="227">
        <v>3582</v>
      </c>
      <c r="D67" s="228">
        <v>3.0315202499999998</v>
      </c>
      <c r="E67" s="229">
        <v>5.8117991</v>
      </c>
      <c r="F67" s="230">
        <v>3.8978776407639998E-2</v>
      </c>
      <c r="G67" s="229">
        <v>5.1001329499999999</v>
      </c>
      <c r="H67" s="231">
        <v>1423.8227107760999</v>
      </c>
      <c r="I67" s="232">
        <v>6.6070427447999999E-2</v>
      </c>
      <c r="J67" s="231">
        <v>53.3271915131211</v>
      </c>
      <c r="K67" s="233">
        <v>39.1940815187046</v>
      </c>
      <c r="L67" s="229">
        <v>0.72499999999999998</v>
      </c>
      <c r="M67" s="233">
        <v>202.40089335566699</v>
      </c>
      <c r="N67" s="229">
        <v>2.0076537499999998</v>
      </c>
      <c r="O67" s="233">
        <v>560.48401730876606</v>
      </c>
      <c r="P67" s="234">
        <v>0.34544445109948002</v>
      </c>
      <c r="Q67" s="224" t="s">
        <v>969</v>
      </c>
    </row>
    <row r="68" spans="1:17" ht="14" thickBot="1">
      <c r="A68" s="225">
        <v>1142</v>
      </c>
      <c r="B68" s="226" t="s">
        <v>1985</v>
      </c>
      <c r="C68" s="227">
        <v>1151</v>
      </c>
      <c r="D68" s="228">
        <v>3.5296392000000001</v>
      </c>
      <c r="E68" s="229">
        <v>3.0024951500000001</v>
      </c>
      <c r="F68" s="230">
        <v>-0.97925589675001001</v>
      </c>
      <c r="G68" s="229">
        <v>3.8321550499999999</v>
      </c>
      <c r="H68" s="231">
        <v>3329.4135968722799</v>
      </c>
      <c r="I68" s="232">
        <v>2.7058780582040001E-2</v>
      </c>
      <c r="J68" s="231">
        <v>91.5750217202432</v>
      </c>
      <c r="K68" s="233">
        <v>-317.71476976542101</v>
      </c>
      <c r="L68" s="229">
        <v>1.67</v>
      </c>
      <c r="M68" s="233">
        <v>1450.9122502171999</v>
      </c>
      <c r="N68" s="229">
        <v>11.274125400000001</v>
      </c>
      <c r="O68" s="233">
        <v>9795.0698523023402</v>
      </c>
      <c r="P68" s="234">
        <v>3.7549187714757801</v>
      </c>
      <c r="Q68" s="224" t="s">
        <v>969</v>
      </c>
    </row>
    <row r="69" spans="1:17" ht="14" thickBot="1">
      <c r="A69" s="225">
        <v>1147</v>
      </c>
      <c r="B69" s="226" t="s">
        <v>1986</v>
      </c>
      <c r="C69" s="227">
        <v>457</v>
      </c>
      <c r="D69" s="228">
        <v>0.82629204999999994</v>
      </c>
      <c r="E69" s="229">
        <v>0.78201200000000004</v>
      </c>
      <c r="F69" s="230">
        <v>-6.1151502062729998E-2</v>
      </c>
      <c r="G69" s="229">
        <v>0.76775629999999995</v>
      </c>
      <c r="H69" s="231">
        <v>1679.9919037199099</v>
      </c>
      <c r="I69" s="232">
        <v>9.4033572086499997E-2</v>
      </c>
      <c r="J69" s="231">
        <v>161.08315098468199</v>
      </c>
      <c r="K69" s="233">
        <v>95.040153172866496</v>
      </c>
      <c r="L69" s="229">
        <v>0.58499999999999996</v>
      </c>
      <c r="M69" s="233">
        <v>1280.08752735229</v>
      </c>
      <c r="N69" s="229">
        <v>1.0362724999999999</v>
      </c>
      <c r="O69" s="233">
        <v>2267.5547045951798</v>
      </c>
      <c r="P69" s="234">
        <v>1.3251363150437501</v>
      </c>
      <c r="Q69" s="224" t="s">
        <v>969</v>
      </c>
    </row>
    <row r="70" spans="1:17">
      <c r="A70" s="235">
        <v>1159</v>
      </c>
      <c r="B70" s="236" t="s">
        <v>1987</v>
      </c>
      <c r="C70" s="237">
        <v>17755</v>
      </c>
      <c r="D70" s="238">
        <v>36.027745449999998</v>
      </c>
      <c r="E70" s="239">
        <v>35.851826000000003</v>
      </c>
      <c r="F70" s="240">
        <v>0.22685768004392001</v>
      </c>
      <c r="G70" s="239">
        <v>23.963351150000001</v>
      </c>
      <c r="H70" s="241">
        <v>1349.66776401013</v>
      </c>
      <c r="I70" s="242">
        <v>7.2910144230880006E-2</v>
      </c>
      <c r="J70" s="241">
        <v>143.87720022528799</v>
      </c>
      <c r="K70" s="243">
        <v>55.810994649394502</v>
      </c>
      <c r="L70" s="239">
        <v>5.1349999999999998</v>
      </c>
      <c r="M70" s="243">
        <v>289.214305829343</v>
      </c>
      <c r="N70" s="239">
        <v>1.2697946200000001</v>
      </c>
      <c r="O70" s="243">
        <v>71.517579273444099</v>
      </c>
      <c r="P70" s="244">
        <v>3.5417850683529997E-2</v>
      </c>
      <c r="Q70" s="245" t="s">
        <v>1932</v>
      </c>
    </row>
    <row r="71" spans="1:17" ht="14" thickBot="1">
      <c r="A71" s="214">
        <v>1215</v>
      </c>
      <c r="B71" s="215" t="s">
        <v>1988</v>
      </c>
      <c r="C71" s="216">
        <v>5500</v>
      </c>
      <c r="D71" s="217">
        <v>11.969412030000001</v>
      </c>
      <c r="E71" s="218">
        <v>11.9102871</v>
      </c>
      <c r="F71" s="219">
        <v>0.15705633620834999</v>
      </c>
      <c r="G71" s="218">
        <v>8.0431679799999998</v>
      </c>
      <c r="H71" s="220">
        <v>1462.39417818181</v>
      </c>
      <c r="I71" s="221">
        <v>6.5623374045979996E-2</v>
      </c>
      <c r="J71" s="220">
        <v>134.05593272727199</v>
      </c>
      <c r="K71" s="222">
        <v>133.449049090909</v>
      </c>
      <c r="L71" s="218">
        <v>2.4550000000000001</v>
      </c>
      <c r="M71" s="222">
        <v>446.36363636363598</v>
      </c>
      <c r="N71" s="218">
        <v>3.5463547000000002</v>
      </c>
      <c r="O71" s="222">
        <v>644.79176363636304</v>
      </c>
      <c r="P71" s="223">
        <v>0.29775560154212999</v>
      </c>
      <c r="Q71" s="224" t="s">
        <v>1932</v>
      </c>
    </row>
    <row r="72" spans="1:17" ht="14" thickBot="1">
      <c r="A72" s="225">
        <v>1305</v>
      </c>
      <c r="B72" s="226" t="s">
        <v>1989</v>
      </c>
      <c r="C72" s="227">
        <v>27594</v>
      </c>
      <c r="D72" s="228">
        <v>63.494851250000004</v>
      </c>
      <c r="E72" s="229">
        <v>59.221189799999998</v>
      </c>
      <c r="F72" s="230">
        <v>6.7231719044300003E-2</v>
      </c>
      <c r="G72" s="229">
        <v>53.386170700000001</v>
      </c>
      <c r="H72" s="231">
        <v>1934.70213452199</v>
      </c>
      <c r="I72" s="232">
        <v>3.5190308587089998E-2</v>
      </c>
      <c r="J72" s="231">
        <v>78.291893165180795</v>
      </c>
      <c r="K72" s="233">
        <v>76.224258896861599</v>
      </c>
      <c r="L72" s="229">
        <v>14.807926</v>
      </c>
      <c r="M72" s="233">
        <v>536.63571790969002</v>
      </c>
      <c r="N72" s="229">
        <v>13.369865300000001</v>
      </c>
      <c r="O72" s="233">
        <v>484.52074001594502</v>
      </c>
      <c r="P72" s="234">
        <v>0.22576151112722001</v>
      </c>
      <c r="Q72" s="224" t="s">
        <v>969</v>
      </c>
    </row>
    <row r="73" spans="1:17" ht="14" thickBot="1">
      <c r="A73" s="225">
        <v>1318</v>
      </c>
      <c r="B73" s="226" t="s">
        <v>1990</v>
      </c>
      <c r="C73" s="227">
        <v>6248</v>
      </c>
      <c r="D73" s="228">
        <v>11.210893779999999</v>
      </c>
      <c r="E73" s="229">
        <v>11.051905700000001</v>
      </c>
      <c r="F73" s="230">
        <v>8.39406757808E-2</v>
      </c>
      <c r="G73" s="229">
        <v>7.3870579000000003</v>
      </c>
      <c r="H73" s="231">
        <v>1182.30760243277</v>
      </c>
      <c r="I73" s="232">
        <v>6.1462427288490003E-2</v>
      </c>
      <c r="J73" s="231">
        <v>100.022117477592</v>
      </c>
      <c r="K73" s="233">
        <v>166.94706946222701</v>
      </c>
      <c r="L73" s="229">
        <v>3</v>
      </c>
      <c r="M73" s="233">
        <v>480.15364916773302</v>
      </c>
      <c r="N73" s="229">
        <v>3.4126699</v>
      </c>
      <c r="O73" s="233">
        <v>546.20196862996102</v>
      </c>
      <c r="P73" s="234">
        <v>0.30878565132889002</v>
      </c>
      <c r="Q73" s="224" t="s">
        <v>1932</v>
      </c>
    </row>
    <row r="74" spans="1:17" ht="14" thickBot="1">
      <c r="A74" s="225">
        <v>1322</v>
      </c>
      <c r="B74" s="226" t="s">
        <v>1991</v>
      </c>
      <c r="C74" s="227">
        <v>8299</v>
      </c>
      <c r="D74" s="228">
        <v>13.930043850000001</v>
      </c>
      <c r="E74" s="229">
        <v>14.246086099999999</v>
      </c>
      <c r="F74" s="230">
        <v>0.15644302512371</v>
      </c>
      <c r="G74" s="229">
        <v>9.9224964999999994</v>
      </c>
      <c r="H74" s="231">
        <v>1195.6255572960499</v>
      </c>
      <c r="I74" s="232">
        <v>5.1236166673899998E-2</v>
      </c>
      <c r="J74" s="231">
        <v>84.932299072177301</v>
      </c>
      <c r="K74" s="233">
        <v>20.857741896614002</v>
      </c>
      <c r="L74" s="229">
        <v>1.9874759799999999</v>
      </c>
      <c r="M74" s="233">
        <v>239.48379081817001</v>
      </c>
      <c r="N74" s="229">
        <v>0.17309840000000001</v>
      </c>
      <c r="O74" s="233">
        <v>20.857741896614002</v>
      </c>
      <c r="P74" s="234">
        <v>1.215059341807E-2</v>
      </c>
      <c r="Q74" s="224" t="s">
        <v>1932</v>
      </c>
    </row>
    <row r="75" spans="1:17" ht="14" thickBot="1">
      <c r="A75" s="225">
        <v>1328</v>
      </c>
      <c r="B75" s="226" t="s">
        <v>1992</v>
      </c>
      <c r="C75" s="227">
        <v>8004</v>
      </c>
      <c r="D75" s="228">
        <v>16.624996370000002</v>
      </c>
      <c r="E75" s="229">
        <v>16.689168949999999</v>
      </c>
      <c r="F75" s="230">
        <v>-3.4961691844259998E-2</v>
      </c>
      <c r="G75" s="229">
        <v>14.835575</v>
      </c>
      <c r="H75" s="231">
        <v>1853.52011494252</v>
      </c>
      <c r="I75" s="232">
        <v>9.0040531281729994E-2</v>
      </c>
      <c r="J75" s="231">
        <v>178.97759245377301</v>
      </c>
      <c r="K75" s="233">
        <v>89.341263118440807</v>
      </c>
      <c r="L75" s="229">
        <v>4.7225979999999996</v>
      </c>
      <c r="M75" s="233">
        <v>590.02973513243296</v>
      </c>
      <c r="N75" s="229">
        <v>6.9043226899999999</v>
      </c>
      <c r="O75" s="233">
        <v>862.60903173413305</v>
      </c>
      <c r="P75" s="234">
        <v>0.41370080863133002</v>
      </c>
      <c r="Q75" s="224" t="s">
        <v>1932</v>
      </c>
    </row>
    <row r="76" spans="1:17" ht="14" thickBot="1">
      <c r="A76" s="225">
        <v>1331</v>
      </c>
      <c r="B76" s="226" t="s">
        <v>1993</v>
      </c>
      <c r="C76" s="227">
        <v>672</v>
      </c>
      <c r="D76" s="228">
        <v>1.1698602499999999</v>
      </c>
      <c r="E76" s="229">
        <v>1.1304000000000001</v>
      </c>
      <c r="F76" s="230">
        <v>3.5957713752500001E-3</v>
      </c>
      <c r="G76" s="229">
        <v>1.1269041</v>
      </c>
      <c r="H76" s="231">
        <v>1676.940625</v>
      </c>
      <c r="I76" s="232">
        <v>4.23719362276E-2</v>
      </c>
      <c r="J76" s="231">
        <v>76.975744047619003</v>
      </c>
      <c r="K76" s="233">
        <v>-75.804613095237997</v>
      </c>
      <c r="L76" s="229">
        <v>0.27</v>
      </c>
      <c r="M76" s="233">
        <v>401.78571428571399</v>
      </c>
      <c r="N76" s="229">
        <v>1.3018391499999999</v>
      </c>
      <c r="O76" s="233">
        <v>1937.2606398809501</v>
      </c>
      <c r="P76" s="234">
        <v>1.15166237615003</v>
      </c>
      <c r="Q76" s="224" t="s">
        <v>969</v>
      </c>
    </row>
    <row r="77" spans="1:17" ht="14" thickBot="1">
      <c r="A77" s="225">
        <v>1362</v>
      </c>
      <c r="B77" s="226" t="s">
        <v>1994</v>
      </c>
      <c r="C77" s="227">
        <v>493</v>
      </c>
      <c r="D77" s="228">
        <v>0.72976339999999995</v>
      </c>
      <c r="E77" s="229">
        <v>0.70046785</v>
      </c>
      <c r="F77" s="230">
        <v>8.2514414945990003E-2</v>
      </c>
      <c r="G77" s="229">
        <v>0.57088989999999995</v>
      </c>
      <c r="H77" s="231">
        <v>1157.9916835699801</v>
      </c>
      <c r="I77" s="232">
        <v>5.5303844392809998E-2</v>
      </c>
      <c r="J77" s="231">
        <v>76.722008113590206</v>
      </c>
      <c r="K77" s="233">
        <v>92.968661257606499</v>
      </c>
      <c r="L77" s="229">
        <v>0.22600000000000001</v>
      </c>
      <c r="M77" s="233">
        <v>458.41784989858002</v>
      </c>
      <c r="N77" s="229">
        <v>0.86720474999999997</v>
      </c>
      <c r="O77" s="233">
        <v>1759.03600405679</v>
      </c>
      <c r="P77" s="234">
        <v>1.2380364780482001</v>
      </c>
      <c r="Q77" s="224" t="s">
        <v>969</v>
      </c>
    </row>
    <row r="78" spans="1:17" ht="14" thickBot="1">
      <c r="A78" s="225">
        <v>1384</v>
      </c>
      <c r="B78" s="226" t="s">
        <v>1995</v>
      </c>
      <c r="C78" s="227">
        <v>521527</v>
      </c>
      <c r="D78" s="228">
        <v>1104.5744975800001</v>
      </c>
      <c r="E78" s="229">
        <v>1087.7333117999999</v>
      </c>
      <c r="F78" s="230">
        <v>-8.6000070803799993E-3</v>
      </c>
      <c r="G78" s="229">
        <v>998.31805933999999</v>
      </c>
      <c r="H78" s="231">
        <v>1914.2212375198201</v>
      </c>
      <c r="I78" s="232">
        <v>6.5122676412849995E-2</v>
      </c>
      <c r="J78" s="231">
        <v>134.57892063114599</v>
      </c>
      <c r="K78" s="233">
        <v>51.417566319672801</v>
      </c>
      <c r="L78" s="229">
        <v>273.72063788000003</v>
      </c>
      <c r="M78" s="233">
        <v>524.84461567665699</v>
      </c>
      <c r="N78" s="229">
        <v>188.09215918000001</v>
      </c>
      <c r="O78" s="233">
        <v>360.65660872783201</v>
      </c>
      <c r="P78" s="234">
        <v>0.17292120884736001</v>
      </c>
      <c r="Q78" s="224" t="s">
        <v>1932</v>
      </c>
    </row>
    <row r="79" spans="1:17" ht="14" thickBot="1">
      <c r="A79" s="225">
        <v>1386</v>
      </c>
      <c r="B79" s="226" t="s">
        <v>1996</v>
      </c>
      <c r="C79" s="227">
        <v>23513</v>
      </c>
      <c r="D79" s="228">
        <v>57.140005649999999</v>
      </c>
      <c r="E79" s="229">
        <v>56.097219850000002</v>
      </c>
      <c r="F79" s="230">
        <v>-2.4045779911460001E-2</v>
      </c>
      <c r="G79" s="229">
        <v>52.835630799999997</v>
      </c>
      <c r="H79" s="231">
        <v>2247.08164844979</v>
      </c>
      <c r="I79" s="232">
        <v>5.8794110061850001E-2</v>
      </c>
      <c r="J79" s="231">
        <v>136.71774550248799</v>
      </c>
      <c r="K79" s="233">
        <v>104.78061072598101</v>
      </c>
      <c r="L79" s="229">
        <v>13.87</v>
      </c>
      <c r="M79" s="233">
        <v>589.886445795942</v>
      </c>
      <c r="N79" s="229">
        <v>-2.9692158499999999</v>
      </c>
      <c r="O79" s="233">
        <v>-126.27975375324201</v>
      </c>
      <c r="P79" s="234">
        <v>-5.2929821797569998E-2</v>
      </c>
      <c r="Q79" s="224" t="s">
        <v>1932</v>
      </c>
    </row>
    <row r="80" spans="1:17" ht="14" thickBot="1">
      <c r="A80" s="225">
        <v>1395</v>
      </c>
      <c r="B80" s="226" t="s">
        <v>1997</v>
      </c>
      <c r="C80" s="227">
        <v>20012</v>
      </c>
      <c r="D80" s="228">
        <v>41.622815340000002</v>
      </c>
      <c r="E80" s="229">
        <v>38.653165799999996</v>
      </c>
      <c r="F80" s="230">
        <v>0.23247492801624001</v>
      </c>
      <c r="G80" s="229">
        <v>26.174411750000001</v>
      </c>
      <c r="H80" s="231">
        <v>1307.93582600439</v>
      </c>
      <c r="I80" s="232">
        <v>9.1512379224009996E-2</v>
      </c>
      <c r="J80" s="231">
        <v>189.87567559464301</v>
      </c>
      <c r="K80" s="233">
        <v>5.0295482710373696</v>
      </c>
      <c r="L80" s="229">
        <v>6.8294305</v>
      </c>
      <c r="M80" s="233">
        <v>341.26676494103498</v>
      </c>
      <c r="N80" s="229">
        <v>3.8861234200000001</v>
      </c>
      <c r="O80" s="233">
        <v>194.18965720567601</v>
      </c>
      <c r="P80" s="234">
        <v>0.10053829588261</v>
      </c>
      <c r="Q80" s="224" t="s">
        <v>969</v>
      </c>
    </row>
    <row r="81" spans="1:17" ht="14" thickBot="1">
      <c r="A81" s="225">
        <v>1401</v>
      </c>
      <c r="B81" s="226" t="s">
        <v>1998</v>
      </c>
      <c r="C81" s="227">
        <v>13324</v>
      </c>
      <c r="D81" s="228">
        <v>24.914910630000001</v>
      </c>
      <c r="E81" s="229">
        <v>26.785192599999998</v>
      </c>
      <c r="F81" s="230">
        <v>0.18244813587757</v>
      </c>
      <c r="G81" s="229">
        <v>19.46489725</v>
      </c>
      <c r="H81" s="231">
        <v>1460.8899166916799</v>
      </c>
      <c r="I81" s="232">
        <v>3.9320914882290003E-2</v>
      </c>
      <c r="J81" s="231">
        <v>73.179844641248806</v>
      </c>
      <c r="K81" s="233">
        <v>8.8351313419393502</v>
      </c>
      <c r="L81" s="229">
        <v>4.95</v>
      </c>
      <c r="M81" s="233">
        <v>371.51005703992797</v>
      </c>
      <c r="N81" s="229">
        <v>0.15588741</v>
      </c>
      <c r="O81" s="233">
        <v>11.6997455719003</v>
      </c>
      <c r="P81" s="234">
        <v>5.8199099901099999E-3</v>
      </c>
      <c r="Q81" s="224" t="s">
        <v>1932</v>
      </c>
    </row>
    <row r="82" spans="1:17" ht="14" thickBot="1">
      <c r="A82" s="225">
        <v>1423</v>
      </c>
      <c r="B82" s="226" t="s">
        <v>1999</v>
      </c>
      <c r="C82" s="227">
        <v>4949</v>
      </c>
      <c r="D82" s="228">
        <v>9.2990001299999996</v>
      </c>
      <c r="E82" s="229">
        <v>9.4652047499999998</v>
      </c>
      <c r="F82" s="230">
        <v>0.19754027038603</v>
      </c>
      <c r="G82" s="229">
        <v>6.8507301500000004</v>
      </c>
      <c r="H82" s="231">
        <v>1384.26553849262</v>
      </c>
      <c r="I82" s="232">
        <v>3.2712648992520001E-2</v>
      </c>
      <c r="J82" s="231">
        <v>57.902816730652603</v>
      </c>
      <c r="K82" s="233">
        <v>108.921820569812</v>
      </c>
      <c r="L82" s="229">
        <v>1.8</v>
      </c>
      <c r="M82" s="233">
        <v>363.70984037179198</v>
      </c>
      <c r="N82" s="229">
        <v>0.68413241999999996</v>
      </c>
      <c r="O82" s="233">
        <v>138.236496261871</v>
      </c>
      <c r="P82" s="234">
        <v>7.2278670992290003E-2</v>
      </c>
      <c r="Q82" s="224" t="s">
        <v>1932</v>
      </c>
    </row>
    <row r="83" spans="1:17" ht="14" thickBot="1">
      <c r="A83" s="225">
        <v>1442</v>
      </c>
      <c r="B83" s="226" t="s">
        <v>2000</v>
      </c>
      <c r="C83" s="227">
        <v>487</v>
      </c>
      <c r="D83" s="228">
        <v>1.1058770099999999</v>
      </c>
      <c r="E83" s="229">
        <v>1.1291089000000001</v>
      </c>
      <c r="F83" s="230">
        <v>0.11993105815627</v>
      </c>
      <c r="G83" s="229">
        <v>0.78762715000000005</v>
      </c>
      <c r="H83" s="231">
        <v>1617.30420944558</v>
      </c>
      <c r="I83" s="232">
        <v>6.532623485307E-2</v>
      </c>
      <c r="J83" s="231">
        <v>143.76221765913701</v>
      </c>
      <c r="K83" s="233">
        <v>70.113470225872604</v>
      </c>
      <c r="L83" s="229">
        <v>0.29499999999999998</v>
      </c>
      <c r="M83" s="233">
        <v>605.749486652977</v>
      </c>
      <c r="N83" s="229">
        <v>0.84515461000000003</v>
      </c>
      <c r="O83" s="233">
        <v>1735.4304106776101</v>
      </c>
      <c r="P83" s="234">
        <v>0.74851470039779999</v>
      </c>
      <c r="Q83" s="224" t="s">
        <v>1932</v>
      </c>
    </row>
    <row r="84" spans="1:17" ht="14" thickBot="1">
      <c r="A84" s="225">
        <v>1448</v>
      </c>
      <c r="B84" s="226" t="s">
        <v>2001</v>
      </c>
      <c r="C84" s="227">
        <v>1109</v>
      </c>
      <c r="D84" s="228">
        <v>1.7434931</v>
      </c>
      <c r="E84" s="229">
        <v>1.6912906000000001</v>
      </c>
      <c r="F84" s="230">
        <v>8.0071438194960001E-2</v>
      </c>
      <c r="G84" s="229">
        <v>1.7158823000000001</v>
      </c>
      <c r="H84" s="231">
        <v>1547.2338142470601</v>
      </c>
      <c r="I84" s="232">
        <v>4.840100633148E-2</v>
      </c>
      <c r="J84" s="231">
        <v>88.267673579801595</v>
      </c>
      <c r="K84" s="233">
        <v>-251.54350766456199</v>
      </c>
      <c r="L84" s="229">
        <v>0.67</v>
      </c>
      <c r="M84" s="233">
        <v>604.14788097384996</v>
      </c>
      <c r="N84" s="229">
        <v>0.86378429999999995</v>
      </c>
      <c r="O84" s="233">
        <v>778.88575293056795</v>
      </c>
      <c r="P84" s="234">
        <v>0.51072494578991001</v>
      </c>
      <c r="Q84" s="224" t="s">
        <v>969</v>
      </c>
    </row>
    <row r="85" spans="1:17" ht="14" thickBot="1">
      <c r="A85" s="225">
        <v>1454</v>
      </c>
      <c r="B85" s="226" t="s">
        <v>2002</v>
      </c>
      <c r="C85" s="227">
        <v>5695</v>
      </c>
      <c r="D85" s="228">
        <v>10.280377229999999</v>
      </c>
      <c r="E85" s="229">
        <v>9.6961330300000004</v>
      </c>
      <c r="F85" s="230">
        <v>0.2340942308009</v>
      </c>
      <c r="G85" s="229">
        <v>7.24554235</v>
      </c>
      <c r="H85" s="231">
        <v>1272.26380158033</v>
      </c>
      <c r="I85" s="232">
        <v>2.326763559976E-2</v>
      </c>
      <c r="J85" s="231">
        <v>41.315522388059698</v>
      </c>
      <c r="K85" s="233">
        <v>29.493587357330998</v>
      </c>
      <c r="L85" s="229">
        <v>2.1749999999999998</v>
      </c>
      <c r="M85" s="233">
        <v>381.91395961369602</v>
      </c>
      <c r="N85" s="229">
        <v>3.15866888</v>
      </c>
      <c r="O85" s="233">
        <v>554.63896049165896</v>
      </c>
      <c r="P85" s="234">
        <v>0.32576583574369</v>
      </c>
      <c r="Q85" s="224" t="s">
        <v>1932</v>
      </c>
    </row>
    <row r="86" spans="1:17" ht="14" thickBot="1">
      <c r="A86" s="225">
        <v>1479</v>
      </c>
      <c r="B86" s="226" t="s">
        <v>2003</v>
      </c>
      <c r="C86" s="227">
        <v>106925</v>
      </c>
      <c r="D86" s="228">
        <v>284.36126812999998</v>
      </c>
      <c r="E86" s="229">
        <v>282.50851010000002</v>
      </c>
      <c r="F86" s="230">
        <v>5.4094642006470003E-2</v>
      </c>
      <c r="G86" s="229">
        <v>229.25226082</v>
      </c>
      <c r="H86" s="231">
        <v>2144.0473305587998</v>
      </c>
      <c r="I86" s="232">
        <v>6.3971544048950002E-2</v>
      </c>
      <c r="J86" s="231">
        <v>160.29233621697401</v>
      </c>
      <c r="K86" s="233">
        <v>153.76420257189599</v>
      </c>
      <c r="L86" s="229">
        <v>62.195599999999999</v>
      </c>
      <c r="M86" s="233">
        <v>581.67500584521804</v>
      </c>
      <c r="N86" s="229">
        <v>64.312197499999996</v>
      </c>
      <c r="O86" s="233">
        <v>601.47016600420795</v>
      </c>
      <c r="P86" s="234">
        <v>0.22764693876738001</v>
      </c>
      <c r="Q86" s="224" t="s">
        <v>1932</v>
      </c>
    </row>
    <row r="87" spans="1:17" ht="14" thickBot="1">
      <c r="A87" s="225">
        <v>1507</v>
      </c>
      <c r="B87" s="226" t="s">
        <v>2004</v>
      </c>
      <c r="C87" s="227">
        <v>5291</v>
      </c>
      <c r="D87" s="228">
        <v>4.5258386799999997</v>
      </c>
      <c r="E87" s="229">
        <v>8.9171151500000008</v>
      </c>
      <c r="F87" s="230">
        <v>1.5086269049249999E-2</v>
      </c>
      <c r="G87" s="229">
        <v>8.5622188500000007</v>
      </c>
      <c r="H87" s="231">
        <v>1618.2609809109799</v>
      </c>
      <c r="I87" s="232">
        <v>7.2841037782909998E-2</v>
      </c>
      <c r="J87" s="231">
        <v>65.868837648837598</v>
      </c>
      <c r="K87" s="233">
        <v>-48.897611037611</v>
      </c>
      <c r="L87" s="229">
        <v>1.3</v>
      </c>
      <c r="M87" s="233">
        <v>245.70024570024501</v>
      </c>
      <c r="N87" s="229">
        <v>2.9726621600000001</v>
      </c>
      <c r="O87" s="233">
        <v>561.83371007370999</v>
      </c>
      <c r="P87" s="234">
        <v>0.33336590477918998</v>
      </c>
      <c r="Q87" s="224" t="s">
        <v>969</v>
      </c>
    </row>
    <row r="88" spans="1:17" ht="14" thickBot="1">
      <c r="A88" s="225">
        <v>1509</v>
      </c>
      <c r="B88" s="226" t="s">
        <v>985</v>
      </c>
      <c r="C88" s="227">
        <v>385616</v>
      </c>
      <c r="D88" s="228">
        <v>832.15646729000002</v>
      </c>
      <c r="E88" s="229">
        <v>831.10723074999999</v>
      </c>
      <c r="F88" s="230">
        <v>0.18409879484432001</v>
      </c>
      <c r="G88" s="229">
        <v>577.91686749999997</v>
      </c>
      <c r="H88" s="231">
        <v>1498.6848769241899</v>
      </c>
      <c r="I88" s="232">
        <v>8.0319025884539999E-2</v>
      </c>
      <c r="J88" s="231">
        <v>166.06997679038199</v>
      </c>
      <c r="K88" s="233">
        <v>90.363212677897195</v>
      </c>
      <c r="L88" s="229">
        <v>172.2</v>
      </c>
      <c r="M88" s="233">
        <v>446.55823409816998</v>
      </c>
      <c r="N88" s="229">
        <v>119.8540677</v>
      </c>
      <c r="O88" s="233">
        <v>310.811967605078</v>
      </c>
      <c r="P88" s="234">
        <v>0.14421011304622999</v>
      </c>
      <c r="Q88" s="224" t="s">
        <v>1932</v>
      </c>
    </row>
    <row r="89" spans="1:17" ht="14" thickBot="1">
      <c r="A89" s="225">
        <v>1519</v>
      </c>
      <c r="B89" s="226" t="s">
        <v>2005</v>
      </c>
      <c r="C89" s="227">
        <v>81315</v>
      </c>
      <c r="D89" s="228">
        <v>161.73564955000001</v>
      </c>
      <c r="E89" s="229">
        <v>160.01904687999999</v>
      </c>
      <c r="F89" s="230">
        <v>0.36613449270311998</v>
      </c>
      <c r="G89" s="229">
        <v>135.34779846000001</v>
      </c>
      <c r="H89" s="231">
        <v>1664.48746799483</v>
      </c>
      <c r="I89" s="232">
        <v>6.8611094999499994E-2</v>
      </c>
      <c r="J89" s="231">
        <v>183.58254454897599</v>
      </c>
      <c r="K89" s="233">
        <v>-686.69622517370703</v>
      </c>
      <c r="L89" s="229">
        <v>39.15</v>
      </c>
      <c r="M89" s="233">
        <v>481.46098505810698</v>
      </c>
      <c r="N89" s="229">
        <v>-30.286056349999999</v>
      </c>
      <c r="O89" s="233">
        <v>-372.45349996925501</v>
      </c>
      <c r="P89" s="234">
        <v>-0.18926532147583</v>
      </c>
      <c r="Q89" s="224" t="s">
        <v>1932</v>
      </c>
    </row>
    <row r="90" spans="1:17" ht="14" thickBot="1">
      <c r="A90" s="225">
        <v>1520</v>
      </c>
      <c r="B90" s="226" t="s">
        <v>2006</v>
      </c>
      <c r="C90" s="227">
        <v>19564</v>
      </c>
      <c r="D90" s="228">
        <v>49.533903369999997</v>
      </c>
      <c r="E90" s="229">
        <v>49.716875850000001</v>
      </c>
      <c r="F90" s="230">
        <v>0.20592507971373999</v>
      </c>
      <c r="G90" s="229">
        <v>37.80281935</v>
      </c>
      <c r="H90" s="231">
        <v>1932.26432989163</v>
      </c>
      <c r="I90" s="232">
        <v>5.580754359429E-2</v>
      </c>
      <c r="J90" s="231">
        <v>148.248236045798</v>
      </c>
      <c r="K90" s="233">
        <v>-124.528924044162</v>
      </c>
      <c r="L90" s="229">
        <v>11.35</v>
      </c>
      <c r="M90" s="233">
        <v>580.14720915968098</v>
      </c>
      <c r="N90" s="229">
        <v>8.5777876299999996</v>
      </c>
      <c r="O90" s="233">
        <v>438.44753782457502</v>
      </c>
      <c r="P90" s="234">
        <v>0.17253271617225999</v>
      </c>
      <c r="Q90" s="224" t="s">
        <v>969</v>
      </c>
    </row>
    <row r="91" spans="1:17" ht="14" thickBot="1">
      <c r="A91" s="225">
        <v>1529</v>
      </c>
      <c r="B91" s="226" t="s">
        <v>2007</v>
      </c>
      <c r="C91" s="227">
        <v>400247</v>
      </c>
      <c r="D91" s="228">
        <v>983.03918472999999</v>
      </c>
      <c r="E91" s="229">
        <v>989.67465164999999</v>
      </c>
      <c r="F91" s="230">
        <v>0.11670471897975</v>
      </c>
      <c r="G91" s="229">
        <v>753.04308677999995</v>
      </c>
      <c r="H91" s="231">
        <v>1881.44592409187</v>
      </c>
      <c r="I91" s="232">
        <v>3.4410635429340003E-2</v>
      </c>
      <c r="J91" s="231">
        <v>79.677096118147006</v>
      </c>
      <c r="K91" s="233">
        <v>140.60255234892401</v>
      </c>
      <c r="L91" s="229">
        <v>215.78480106999999</v>
      </c>
      <c r="M91" s="233">
        <v>539.12909046163998</v>
      </c>
      <c r="N91" s="229">
        <v>34.139520480000002</v>
      </c>
      <c r="O91" s="233">
        <v>85.296130839206697</v>
      </c>
      <c r="P91" s="234">
        <v>3.449570060532E-2</v>
      </c>
      <c r="Q91" s="224" t="s">
        <v>969</v>
      </c>
    </row>
    <row r="92" spans="1:17" ht="14" thickBot="1">
      <c r="A92" s="225">
        <v>1535</v>
      </c>
      <c r="B92" s="226" t="s">
        <v>2008</v>
      </c>
      <c r="C92" s="227">
        <v>162180</v>
      </c>
      <c r="D92" s="228">
        <v>437.41254765000002</v>
      </c>
      <c r="E92" s="229">
        <v>434.70029070999999</v>
      </c>
      <c r="F92" s="230">
        <v>8.061819280094E-2</v>
      </c>
      <c r="G92" s="229">
        <v>372.95004039999998</v>
      </c>
      <c r="H92" s="231">
        <v>2299.6056258478202</v>
      </c>
      <c r="I92" s="232">
        <v>5.3304455884950003E-2</v>
      </c>
      <c r="J92" s="231">
        <v>149.56435627081001</v>
      </c>
      <c r="K92" s="233">
        <v>-108.77021580959401</v>
      </c>
      <c r="L92" s="229">
        <v>93.3</v>
      </c>
      <c r="M92" s="233">
        <v>575.28671846096904</v>
      </c>
      <c r="N92" s="229">
        <v>29.12315409</v>
      </c>
      <c r="O92" s="233">
        <v>179.57303052164201</v>
      </c>
      <c r="P92" s="234">
        <v>6.6995938839679997E-2</v>
      </c>
      <c r="Q92" s="224" t="s">
        <v>1932</v>
      </c>
    </row>
    <row r="93" spans="1:17" ht="14" thickBot="1">
      <c r="A93" s="225">
        <v>1542</v>
      </c>
      <c r="B93" s="226" t="s">
        <v>2009</v>
      </c>
      <c r="C93" s="227">
        <v>292554</v>
      </c>
      <c r="D93" s="228">
        <v>609.71813359999999</v>
      </c>
      <c r="E93" s="229">
        <v>626.925748</v>
      </c>
      <c r="F93" s="230">
        <v>0.31386015462604</v>
      </c>
      <c r="G93" s="229">
        <v>340.9374517</v>
      </c>
      <c r="H93" s="231">
        <v>1165.3829778434001</v>
      </c>
      <c r="I93" s="232">
        <v>5.8978042570890003E-2</v>
      </c>
      <c r="J93" s="231">
        <v>117.75413574929701</v>
      </c>
      <c r="K93" s="233">
        <v>87.545824121358805</v>
      </c>
      <c r="L93" s="229">
        <v>111.08219515</v>
      </c>
      <c r="M93" s="233">
        <v>379.69809043800399</v>
      </c>
      <c r="N93" s="229">
        <v>109.60473325</v>
      </c>
      <c r="O93" s="233">
        <v>374.64787099133798</v>
      </c>
      <c r="P93" s="234">
        <v>0.17482889098056001</v>
      </c>
      <c r="Q93" s="224" t="s">
        <v>969</v>
      </c>
    </row>
    <row r="94" spans="1:17" ht="14" thickBot="1">
      <c r="A94" s="225">
        <v>1549</v>
      </c>
      <c r="B94" s="226" t="s">
        <v>2010</v>
      </c>
      <c r="C94" s="227">
        <v>74250</v>
      </c>
      <c r="D94" s="228">
        <v>182.42685302999999</v>
      </c>
      <c r="E94" s="229">
        <v>180.21006385000001</v>
      </c>
      <c r="F94" s="230">
        <v>0.14924353639714</v>
      </c>
      <c r="G94" s="229">
        <v>128.27769197000001</v>
      </c>
      <c r="H94" s="231">
        <v>1727.6456830976399</v>
      </c>
      <c r="I94" s="232">
        <v>7.1835932817670006E-2</v>
      </c>
      <c r="J94" s="231">
        <v>170.532694680134</v>
      </c>
      <c r="K94" s="233">
        <v>83.008189898989897</v>
      </c>
      <c r="L94" s="229">
        <v>35.462299999999999</v>
      </c>
      <c r="M94" s="233">
        <v>477.60673400673397</v>
      </c>
      <c r="N94" s="229">
        <v>15.48716748</v>
      </c>
      <c r="O94" s="233">
        <v>208.58138020202</v>
      </c>
      <c r="P94" s="234">
        <v>8.5939526068259997E-2</v>
      </c>
      <c r="Q94" s="224" t="s">
        <v>1932</v>
      </c>
    </row>
    <row r="95" spans="1:17" ht="14" thickBot="1">
      <c r="A95" s="225">
        <v>1551</v>
      </c>
      <c r="B95" s="226" t="s">
        <v>2011</v>
      </c>
      <c r="C95" s="227">
        <v>67747</v>
      </c>
      <c r="D95" s="228">
        <v>158.32897858999999</v>
      </c>
      <c r="E95" s="229">
        <v>156.3439395</v>
      </c>
      <c r="F95" s="230">
        <v>0.14578185266874</v>
      </c>
      <c r="G95" s="229">
        <v>115.97524219</v>
      </c>
      <c r="H95" s="231">
        <v>1711.8874959776799</v>
      </c>
      <c r="I95" s="232">
        <v>5.0974805691900001E-2</v>
      </c>
      <c r="J95" s="231">
        <v>109.57306375189999</v>
      </c>
      <c r="K95" s="233">
        <v>187.509241294817</v>
      </c>
      <c r="L95" s="229">
        <v>31.416080000000001</v>
      </c>
      <c r="M95" s="233">
        <v>463.72651187506398</v>
      </c>
      <c r="N95" s="229">
        <v>24.6411877</v>
      </c>
      <c r="O95" s="233">
        <v>363.72367337298999</v>
      </c>
      <c r="P95" s="234">
        <v>0.15760884482508999</v>
      </c>
      <c r="Q95" s="224" t="s">
        <v>1932</v>
      </c>
    </row>
    <row r="96" spans="1:17" ht="14" thickBot="1">
      <c r="A96" s="225">
        <v>1552</v>
      </c>
      <c r="B96" s="226" t="s">
        <v>2012</v>
      </c>
      <c r="C96" s="227">
        <v>3616</v>
      </c>
      <c r="D96" s="228">
        <v>7.2112937600000002</v>
      </c>
      <c r="E96" s="229">
        <v>7.281536</v>
      </c>
      <c r="F96" s="230">
        <v>0.15484184075174001</v>
      </c>
      <c r="G96" s="229">
        <v>5.2069199499999996</v>
      </c>
      <c r="H96" s="231">
        <v>1439.96680033185</v>
      </c>
      <c r="I96" s="232">
        <v>6.8774787516250005E-2</v>
      </c>
      <c r="J96" s="231">
        <v>129.07617809734501</v>
      </c>
      <c r="K96" s="233">
        <v>117.47870575221199</v>
      </c>
      <c r="L96" s="229">
        <v>1.67</v>
      </c>
      <c r="M96" s="233">
        <v>461.83628318583999</v>
      </c>
      <c r="N96" s="229">
        <v>2.45795041</v>
      </c>
      <c r="O96" s="233">
        <v>679.74292311946897</v>
      </c>
      <c r="P96" s="234">
        <v>0.33755932951508999</v>
      </c>
      <c r="Q96" s="224" t="s">
        <v>1932</v>
      </c>
    </row>
    <row r="97" spans="1:17" ht="14" thickBot="1">
      <c r="A97" s="225">
        <v>1555</v>
      </c>
      <c r="B97" s="226" t="s">
        <v>2013</v>
      </c>
      <c r="C97" s="227">
        <v>455194</v>
      </c>
      <c r="D97" s="228">
        <v>1216.6478401500001</v>
      </c>
      <c r="E97" s="229">
        <v>1193.5649652499999</v>
      </c>
      <c r="F97" s="230">
        <v>-0.26758858399801999</v>
      </c>
      <c r="G97" s="229">
        <v>1471.8639275600001</v>
      </c>
      <c r="H97" s="231">
        <v>3233.4871012359499</v>
      </c>
      <c r="I97" s="232">
        <v>5.4026603277510001E-2</v>
      </c>
      <c r="J97" s="231">
        <v>144.37028816284899</v>
      </c>
      <c r="K97" s="233">
        <v>0.60429755225244997</v>
      </c>
      <c r="L97" s="229">
        <v>481.48098783</v>
      </c>
      <c r="M97" s="233">
        <v>1057.74897698563</v>
      </c>
      <c r="N97" s="229">
        <v>257.34309022000002</v>
      </c>
      <c r="O97" s="233">
        <v>565.34815972969704</v>
      </c>
      <c r="P97" s="234">
        <v>0.21560878352866999</v>
      </c>
      <c r="Q97" s="224" t="s">
        <v>969</v>
      </c>
    </row>
    <row r="98" spans="1:17" ht="14" thickBot="1">
      <c r="A98" s="225">
        <v>1560</v>
      </c>
      <c r="B98" s="226" t="s">
        <v>2014</v>
      </c>
      <c r="C98" s="227">
        <v>82344</v>
      </c>
      <c r="D98" s="228">
        <v>130.89385111000001</v>
      </c>
      <c r="E98" s="229">
        <v>132.42017971000001</v>
      </c>
      <c r="F98" s="230">
        <v>0.25380550513470002</v>
      </c>
      <c r="G98" s="229">
        <v>76.342842390000001</v>
      </c>
      <c r="H98" s="231">
        <v>927.12088786068205</v>
      </c>
      <c r="I98" s="232">
        <v>9.9877029191220004E-2</v>
      </c>
      <c r="J98" s="231">
        <v>149.52014718740801</v>
      </c>
      <c r="K98" s="233">
        <v>92.5555228067618</v>
      </c>
      <c r="L98" s="229">
        <v>28.360115749999999</v>
      </c>
      <c r="M98" s="233">
        <v>344.41022721752603</v>
      </c>
      <c r="N98" s="229">
        <v>23.72854985</v>
      </c>
      <c r="O98" s="233">
        <v>288.163677377829</v>
      </c>
      <c r="P98" s="234">
        <v>0.17919134305636</v>
      </c>
      <c r="Q98" s="224" t="s">
        <v>1932</v>
      </c>
    </row>
    <row r="99" spans="1:17" ht="14" thickBot="1">
      <c r="A99" s="225">
        <v>1562</v>
      </c>
      <c r="B99" s="226" t="s">
        <v>2015</v>
      </c>
      <c r="C99" s="227">
        <v>956824</v>
      </c>
      <c r="D99" s="228">
        <v>2430.9763706499998</v>
      </c>
      <c r="E99" s="229">
        <v>2407.4838316</v>
      </c>
      <c r="F99" s="230">
        <v>-0.13891980240832</v>
      </c>
      <c r="G99" s="229">
        <v>2581.3535569400001</v>
      </c>
      <c r="H99" s="231">
        <v>2697.8352935754101</v>
      </c>
      <c r="I99" s="232">
        <v>4.3874216235700002E-2</v>
      </c>
      <c r="J99" s="231">
        <v>107.87193390842999</v>
      </c>
      <c r="K99" s="233">
        <v>82.008947319465193</v>
      </c>
      <c r="L99" s="229">
        <v>626.42999999999995</v>
      </c>
      <c r="M99" s="233">
        <v>654.69720659180803</v>
      </c>
      <c r="N99" s="229">
        <v>208.52091436000001</v>
      </c>
      <c r="O99" s="233">
        <v>217.93027177411901</v>
      </c>
      <c r="P99" s="234">
        <v>8.6613630223800003E-2</v>
      </c>
      <c r="Q99" s="224" t="s">
        <v>969</v>
      </c>
    </row>
    <row r="100" spans="1:17" ht="14" thickBot="1">
      <c r="A100" s="225">
        <v>1563</v>
      </c>
      <c r="B100" s="226" t="s">
        <v>2016</v>
      </c>
      <c r="C100" s="227">
        <v>47075</v>
      </c>
      <c r="D100" s="228">
        <v>101.03051283000001</v>
      </c>
      <c r="E100" s="229">
        <v>98.227480400000005</v>
      </c>
      <c r="F100" s="230">
        <v>3.9611498426549999E-2</v>
      </c>
      <c r="G100" s="229">
        <v>83.221054449999897</v>
      </c>
      <c r="H100" s="231">
        <v>1767.83971216144</v>
      </c>
      <c r="I100" s="232">
        <v>8.670077395945E-2</v>
      </c>
      <c r="J100" s="231">
        <v>178.23175762081701</v>
      </c>
      <c r="K100" s="233">
        <v>90.449390971853404</v>
      </c>
      <c r="L100" s="229">
        <v>23.300999999999998</v>
      </c>
      <c r="M100" s="233">
        <v>494.97610196494901</v>
      </c>
      <c r="N100" s="229">
        <v>29.721166499999999</v>
      </c>
      <c r="O100" s="233">
        <v>631.35775889537899</v>
      </c>
      <c r="P100" s="234">
        <v>0.3025748637649</v>
      </c>
      <c r="Q100" s="224" t="s">
        <v>969</v>
      </c>
    </row>
    <row r="101" spans="1:17" ht="14" thickBot="1">
      <c r="A101" s="225">
        <v>1564</v>
      </c>
      <c r="B101" s="226" t="s">
        <v>2017</v>
      </c>
      <c r="C101" s="227">
        <v>19858</v>
      </c>
      <c r="D101" s="228">
        <v>52.628472520000003</v>
      </c>
      <c r="E101" s="229">
        <v>50.540297449999997</v>
      </c>
      <c r="F101" s="230">
        <v>0.17231936470421999</v>
      </c>
      <c r="G101" s="229">
        <v>45.694620800000003</v>
      </c>
      <c r="H101" s="231">
        <v>2301.0686272534899</v>
      </c>
      <c r="I101" s="232">
        <v>6.8534003938929999E-2</v>
      </c>
      <c r="J101" s="231">
        <v>213.28385889817699</v>
      </c>
      <c r="K101" s="233">
        <v>-461.84777923255098</v>
      </c>
      <c r="L101" s="229">
        <v>12.98</v>
      </c>
      <c r="M101" s="233">
        <v>653.64085003524997</v>
      </c>
      <c r="N101" s="229">
        <v>-9.8429081499999995</v>
      </c>
      <c r="O101" s="233">
        <v>-495.66462634706397</v>
      </c>
      <c r="P101" s="234">
        <v>-0.19475366483028</v>
      </c>
      <c r="Q101" s="224" t="s">
        <v>1932</v>
      </c>
    </row>
    <row r="102" spans="1:17" ht="14" thickBot="1">
      <c r="A102" s="225">
        <v>1565</v>
      </c>
      <c r="B102" s="226" t="s">
        <v>975</v>
      </c>
      <c r="C102" s="227">
        <v>20</v>
      </c>
      <c r="D102" s="228">
        <v>0.19572556999999999</v>
      </c>
      <c r="E102" s="229">
        <v>4.2781399999999997E-2</v>
      </c>
      <c r="F102" s="230">
        <v>8.379078931792E-2</v>
      </c>
      <c r="G102" s="229">
        <v>1.63255E-3</v>
      </c>
      <c r="H102" s="231">
        <v>81.627499999999998</v>
      </c>
      <c r="I102" s="232">
        <v>5.3312878486519999E-2</v>
      </c>
      <c r="J102" s="231">
        <v>95.827500000000001</v>
      </c>
      <c r="K102" s="233">
        <v>7988.8235000000004</v>
      </c>
      <c r="L102" s="229">
        <v>1.6E-2</v>
      </c>
      <c r="M102" s="233">
        <v>800</v>
      </c>
      <c r="N102" s="229">
        <v>5.7992602499999997</v>
      </c>
      <c r="O102" s="233">
        <v>289963.01250000001</v>
      </c>
      <c r="P102" s="234">
        <v>135.55564450906201</v>
      </c>
      <c r="Q102" s="224" t="s">
        <v>969</v>
      </c>
    </row>
    <row r="103" spans="1:17" ht="14" thickBot="1">
      <c r="A103" s="225">
        <v>1566</v>
      </c>
      <c r="B103" s="226" t="s">
        <v>976</v>
      </c>
      <c r="C103" s="227">
        <v>13927</v>
      </c>
      <c r="D103" s="228">
        <v>21.648231639999999</v>
      </c>
      <c r="E103" s="229">
        <v>21.601474400000001</v>
      </c>
      <c r="F103" s="230">
        <v>0.29152034701711999</v>
      </c>
      <c r="G103" s="229">
        <v>5.6670209500000004</v>
      </c>
      <c r="H103" s="231">
        <v>406.90895024053998</v>
      </c>
      <c r="I103" s="232">
        <v>5.2521486595840002E-2</v>
      </c>
      <c r="J103" s="231">
        <v>70.522297695124493</v>
      </c>
      <c r="K103" s="233">
        <v>211.67506139154099</v>
      </c>
      <c r="L103" s="229">
        <v>5.7</v>
      </c>
      <c r="M103" s="233">
        <v>409.27694406548397</v>
      </c>
      <c r="N103" s="229">
        <v>8.5874583700000002</v>
      </c>
      <c r="O103" s="233">
        <v>616.60503841459001</v>
      </c>
      <c r="P103" s="234">
        <v>0.39754038131767</v>
      </c>
      <c r="Q103" s="224" t="s">
        <v>969</v>
      </c>
    </row>
    <row r="104" spans="1:17" s="35" customFormat="1" ht="17.25" customHeight="1" thickBot="1">
      <c r="A104" s="246" t="s">
        <v>22</v>
      </c>
      <c r="B104" s="247">
        <v>93</v>
      </c>
      <c r="C104" s="248">
        <v>7372519</v>
      </c>
      <c r="D104" s="249">
        <v>17021.350783599901</v>
      </c>
      <c r="E104" s="250">
        <v>16820.111149979901</v>
      </c>
      <c r="F104" s="251" t="s">
        <v>1013</v>
      </c>
      <c r="G104" s="250">
        <v>15335.619704279999</v>
      </c>
      <c r="H104" s="252">
        <v>2080.1058232986502</v>
      </c>
      <c r="I104" s="253">
        <v>5.710236489053E-2</v>
      </c>
      <c r="J104" s="252">
        <v>128.739425250718</v>
      </c>
      <c r="K104" s="254">
        <v>54.218908900743401</v>
      </c>
      <c r="L104" s="250">
        <v>4264.2535406200004</v>
      </c>
      <c r="M104" s="254">
        <v>578.39844707351699</v>
      </c>
      <c r="N104" s="250">
        <v>2393.7060728299998</v>
      </c>
      <c r="O104" s="254">
        <v>324.67953935825699</v>
      </c>
      <c r="P104" s="255">
        <v>0.14231214356944</v>
      </c>
      <c r="Q104" s="165">
        <v>56</v>
      </c>
    </row>
    <row r="105" spans="1:17" ht="14" thickBot="1">
      <c r="A105" s="256"/>
      <c r="B105" s="257"/>
      <c r="C105" s="258"/>
      <c r="D105" s="259"/>
      <c r="E105" s="259"/>
      <c r="F105" s="260"/>
      <c r="G105" s="259"/>
      <c r="H105" s="261"/>
      <c r="I105" s="262"/>
      <c r="J105" s="261"/>
      <c r="K105" s="261"/>
      <c r="L105" s="259"/>
      <c r="M105" s="261"/>
      <c r="N105" s="259"/>
      <c r="O105" s="261"/>
      <c r="P105" s="260"/>
    </row>
    <row r="106" spans="1:17" ht="14" thickBot="1">
      <c r="A106" s="8" t="s">
        <v>1012</v>
      </c>
      <c r="C106" s="264"/>
      <c r="D106" s="265"/>
      <c r="E106" s="265"/>
      <c r="F106" s="266"/>
      <c r="G106" s="265"/>
      <c r="H106" s="267"/>
      <c r="I106" s="268"/>
      <c r="J106" s="269"/>
      <c r="K106" s="269"/>
      <c r="L106" s="265"/>
      <c r="M106" s="269"/>
      <c r="N106" s="265"/>
      <c r="O106" s="269"/>
      <c r="P106" s="266"/>
    </row>
    <row r="107" spans="1:17">
      <c r="A107" s="100"/>
    </row>
    <row r="108" spans="1:17">
      <c r="A108" s="89" t="s">
        <v>1930</v>
      </c>
    </row>
    <row r="111" spans="1:17">
      <c r="A111" s="3" t="s">
        <v>256</v>
      </c>
    </row>
  </sheetData>
  <phoneticPr fontId="0" type="noConversion"/>
  <pageMargins left="0.6" right="0.5" top="0.62" bottom="0.56000000000000005" header="0.36" footer="0.28000000000000003"/>
  <pageSetup paperSize="9" scale="56" fitToHeight="2" pageOrder="overThenDown" orientation="landscape" horizontalDpi="1200" verticalDpi="1200"/>
  <headerFooter alignWithMargins="0">
    <oddHeader>&amp;L&amp;"Arial,Bold"Individuelle Daten pro Versicherer</oddHeader>
    <oddFooter>&amp;R&amp;P/&amp;N</oddFooter>
  </headerFooter>
  <rowBreaks count="1" manualBreakCount="1">
    <brk id="55" max="16383" man="1"/>
  </rowBreak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F2BB6-896D-F24F-AEC7-17F5F1C8813D}">
  <sheetPr>
    <pageSetUpPr fitToPage="1"/>
  </sheetPr>
  <dimension ref="A1:K66"/>
  <sheetViews>
    <sheetView zoomScale="75" workbookViewId="0">
      <selection activeCell="A2" sqref="A2"/>
    </sheetView>
  </sheetViews>
  <sheetFormatPr baseColWidth="10" defaultColWidth="11.3984375" defaultRowHeight="13"/>
  <cols>
    <col min="1" max="1" width="16.796875" style="199" customWidth="1"/>
    <col min="2" max="2" width="11.796875" style="3" customWidth="1"/>
    <col min="3" max="3" width="12.796875" style="100" customWidth="1"/>
    <col min="4" max="4" width="12.19921875" style="3" customWidth="1"/>
    <col min="5" max="5" width="12.3984375" style="100" customWidth="1"/>
    <col min="6" max="6" width="13.19921875" style="3" customWidth="1"/>
    <col min="7" max="7" width="11.19921875" style="100" customWidth="1"/>
    <col min="8" max="8" width="11.3984375" style="3"/>
    <col min="9" max="9" width="11.796875" style="3" customWidth="1"/>
    <col min="10" max="10" width="8.3984375" style="3" customWidth="1"/>
    <col min="11" max="16384" width="11.3984375" style="3"/>
  </cols>
  <sheetData>
    <row r="1" spans="1:11" s="1" customFormat="1" ht="21" customHeight="1">
      <c r="A1" s="1491" t="s">
        <v>1599</v>
      </c>
      <c r="B1" s="1481"/>
      <c r="C1" s="1481"/>
      <c r="D1" s="1481"/>
      <c r="E1" s="1481"/>
      <c r="F1" s="1481"/>
      <c r="G1" s="1481"/>
      <c r="H1" s="1481"/>
      <c r="I1" s="190"/>
      <c r="J1" s="191">
        <v>2003</v>
      </c>
    </row>
    <row r="2" spans="1:11" s="1" customFormat="1" ht="21.75" customHeight="1">
      <c r="A2" s="192"/>
      <c r="B2"/>
      <c r="C2"/>
      <c r="D2"/>
      <c r="E2"/>
      <c r="F2"/>
      <c r="G2"/>
      <c r="H2"/>
      <c r="I2"/>
      <c r="J2"/>
    </row>
    <row r="3" spans="1:11" ht="14.25" customHeight="1">
      <c r="A3" s="193" t="s">
        <v>1015</v>
      </c>
      <c r="B3"/>
      <c r="C3"/>
      <c r="D3"/>
      <c r="E3"/>
      <c r="F3"/>
      <c r="G3"/>
      <c r="H3"/>
      <c r="I3"/>
      <c r="J3"/>
    </row>
    <row r="4" spans="1:11" ht="15" customHeight="1">
      <c r="A4" s="194" t="s">
        <v>1016</v>
      </c>
      <c r="B4"/>
      <c r="C4"/>
      <c r="D4"/>
      <c r="E4"/>
      <c r="F4"/>
      <c r="G4"/>
      <c r="H4"/>
      <c r="I4"/>
      <c r="J4"/>
    </row>
    <row r="5" spans="1:11" ht="15" customHeight="1">
      <c r="A5" s="194"/>
      <c r="B5"/>
      <c r="C5"/>
      <c r="D5"/>
      <c r="E5"/>
      <c r="F5"/>
      <c r="G5"/>
      <c r="H5"/>
      <c r="I5"/>
      <c r="J5"/>
    </row>
    <row r="6" spans="1:11" ht="16.5" customHeight="1">
      <c r="A6" s="193" t="s">
        <v>1017</v>
      </c>
      <c r="B6"/>
      <c r="C6"/>
      <c r="D6"/>
      <c r="E6"/>
      <c r="F6"/>
      <c r="G6"/>
      <c r="H6"/>
      <c r="I6"/>
      <c r="J6"/>
    </row>
    <row r="7" spans="1:11" ht="30" customHeight="1">
      <c r="A7" s="1490" t="s">
        <v>1018</v>
      </c>
      <c r="B7" s="1483"/>
      <c r="C7" s="1483"/>
      <c r="D7" s="1483"/>
      <c r="E7" s="1483"/>
      <c r="F7" s="1483"/>
      <c r="G7" s="1483"/>
      <c r="H7" s="1483"/>
      <c r="I7" s="1483"/>
      <c r="J7" s="1483"/>
    </row>
    <row r="8" spans="1:11" ht="13.5" customHeight="1">
      <c r="A8" s="194"/>
      <c r="B8"/>
      <c r="C8"/>
      <c r="D8"/>
      <c r="E8"/>
      <c r="F8"/>
      <c r="G8"/>
      <c r="H8"/>
      <c r="I8"/>
      <c r="J8"/>
    </row>
    <row r="9" spans="1:11" ht="15.75" customHeight="1">
      <c r="A9" s="193" t="s">
        <v>1019</v>
      </c>
      <c r="B9"/>
      <c r="C9"/>
      <c r="D9"/>
      <c r="E9"/>
      <c r="F9"/>
      <c r="G9"/>
      <c r="H9"/>
      <c r="I9"/>
      <c r="J9"/>
      <c r="K9" s="43"/>
    </row>
    <row r="10" spans="1:11" ht="14.25" customHeight="1">
      <c r="A10" s="194" t="s">
        <v>1020</v>
      </c>
      <c r="B10"/>
      <c r="C10"/>
      <c r="D10"/>
      <c r="E10"/>
      <c r="F10"/>
      <c r="G10"/>
      <c r="H10"/>
      <c r="I10"/>
      <c r="J10"/>
    </row>
    <row r="11" spans="1:11" ht="13.5" customHeight="1">
      <c r="A11" s="194"/>
      <c r="B11"/>
      <c r="C11"/>
      <c r="D11"/>
      <c r="E11"/>
      <c r="F11"/>
      <c r="G11"/>
      <c r="H11"/>
      <c r="I11"/>
      <c r="J11"/>
    </row>
    <row r="12" spans="1:11" ht="20" customHeight="1">
      <c r="A12" s="193" t="s">
        <v>1021</v>
      </c>
      <c r="B12"/>
      <c r="C12"/>
      <c r="D12"/>
      <c r="E12"/>
      <c r="F12"/>
      <c r="G12"/>
      <c r="H12"/>
      <c r="I12"/>
      <c r="J12"/>
    </row>
    <row r="13" spans="1:11" ht="19.5" customHeight="1">
      <c r="A13" s="1490" t="s">
        <v>2049</v>
      </c>
      <c r="B13" s="1483"/>
      <c r="C13" s="1483"/>
      <c r="D13" s="1483"/>
      <c r="E13" s="1483"/>
      <c r="F13" s="1483"/>
      <c r="G13" s="1483"/>
      <c r="H13" s="1483"/>
      <c r="I13" s="1483"/>
      <c r="J13" s="1483"/>
    </row>
    <row r="14" spans="1:11" ht="12.75" customHeight="1">
      <c r="A14" s="1490" t="s">
        <v>2050</v>
      </c>
      <c r="B14" s="1483"/>
      <c r="C14" s="1483"/>
      <c r="D14" s="1483"/>
      <c r="E14" s="1483"/>
      <c r="F14" s="1483"/>
      <c r="G14" s="1483"/>
      <c r="H14" s="1483"/>
      <c r="I14" s="1483"/>
      <c r="J14" s="1483"/>
    </row>
    <row r="15" spans="1:11" ht="30.75" customHeight="1">
      <c r="A15" s="1490" t="s">
        <v>2048</v>
      </c>
      <c r="B15" s="1483"/>
      <c r="C15" s="1483"/>
      <c r="D15" s="1483"/>
      <c r="E15" s="1483"/>
      <c r="F15" s="1483"/>
      <c r="G15" s="1483"/>
      <c r="H15" s="1483"/>
      <c r="I15" s="1483"/>
      <c r="J15" s="1483"/>
    </row>
    <row r="16" spans="1:11" ht="20" customHeight="1">
      <c r="A16" s="194"/>
      <c r="B16"/>
      <c r="C16"/>
      <c r="D16"/>
      <c r="E16"/>
      <c r="F16"/>
      <c r="G16"/>
      <c r="H16"/>
      <c r="I16"/>
      <c r="J16"/>
    </row>
    <row r="17" spans="1:10" ht="17.25" customHeight="1">
      <c r="A17" s="193" t="s">
        <v>1022</v>
      </c>
      <c r="B17"/>
      <c r="C17"/>
      <c r="D17"/>
      <c r="E17"/>
      <c r="F17"/>
      <c r="G17"/>
      <c r="H17"/>
      <c r="I17"/>
      <c r="J17"/>
    </row>
    <row r="18" spans="1:10" ht="28.5" customHeight="1">
      <c r="A18" s="1490" t="s">
        <v>1023</v>
      </c>
      <c r="B18" s="1483"/>
      <c r="C18" s="1483"/>
      <c r="D18" s="1483"/>
      <c r="E18" s="1483"/>
      <c r="F18" s="1483"/>
      <c r="G18" s="1483"/>
      <c r="H18" s="1483"/>
      <c r="I18" s="1483"/>
      <c r="J18" s="1483"/>
    </row>
    <row r="19" spans="1:10" ht="15.75" customHeight="1">
      <c r="A19" s="194"/>
      <c r="B19"/>
      <c r="C19"/>
      <c r="D19"/>
      <c r="E19"/>
      <c r="F19"/>
      <c r="G19"/>
      <c r="H19"/>
      <c r="I19"/>
      <c r="J19"/>
    </row>
    <row r="20" spans="1:10" ht="15.75" customHeight="1">
      <c r="A20" s="193" t="s">
        <v>1024</v>
      </c>
      <c r="B20"/>
      <c r="C20"/>
      <c r="D20"/>
      <c r="E20"/>
      <c r="F20"/>
      <c r="G20"/>
      <c r="H20"/>
      <c r="I20"/>
      <c r="J20"/>
    </row>
    <row r="21" spans="1:10" ht="36" customHeight="1">
      <c r="A21" s="1490" t="s">
        <v>1025</v>
      </c>
      <c r="B21" s="1483"/>
      <c r="C21" s="1483"/>
      <c r="D21" s="1483"/>
      <c r="E21" s="1483"/>
      <c r="F21" s="1483"/>
      <c r="G21" s="1483"/>
      <c r="H21" s="1483"/>
      <c r="I21" s="1483"/>
      <c r="J21" s="1483"/>
    </row>
    <row r="22" spans="1:10" ht="12.75" customHeight="1">
      <c r="A22" s="194"/>
      <c r="B22"/>
      <c r="C22"/>
      <c r="D22"/>
      <c r="E22"/>
      <c r="F22"/>
      <c r="G22"/>
      <c r="H22"/>
      <c r="I22"/>
      <c r="J22"/>
    </row>
    <row r="23" spans="1:10">
      <c r="A23" s="193" t="s">
        <v>1026</v>
      </c>
      <c r="B23"/>
      <c r="C23"/>
      <c r="D23"/>
      <c r="E23"/>
      <c r="F23"/>
      <c r="G23"/>
      <c r="H23"/>
      <c r="I23"/>
      <c r="J23"/>
    </row>
    <row r="24" spans="1:10" ht="30.75" customHeight="1">
      <c r="A24" s="1490" t="s">
        <v>1027</v>
      </c>
      <c r="B24" s="1483"/>
      <c r="C24" s="1483"/>
      <c r="D24" s="1483"/>
      <c r="E24" s="1483"/>
      <c r="F24" s="1483"/>
      <c r="G24" s="1483"/>
      <c r="H24" s="1483"/>
      <c r="I24" s="1483"/>
      <c r="J24" s="1483"/>
    </row>
    <row r="25" spans="1:10" ht="12.75" customHeight="1">
      <c r="A25" s="194"/>
      <c r="B25"/>
      <c r="C25"/>
      <c r="D25"/>
      <c r="E25"/>
      <c r="F25"/>
      <c r="G25"/>
      <c r="H25"/>
      <c r="I25"/>
      <c r="J25"/>
    </row>
    <row r="26" spans="1:10">
      <c r="A26" s="193" t="s">
        <v>1028</v>
      </c>
      <c r="B26"/>
      <c r="C26"/>
      <c r="D26"/>
      <c r="E26"/>
      <c r="F26"/>
      <c r="G26"/>
      <c r="H26"/>
      <c r="I26"/>
      <c r="J26"/>
    </row>
    <row r="27" spans="1:10" ht="33" customHeight="1">
      <c r="A27" s="1490" t="s">
        <v>492</v>
      </c>
      <c r="B27" s="1483"/>
      <c r="C27" s="1483"/>
      <c r="D27" s="1483"/>
      <c r="E27" s="1483"/>
      <c r="F27" s="1483"/>
      <c r="G27" s="1483"/>
      <c r="H27" s="1483"/>
      <c r="I27" s="1483"/>
      <c r="J27" s="1483"/>
    </row>
    <row r="28" spans="1:10" ht="12" customHeight="1">
      <c r="A28" s="1490" t="s">
        <v>493</v>
      </c>
      <c r="B28" s="1483"/>
      <c r="C28" s="1483"/>
      <c r="D28" s="1483"/>
      <c r="E28" s="1483"/>
      <c r="F28" s="1483"/>
      <c r="G28" s="1483"/>
      <c r="H28" s="1483"/>
      <c r="I28" s="1483"/>
      <c r="J28" s="1483"/>
    </row>
    <row r="29" spans="1:10" ht="12.75" customHeight="1">
      <c r="A29" s="194"/>
      <c r="B29"/>
      <c r="C29"/>
      <c r="D29"/>
      <c r="E29"/>
      <c r="F29"/>
      <c r="G29"/>
      <c r="H29"/>
      <c r="I29"/>
      <c r="J29"/>
    </row>
    <row r="30" spans="1:10">
      <c r="A30" s="193" t="s">
        <v>1029</v>
      </c>
      <c r="B30"/>
      <c r="C30"/>
      <c r="D30"/>
      <c r="E30"/>
      <c r="F30"/>
      <c r="G30"/>
      <c r="H30"/>
      <c r="I30"/>
      <c r="J30"/>
    </row>
    <row r="31" spans="1:10" ht="16.5" customHeight="1">
      <c r="A31" s="1490" t="s">
        <v>2051</v>
      </c>
      <c r="B31" s="1483"/>
      <c r="C31" s="1483"/>
      <c r="D31" s="1483"/>
      <c r="E31" s="1483"/>
      <c r="F31" s="1483"/>
      <c r="G31" s="1483"/>
      <c r="H31" s="1483"/>
      <c r="I31" s="1483"/>
      <c r="J31" s="1483"/>
    </row>
    <row r="32" spans="1:10" ht="15.75" customHeight="1">
      <c r="A32" s="1490" t="s">
        <v>1600</v>
      </c>
      <c r="B32" s="1483"/>
      <c r="C32" s="1483"/>
      <c r="D32" s="1483"/>
      <c r="E32" s="1483"/>
      <c r="F32" s="1483"/>
      <c r="G32" s="1483"/>
      <c r="H32" s="1483"/>
      <c r="I32" s="1483"/>
      <c r="J32" s="1483"/>
    </row>
    <row r="33" spans="1:10" ht="12.75" customHeight="1">
      <c r="A33" s="194"/>
      <c r="B33"/>
      <c r="C33"/>
      <c r="D33"/>
      <c r="E33"/>
      <c r="F33"/>
      <c r="G33"/>
      <c r="H33"/>
      <c r="I33"/>
      <c r="J33"/>
    </row>
    <row r="34" spans="1:10" ht="42">
      <c r="A34" s="195" t="s">
        <v>1030</v>
      </c>
      <c r="B34" s="196" t="s">
        <v>1031</v>
      </c>
      <c r="C34" s="196" t="s">
        <v>1032</v>
      </c>
      <c r="D34" s="196" t="s">
        <v>1033</v>
      </c>
      <c r="E34" s="196" t="s">
        <v>1034</v>
      </c>
      <c r="F34" s="196" t="s">
        <v>1035</v>
      </c>
      <c r="G34" s="196" t="s">
        <v>1036</v>
      </c>
      <c r="H34" s="196" t="s">
        <v>1037</v>
      </c>
      <c r="I34" s="196" t="s">
        <v>1038</v>
      </c>
      <c r="J34" s="196" t="s">
        <v>1039</v>
      </c>
    </row>
    <row r="35" spans="1:10" ht="30">
      <c r="A35" s="197" t="s">
        <v>1604</v>
      </c>
      <c r="B35" s="198">
        <v>182</v>
      </c>
      <c r="C35" s="198">
        <v>96</v>
      </c>
      <c r="D35" s="198">
        <v>73</v>
      </c>
      <c r="E35" s="198">
        <v>52</v>
      </c>
      <c r="F35" s="198">
        <v>42</v>
      </c>
      <c r="G35" s="198">
        <v>34</v>
      </c>
      <c r="H35" s="198">
        <v>24</v>
      </c>
      <c r="I35" s="198">
        <v>20</v>
      </c>
      <c r="J35" s="198">
        <v>15</v>
      </c>
    </row>
    <row r="36" spans="1:10" ht="10.5" customHeight="1">
      <c r="A36" s="194"/>
      <c r="B36"/>
      <c r="C36"/>
      <c r="D36"/>
      <c r="E36"/>
      <c r="F36"/>
      <c r="G36"/>
      <c r="H36"/>
      <c r="I36"/>
      <c r="J36"/>
    </row>
    <row r="37" spans="1:10">
      <c r="A37" s="194" t="s">
        <v>1040</v>
      </c>
      <c r="B37"/>
      <c r="C37"/>
      <c r="D37"/>
      <c r="E37"/>
      <c r="F37"/>
      <c r="G37"/>
      <c r="H37"/>
      <c r="I37"/>
      <c r="J37"/>
    </row>
    <row r="38" spans="1:10" ht="9.75" customHeight="1">
      <c r="C38" s="3"/>
      <c r="E38" s="3"/>
      <c r="G38" s="3"/>
    </row>
    <row r="39" spans="1:10" ht="15" customHeight="1">
      <c r="A39" s="463" t="s">
        <v>1601</v>
      </c>
      <c r="C39" s="3"/>
      <c r="E39" s="3"/>
      <c r="G39" s="3"/>
    </row>
    <row r="40" spans="1:10" ht="15" customHeight="1">
      <c r="A40" s="463"/>
      <c r="C40" s="3"/>
      <c r="E40" s="3"/>
      <c r="G40" s="3"/>
    </row>
    <row r="41" spans="1:10" ht="15" customHeight="1">
      <c r="A41" s="464" t="s">
        <v>1602</v>
      </c>
      <c r="C41" s="3"/>
      <c r="E41" s="3"/>
      <c r="G41" s="3"/>
    </row>
    <row r="42" spans="1:10" ht="16.5" customHeight="1">
      <c r="A42" s="463" t="s">
        <v>1603</v>
      </c>
      <c r="C42" s="3"/>
      <c r="E42" s="3"/>
      <c r="G42" s="3"/>
    </row>
    <row r="43" spans="1:10" ht="16.5" customHeight="1">
      <c r="A43" s="463"/>
      <c r="C43" s="3"/>
      <c r="E43" s="3"/>
      <c r="G43" s="3"/>
    </row>
    <row r="44" spans="1:10" ht="17.25" customHeight="1">
      <c r="B44" s="200" t="s">
        <v>1041</v>
      </c>
      <c r="C44" s="3"/>
      <c r="E44" s="3"/>
      <c r="G44" s="3"/>
    </row>
    <row r="45" spans="1:10">
      <c r="A45" s="201">
        <v>1</v>
      </c>
      <c r="B45" s="202" t="s">
        <v>1042</v>
      </c>
      <c r="C45" s="37"/>
      <c r="D45" s="37"/>
      <c r="E45" s="37"/>
      <c r="G45" s="3"/>
    </row>
    <row r="46" spans="1:10">
      <c r="A46" s="201">
        <v>2</v>
      </c>
      <c r="B46" s="202" t="s">
        <v>1043</v>
      </c>
      <c r="C46" s="37"/>
      <c r="D46" s="37"/>
      <c r="E46" s="37"/>
      <c r="G46" s="3"/>
    </row>
    <row r="47" spans="1:10">
      <c r="A47" s="201">
        <v>3</v>
      </c>
      <c r="B47" s="202" t="s">
        <v>1044</v>
      </c>
      <c r="C47" s="37"/>
      <c r="D47" s="37"/>
      <c r="E47" s="37"/>
      <c r="G47" s="3"/>
    </row>
    <row r="48" spans="1:10">
      <c r="A48" s="201">
        <v>4</v>
      </c>
      <c r="B48" s="202" t="s">
        <v>1045</v>
      </c>
      <c r="C48" s="37"/>
      <c r="D48" s="37"/>
      <c r="E48" s="37"/>
      <c r="G48" s="3"/>
    </row>
    <row r="49" spans="1:7">
      <c r="A49" s="201">
        <v>5</v>
      </c>
      <c r="B49" s="202" t="s">
        <v>1046</v>
      </c>
      <c r="C49" s="37"/>
      <c r="D49" s="37"/>
      <c r="E49" s="37"/>
      <c r="G49" s="3"/>
    </row>
    <row r="50" spans="1:7">
      <c r="A50" s="203" t="s">
        <v>1047</v>
      </c>
      <c r="B50" s="204" t="s">
        <v>1048</v>
      </c>
      <c r="C50" s="37"/>
      <c r="D50" s="37"/>
      <c r="E50" s="37"/>
      <c r="G50" s="3"/>
    </row>
    <row r="51" spans="1:7">
      <c r="A51" s="205" t="s">
        <v>1049</v>
      </c>
      <c r="B51" s="202" t="s">
        <v>1050</v>
      </c>
      <c r="C51" s="37"/>
      <c r="D51" s="37"/>
      <c r="E51" s="37"/>
      <c r="G51" s="3"/>
    </row>
    <row r="52" spans="1:7">
      <c r="A52" s="206" t="s">
        <v>1051</v>
      </c>
      <c r="B52" s="202" t="s">
        <v>1052</v>
      </c>
      <c r="C52" s="37"/>
      <c r="D52" s="37"/>
      <c r="E52" s="37"/>
      <c r="G52" s="3"/>
    </row>
    <row r="53" spans="1:7">
      <c r="A53" s="201">
        <v>7</v>
      </c>
      <c r="B53" s="202" t="s">
        <v>1053</v>
      </c>
      <c r="C53" s="37"/>
      <c r="D53" s="37"/>
      <c r="E53" s="37"/>
      <c r="G53" s="3"/>
    </row>
    <row r="54" spans="1:7">
      <c r="A54" s="201">
        <v>8</v>
      </c>
      <c r="B54" s="202" t="s">
        <v>1054</v>
      </c>
      <c r="C54" s="37"/>
      <c r="D54" s="37"/>
      <c r="E54" s="37"/>
      <c r="G54" s="3"/>
    </row>
    <row r="55" spans="1:7">
      <c r="A55" s="206" t="s">
        <v>1055</v>
      </c>
      <c r="B55" s="204" t="s">
        <v>1056</v>
      </c>
      <c r="C55" s="37"/>
      <c r="D55" s="37"/>
      <c r="E55" s="37"/>
      <c r="G55" s="3"/>
    </row>
    <row r="56" spans="1:7">
      <c r="A56" s="201">
        <v>9</v>
      </c>
      <c r="B56" s="202" t="s">
        <v>1057</v>
      </c>
      <c r="C56" s="37"/>
      <c r="D56" s="37"/>
      <c r="E56" s="37"/>
      <c r="G56" s="3"/>
    </row>
    <row r="57" spans="1:7">
      <c r="A57" s="203" t="s">
        <v>1058</v>
      </c>
      <c r="B57" s="204" t="s">
        <v>1059</v>
      </c>
      <c r="C57" s="37"/>
      <c r="D57" s="37"/>
      <c r="E57" s="37"/>
      <c r="G57" s="3"/>
    </row>
    <row r="58" spans="1:7">
      <c r="A58" s="206" t="s">
        <v>1060</v>
      </c>
      <c r="B58" s="204" t="s">
        <v>330</v>
      </c>
      <c r="C58" s="37"/>
      <c r="D58" s="37"/>
      <c r="E58" s="37"/>
      <c r="G58" s="3"/>
    </row>
    <row r="59" spans="1:7">
      <c r="A59" s="207">
        <v>10</v>
      </c>
      <c r="B59" s="208" t="s">
        <v>331</v>
      </c>
      <c r="C59" s="37"/>
      <c r="D59" s="37"/>
      <c r="E59" s="37"/>
      <c r="G59" s="3"/>
    </row>
    <row r="60" spans="1:7">
      <c r="A60" s="207"/>
      <c r="B60" s="208"/>
      <c r="C60" s="37"/>
      <c r="D60" s="37"/>
      <c r="E60" s="37"/>
      <c r="G60" s="3"/>
    </row>
    <row r="61" spans="1:7">
      <c r="A61" s="207"/>
      <c r="B61" s="208"/>
      <c r="C61" s="37"/>
      <c r="D61" s="37"/>
      <c r="E61" s="37"/>
      <c r="G61" s="3"/>
    </row>
    <row r="62" spans="1:7">
      <c r="A62" s="209" t="s">
        <v>1012</v>
      </c>
      <c r="B62" s="208"/>
      <c r="C62" s="37"/>
      <c r="D62" s="37"/>
      <c r="E62" s="37"/>
      <c r="G62" s="3"/>
    </row>
    <row r="63" spans="1:7">
      <c r="A63" s="207"/>
      <c r="B63" s="208"/>
      <c r="C63" s="37"/>
      <c r="D63" s="37"/>
      <c r="E63" s="37"/>
      <c r="G63" s="3"/>
    </row>
    <row r="64" spans="1:7">
      <c r="A64" s="207"/>
      <c r="B64" s="208"/>
      <c r="C64" s="37"/>
      <c r="D64" s="37"/>
      <c r="E64" s="37"/>
      <c r="G64" s="3"/>
    </row>
    <row r="65" spans="1:7">
      <c r="A65" s="210" t="s">
        <v>256</v>
      </c>
      <c r="B65" s="208"/>
      <c r="C65" s="37"/>
      <c r="D65" s="37"/>
      <c r="E65" s="37"/>
      <c r="G65" s="3"/>
    </row>
    <row r="66" spans="1:7">
      <c r="C66" s="3"/>
      <c r="E66" s="3"/>
      <c r="G66" s="3"/>
    </row>
  </sheetData>
  <mergeCells count="12">
    <mergeCell ref="A18:J18"/>
    <mergeCell ref="A21:J21"/>
    <mergeCell ref="A15:J15"/>
    <mergeCell ref="A28:J28"/>
    <mergeCell ref="A32:J32"/>
    <mergeCell ref="A14:J14"/>
    <mergeCell ref="A1:H1"/>
    <mergeCell ref="A24:J24"/>
    <mergeCell ref="A27:J27"/>
    <mergeCell ref="A31:J31"/>
    <mergeCell ref="A7:J7"/>
    <mergeCell ref="A13:J13"/>
  </mergeCells>
  <phoneticPr fontId="0" type="noConversion"/>
  <pageMargins left="0.53" right="0.42" top="0.62992125984251968" bottom="0.61" header="0.35433070866141736" footer="0.36"/>
  <pageSetup paperSize="9" scale="72" orientation="portrait" horizontalDpi="1200" verticalDpi="1200"/>
  <headerFooter alignWithMargins="0">
    <oddHeader>&amp;L&amp;"Arial,Bold"Individuelle Daten pro Versicherer</oddHead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38A1E-6627-3D4B-9794-0A973FE512CB}">
  <sheetPr>
    <pageSetUpPr fitToPage="1"/>
  </sheetPr>
  <dimension ref="A1:I120"/>
  <sheetViews>
    <sheetView topLeftCell="A95" zoomScale="75" workbookViewId="0"/>
  </sheetViews>
  <sheetFormatPr baseColWidth="10" defaultColWidth="11.3984375" defaultRowHeight="13"/>
  <cols>
    <col min="1" max="1" width="5.796875" style="3" customWidth="1"/>
    <col min="2" max="2" width="48.796875" style="100" customWidth="1"/>
    <col min="3" max="3" width="12.796875" style="100" customWidth="1"/>
    <col min="4" max="4" width="10.796875" style="100" customWidth="1"/>
    <col min="5" max="5" width="10.796875" style="3" customWidth="1"/>
    <col min="6" max="7" width="10.796875" style="42" customWidth="1"/>
    <col min="8" max="9" width="10.796875" style="3" customWidth="1"/>
    <col min="10" max="10" width="6.19921875" style="3" customWidth="1"/>
    <col min="11" max="16384" width="11.3984375" style="3"/>
  </cols>
  <sheetData>
    <row r="1" spans="1:9" s="1" customFormat="1" ht="14" customHeight="1">
      <c r="B1" s="90"/>
      <c r="C1" s="90"/>
      <c r="D1" s="90"/>
      <c r="F1" s="101"/>
      <c r="G1" s="101"/>
    </row>
    <row r="2" spans="1:9" s="1" customFormat="1" ht="19.5" customHeight="1">
      <c r="A2" s="76" t="s">
        <v>2018</v>
      </c>
      <c r="C2" s="90"/>
      <c r="D2" s="90"/>
      <c r="F2" s="101"/>
      <c r="G2" s="101"/>
      <c r="H2" s="58"/>
      <c r="I2" s="270">
        <v>2003</v>
      </c>
    </row>
    <row r="3" spans="1:9" s="1" customFormat="1" ht="20.25" customHeight="1">
      <c r="B3" s="90"/>
      <c r="C3" s="90"/>
      <c r="D3" s="90"/>
      <c r="F3" s="101"/>
      <c r="G3" s="101"/>
    </row>
    <row r="4" spans="1:9" ht="18" customHeight="1">
      <c r="A4" s="139" t="s">
        <v>1008</v>
      </c>
      <c r="B4" s="139" t="s">
        <v>2039</v>
      </c>
      <c r="C4" s="140" t="s">
        <v>2019</v>
      </c>
      <c r="D4" s="141" t="s">
        <v>336</v>
      </c>
      <c r="E4" s="142" t="s">
        <v>338</v>
      </c>
      <c r="F4" s="143" t="s">
        <v>339</v>
      </c>
      <c r="G4" s="142" t="s">
        <v>2020</v>
      </c>
      <c r="H4" s="143" t="s">
        <v>341</v>
      </c>
      <c r="I4" s="140" t="s">
        <v>341</v>
      </c>
    </row>
    <row r="5" spans="1:9" ht="15" customHeight="1">
      <c r="A5" s="145" t="s">
        <v>959</v>
      </c>
      <c r="B5" s="145"/>
      <c r="C5" s="146" t="s">
        <v>2021</v>
      </c>
      <c r="D5" s="147"/>
      <c r="E5" s="146"/>
      <c r="F5" s="149" t="s">
        <v>348</v>
      </c>
      <c r="G5" s="148" t="s">
        <v>2022</v>
      </c>
      <c r="H5" s="149" t="s">
        <v>350</v>
      </c>
      <c r="I5" s="146" t="s">
        <v>342</v>
      </c>
    </row>
    <row r="6" spans="1:9" ht="15" customHeight="1">
      <c r="A6" s="145"/>
      <c r="B6" s="145"/>
      <c r="C6" s="146" t="s">
        <v>2023</v>
      </c>
      <c r="D6" s="147"/>
      <c r="E6" s="146"/>
      <c r="F6" s="149" t="s">
        <v>354</v>
      </c>
      <c r="G6" s="148"/>
      <c r="H6" s="149" t="s">
        <v>356</v>
      </c>
      <c r="I6" s="146"/>
    </row>
    <row r="7" spans="1:9" ht="15" customHeight="1">
      <c r="A7" s="145"/>
      <c r="B7" s="145"/>
      <c r="C7" s="146" t="s">
        <v>2024</v>
      </c>
      <c r="D7" s="147" t="s">
        <v>2025</v>
      </c>
      <c r="E7" s="146" t="s">
        <v>2025</v>
      </c>
      <c r="F7" s="147" t="s">
        <v>362</v>
      </c>
      <c r="G7" s="146" t="s">
        <v>2025</v>
      </c>
      <c r="H7" s="147" t="s">
        <v>2025</v>
      </c>
      <c r="I7" s="146" t="s">
        <v>2025</v>
      </c>
    </row>
    <row r="8" spans="1:9" ht="15" customHeight="1">
      <c r="A8" s="145"/>
      <c r="B8" s="145"/>
      <c r="C8" s="146" t="s">
        <v>2026</v>
      </c>
      <c r="D8" s="147" t="s">
        <v>2027</v>
      </c>
      <c r="E8" s="146" t="s">
        <v>2027</v>
      </c>
      <c r="F8" s="147" t="s">
        <v>2025</v>
      </c>
      <c r="G8" s="146" t="s">
        <v>2027</v>
      </c>
      <c r="H8" s="147" t="s">
        <v>2027</v>
      </c>
      <c r="I8" s="146" t="s">
        <v>2027</v>
      </c>
    </row>
    <row r="9" spans="1:9" ht="15" customHeight="1">
      <c r="A9" s="145"/>
      <c r="B9" s="145"/>
      <c r="C9" s="146"/>
      <c r="D9" s="147"/>
      <c r="E9" s="146"/>
      <c r="F9" s="147" t="s">
        <v>2027</v>
      </c>
      <c r="G9" s="148"/>
      <c r="H9" s="147"/>
      <c r="I9" s="146"/>
    </row>
    <row r="10" spans="1:9" ht="18" customHeight="1">
      <c r="A10" s="152"/>
      <c r="B10" s="153"/>
      <c r="C10" s="154">
        <v>1</v>
      </c>
      <c r="D10" s="155">
        <v>2</v>
      </c>
      <c r="E10" s="154">
        <v>3</v>
      </c>
      <c r="F10" s="157">
        <v>4</v>
      </c>
      <c r="G10" s="156">
        <v>5</v>
      </c>
      <c r="H10" s="155">
        <v>6</v>
      </c>
      <c r="I10" s="154">
        <v>7</v>
      </c>
    </row>
    <row r="11" spans="1:9" ht="14" thickBot="1">
      <c r="A11" s="271">
        <v>8</v>
      </c>
      <c r="B11" s="272" t="s">
        <v>977</v>
      </c>
      <c r="C11" s="273" t="s">
        <v>2028</v>
      </c>
      <c r="D11" s="274">
        <v>2272.866</v>
      </c>
      <c r="E11" s="275">
        <v>1371.2170000000001</v>
      </c>
      <c r="F11" s="274">
        <v>126.26573999999999</v>
      </c>
      <c r="G11" s="275">
        <v>809.48005999999998</v>
      </c>
      <c r="H11" s="274">
        <v>2000</v>
      </c>
      <c r="I11" s="276">
        <v>6926.0224200000002</v>
      </c>
    </row>
    <row r="12" spans="1:9" ht="14" thickBot="1">
      <c r="A12" s="225">
        <v>32</v>
      </c>
      <c r="B12" s="226" t="s">
        <v>1931</v>
      </c>
      <c r="C12" s="277" t="s">
        <v>2028</v>
      </c>
      <c r="D12" s="228">
        <v>2030.155</v>
      </c>
      <c r="E12" s="229">
        <v>2263.806</v>
      </c>
      <c r="F12" s="228">
        <v>234.09406000000001</v>
      </c>
      <c r="G12" s="229">
        <v>-450.04284999999999</v>
      </c>
      <c r="H12" s="228">
        <v>230</v>
      </c>
      <c r="I12" s="278">
        <v>-1134.8846100000001</v>
      </c>
    </row>
    <row r="13" spans="1:9" ht="14" thickBot="1">
      <c r="A13" s="225">
        <v>57</v>
      </c>
      <c r="B13" s="226" t="s">
        <v>1933</v>
      </c>
      <c r="C13" s="277" t="s">
        <v>2028</v>
      </c>
      <c r="D13" s="228">
        <v>28605.748</v>
      </c>
      <c r="E13" s="229">
        <v>27143.642</v>
      </c>
      <c r="F13" s="228">
        <v>3332.7574199999999</v>
      </c>
      <c r="G13" s="229">
        <v>1450.4993400000001</v>
      </c>
      <c r="H13" s="228">
        <v>3980</v>
      </c>
      <c r="I13" s="278">
        <v>25424.93521</v>
      </c>
    </row>
    <row r="14" spans="1:9" ht="14" thickBot="1">
      <c r="A14" s="225">
        <v>62</v>
      </c>
      <c r="B14" s="226" t="s">
        <v>1934</v>
      </c>
      <c r="C14" s="277" t="s">
        <v>2028</v>
      </c>
      <c r="D14" s="228">
        <v>13.198</v>
      </c>
      <c r="E14" s="229">
        <v>10.19</v>
      </c>
      <c r="F14" s="228">
        <v>0.40379999999999999</v>
      </c>
      <c r="G14" s="229">
        <v>2.6038000000000001</v>
      </c>
      <c r="H14" s="228">
        <v>0</v>
      </c>
      <c r="I14" s="278">
        <v>63.323149999999998</v>
      </c>
    </row>
    <row r="15" spans="1:9" ht="14" thickBot="1">
      <c r="A15" s="225">
        <v>97</v>
      </c>
      <c r="B15" s="226" t="s">
        <v>1935</v>
      </c>
      <c r="C15" s="277" t="s">
        <v>2028</v>
      </c>
      <c r="D15" s="228">
        <v>39.073999999999998</v>
      </c>
      <c r="E15" s="229">
        <v>14.385999999999999</v>
      </c>
      <c r="F15" s="228">
        <v>2</v>
      </c>
      <c r="G15" s="229">
        <v>0.48335</v>
      </c>
      <c r="H15" s="228">
        <v>15</v>
      </c>
      <c r="I15" s="278">
        <v>28.146999999999998</v>
      </c>
    </row>
    <row r="16" spans="1:9" ht="14" thickBot="1">
      <c r="A16" s="225">
        <v>109</v>
      </c>
      <c r="B16" s="226" t="s">
        <v>1936</v>
      </c>
      <c r="C16" s="277" t="s">
        <v>2028</v>
      </c>
      <c r="D16" s="228">
        <v>4.51</v>
      </c>
      <c r="E16" s="229">
        <v>3.5249999999999999</v>
      </c>
      <c r="F16" s="228">
        <v>0</v>
      </c>
      <c r="G16" s="229">
        <v>9.8500000000000004E-2</v>
      </c>
      <c r="H16" s="228">
        <v>0</v>
      </c>
      <c r="I16" s="278">
        <v>0</v>
      </c>
    </row>
    <row r="17" spans="1:9" ht="14" thickBot="1">
      <c r="A17" s="225">
        <v>134</v>
      </c>
      <c r="B17" s="226" t="s">
        <v>1937</v>
      </c>
      <c r="C17" s="277" t="s">
        <v>2028</v>
      </c>
      <c r="D17" s="228">
        <v>98.090999999999994</v>
      </c>
      <c r="E17" s="229">
        <v>38.731000000000002</v>
      </c>
      <c r="F17" s="228">
        <v>13.257899999999999</v>
      </c>
      <c r="G17" s="229">
        <v>44.151400000000002</v>
      </c>
      <c r="H17" s="228">
        <v>100</v>
      </c>
      <c r="I17" s="278">
        <v>380.20605</v>
      </c>
    </row>
    <row r="18" spans="1:9" ht="14" thickBot="1">
      <c r="A18" s="225">
        <v>160</v>
      </c>
      <c r="B18" s="226" t="s">
        <v>1938</v>
      </c>
      <c r="C18" s="277" t="s">
        <v>2028</v>
      </c>
      <c r="D18" s="228">
        <v>1296.4369999999999</v>
      </c>
      <c r="E18" s="229">
        <v>1148.7909999999999</v>
      </c>
      <c r="F18" s="228">
        <v>206.5658</v>
      </c>
      <c r="G18" s="229">
        <v>144.38060999999999</v>
      </c>
      <c r="H18" s="228">
        <v>140</v>
      </c>
      <c r="I18" s="278">
        <v>656.35494000000006</v>
      </c>
    </row>
    <row r="19" spans="1:9" ht="14" thickBot="1">
      <c r="A19" s="225">
        <v>178</v>
      </c>
      <c r="B19" s="226" t="s">
        <v>1939</v>
      </c>
      <c r="C19" s="277" t="s">
        <v>2028</v>
      </c>
      <c r="D19" s="228">
        <v>43.96</v>
      </c>
      <c r="E19" s="229">
        <v>24.978999999999999</v>
      </c>
      <c r="F19" s="228">
        <v>3.1520000000000001</v>
      </c>
      <c r="G19" s="229">
        <v>12.2746</v>
      </c>
      <c r="H19" s="228">
        <v>0</v>
      </c>
      <c r="I19" s="278">
        <v>111.24575</v>
      </c>
    </row>
    <row r="20" spans="1:9" ht="14" thickBot="1">
      <c r="A20" s="225">
        <v>182</v>
      </c>
      <c r="B20" s="226" t="s">
        <v>1940</v>
      </c>
      <c r="C20" s="277" t="s">
        <v>2028</v>
      </c>
      <c r="D20" s="228">
        <v>5.3390000000000004</v>
      </c>
      <c r="E20" s="229">
        <v>2.74</v>
      </c>
      <c r="F20" s="228">
        <v>0.44267000000000001</v>
      </c>
      <c r="G20" s="229">
        <v>8.2072299999999991</v>
      </c>
      <c r="H20" s="228">
        <v>0</v>
      </c>
      <c r="I20" s="278">
        <v>349.88778000000002</v>
      </c>
    </row>
    <row r="21" spans="1:9" ht="14" thickBot="1">
      <c r="A21" s="225">
        <v>194</v>
      </c>
      <c r="B21" s="226" t="s">
        <v>1941</v>
      </c>
      <c r="C21" s="277" t="s">
        <v>2028</v>
      </c>
      <c r="D21" s="228">
        <v>948.053</v>
      </c>
      <c r="E21" s="229">
        <v>623.18200000000002</v>
      </c>
      <c r="F21" s="228">
        <v>132.68644</v>
      </c>
      <c r="G21" s="229">
        <v>238.07588999999999</v>
      </c>
      <c r="H21" s="228">
        <v>350</v>
      </c>
      <c r="I21" s="278">
        <v>1031.0311999999999</v>
      </c>
    </row>
    <row r="22" spans="1:9" ht="14" thickBot="1">
      <c r="A22" s="225">
        <v>216</v>
      </c>
      <c r="B22" s="226" t="s">
        <v>1942</v>
      </c>
      <c r="C22" s="277" t="s">
        <v>2028</v>
      </c>
      <c r="D22" s="228">
        <v>100.83</v>
      </c>
      <c r="E22" s="229">
        <v>74.48</v>
      </c>
      <c r="F22" s="228">
        <v>14.06526</v>
      </c>
      <c r="G22" s="229">
        <v>22.523900000000001</v>
      </c>
      <c r="H22" s="228">
        <v>28</v>
      </c>
      <c r="I22" s="278">
        <v>113.26488999999999</v>
      </c>
    </row>
    <row r="23" spans="1:9" ht="14" thickBot="1">
      <c r="A23" s="225">
        <v>240</v>
      </c>
      <c r="B23" s="226" t="s">
        <v>1943</v>
      </c>
      <c r="C23" s="277" t="s">
        <v>2028</v>
      </c>
      <c r="D23" s="228">
        <v>52.073999999999998</v>
      </c>
      <c r="E23" s="229">
        <v>71.218000000000004</v>
      </c>
      <c r="F23" s="228">
        <v>9.9489000000000001</v>
      </c>
      <c r="G23" s="229">
        <v>0</v>
      </c>
      <c r="H23" s="228">
        <v>15</v>
      </c>
      <c r="I23" s="278">
        <v>48.997369999999997</v>
      </c>
    </row>
    <row r="24" spans="1:9" ht="14" thickBot="1">
      <c r="A24" s="225">
        <v>246</v>
      </c>
      <c r="B24" s="226" t="s">
        <v>1944</v>
      </c>
      <c r="C24" s="277" t="s">
        <v>2028</v>
      </c>
      <c r="D24" s="228">
        <v>44.311</v>
      </c>
      <c r="E24" s="229">
        <v>9.2799999999999994</v>
      </c>
      <c r="F24" s="228">
        <v>14.673450000000001</v>
      </c>
      <c r="G24" s="229">
        <v>21.451049999999999</v>
      </c>
      <c r="H24" s="228">
        <v>23</v>
      </c>
      <c r="I24" s="278">
        <v>244.1258</v>
      </c>
    </row>
    <row r="25" spans="1:9" ht="14" thickBot="1">
      <c r="A25" s="225">
        <v>261</v>
      </c>
      <c r="B25" s="226" t="s">
        <v>988</v>
      </c>
      <c r="C25" s="277" t="s">
        <v>2028</v>
      </c>
      <c r="D25" s="228">
        <v>962.92399999999998</v>
      </c>
      <c r="E25" s="229">
        <v>842.58900000000006</v>
      </c>
      <c r="F25" s="228">
        <v>88.284000000000006</v>
      </c>
      <c r="G25" s="229">
        <v>62.485950000000003</v>
      </c>
      <c r="H25" s="228">
        <v>500</v>
      </c>
      <c r="I25" s="278">
        <v>924.85964999999999</v>
      </c>
    </row>
    <row r="26" spans="1:9" ht="14" thickBot="1">
      <c r="A26" s="225">
        <v>263</v>
      </c>
      <c r="B26" s="226" t="s">
        <v>1945</v>
      </c>
      <c r="C26" s="277" t="s">
        <v>2028</v>
      </c>
      <c r="D26" s="228">
        <v>12952.995999999999</v>
      </c>
      <c r="E26" s="229">
        <v>11322.575000000001</v>
      </c>
      <c r="F26" s="228">
        <v>2072.39345</v>
      </c>
      <c r="G26" s="229">
        <v>529.62532999999996</v>
      </c>
      <c r="H26" s="228">
        <v>1750</v>
      </c>
      <c r="I26" s="278">
        <v>6123.3882299999996</v>
      </c>
    </row>
    <row r="27" spans="1:9" ht="14" thickBot="1">
      <c r="A27" s="225">
        <v>290</v>
      </c>
      <c r="B27" s="226" t="s">
        <v>1946</v>
      </c>
      <c r="C27" s="277" t="s">
        <v>2028</v>
      </c>
      <c r="D27" s="228">
        <v>15560.008</v>
      </c>
      <c r="E27" s="229">
        <v>14077.152</v>
      </c>
      <c r="F27" s="228">
        <v>2178.4141399999999</v>
      </c>
      <c r="G27" s="229">
        <v>-300.052899999999</v>
      </c>
      <c r="H27" s="228">
        <v>2045.06575</v>
      </c>
      <c r="I27" s="278">
        <v>2339.6565099999998</v>
      </c>
    </row>
    <row r="28" spans="1:9" ht="14" thickBot="1">
      <c r="A28" s="225">
        <v>294</v>
      </c>
      <c r="B28" s="226" t="s">
        <v>1947</v>
      </c>
      <c r="C28" s="277" t="s">
        <v>2028</v>
      </c>
      <c r="D28" s="228">
        <v>64.888999999999996</v>
      </c>
      <c r="E28" s="229">
        <v>40.878999999999998</v>
      </c>
      <c r="F28" s="228">
        <v>11.978</v>
      </c>
      <c r="G28" s="229">
        <v>4.7293000000000003</v>
      </c>
      <c r="H28" s="228">
        <v>51</v>
      </c>
      <c r="I28" s="278">
        <v>86.651349999999994</v>
      </c>
    </row>
    <row r="29" spans="1:9" ht="14" thickBot="1">
      <c r="A29" s="225">
        <v>312</v>
      </c>
      <c r="B29" s="226" t="s">
        <v>974</v>
      </c>
      <c r="C29" s="277" t="s">
        <v>2028</v>
      </c>
      <c r="D29" s="228">
        <v>809.90099999999995</v>
      </c>
      <c r="E29" s="229">
        <v>655.37400000000002</v>
      </c>
      <c r="F29" s="228">
        <v>33.229909999999997</v>
      </c>
      <c r="G29" s="229">
        <v>239.10428999999999</v>
      </c>
      <c r="H29" s="228">
        <v>216</v>
      </c>
      <c r="I29" s="278">
        <v>2200.0864999999999</v>
      </c>
    </row>
    <row r="30" spans="1:9" ht="14" thickBot="1">
      <c r="A30" s="225">
        <v>343</v>
      </c>
      <c r="B30" s="226" t="s">
        <v>1948</v>
      </c>
      <c r="C30" s="277" t="s">
        <v>2028</v>
      </c>
      <c r="D30" s="228">
        <v>3953.1370000000002</v>
      </c>
      <c r="E30" s="229">
        <v>2118.2179999999998</v>
      </c>
      <c r="F30" s="228">
        <v>440.67617999999999</v>
      </c>
      <c r="G30" s="229">
        <v>1793.85787</v>
      </c>
      <c r="H30" s="228">
        <v>225</v>
      </c>
      <c r="I30" s="278">
        <v>5323.8248100000001</v>
      </c>
    </row>
    <row r="31" spans="1:9" ht="14" thickBot="1">
      <c r="A31" s="225">
        <v>360</v>
      </c>
      <c r="B31" s="226" t="s">
        <v>1949</v>
      </c>
      <c r="C31" s="277" t="s">
        <v>2028</v>
      </c>
      <c r="D31" s="228">
        <v>683.73199999999997</v>
      </c>
      <c r="E31" s="229">
        <v>563.52099999999996</v>
      </c>
      <c r="F31" s="228">
        <v>21.238199999999999</v>
      </c>
      <c r="G31" s="229">
        <v>85.144450000000006</v>
      </c>
      <c r="H31" s="228">
        <v>253.55430000000001</v>
      </c>
      <c r="I31" s="278">
        <v>1091.37995</v>
      </c>
    </row>
    <row r="32" spans="1:9" ht="14" thickBot="1">
      <c r="A32" s="225">
        <v>376</v>
      </c>
      <c r="B32" s="226" t="s">
        <v>1950</v>
      </c>
      <c r="C32" s="277" t="s">
        <v>2028</v>
      </c>
      <c r="D32" s="228">
        <v>1672.671</v>
      </c>
      <c r="E32" s="229">
        <v>1175.713</v>
      </c>
      <c r="F32" s="228">
        <v>94.14649</v>
      </c>
      <c r="G32" s="229">
        <v>407.07625000000002</v>
      </c>
      <c r="H32" s="228">
        <v>747.72400000000005</v>
      </c>
      <c r="I32" s="278">
        <v>1840.4820099999999</v>
      </c>
    </row>
    <row r="33" spans="1:9" ht="14" thickBot="1">
      <c r="A33" s="225">
        <v>411</v>
      </c>
      <c r="B33" s="226" t="s">
        <v>1951</v>
      </c>
      <c r="C33" s="277" t="s">
        <v>2028</v>
      </c>
      <c r="D33" s="228">
        <v>5509.826</v>
      </c>
      <c r="E33" s="229">
        <v>5000.4799999999996</v>
      </c>
      <c r="F33" s="228">
        <v>303.02699999999999</v>
      </c>
      <c r="G33" s="229">
        <v>109.94928</v>
      </c>
      <c r="H33" s="228">
        <v>1107.46947</v>
      </c>
      <c r="I33" s="278">
        <v>1953.5504800000001</v>
      </c>
    </row>
    <row r="34" spans="1:9" ht="14" thickBot="1">
      <c r="A34" s="225">
        <v>445</v>
      </c>
      <c r="B34" s="226" t="s">
        <v>1952</v>
      </c>
      <c r="C34" s="277" t="s">
        <v>2028</v>
      </c>
      <c r="D34" s="228">
        <v>3010.7</v>
      </c>
      <c r="E34" s="229">
        <v>3340.0079999999998</v>
      </c>
      <c r="F34" s="228">
        <v>389.9074</v>
      </c>
      <c r="G34" s="229">
        <v>-511.08647999999999</v>
      </c>
      <c r="H34" s="228">
        <v>350</v>
      </c>
      <c r="I34" s="278">
        <v>-136.01348999999999</v>
      </c>
    </row>
    <row r="35" spans="1:9" ht="14" thickBot="1">
      <c r="A35" s="225">
        <v>455</v>
      </c>
      <c r="B35" s="226" t="s">
        <v>1953</v>
      </c>
      <c r="C35" s="277" t="s">
        <v>2028</v>
      </c>
      <c r="D35" s="228">
        <v>8626.5830000000005</v>
      </c>
      <c r="E35" s="229">
        <v>8538.1059999999998</v>
      </c>
      <c r="F35" s="228">
        <v>639.77850000000001</v>
      </c>
      <c r="G35" s="229">
        <v>-2853.2090499999999</v>
      </c>
      <c r="H35" s="228">
        <v>2000</v>
      </c>
      <c r="I35" s="278">
        <v>6498.0544600000003</v>
      </c>
    </row>
    <row r="36" spans="1:9" ht="14" thickBot="1">
      <c r="A36" s="225">
        <v>484</v>
      </c>
      <c r="B36" s="226" t="s">
        <v>1954</v>
      </c>
      <c r="C36" s="277" t="s">
        <v>2028</v>
      </c>
      <c r="D36" s="228">
        <v>57.131999999999998</v>
      </c>
      <c r="E36" s="229">
        <v>36.697000000000003</v>
      </c>
      <c r="F36" s="228">
        <v>7.1191800000000001</v>
      </c>
      <c r="G36" s="229">
        <v>28.792059999999999</v>
      </c>
      <c r="H36" s="228">
        <v>20</v>
      </c>
      <c r="I36" s="278">
        <v>269.40199999999999</v>
      </c>
    </row>
    <row r="37" spans="1:9" ht="14" thickBot="1">
      <c r="A37" s="225">
        <v>509</v>
      </c>
      <c r="B37" s="226" t="s">
        <v>1955</v>
      </c>
      <c r="C37" s="277" t="s">
        <v>2028</v>
      </c>
      <c r="D37" s="228">
        <v>411.16</v>
      </c>
      <c r="E37" s="229">
        <v>313.22199999999998</v>
      </c>
      <c r="F37" s="228">
        <v>199.95223999999999</v>
      </c>
      <c r="G37" s="229">
        <v>78.450850000000003</v>
      </c>
      <c r="H37" s="228">
        <v>2100</v>
      </c>
      <c r="I37" s="278">
        <v>3316.3720699999999</v>
      </c>
    </row>
    <row r="38" spans="1:9" ht="14" thickBot="1">
      <c r="A38" s="225">
        <v>556</v>
      </c>
      <c r="B38" s="226" t="s">
        <v>1956</v>
      </c>
      <c r="C38" s="277" t="s">
        <v>2028</v>
      </c>
      <c r="D38" s="228">
        <v>383.863</v>
      </c>
      <c r="E38" s="229">
        <v>300.93299999999999</v>
      </c>
      <c r="F38" s="228">
        <v>69.095280000000002</v>
      </c>
      <c r="G38" s="229">
        <v>22.198969999999999</v>
      </c>
      <c r="H38" s="228">
        <v>67</v>
      </c>
      <c r="I38" s="278">
        <v>858.52868000000001</v>
      </c>
    </row>
    <row r="39" spans="1:9" ht="14" thickBot="1">
      <c r="A39" s="225">
        <v>558</v>
      </c>
      <c r="B39" s="226" t="s">
        <v>1957</v>
      </c>
      <c r="C39" s="277" t="s">
        <v>2028</v>
      </c>
      <c r="D39" s="228">
        <v>13.593</v>
      </c>
      <c r="E39" s="229">
        <v>3.6080000000000001</v>
      </c>
      <c r="F39" s="228">
        <v>0.80367</v>
      </c>
      <c r="G39" s="229">
        <v>8.3342200000000002</v>
      </c>
      <c r="H39" s="228">
        <v>24.6</v>
      </c>
      <c r="I39" s="278">
        <v>95.101370000000003</v>
      </c>
    </row>
    <row r="40" spans="1:9" ht="14" thickBot="1">
      <c r="A40" s="225">
        <v>591</v>
      </c>
      <c r="B40" s="226" t="s">
        <v>1958</v>
      </c>
      <c r="C40" s="277" t="s">
        <v>2028</v>
      </c>
      <c r="D40" s="228">
        <v>574.726</v>
      </c>
      <c r="E40" s="229">
        <v>736.59900000000005</v>
      </c>
      <c r="F40" s="228">
        <v>31.177700000000002</v>
      </c>
      <c r="G40" s="229">
        <v>-173.28389999999999</v>
      </c>
      <c r="H40" s="228">
        <v>90</v>
      </c>
      <c r="I40" s="278">
        <v>338.25015000000002</v>
      </c>
    </row>
    <row r="41" spans="1:9" ht="14" thickBot="1">
      <c r="A41" s="225">
        <v>623</v>
      </c>
      <c r="B41" s="226" t="s">
        <v>1959</v>
      </c>
      <c r="C41" s="277" t="s">
        <v>2028</v>
      </c>
      <c r="D41" s="228">
        <v>39.75</v>
      </c>
      <c r="E41" s="229">
        <v>34.44</v>
      </c>
      <c r="F41" s="228">
        <v>1.224</v>
      </c>
      <c r="G41" s="229">
        <v>3.0463</v>
      </c>
      <c r="H41" s="228">
        <v>40</v>
      </c>
      <c r="I41" s="278">
        <v>47.932299999999998</v>
      </c>
    </row>
    <row r="42" spans="1:9" ht="14" thickBot="1">
      <c r="A42" s="225">
        <v>627</v>
      </c>
      <c r="B42" s="226" t="s">
        <v>1960</v>
      </c>
      <c r="C42" s="277" t="s">
        <v>2028</v>
      </c>
      <c r="D42" s="228">
        <v>88.298000000000002</v>
      </c>
      <c r="E42" s="229">
        <v>225.245</v>
      </c>
      <c r="F42" s="228">
        <v>5.0819999999999999</v>
      </c>
      <c r="G42" s="229">
        <v>-68.765950000000004</v>
      </c>
      <c r="H42" s="228">
        <v>10</v>
      </c>
      <c r="I42" s="278">
        <v>46.999650000000003</v>
      </c>
    </row>
    <row r="43" spans="1:9" ht="14" thickBot="1">
      <c r="A43" s="225">
        <v>749</v>
      </c>
      <c r="B43" s="226" t="s">
        <v>1961</v>
      </c>
      <c r="C43" s="277" t="s">
        <v>2028</v>
      </c>
      <c r="D43" s="228">
        <v>6013.8549999999996</v>
      </c>
      <c r="E43" s="229">
        <v>6059.48</v>
      </c>
      <c r="F43" s="228">
        <v>885.07587999999998</v>
      </c>
      <c r="G43" s="229">
        <v>9.4434700000000404</v>
      </c>
      <c r="H43" s="228">
        <v>700</v>
      </c>
      <c r="I43" s="278">
        <v>-2095.3823299999999</v>
      </c>
    </row>
    <row r="44" spans="1:9" ht="14" thickBot="1">
      <c r="A44" s="225">
        <v>758</v>
      </c>
      <c r="B44" s="226" t="s">
        <v>1962</v>
      </c>
      <c r="C44" s="277" t="s">
        <v>2028</v>
      </c>
      <c r="D44" s="228">
        <v>29.227</v>
      </c>
      <c r="E44" s="229">
        <v>6.1950000000000003</v>
      </c>
      <c r="F44" s="228">
        <v>3.2057000000000002</v>
      </c>
      <c r="G44" s="229">
        <v>1.51675</v>
      </c>
      <c r="H44" s="228">
        <v>20</v>
      </c>
      <c r="I44" s="278">
        <v>74.780169999999998</v>
      </c>
    </row>
    <row r="45" spans="1:9" ht="14" thickBot="1">
      <c r="A45" s="225">
        <v>762</v>
      </c>
      <c r="B45" s="226" t="s">
        <v>1963</v>
      </c>
      <c r="C45" s="277" t="s">
        <v>2028</v>
      </c>
      <c r="D45" s="228">
        <v>689.45399999999995</v>
      </c>
      <c r="E45" s="229">
        <v>452.96100000000001</v>
      </c>
      <c r="F45" s="228">
        <v>80.378500000000003</v>
      </c>
      <c r="G45" s="229">
        <v>175.54031000000001</v>
      </c>
      <c r="H45" s="228">
        <v>250</v>
      </c>
      <c r="I45" s="278">
        <v>802.50408000000004</v>
      </c>
    </row>
    <row r="46" spans="1:9" ht="14" thickBot="1">
      <c r="A46" s="225">
        <v>774</v>
      </c>
      <c r="B46" s="226" t="s">
        <v>982</v>
      </c>
      <c r="C46" s="277" t="s">
        <v>2028</v>
      </c>
      <c r="D46" s="228">
        <v>326.23399999999998</v>
      </c>
      <c r="E46" s="229">
        <v>1167.7750000000001</v>
      </c>
      <c r="F46" s="228">
        <v>44.124020000000002</v>
      </c>
      <c r="G46" s="229">
        <v>-665.92147</v>
      </c>
      <c r="H46" s="228">
        <v>140</v>
      </c>
      <c r="I46" s="278">
        <v>74.265010000000004</v>
      </c>
    </row>
    <row r="47" spans="1:9" ht="14" thickBot="1">
      <c r="A47" s="225">
        <v>780</v>
      </c>
      <c r="B47" s="226" t="s">
        <v>1964</v>
      </c>
      <c r="C47" s="277" t="s">
        <v>2028</v>
      </c>
      <c r="D47" s="228">
        <v>174.393</v>
      </c>
      <c r="E47" s="229">
        <v>122.03</v>
      </c>
      <c r="F47" s="228">
        <v>50.324599999999997</v>
      </c>
      <c r="G47" s="229">
        <v>5.0000000000000002E-5</v>
      </c>
      <c r="H47" s="228">
        <v>18</v>
      </c>
      <c r="I47" s="278">
        <v>200.05725000000001</v>
      </c>
    </row>
    <row r="48" spans="1:9" ht="14" thickBot="1">
      <c r="A48" s="225">
        <v>790</v>
      </c>
      <c r="B48" s="226" t="s">
        <v>1965</v>
      </c>
      <c r="C48" s="277" t="s">
        <v>2028</v>
      </c>
      <c r="D48" s="228">
        <v>49.098999999999997</v>
      </c>
      <c r="E48" s="229">
        <v>41.563000000000002</v>
      </c>
      <c r="F48" s="228">
        <v>4.6100000000000003</v>
      </c>
      <c r="G48" s="229">
        <v>-9.2349999999989996E-2</v>
      </c>
      <c r="H48" s="228">
        <v>19.90765</v>
      </c>
      <c r="I48" s="278">
        <v>48.313749999999999</v>
      </c>
    </row>
    <row r="49" spans="1:9" ht="14" thickBot="1">
      <c r="A49" s="225">
        <v>820</v>
      </c>
      <c r="B49" s="226" t="s">
        <v>1966</v>
      </c>
      <c r="C49" s="277" t="s">
        <v>2028</v>
      </c>
      <c r="D49" s="228">
        <v>315.04199999999997</v>
      </c>
      <c r="E49" s="229">
        <v>185.15199999999999</v>
      </c>
      <c r="F49" s="228">
        <v>0</v>
      </c>
      <c r="G49" s="229">
        <v>49.243699999999997</v>
      </c>
      <c r="H49" s="228">
        <v>35</v>
      </c>
      <c r="I49" s="278">
        <v>51.189549999999997</v>
      </c>
    </row>
    <row r="50" spans="1:9" ht="14" thickBot="1">
      <c r="A50" s="225">
        <v>829</v>
      </c>
      <c r="B50" s="226" t="s">
        <v>1967</v>
      </c>
      <c r="C50" s="277" t="s">
        <v>2028</v>
      </c>
      <c r="D50" s="228">
        <v>1494.346</v>
      </c>
      <c r="E50" s="229">
        <v>1303.01</v>
      </c>
      <c r="F50" s="228">
        <v>268.19139999999999</v>
      </c>
      <c r="G50" s="229">
        <v>73.714500000000001</v>
      </c>
      <c r="H50" s="228">
        <v>390</v>
      </c>
      <c r="I50" s="278">
        <v>640</v>
      </c>
    </row>
    <row r="51" spans="1:9" ht="14" thickBot="1">
      <c r="A51" s="225">
        <v>881</v>
      </c>
      <c r="B51" s="226" t="s">
        <v>1968</v>
      </c>
      <c r="C51" s="277" t="s">
        <v>2028</v>
      </c>
      <c r="D51" s="228">
        <v>1374.3320000000001</v>
      </c>
      <c r="E51" s="229">
        <v>779.322</v>
      </c>
      <c r="F51" s="228">
        <v>219.63108</v>
      </c>
      <c r="G51" s="229">
        <v>584.54682000000003</v>
      </c>
      <c r="H51" s="228">
        <v>204.67838</v>
      </c>
      <c r="I51" s="278">
        <v>2452.2192599999998</v>
      </c>
    </row>
    <row r="52" spans="1:9" ht="14" thickBot="1">
      <c r="A52" s="225">
        <v>895</v>
      </c>
      <c r="B52" s="226" t="s">
        <v>1969</v>
      </c>
      <c r="C52" s="277" t="s">
        <v>2028</v>
      </c>
      <c r="D52" s="228">
        <v>5.4980000000000002</v>
      </c>
      <c r="E52" s="229">
        <v>0</v>
      </c>
      <c r="F52" s="228">
        <v>0</v>
      </c>
      <c r="G52" s="229">
        <v>0.69710000000000005</v>
      </c>
      <c r="H52" s="228">
        <v>0</v>
      </c>
      <c r="I52" s="278">
        <v>31</v>
      </c>
    </row>
    <row r="53" spans="1:9" ht="14" thickBot="1">
      <c r="A53" s="225">
        <v>901</v>
      </c>
      <c r="B53" s="226" t="s">
        <v>1970</v>
      </c>
      <c r="C53" s="277" t="s">
        <v>2028</v>
      </c>
      <c r="D53" s="228">
        <v>315.64400000000001</v>
      </c>
      <c r="E53" s="229">
        <v>351.91500000000002</v>
      </c>
      <c r="F53" s="228">
        <v>9.5</v>
      </c>
      <c r="G53" s="229">
        <v>-15.010199999999999</v>
      </c>
      <c r="H53" s="228">
        <v>30</v>
      </c>
      <c r="I53" s="278">
        <v>284.54295000000002</v>
      </c>
    </row>
    <row r="54" spans="1:9" ht="14" thickBot="1">
      <c r="A54" s="225">
        <v>923</v>
      </c>
      <c r="B54" s="226" t="s">
        <v>1971</v>
      </c>
      <c r="C54" s="277" t="s">
        <v>2028</v>
      </c>
      <c r="D54" s="228">
        <v>298.654</v>
      </c>
      <c r="E54" s="229">
        <v>23.331</v>
      </c>
      <c r="F54" s="228">
        <v>1.9229499999999999</v>
      </c>
      <c r="G54" s="229">
        <v>266.98270000000002</v>
      </c>
      <c r="H54" s="228">
        <v>30</v>
      </c>
      <c r="I54" s="278">
        <v>3055.8686699999998</v>
      </c>
    </row>
    <row r="55" spans="1:9">
      <c r="A55" s="235">
        <v>941</v>
      </c>
      <c r="B55" s="236" t="s">
        <v>1972</v>
      </c>
      <c r="C55" s="279" t="s">
        <v>2028</v>
      </c>
      <c r="D55" s="238">
        <v>1404.9449999999999</v>
      </c>
      <c r="E55" s="239">
        <v>1214.1790000000001</v>
      </c>
      <c r="F55" s="238">
        <v>183</v>
      </c>
      <c r="G55" s="239">
        <v>31.2136</v>
      </c>
      <c r="H55" s="238">
        <v>343.23079999999999</v>
      </c>
      <c r="I55" s="280">
        <v>1463.6491000000001</v>
      </c>
    </row>
    <row r="56" spans="1:9" ht="14" thickBot="1">
      <c r="A56" s="214">
        <v>966</v>
      </c>
      <c r="B56" s="215" t="s">
        <v>1973</v>
      </c>
      <c r="C56" s="273" t="s">
        <v>2028</v>
      </c>
      <c r="D56" s="217">
        <v>795.49099999999999</v>
      </c>
      <c r="E56" s="218">
        <v>796.40800000000002</v>
      </c>
      <c r="F56" s="217">
        <v>71.403400000000005</v>
      </c>
      <c r="G56" s="218">
        <v>38.651989999999998</v>
      </c>
      <c r="H56" s="217">
        <v>300</v>
      </c>
      <c r="I56" s="281">
        <v>774.27939000000003</v>
      </c>
    </row>
    <row r="57" spans="1:9" ht="14" thickBot="1">
      <c r="A57" s="225">
        <v>979</v>
      </c>
      <c r="B57" s="226" t="s">
        <v>1974</v>
      </c>
      <c r="C57" s="277" t="s">
        <v>2028</v>
      </c>
      <c r="D57" s="228">
        <v>13.148999999999999</v>
      </c>
      <c r="E57" s="229">
        <v>0</v>
      </c>
      <c r="F57" s="228">
        <v>2.7368000000000001</v>
      </c>
      <c r="G57" s="229">
        <v>0</v>
      </c>
      <c r="H57" s="228">
        <v>8.0176800000000004</v>
      </c>
      <c r="I57" s="278">
        <v>43.762149999999998</v>
      </c>
    </row>
    <row r="58" spans="1:9" ht="14" thickBot="1">
      <c r="A58" s="225">
        <v>992</v>
      </c>
      <c r="B58" s="226" t="s">
        <v>1975</v>
      </c>
      <c r="C58" s="277" t="s">
        <v>2028</v>
      </c>
      <c r="D58" s="228">
        <v>278.97000000000003</v>
      </c>
      <c r="E58" s="229">
        <v>153.613</v>
      </c>
      <c r="F58" s="228">
        <v>48.227550000000001</v>
      </c>
      <c r="G58" s="229">
        <v>-0.12</v>
      </c>
      <c r="H58" s="228">
        <v>30</v>
      </c>
      <c r="I58" s="278">
        <v>493.73417999999998</v>
      </c>
    </row>
    <row r="59" spans="1:9" ht="14" thickBot="1">
      <c r="A59" s="225">
        <v>994</v>
      </c>
      <c r="B59" s="226" t="s">
        <v>1976</v>
      </c>
      <c r="C59" s="277" t="s">
        <v>2028</v>
      </c>
      <c r="D59" s="228">
        <v>584.49699999999996</v>
      </c>
      <c r="E59" s="229">
        <v>260.89600000000002</v>
      </c>
      <c r="F59" s="228">
        <v>64.294669999999996</v>
      </c>
      <c r="G59" s="229">
        <v>103.72046</v>
      </c>
      <c r="H59" s="228">
        <v>245</v>
      </c>
      <c r="I59" s="278">
        <v>834.51103999999998</v>
      </c>
    </row>
    <row r="60" spans="1:9" ht="14" thickBot="1">
      <c r="A60" s="225">
        <v>1003</v>
      </c>
      <c r="B60" s="226" t="s">
        <v>1977</v>
      </c>
      <c r="C60" s="277" t="s">
        <v>2028</v>
      </c>
      <c r="D60" s="228">
        <v>0.52100000000000002</v>
      </c>
      <c r="E60" s="229">
        <v>0</v>
      </c>
      <c r="F60" s="228">
        <v>2.01E-2</v>
      </c>
      <c r="G60" s="229">
        <v>4.0500000000000001E-2</v>
      </c>
      <c r="H60" s="228">
        <v>20</v>
      </c>
      <c r="I60" s="278">
        <v>5.4966200000000001</v>
      </c>
    </row>
    <row r="61" spans="1:9" ht="14" thickBot="1">
      <c r="A61" s="225">
        <v>1007</v>
      </c>
      <c r="B61" s="226" t="s">
        <v>1978</v>
      </c>
      <c r="C61" s="277" t="s">
        <v>2028</v>
      </c>
      <c r="D61" s="228">
        <v>627.67399999999998</v>
      </c>
      <c r="E61" s="229">
        <v>484.58499999999998</v>
      </c>
      <c r="F61" s="228">
        <v>90.277299999999997</v>
      </c>
      <c r="G61" s="229">
        <v>58.84404</v>
      </c>
      <c r="H61" s="228">
        <v>70</v>
      </c>
      <c r="I61" s="278">
        <v>469.45618000000002</v>
      </c>
    </row>
    <row r="62" spans="1:9" ht="14" thickBot="1">
      <c r="A62" s="225">
        <v>1040</v>
      </c>
      <c r="B62" s="226" t="s">
        <v>1979</v>
      </c>
      <c r="C62" s="277" t="s">
        <v>2028</v>
      </c>
      <c r="D62" s="228">
        <v>127.45</v>
      </c>
      <c r="E62" s="229">
        <v>33.380000000000003</v>
      </c>
      <c r="F62" s="228">
        <v>18.667899999999999</v>
      </c>
      <c r="G62" s="229">
        <v>54.782299999999999</v>
      </c>
      <c r="H62" s="228">
        <v>15.1349</v>
      </c>
      <c r="I62" s="278">
        <v>454.52737999999999</v>
      </c>
    </row>
    <row r="63" spans="1:9" ht="14" thickBot="1">
      <c r="A63" s="225">
        <v>1060</v>
      </c>
      <c r="B63" s="226" t="s">
        <v>1981</v>
      </c>
      <c r="C63" s="277" t="s">
        <v>2028</v>
      </c>
      <c r="D63" s="228">
        <v>10418.199000000001</v>
      </c>
      <c r="E63" s="229">
        <v>9095.1139999999996</v>
      </c>
      <c r="F63" s="228">
        <v>1868.7264500000001</v>
      </c>
      <c r="G63" s="229">
        <v>2834.8629700000001</v>
      </c>
      <c r="H63" s="228">
        <v>3000</v>
      </c>
      <c r="I63" s="278">
        <v>5101.8166199999996</v>
      </c>
    </row>
    <row r="64" spans="1:9" ht="14" thickBot="1">
      <c r="A64" s="225">
        <v>1079</v>
      </c>
      <c r="B64" s="226" t="s">
        <v>1982</v>
      </c>
      <c r="C64" s="277" t="s">
        <v>2028</v>
      </c>
      <c r="D64" s="228">
        <v>35.415999999999997</v>
      </c>
      <c r="E64" s="229">
        <v>11.180999999999999</v>
      </c>
      <c r="F64" s="228">
        <v>5.4657999999999998</v>
      </c>
      <c r="G64" s="229">
        <v>18.41996</v>
      </c>
      <c r="H64" s="228">
        <v>5</v>
      </c>
      <c r="I64" s="278">
        <v>-4.8145499999999997</v>
      </c>
    </row>
    <row r="65" spans="1:9" ht="14" thickBot="1">
      <c r="A65" s="225">
        <v>1097</v>
      </c>
      <c r="B65" s="226" t="s">
        <v>1983</v>
      </c>
      <c r="C65" s="277" t="s">
        <v>2028</v>
      </c>
      <c r="D65" s="228">
        <v>76.793000000000006</v>
      </c>
      <c r="E65" s="229">
        <v>58.164999999999999</v>
      </c>
      <c r="F65" s="228">
        <v>11.594659999999999</v>
      </c>
      <c r="G65" s="229">
        <v>41.887549999999997</v>
      </c>
      <c r="H65" s="228">
        <v>20</v>
      </c>
      <c r="I65" s="278">
        <v>128.47708</v>
      </c>
    </row>
    <row r="66" spans="1:9" ht="14" thickBot="1">
      <c r="A66" s="225">
        <v>1147</v>
      </c>
      <c r="B66" s="226" t="s">
        <v>1986</v>
      </c>
      <c r="C66" s="277" t="s">
        <v>2028</v>
      </c>
      <c r="D66" s="228">
        <v>15.183999999999999</v>
      </c>
      <c r="E66" s="229">
        <v>33.076999999999998</v>
      </c>
      <c r="F66" s="228">
        <v>1</v>
      </c>
      <c r="G66" s="229">
        <v>4.1048</v>
      </c>
      <c r="H66" s="228">
        <v>31</v>
      </c>
      <c r="I66" s="278">
        <v>107.77265</v>
      </c>
    </row>
    <row r="67" spans="1:9" ht="14" thickBot="1">
      <c r="A67" s="225">
        <v>1179</v>
      </c>
      <c r="B67" s="226" t="s">
        <v>2040</v>
      </c>
      <c r="C67" s="277" t="s">
        <v>1932</v>
      </c>
      <c r="D67" s="228">
        <v>2444.5219999999999</v>
      </c>
      <c r="E67" s="229">
        <v>1627.4449999999999</v>
      </c>
      <c r="F67" s="228">
        <v>97.780850000000001</v>
      </c>
      <c r="G67" s="229">
        <v>315.07715000000002</v>
      </c>
      <c r="H67" s="228">
        <v>200</v>
      </c>
      <c r="I67" s="278">
        <v>1169.6187500000001</v>
      </c>
    </row>
    <row r="68" spans="1:9" ht="14" thickBot="1">
      <c r="A68" s="225">
        <v>1215</v>
      </c>
      <c r="B68" s="226" t="s">
        <v>1988</v>
      </c>
      <c r="C68" s="277" t="s">
        <v>2028</v>
      </c>
      <c r="D68" s="228">
        <v>79.563999999999993</v>
      </c>
      <c r="E68" s="229">
        <v>52.51</v>
      </c>
      <c r="F68" s="228">
        <v>11.04209</v>
      </c>
      <c r="G68" s="229">
        <v>16.935469999999999</v>
      </c>
      <c r="H68" s="228">
        <v>10</v>
      </c>
      <c r="I68" s="278">
        <v>145.43216000000001</v>
      </c>
    </row>
    <row r="69" spans="1:9" ht="14" thickBot="1">
      <c r="A69" s="225">
        <v>1285</v>
      </c>
      <c r="B69" s="226" t="s">
        <v>2043</v>
      </c>
      <c r="C69" s="277" t="s">
        <v>1932</v>
      </c>
      <c r="D69" s="228">
        <v>0.47799999999999998</v>
      </c>
      <c r="E69" s="229">
        <v>0</v>
      </c>
      <c r="F69" s="228">
        <v>4.4323499999999996</v>
      </c>
      <c r="G69" s="229">
        <v>0.86560000000000004</v>
      </c>
      <c r="H69" s="228">
        <v>0</v>
      </c>
      <c r="I69" s="278">
        <v>242.78101000000001</v>
      </c>
    </row>
    <row r="70" spans="1:9" ht="14" thickBot="1">
      <c r="A70" s="225">
        <v>1305</v>
      </c>
      <c r="B70" s="226" t="s">
        <v>1989</v>
      </c>
      <c r="C70" s="277" t="s">
        <v>2028</v>
      </c>
      <c r="D70" s="228">
        <v>545.17700000000002</v>
      </c>
      <c r="E70" s="229">
        <v>620.09500000000003</v>
      </c>
      <c r="F70" s="228">
        <v>25</v>
      </c>
      <c r="G70" s="229">
        <v>-47.456049999999998</v>
      </c>
      <c r="H70" s="228">
        <v>630.846</v>
      </c>
      <c r="I70" s="278">
        <v>511.44900000000001</v>
      </c>
    </row>
    <row r="71" spans="1:9" ht="14" thickBot="1">
      <c r="A71" s="225">
        <v>1318</v>
      </c>
      <c r="B71" s="226" t="s">
        <v>1990</v>
      </c>
      <c r="C71" s="277" t="s">
        <v>2028</v>
      </c>
      <c r="D71" s="228">
        <v>29.754000000000001</v>
      </c>
      <c r="E71" s="229">
        <v>24.5</v>
      </c>
      <c r="F71" s="228">
        <v>2.17496</v>
      </c>
      <c r="G71" s="229">
        <v>8.2578700000000005</v>
      </c>
      <c r="H71" s="228">
        <v>20</v>
      </c>
      <c r="I71" s="278">
        <v>116.70833</v>
      </c>
    </row>
    <row r="72" spans="1:9" ht="14" thickBot="1">
      <c r="A72" s="225">
        <v>1322</v>
      </c>
      <c r="B72" s="226" t="s">
        <v>1991</v>
      </c>
      <c r="C72" s="277" t="s">
        <v>2028</v>
      </c>
      <c r="D72" s="228">
        <v>121.46299999999999</v>
      </c>
      <c r="E72" s="229">
        <v>66.561000000000007</v>
      </c>
      <c r="F72" s="228">
        <v>11.0939</v>
      </c>
      <c r="G72" s="229">
        <v>15.1233</v>
      </c>
      <c r="H72" s="228">
        <v>34.549999999999997</v>
      </c>
      <c r="I72" s="278">
        <v>137.92213000000001</v>
      </c>
    </row>
    <row r="73" spans="1:9" ht="14" thickBot="1">
      <c r="A73" s="225">
        <v>1328</v>
      </c>
      <c r="B73" s="226" t="s">
        <v>1992</v>
      </c>
      <c r="C73" s="277" t="s">
        <v>2028</v>
      </c>
      <c r="D73" s="228">
        <v>965.25400000000002</v>
      </c>
      <c r="E73" s="229">
        <v>1257.7570000000001</v>
      </c>
      <c r="F73" s="228">
        <v>86.853120000000004</v>
      </c>
      <c r="G73" s="229">
        <v>-258.05885999999998</v>
      </c>
      <c r="H73" s="228">
        <v>571.77918</v>
      </c>
      <c r="I73" s="278">
        <v>482.73043000000001</v>
      </c>
    </row>
    <row r="74" spans="1:9" ht="14" thickBot="1">
      <c r="A74" s="225">
        <v>1331</v>
      </c>
      <c r="B74" s="226" t="s">
        <v>1993</v>
      </c>
      <c r="C74" s="277" t="s">
        <v>2028</v>
      </c>
      <c r="D74" s="228">
        <v>4.9550000000000001</v>
      </c>
      <c r="E74" s="229">
        <v>1.7010000000000001</v>
      </c>
      <c r="F74" s="228">
        <v>7.5252999999999997</v>
      </c>
      <c r="G74" s="229">
        <v>3.98475</v>
      </c>
      <c r="H74" s="228">
        <v>134.4</v>
      </c>
      <c r="I74" s="278">
        <v>555.62919999999997</v>
      </c>
    </row>
    <row r="75" spans="1:9" ht="14" thickBot="1">
      <c r="A75" s="225">
        <v>1362</v>
      </c>
      <c r="B75" s="226" t="s">
        <v>1994</v>
      </c>
      <c r="C75" s="277" t="s">
        <v>2028</v>
      </c>
      <c r="D75" s="228">
        <v>21.460999999999999</v>
      </c>
      <c r="E75" s="229">
        <v>39.088000000000001</v>
      </c>
      <c r="F75" s="228">
        <v>0</v>
      </c>
      <c r="G75" s="229">
        <v>0.2303</v>
      </c>
      <c r="H75" s="228">
        <v>1.5</v>
      </c>
      <c r="I75" s="278">
        <v>4.5373000000000001</v>
      </c>
    </row>
    <row r="76" spans="1:9" ht="14" thickBot="1">
      <c r="A76" s="225">
        <v>1384</v>
      </c>
      <c r="B76" s="226" t="s">
        <v>1995</v>
      </c>
      <c r="C76" s="277" t="s">
        <v>2028</v>
      </c>
      <c r="D76" s="228">
        <v>10554.199000000001</v>
      </c>
      <c r="E76" s="229">
        <v>8699.9480000000003</v>
      </c>
      <c r="F76" s="228">
        <v>1099.8088</v>
      </c>
      <c r="G76" s="229">
        <v>811.86062000000004</v>
      </c>
      <c r="H76" s="228">
        <v>1093.5889999999999</v>
      </c>
      <c r="I76" s="278">
        <v>1741.0076100000001</v>
      </c>
    </row>
    <row r="77" spans="1:9" ht="14" thickBot="1">
      <c r="A77" s="225">
        <v>1386</v>
      </c>
      <c r="B77" s="226" t="s">
        <v>1996</v>
      </c>
      <c r="C77" s="277" t="s">
        <v>2028</v>
      </c>
      <c r="D77" s="228">
        <v>1289.27</v>
      </c>
      <c r="E77" s="229">
        <v>1044.923</v>
      </c>
      <c r="F77" s="228">
        <v>63.575600000000001</v>
      </c>
      <c r="G77" s="229">
        <v>204.73779999999999</v>
      </c>
      <c r="H77" s="228">
        <v>100</v>
      </c>
      <c r="I77" s="278">
        <v>0</v>
      </c>
    </row>
    <row r="78" spans="1:9" ht="14" thickBot="1">
      <c r="A78" s="225">
        <v>1401</v>
      </c>
      <c r="B78" s="226" t="s">
        <v>1998</v>
      </c>
      <c r="C78" s="277" t="s">
        <v>2028</v>
      </c>
      <c r="D78" s="228">
        <v>64.981999999999999</v>
      </c>
      <c r="E78" s="229">
        <v>31.385000000000002</v>
      </c>
      <c r="F78" s="228">
        <v>19.579699999999999</v>
      </c>
      <c r="G78" s="229">
        <v>15.8</v>
      </c>
      <c r="H78" s="228">
        <v>110</v>
      </c>
      <c r="I78" s="278">
        <v>224.9555</v>
      </c>
    </row>
    <row r="79" spans="1:9" ht="14" thickBot="1">
      <c r="A79" s="225">
        <v>1402</v>
      </c>
      <c r="B79" s="226" t="s">
        <v>2044</v>
      </c>
      <c r="C79" s="277" t="s">
        <v>1932</v>
      </c>
      <c r="D79" s="228">
        <v>0</v>
      </c>
      <c r="E79" s="229">
        <v>207.631</v>
      </c>
      <c r="F79" s="228">
        <v>1.42405</v>
      </c>
      <c r="G79" s="229">
        <v>188.95165</v>
      </c>
      <c r="H79" s="228">
        <v>20</v>
      </c>
      <c r="I79" s="278">
        <v>803.61625000000004</v>
      </c>
    </row>
    <row r="80" spans="1:9" ht="14" thickBot="1">
      <c r="A80" s="225">
        <v>1423</v>
      </c>
      <c r="B80" s="226" t="s">
        <v>1999</v>
      </c>
      <c r="C80" s="277" t="s">
        <v>2028</v>
      </c>
      <c r="D80" s="228">
        <v>127.008</v>
      </c>
      <c r="E80" s="229">
        <v>63.957999999999998</v>
      </c>
      <c r="F80" s="228">
        <v>8.1388999999999996</v>
      </c>
      <c r="G80" s="229">
        <v>40.682250000000003</v>
      </c>
      <c r="H80" s="228">
        <v>120</v>
      </c>
      <c r="I80" s="278">
        <v>220.63183000000001</v>
      </c>
    </row>
    <row r="81" spans="1:9">
      <c r="A81" s="235">
        <v>1442</v>
      </c>
      <c r="B81" s="236" t="s">
        <v>2000</v>
      </c>
      <c r="C81" s="279" t="s">
        <v>2028</v>
      </c>
      <c r="D81" s="238">
        <v>45.371000000000002</v>
      </c>
      <c r="E81" s="239">
        <v>60.073999999999998</v>
      </c>
      <c r="F81" s="238">
        <v>1.51874</v>
      </c>
      <c r="G81" s="239">
        <v>-13.66023</v>
      </c>
      <c r="H81" s="238">
        <v>10</v>
      </c>
      <c r="I81" s="280">
        <v>236.33074999999999</v>
      </c>
    </row>
    <row r="82" spans="1:9" ht="14" thickBot="1">
      <c r="A82" s="214">
        <v>1448</v>
      </c>
      <c r="B82" s="215" t="s">
        <v>2001</v>
      </c>
      <c r="C82" s="273" t="s">
        <v>2028</v>
      </c>
      <c r="D82" s="217">
        <v>103.264</v>
      </c>
      <c r="E82" s="218">
        <v>103.345</v>
      </c>
      <c r="F82" s="217">
        <v>5.4394999999999998</v>
      </c>
      <c r="G82" s="218">
        <v>8.2666500000000003</v>
      </c>
      <c r="H82" s="217">
        <v>50</v>
      </c>
      <c r="I82" s="281">
        <v>169.5599</v>
      </c>
    </row>
    <row r="83" spans="1:9" ht="14" thickBot="1">
      <c r="A83" s="225">
        <v>1454</v>
      </c>
      <c r="B83" s="226" t="s">
        <v>2002</v>
      </c>
      <c r="C83" s="277" t="s">
        <v>2028</v>
      </c>
      <c r="D83" s="228">
        <v>1760.098</v>
      </c>
      <c r="E83" s="229">
        <v>1002.602</v>
      </c>
      <c r="F83" s="228">
        <v>106.18089999999999</v>
      </c>
      <c r="G83" s="229">
        <v>122.23260000000001</v>
      </c>
      <c r="H83" s="228">
        <v>2000</v>
      </c>
      <c r="I83" s="278">
        <v>1373.2244000000001</v>
      </c>
    </row>
    <row r="84" spans="1:9" ht="14" thickBot="1">
      <c r="A84" s="225">
        <v>1479</v>
      </c>
      <c r="B84" s="226" t="s">
        <v>2003</v>
      </c>
      <c r="C84" s="277" t="s">
        <v>2028</v>
      </c>
      <c r="D84" s="228">
        <v>13191.784</v>
      </c>
      <c r="E84" s="229">
        <v>9786.6419999999998</v>
      </c>
      <c r="F84" s="228">
        <v>1811.3663300000001</v>
      </c>
      <c r="G84" s="229">
        <v>2536.8668600000001</v>
      </c>
      <c r="H84" s="228">
        <v>1100</v>
      </c>
      <c r="I84" s="278">
        <v>11473.450940000001</v>
      </c>
    </row>
    <row r="85" spans="1:9" ht="14" thickBot="1">
      <c r="A85" s="225">
        <v>1491</v>
      </c>
      <c r="B85" s="226" t="s">
        <v>2045</v>
      </c>
      <c r="C85" s="277" t="s">
        <v>1932</v>
      </c>
      <c r="D85" s="228">
        <v>1676.5609999999999</v>
      </c>
      <c r="E85" s="229">
        <v>1550.338</v>
      </c>
      <c r="F85" s="228">
        <v>201.27330000000001</v>
      </c>
      <c r="G85" s="229">
        <v>96.006500000000003</v>
      </c>
      <c r="H85" s="228">
        <v>0</v>
      </c>
      <c r="I85" s="278">
        <v>2167.7275</v>
      </c>
    </row>
    <row r="86" spans="1:9" ht="14" thickBot="1">
      <c r="A86" s="225">
        <v>1507</v>
      </c>
      <c r="B86" s="226" t="s">
        <v>2004</v>
      </c>
      <c r="C86" s="277" t="s">
        <v>2028</v>
      </c>
      <c r="D86" s="228">
        <v>421.42500000000001</v>
      </c>
      <c r="E86" s="229">
        <v>317.459</v>
      </c>
      <c r="F86" s="228">
        <v>29.5</v>
      </c>
      <c r="G86" s="229">
        <v>107.72801</v>
      </c>
      <c r="H86" s="228">
        <v>110</v>
      </c>
      <c r="I86" s="278">
        <v>1189.42813</v>
      </c>
    </row>
    <row r="87" spans="1:9" ht="14" thickBot="1">
      <c r="A87" s="225">
        <v>1509</v>
      </c>
      <c r="B87" s="226" t="s">
        <v>985</v>
      </c>
      <c r="C87" s="277" t="s">
        <v>2028</v>
      </c>
      <c r="D87" s="228">
        <v>9311.6939999999995</v>
      </c>
      <c r="E87" s="229">
        <v>8462.2530000000006</v>
      </c>
      <c r="F87" s="228">
        <v>737.97979999999995</v>
      </c>
      <c r="G87" s="229">
        <v>261.46609999999998</v>
      </c>
      <c r="H87" s="228">
        <v>3750</v>
      </c>
      <c r="I87" s="278">
        <v>5599.1670000000004</v>
      </c>
    </row>
    <row r="88" spans="1:9" ht="14" thickBot="1">
      <c r="A88" s="225">
        <v>1519</v>
      </c>
      <c r="B88" s="226" t="s">
        <v>2005</v>
      </c>
      <c r="C88" s="277" t="s">
        <v>2028</v>
      </c>
      <c r="D88" s="228">
        <v>246.37299999999999</v>
      </c>
      <c r="E88" s="229">
        <v>1233.83</v>
      </c>
      <c r="F88" s="228">
        <v>125.79449</v>
      </c>
      <c r="G88" s="229">
        <v>-1097.92723</v>
      </c>
      <c r="H88" s="228">
        <v>500</v>
      </c>
      <c r="I88" s="278">
        <v>-2000.0470399999999</v>
      </c>
    </row>
    <row r="89" spans="1:9" ht="14" thickBot="1">
      <c r="A89" s="225">
        <v>1520</v>
      </c>
      <c r="B89" s="226" t="s">
        <v>2006</v>
      </c>
      <c r="C89" s="277" t="s">
        <v>2028</v>
      </c>
      <c r="D89" s="228">
        <v>25490.682000000001</v>
      </c>
      <c r="E89" s="229">
        <v>22322.332999999999</v>
      </c>
      <c r="F89" s="228">
        <v>1250</v>
      </c>
      <c r="G89" s="229">
        <v>1510.67263</v>
      </c>
      <c r="H89" s="228">
        <v>3500</v>
      </c>
      <c r="I89" s="278">
        <v>4747.3898300000001</v>
      </c>
    </row>
    <row r="90" spans="1:9" ht="14" thickBot="1">
      <c r="A90" s="225">
        <v>1522</v>
      </c>
      <c r="B90" s="226" t="s">
        <v>2046</v>
      </c>
      <c r="C90" s="277" t="s">
        <v>1932</v>
      </c>
      <c r="D90" s="228">
        <v>2887.29</v>
      </c>
      <c r="E90" s="229">
        <v>2844.8470000000002</v>
      </c>
      <c r="F90" s="228">
        <v>371.7364</v>
      </c>
      <c r="G90" s="229">
        <v>-11.0123499999999</v>
      </c>
      <c r="H90" s="228">
        <v>250</v>
      </c>
      <c r="I90" s="278">
        <v>4835.3498399999999</v>
      </c>
    </row>
    <row r="91" spans="1:9" ht="14" thickBot="1">
      <c r="A91" s="225">
        <v>1529</v>
      </c>
      <c r="B91" s="226" t="s">
        <v>2007</v>
      </c>
      <c r="C91" s="277" t="s">
        <v>2028</v>
      </c>
      <c r="D91" s="228">
        <v>2260.0149999999999</v>
      </c>
      <c r="E91" s="229">
        <v>1816.758</v>
      </c>
      <c r="F91" s="228">
        <v>64.620959999999997</v>
      </c>
      <c r="G91" s="229">
        <v>582.54580999999996</v>
      </c>
      <c r="H91" s="228">
        <v>517.77602000000002</v>
      </c>
      <c r="I91" s="278">
        <v>6043.6644999999999</v>
      </c>
    </row>
    <row r="92" spans="1:9" ht="14" thickBot="1">
      <c r="A92" s="225">
        <v>1535</v>
      </c>
      <c r="B92" s="226" t="s">
        <v>2008</v>
      </c>
      <c r="C92" s="277" t="s">
        <v>2028</v>
      </c>
      <c r="D92" s="228">
        <v>22930.614000000001</v>
      </c>
      <c r="E92" s="229">
        <v>19491.881000000001</v>
      </c>
      <c r="F92" s="228">
        <v>1729.0809999999999</v>
      </c>
      <c r="G92" s="229">
        <v>1543.46218</v>
      </c>
      <c r="H92" s="228">
        <v>1751</v>
      </c>
      <c r="I92" s="278">
        <v>15055.977150000001</v>
      </c>
    </row>
    <row r="93" spans="1:9" ht="14" thickBot="1">
      <c r="A93" s="225">
        <v>1540</v>
      </c>
      <c r="B93" s="226" t="s">
        <v>2047</v>
      </c>
      <c r="C93" s="277" t="s">
        <v>1932</v>
      </c>
      <c r="D93" s="228">
        <v>2767.3679999999999</v>
      </c>
      <c r="E93" s="229">
        <v>2785.2249999999999</v>
      </c>
      <c r="F93" s="228">
        <v>140.61693</v>
      </c>
      <c r="G93" s="229">
        <v>188.30832000000001</v>
      </c>
      <c r="H93" s="228">
        <v>0</v>
      </c>
      <c r="I93" s="278">
        <v>1338.35582</v>
      </c>
    </row>
    <row r="94" spans="1:9" ht="14" thickBot="1">
      <c r="A94" s="225">
        <v>1549</v>
      </c>
      <c r="B94" s="226" t="s">
        <v>2010</v>
      </c>
      <c r="C94" s="277" t="s">
        <v>2028</v>
      </c>
      <c r="D94" s="228">
        <v>536.81100000000004</v>
      </c>
      <c r="E94" s="229">
        <v>614.07899999999995</v>
      </c>
      <c r="F94" s="228">
        <v>81.492429999999999</v>
      </c>
      <c r="G94" s="229">
        <v>-126.7462</v>
      </c>
      <c r="H94" s="228">
        <v>50</v>
      </c>
      <c r="I94" s="278">
        <v>-172.35373000000001</v>
      </c>
    </row>
    <row r="95" spans="1:9" ht="14" thickBot="1">
      <c r="A95" s="225">
        <v>1551</v>
      </c>
      <c r="B95" s="226" t="s">
        <v>2011</v>
      </c>
      <c r="C95" s="277" t="s">
        <v>2028</v>
      </c>
      <c r="D95" s="228">
        <v>1875.7729999999999</v>
      </c>
      <c r="E95" s="229">
        <v>1572.029</v>
      </c>
      <c r="F95" s="228">
        <v>187.91920999999999</v>
      </c>
      <c r="G95" s="229">
        <v>172.15126000000001</v>
      </c>
      <c r="H95" s="228">
        <v>300</v>
      </c>
      <c r="I95" s="278">
        <v>487.84847000000002</v>
      </c>
    </row>
    <row r="96" spans="1:9" ht="14" thickBot="1">
      <c r="A96" s="225">
        <v>1552</v>
      </c>
      <c r="B96" s="226" t="s">
        <v>2012</v>
      </c>
      <c r="C96" s="277" t="s">
        <v>2028</v>
      </c>
      <c r="D96" s="228">
        <v>0.436</v>
      </c>
      <c r="E96" s="229">
        <v>1E-3</v>
      </c>
      <c r="F96" s="228">
        <v>0.03</v>
      </c>
      <c r="G96" s="229">
        <v>0.29270000000000002</v>
      </c>
      <c r="H96" s="228">
        <v>7.4349999999999999E-2</v>
      </c>
      <c r="I96" s="278">
        <v>0.72030000000000005</v>
      </c>
    </row>
    <row r="97" spans="1:9" ht="14" thickBot="1">
      <c r="A97" s="225">
        <v>1555</v>
      </c>
      <c r="B97" s="226" t="s">
        <v>2013</v>
      </c>
      <c r="C97" s="277" t="s">
        <v>2028</v>
      </c>
      <c r="D97" s="228">
        <v>8018.7</v>
      </c>
      <c r="E97" s="229">
        <v>4661.5</v>
      </c>
      <c r="F97" s="228">
        <v>344.41676000000001</v>
      </c>
      <c r="G97" s="229">
        <v>3509.4065399999999</v>
      </c>
      <c r="H97" s="228">
        <v>1555</v>
      </c>
      <c r="I97" s="278">
        <v>37638.127</v>
      </c>
    </row>
    <row r="98" spans="1:9" ht="14" thickBot="1">
      <c r="A98" s="225">
        <v>1560</v>
      </c>
      <c r="B98" s="226" t="s">
        <v>2014</v>
      </c>
      <c r="C98" s="277" t="s">
        <v>2028</v>
      </c>
      <c r="D98" s="228">
        <v>13014.300999999999</v>
      </c>
      <c r="E98" s="229">
        <v>9862.6029999999992</v>
      </c>
      <c r="F98" s="228">
        <v>991.02856999999995</v>
      </c>
      <c r="G98" s="229">
        <v>2657.3137099999899</v>
      </c>
      <c r="H98" s="228">
        <v>2560.8049999999998</v>
      </c>
      <c r="I98" s="278">
        <v>16861.33512</v>
      </c>
    </row>
    <row r="99" spans="1:9" ht="14" thickBot="1">
      <c r="A99" s="225">
        <v>1562</v>
      </c>
      <c r="B99" s="226" t="s">
        <v>2015</v>
      </c>
      <c r="C99" s="277" t="s">
        <v>2028</v>
      </c>
      <c r="D99" s="228">
        <v>114694.077</v>
      </c>
      <c r="E99" s="229">
        <v>100025.821</v>
      </c>
      <c r="F99" s="228">
        <v>13321.51396</v>
      </c>
      <c r="G99" s="229">
        <v>7277.3771200000001</v>
      </c>
      <c r="H99" s="228">
        <v>44325</v>
      </c>
      <c r="I99" s="278">
        <v>52840.015249999997</v>
      </c>
    </row>
    <row r="100" spans="1:9" ht="14" thickBot="1">
      <c r="A100" s="225">
        <v>1563</v>
      </c>
      <c r="B100" s="226" t="s">
        <v>2016</v>
      </c>
      <c r="C100" s="277" t="s">
        <v>2028</v>
      </c>
      <c r="D100" s="228">
        <v>2534.6709999999998</v>
      </c>
      <c r="E100" s="229">
        <v>2252.1</v>
      </c>
      <c r="F100" s="228">
        <v>640.90876000000003</v>
      </c>
      <c r="G100" s="229">
        <v>-152.26378</v>
      </c>
      <c r="H100" s="228">
        <v>874</v>
      </c>
      <c r="I100" s="278">
        <v>2036.5637099999999</v>
      </c>
    </row>
    <row r="101" spans="1:9" ht="14" thickBot="1">
      <c r="A101" s="225">
        <v>1564</v>
      </c>
      <c r="B101" s="226" t="s">
        <v>2017</v>
      </c>
      <c r="C101" s="277" t="s">
        <v>2028</v>
      </c>
      <c r="D101" s="228">
        <v>732.38400000000001</v>
      </c>
      <c r="E101" s="229">
        <v>650.95299999999997</v>
      </c>
      <c r="F101" s="228">
        <v>-25.60867</v>
      </c>
      <c r="G101" s="229">
        <v>20.888739999999999</v>
      </c>
      <c r="H101" s="228">
        <v>0</v>
      </c>
      <c r="I101" s="278">
        <v>130.11873</v>
      </c>
    </row>
    <row r="102" spans="1:9" ht="14" thickBot="1">
      <c r="A102" s="225">
        <v>1566</v>
      </c>
      <c r="B102" s="226" t="s">
        <v>976</v>
      </c>
      <c r="C102" s="277" t="s">
        <v>2028</v>
      </c>
      <c r="D102" s="228">
        <v>0.77500000000000002</v>
      </c>
      <c r="E102" s="229">
        <v>0</v>
      </c>
      <c r="F102" s="228">
        <v>8.5209999999999994E-2</v>
      </c>
      <c r="G102" s="229">
        <v>0.7591</v>
      </c>
      <c r="H102" s="228">
        <v>0</v>
      </c>
      <c r="I102" s="278">
        <v>0.7591</v>
      </c>
    </row>
    <row r="103" spans="1:9" s="35" customFormat="1" ht="18.75" customHeight="1" thickBot="1">
      <c r="A103" s="246" t="s">
        <v>22</v>
      </c>
      <c r="B103" s="247">
        <v>92</v>
      </c>
      <c r="C103" s="282">
        <v>6</v>
      </c>
      <c r="D103" s="249">
        <v>357143.15600000002</v>
      </c>
      <c r="E103" s="250">
        <v>309913.033</v>
      </c>
      <c r="F103" s="249">
        <v>38165.543740000001</v>
      </c>
      <c r="G103" s="250">
        <v>25948.780159999998</v>
      </c>
      <c r="H103" s="249">
        <v>90653.702480000007</v>
      </c>
      <c r="I103" s="283">
        <v>251362.92199999999</v>
      </c>
    </row>
    <row r="104" spans="1:9" ht="14" thickBot="1">
      <c r="A104" s="256"/>
      <c r="B104" s="257"/>
      <c r="C104" s="284"/>
      <c r="D104" s="259"/>
      <c r="E104" s="259"/>
      <c r="F104" s="260"/>
      <c r="G104" s="259"/>
      <c r="H104" s="261"/>
      <c r="I104" s="262"/>
    </row>
    <row r="105" spans="1:9" ht="14" thickBot="1">
      <c r="A105" s="8" t="s">
        <v>1012</v>
      </c>
      <c r="C105" s="285"/>
      <c r="D105" s="265"/>
      <c r="E105" s="265"/>
      <c r="F105" s="266"/>
      <c r="G105" s="265"/>
      <c r="H105" s="267"/>
      <c r="I105" s="268"/>
    </row>
    <row r="107" spans="1:9">
      <c r="A107" s="3" t="s">
        <v>2029</v>
      </c>
    </row>
    <row r="109" spans="1:9">
      <c r="A109" s="89" t="s">
        <v>1041</v>
      </c>
    </row>
    <row r="110" spans="1:9">
      <c r="A110" s="100"/>
      <c r="B110" s="89" t="s">
        <v>2030</v>
      </c>
    </row>
    <row r="111" spans="1:9">
      <c r="A111" s="100">
        <v>1</v>
      </c>
      <c r="B111" s="89" t="s">
        <v>2031</v>
      </c>
    </row>
    <row r="112" spans="1:9">
      <c r="A112" s="100">
        <v>2</v>
      </c>
      <c r="B112" s="89" t="s">
        <v>2032</v>
      </c>
    </row>
    <row r="113" spans="1:2">
      <c r="A113" s="100">
        <v>3</v>
      </c>
      <c r="B113" s="89" t="s">
        <v>2033</v>
      </c>
    </row>
    <row r="114" spans="1:2">
      <c r="A114" s="100" t="s">
        <v>2034</v>
      </c>
      <c r="B114" s="89" t="s">
        <v>2035</v>
      </c>
    </row>
    <row r="115" spans="1:2">
      <c r="A115" s="100">
        <v>5</v>
      </c>
      <c r="B115" s="89" t="s">
        <v>2036</v>
      </c>
    </row>
    <row r="116" spans="1:2">
      <c r="A116" s="100">
        <v>6</v>
      </c>
      <c r="B116" s="89" t="s">
        <v>2037</v>
      </c>
    </row>
    <row r="117" spans="1:2">
      <c r="A117" s="100">
        <v>7</v>
      </c>
      <c r="B117" s="89" t="s">
        <v>2038</v>
      </c>
    </row>
    <row r="120" spans="1:2">
      <c r="A120" s="3" t="s">
        <v>256</v>
      </c>
    </row>
  </sheetData>
  <phoneticPr fontId="0" type="noConversion"/>
  <pageMargins left="0.51" right="0.35" top="0.62" bottom="0.56999999999999995" header="0.36" footer="0.28000000000000003"/>
  <pageSetup paperSize="9" scale="70" fitToHeight="2" pageOrder="overThenDown" orientation="portrait" horizontalDpi="1200" verticalDpi="1200"/>
  <headerFooter alignWithMargins="0">
    <oddHeader>&amp;L&amp;"Arial,Bold"Individuelle Daten pro Versicherer</oddHeader>
    <oddFooter>&amp;L&amp;P/&amp;N</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82E93-E933-9047-BFB9-32AF127EE260}">
  <sheetPr>
    <pageSetUpPr fitToPage="1"/>
  </sheetPr>
  <dimension ref="A1:O30"/>
  <sheetViews>
    <sheetView topLeftCell="A19" zoomScale="75" zoomScaleNormal="75" workbookViewId="0">
      <selection activeCell="B41" sqref="B41"/>
    </sheetView>
  </sheetViews>
  <sheetFormatPr baseColWidth="10" defaultColWidth="11.3984375" defaultRowHeight="13"/>
  <cols>
    <col min="1" max="1" width="5.796875" style="3" customWidth="1"/>
    <col min="2" max="2" width="35.19921875" style="100" customWidth="1"/>
    <col min="3" max="3" width="10.796875" style="100" customWidth="1"/>
    <col min="4" max="4" width="11.19921875" style="100" customWidth="1"/>
    <col min="5" max="5" width="10.19921875" style="42" customWidth="1"/>
    <col min="6" max="6" width="14.796875" style="42" customWidth="1"/>
    <col min="7" max="7" width="14.19921875" style="3" customWidth="1"/>
    <col min="8" max="8" width="7.59765625" style="172" customWidth="1"/>
    <col min="9" max="9" width="26.19921875" style="3" customWidth="1"/>
    <col min="10" max="16384" width="11.3984375" style="3"/>
  </cols>
  <sheetData>
    <row r="1" spans="1:9" s="1" customFormat="1" ht="14" customHeight="1">
      <c r="A1" s="134"/>
      <c r="B1" s="135"/>
      <c r="C1" s="135"/>
      <c r="D1" s="135"/>
      <c r="E1" s="134"/>
      <c r="F1" s="136"/>
      <c r="G1" s="134"/>
      <c r="H1" s="137"/>
      <c r="I1" s="134"/>
    </row>
    <row r="2" spans="1:9" s="1" customFormat="1" ht="19.5" customHeight="1">
      <c r="A2" s="76" t="s">
        <v>278</v>
      </c>
      <c r="C2" s="135"/>
      <c r="D2" s="135"/>
      <c r="E2" s="136"/>
      <c r="F2" s="136"/>
      <c r="G2" s="138"/>
      <c r="H2" s="137"/>
      <c r="I2" s="76">
        <v>2003</v>
      </c>
    </row>
    <row r="3" spans="1:9" s="1" customFormat="1" ht="11.25" customHeight="1">
      <c r="A3" s="134"/>
      <c r="B3" s="134"/>
      <c r="C3" s="135"/>
      <c r="D3" s="135"/>
      <c r="E3" s="136"/>
      <c r="F3" s="136"/>
      <c r="G3" s="134"/>
      <c r="H3" s="137"/>
      <c r="I3" s="134"/>
    </row>
    <row r="4" spans="1:9" ht="18" customHeight="1">
      <c r="A4" s="139" t="s">
        <v>1008</v>
      </c>
      <c r="B4" s="139" t="s">
        <v>952</v>
      </c>
      <c r="C4" s="140" t="s">
        <v>953</v>
      </c>
      <c r="D4" s="141" t="s">
        <v>954</v>
      </c>
      <c r="E4" s="142" t="s">
        <v>955</v>
      </c>
      <c r="F4" s="143" t="s">
        <v>956</v>
      </c>
      <c r="G4" s="140" t="s">
        <v>957</v>
      </c>
      <c r="H4" s="144" t="s">
        <v>958</v>
      </c>
      <c r="I4" s="141"/>
    </row>
    <row r="5" spans="1:9" ht="15" customHeight="1">
      <c r="A5" s="145" t="s">
        <v>959</v>
      </c>
      <c r="B5" s="145"/>
      <c r="C5" s="146"/>
      <c r="D5" s="147" t="s">
        <v>960</v>
      </c>
      <c r="E5" s="148" t="s">
        <v>961</v>
      </c>
      <c r="F5" s="149" t="s">
        <v>962</v>
      </c>
      <c r="G5" s="146" t="s">
        <v>963</v>
      </c>
      <c r="H5" s="150" t="s">
        <v>1009</v>
      </c>
      <c r="I5" s="147"/>
    </row>
    <row r="6" spans="1:9" ht="15" customHeight="1">
      <c r="A6" s="145"/>
      <c r="B6" s="145"/>
      <c r="C6" s="146"/>
      <c r="D6" s="147" t="s">
        <v>1010</v>
      </c>
      <c r="E6" s="148"/>
      <c r="F6" s="149"/>
      <c r="G6" s="146" t="s">
        <v>964</v>
      </c>
      <c r="H6" s="151"/>
      <c r="I6" s="147"/>
    </row>
    <row r="7" spans="1:9" ht="18" customHeight="1">
      <c r="A7" s="152"/>
      <c r="B7" s="153"/>
      <c r="C7" s="154"/>
      <c r="D7" s="155"/>
      <c r="E7" s="156"/>
      <c r="F7" s="157"/>
      <c r="G7" s="154"/>
      <c r="H7" s="158"/>
      <c r="I7" s="155"/>
    </row>
    <row r="8" spans="1:9" ht="30" customHeight="1" thickBot="1">
      <c r="A8" s="159">
        <v>1032</v>
      </c>
      <c r="B8" s="160" t="s">
        <v>967</v>
      </c>
      <c r="C8" s="161">
        <v>36159</v>
      </c>
      <c r="D8" s="162" t="s">
        <v>968</v>
      </c>
      <c r="E8" s="163" t="s">
        <v>969</v>
      </c>
      <c r="F8" s="162" t="s">
        <v>969</v>
      </c>
      <c r="G8" s="163" t="s">
        <v>969</v>
      </c>
      <c r="H8" s="164" t="s">
        <v>969</v>
      </c>
      <c r="I8" s="162" t="s">
        <v>969</v>
      </c>
    </row>
    <row r="9" spans="1:9" ht="30" customHeight="1" thickBot="1">
      <c r="A9" s="159">
        <v>1534</v>
      </c>
      <c r="B9" s="160" t="s">
        <v>970</v>
      </c>
      <c r="C9" s="161">
        <v>36160</v>
      </c>
      <c r="D9" s="162" t="s">
        <v>968</v>
      </c>
      <c r="E9" s="163" t="s">
        <v>969</v>
      </c>
      <c r="F9" s="162" t="s">
        <v>969</v>
      </c>
      <c r="G9" s="163" t="s">
        <v>969</v>
      </c>
      <c r="H9" s="164" t="s">
        <v>969</v>
      </c>
      <c r="I9" s="162" t="s">
        <v>969</v>
      </c>
    </row>
    <row r="10" spans="1:9" ht="30" customHeight="1" thickBot="1">
      <c r="A10" s="159">
        <v>743</v>
      </c>
      <c r="B10" s="160" t="s">
        <v>971</v>
      </c>
      <c r="C10" s="161">
        <v>36160</v>
      </c>
      <c r="D10" s="162" t="s">
        <v>968</v>
      </c>
      <c r="E10" s="163" t="s">
        <v>969</v>
      </c>
      <c r="F10" s="162" t="s">
        <v>969</v>
      </c>
      <c r="G10" s="163" t="s">
        <v>969</v>
      </c>
      <c r="H10" s="164">
        <v>941</v>
      </c>
      <c r="I10" s="162" t="s">
        <v>972</v>
      </c>
    </row>
    <row r="11" spans="1:9" ht="30" customHeight="1" thickBot="1">
      <c r="A11" s="159">
        <v>312</v>
      </c>
      <c r="B11" s="160" t="s">
        <v>973</v>
      </c>
      <c r="C11" s="161">
        <v>36160</v>
      </c>
      <c r="D11" s="162" t="s">
        <v>969</v>
      </c>
      <c r="E11" s="163" t="s">
        <v>969</v>
      </c>
      <c r="F11" s="162" t="s">
        <v>974</v>
      </c>
      <c r="G11" s="163" t="s">
        <v>969</v>
      </c>
      <c r="H11" s="164" t="s">
        <v>969</v>
      </c>
      <c r="I11" s="162" t="s">
        <v>969</v>
      </c>
    </row>
    <row r="12" spans="1:9" ht="30" customHeight="1" thickBot="1">
      <c r="A12" s="159">
        <v>1565</v>
      </c>
      <c r="B12" s="160" t="s">
        <v>975</v>
      </c>
      <c r="C12" s="161">
        <v>36160</v>
      </c>
      <c r="D12" s="162" t="s">
        <v>969</v>
      </c>
      <c r="E12" s="163" t="s">
        <v>968</v>
      </c>
      <c r="F12" s="162" t="s">
        <v>969</v>
      </c>
      <c r="G12" s="163" t="s">
        <v>969</v>
      </c>
      <c r="H12" s="164" t="s">
        <v>969</v>
      </c>
      <c r="I12" s="162" t="s">
        <v>969</v>
      </c>
    </row>
    <row r="13" spans="1:9" ht="30" customHeight="1" thickBot="1">
      <c r="A13" s="159">
        <v>1566</v>
      </c>
      <c r="B13" s="160" t="s">
        <v>976</v>
      </c>
      <c r="C13" s="161">
        <v>36160</v>
      </c>
      <c r="D13" s="162" t="s">
        <v>969</v>
      </c>
      <c r="E13" s="163" t="s">
        <v>968</v>
      </c>
      <c r="F13" s="162" t="s">
        <v>969</v>
      </c>
      <c r="G13" s="163" t="s">
        <v>969</v>
      </c>
      <c r="H13" s="164" t="s">
        <v>969</v>
      </c>
      <c r="I13" s="162" t="s">
        <v>969</v>
      </c>
    </row>
    <row r="14" spans="1:9" ht="30" customHeight="1" thickBot="1">
      <c r="A14" s="159">
        <v>8</v>
      </c>
      <c r="B14" s="160" t="s">
        <v>977</v>
      </c>
      <c r="C14" s="161">
        <v>36524</v>
      </c>
      <c r="D14" s="162" t="s">
        <v>969</v>
      </c>
      <c r="E14" s="163" t="s">
        <v>969</v>
      </c>
      <c r="F14" s="162" t="s">
        <v>968</v>
      </c>
      <c r="G14" s="163" t="s">
        <v>969</v>
      </c>
      <c r="H14" s="164">
        <v>8</v>
      </c>
      <c r="I14" s="162" t="s">
        <v>978</v>
      </c>
    </row>
    <row r="15" spans="1:9" ht="30" customHeight="1" thickBot="1">
      <c r="A15" s="159">
        <v>182</v>
      </c>
      <c r="B15" s="160" t="s">
        <v>979</v>
      </c>
      <c r="C15" s="161">
        <v>36524</v>
      </c>
      <c r="D15" s="162" t="s">
        <v>969</v>
      </c>
      <c r="E15" s="163" t="s">
        <v>969</v>
      </c>
      <c r="F15" s="162" t="s">
        <v>968</v>
      </c>
      <c r="G15" s="163" t="s">
        <v>969</v>
      </c>
      <c r="H15" s="164">
        <v>182</v>
      </c>
      <c r="I15" s="162" t="s">
        <v>980</v>
      </c>
    </row>
    <row r="16" spans="1:9" ht="30" customHeight="1" thickBot="1">
      <c r="A16" s="159">
        <v>774</v>
      </c>
      <c r="B16" s="160" t="s">
        <v>981</v>
      </c>
      <c r="C16" s="161">
        <v>36524</v>
      </c>
      <c r="D16" s="162" t="s">
        <v>969</v>
      </c>
      <c r="E16" s="163" t="s">
        <v>969</v>
      </c>
      <c r="F16" s="162" t="s">
        <v>968</v>
      </c>
      <c r="G16" s="163" t="s">
        <v>969</v>
      </c>
      <c r="H16" s="164">
        <v>774</v>
      </c>
      <c r="I16" s="162" t="s">
        <v>982</v>
      </c>
    </row>
    <row r="17" spans="1:15" ht="30" customHeight="1" thickBot="1">
      <c r="A17" s="159">
        <v>1318</v>
      </c>
      <c r="B17" s="160" t="s">
        <v>983</v>
      </c>
      <c r="C17" s="161">
        <v>36524</v>
      </c>
      <c r="D17" s="162" t="s">
        <v>969</v>
      </c>
      <c r="E17" s="163" t="s">
        <v>969</v>
      </c>
      <c r="F17" s="162" t="s">
        <v>968</v>
      </c>
      <c r="G17" s="163" t="s">
        <v>969</v>
      </c>
      <c r="H17" s="164">
        <v>1318</v>
      </c>
      <c r="I17" s="162" t="s">
        <v>984</v>
      </c>
    </row>
    <row r="18" spans="1:15" ht="30" customHeight="1" thickBot="1">
      <c r="A18" s="159">
        <v>1509</v>
      </c>
      <c r="B18" s="160" t="s">
        <v>985</v>
      </c>
      <c r="C18" s="161">
        <v>36524</v>
      </c>
      <c r="D18" s="162" t="s">
        <v>969</v>
      </c>
      <c r="E18" s="163" t="s">
        <v>969</v>
      </c>
      <c r="F18" s="162" t="s">
        <v>968</v>
      </c>
      <c r="G18" s="163" t="s">
        <v>969</v>
      </c>
      <c r="H18" s="164">
        <v>1509</v>
      </c>
      <c r="I18" s="162" t="s">
        <v>986</v>
      </c>
    </row>
    <row r="19" spans="1:15" ht="30" customHeight="1" thickBot="1">
      <c r="A19" s="159">
        <v>261</v>
      </c>
      <c r="B19" s="160" t="s">
        <v>987</v>
      </c>
      <c r="C19" s="161">
        <v>36403</v>
      </c>
      <c r="D19" s="162" t="s">
        <v>969</v>
      </c>
      <c r="E19" s="163" t="s">
        <v>969</v>
      </c>
      <c r="F19" s="162" t="s">
        <v>988</v>
      </c>
      <c r="G19" s="163" t="s">
        <v>965</v>
      </c>
      <c r="H19" s="164" t="s">
        <v>969</v>
      </c>
      <c r="I19" s="162" t="s">
        <v>969</v>
      </c>
    </row>
    <row r="20" spans="1:15" ht="30" customHeight="1" thickBot="1">
      <c r="A20" s="159" t="s">
        <v>969</v>
      </c>
      <c r="B20" s="160" t="s">
        <v>969</v>
      </c>
      <c r="C20" s="161" t="s">
        <v>969</v>
      </c>
      <c r="D20" s="162" t="s">
        <v>969</v>
      </c>
      <c r="E20" s="163" t="s">
        <v>969</v>
      </c>
      <c r="F20" s="162" t="s">
        <v>969</v>
      </c>
      <c r="G20" s="163" t="s">
        <v>969</v>
      </c>
      <c r="H20" s="164" t="s">
        <v>969</v>
      </c>
      <c r="I20" s="162" t="s">
        <v>969</v>
      </c>
    </row>
    <row r="21" spans="1:15" s="170" customFormat="1" ht="30" customHeight="1" thickBot="1">
      <c r="A21" s="165" t="s">
        <v>969</v>
      </c>
      <c r="B21" s="166" t="s">
        <v>22</v>
      </c>
      <c r="C21" s="167" t="s">
        <v>969</v>
      </c>
      <c r="D21" s="168">
        <v>3</v>
      </c>
      <c r="E21" s="169">
        <v>2</v>
      </c>
      <c r="F21" s="168">
        <v>7</v>
      </c>
      <c r="G21" s="169">
        <v>0</v>
      </c>
      <c r="H21" s="168">
        <v>6</v>
      </c>
      <c r="I21" s="168" t="s">
        <v>969</v>
      </c>
    </row>
    <row r="22" spans="1:15">
      <c r="B22" s="171"/>
    </row>
    <row r="23" spans="1:15">
      <c r="A23" s="173" t="s">
        <v>1012</v>
      </c>
      <c r="G23" s="8"/>
      <c r="I23" s="8"/>
      <c r="J23"/>
      <c r="K23"/>
      <c r="L23"/>
      <c r="M23"/>
      <c r="N23"/>
      <c r="O23"/>
    </row>
    <row r="24" spans="1:15">
      <c r="A24" s="173"/>
      <c r="G24" s="8"/>
      <c r="I24" s="8"/>
      <c r="J24"/>
      <c r="K24"/>
      <c r="L24"/>
      <c r="M24"/>
      <c r="N24"/>
      <c r="O24"/>
    </row>
    <row r="25" spans="1:15">
      <c r="A25" s="174" t="s">
        <v>1011</v>
      </c>
      <c r="G25" s="8"/>
      <c r="I25" s="8"/>
      <c r="J25"/>
      <c r="K25"/>
      <c r="L25"/>
      <c r="M25"/>
      <c r="N25"/>
      <c r="O25"/>
    </row>
    <row r="26" spans="1:15">
      <c r="A26" s="175"/>
      <c r="J26"/>
      <c r="K26"/>
      <c r="L26"/>
      <c r="M26"/>
      <c r="N26"/>
      <c r="O26"/>
    </row>
    <row r="27" spans="1:15">
      <c r="A27" s="89" t="s">
        <v>966</v>
      </c>
    </row>
    <row r="28" spans="1:15">
      <c r="A28" s="89"/>
    </row>
    <row r="29" spans="1:15">
      <c r="A29" s="89"/>
    </row>
    <row r="30" spans="1:15">
      <c r="A30" s="89" t="s">
        <v>256</v>
      </c>
    </row>
  </sheetData>
  <phoneticPr fontId="0" type="noConversion"/>
  <pageMargins left="0.6" right="0.55000000000000004" top="0.62992125984251968" bottom="0.74803149606299213" header="0.31496062992125984" footer="0.27559055118110237"/>
  <pageSetup paperSize="9" scale="65" pageOrder="overThenDown" orientation="portrait" horizontalDpi="1200" verticalDpi="1200"/>
  <headerFooter alignWithMargins="0">
    <oddHeader>&amp;L&amp;"Arial,Bold"Individuelle Daten pro Versicherer</oddHead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2C4B1-2DD9-DB40-9258-2F318BB5BC9D}">
  <sheetPr>
    <pageSetUpPr fitToPage="1"/>
  </sheetPr>
  <dimension ref="A1:B11"/>
  <sheetViews>
    <sheetView workbookViewId="0">
      <selection sqref="A1:H14"/>
    </sheetView>
  </sheetViews>
  <sheetFormatPr baseColWidth="10" defaultColWidth="11.3984375" defaultRowHeight="13"/>
  <cols>
    <col min="1" max="1" width="5.59765625" style="647" customWidth="1"/>
    <col min="2" max="16384" width="11.3984375" style="647"/>
  </cols>
  <sheetData>
    <row r="1" spans="1:2" ht="16">
      <c r="A1" s="646" t="s">
        <v>1423</v>
      </c>
    </row>
    <row r="2" spans="1:2" ht="16">
      <c r="A2" s="648"/>
    </row>
    <row r="3" spans="1:2">
      <c r="A3" s="647">
        <v>6.01</v>
      </c>
      <c r="B3" s="649" t="s">
        <v>1424</v>
      </c>
    </row>
    <row r="4" spans="1:2">
      <c r="A4" s="647">
        <v>6.02</v>
      </c>
      <c r="B4" s="649" t="s">
        <v>1425</v>
      </c>
    </row>
    <row r="5" spans="1:2">
      <c r="A5" s="647">
        <v>6.03</v>
      </c>
      <c r="B5" s="649" t="s">
        <v>1426</v>
      </c>
    </row>
    <row r="6" spans="1:2">
      <c r="A6" s="647">
        <v>6.04</v>
      </c>
      <c r="B6" s="649" t="s">
        <v>1427</v>
      </c>
    </row>
    <row r="7" spans="1:2">
      <c r="A7" s="647">
        <v>6.05</v>
      </c>
      <c r="B7" s="649" t="s">
        <v>1428</v>
      </c>
    </row>
    <row r="8" spans="1:2">
      <c r="A8" s="647">
        <v>6.06</v>
      </c>
      <c r="B8" s="649" t="s">
        <v>1429</v>
      </c>
    </row>
    <row r="11" spans="1:2">
      <c r="A11" s="650" t="s">
        <v>256</v>
      </c>
    </row>
  </sheetData>
  <phoneticPr fontId="21" type="noConversion"/>
  <pageMargins left="0.46" right="0.35" top="0.69" bottom="0.984251969" header="0.36" footer="0.4921259845"/>
  <pageSetup paperSize="9" orientation="portrait"/>
  <headerFooter alignWithMargins="0"/>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1B3C9-463D-B248-9035-E288D311A602}">
  <sheetPr>
    <pageSetUpPr fitToPage="1"/>
  </sheetPr>
  <dimension ref="A1:H24"/>
  <sheetViews>
    <sheetView topLeftCell="A7" zoomScale="75" workbookViewId="0">
      <selection sqref="A1:G24"/>
    </sheetView>
  </sheetViews>
  <sheetFormatPr baseColWidth="10" defaultColWidth="11.3984375" defaultRowHeight="13"/>
  <cols>
    <col min="1" max="1" width="16.796875" style="3" customWidth="1"/>
    <col min="2" max="7" width="14.796875" style="3" customWidth="1"/>
    <col min="8" max="16384" width="11.3984375" style="3"/>
  </cols>
  <sheetData>
    <row r="1" spans="1:8" s="1" customFormat="1" ht="14" customHeight="1"/>
    <row r="2" spans="1:8" s="1" customFormat="1" ht="28" customHeight="1">
      <c r="A2" s="76" t="s">
        <v>1390</v>
      </c>
      <c r="G2" s="76">
        <v>2003</v>
      </c>
    </row>
    <row r="3" spans="1:8" ht="24" customHeight="1">
      <c r="A3" s="2" t="s">
        <v>1400</v>
      </c>
      <c r="B3" s="69" t="s">
        <v>384</v>
      </c>
      <c r="C3" s="16" t="s">
        <v>1486</v>
      </c>
      <c r="D3" s="69" t="s">
        <v>338</v>
      </c>
      <c r="E3" s="16" t="s">
        <v>1391</v>
      </c>
      <c r="F3" s="69" t="s">
        <v>1392</v>
      </c>
      <c r="G3" s="91" t="s">
        <v>24</v>
      </c>
    </row>
    <row r="4" spans="1:8" ht="15" customHeight="1">
      <c r="A4" s="77"/>
      <c r="B4" s="70" t="s">
        <v>1925</v>
      </c>
      <c r="C4" s="17" t="s">
        <v>1393</v>
      </c>
      <c r="D4" s="70" t="s">
        <v>1925</v>
      </c>
      <c r="E4" s="17" t="s">
        <v>1394</v>
      </c>
      <c r="F4" s="70" t="s">
        <v>1395</v>
      </c>
      <c r="G4" s="4" t="s">
        <v>25</v>
      </c>
    </row>
    <row r="5" spans="1:8" ht="15" customHeight="1">
      <c r="A5" s="77"/>
      <c r="B5" s="70"/>
      <c r="C5" s="17" t="s">
        <v>334</v>
      </c>
      <c r="D5" s="70"/>
      <c r="E5" s="17" t="s">
        <v>334</v>
      </c>
      <c r="F5" s="70" t="s">
        <v>1396</v>
      </c>
      <c r="G5" s="4" t="s">
        <v>26</v>
      </c>
    </row>
    <row r="6" spans="1:8" ht="24" customHeight="1" thickBot="1">
      <c r="A6" s="78"/>
      <c r="B6" s="73"/>
      <c r="C6" s="18" t="s">
        <v>1397</v>
      </c>
      <c r="D6" s="73"/>
      <c r="E6" s="18" t="s">
        <v>1397</v>
      </c>
      <c r="F6" s="73"/>
      <c r="G6" s="5"/>
    </row>
    <row r="7" spans="1:8" ht="30" customHeight="1" thickBot="1">
      <c r="A7" s="80">
        <v>1994</v>
      </c>
      <c r="B7" s="622">
        <v>1057650000</v>
      </c>
      <c r="C7" s="632">
        <v>318.09835740161776</v>
      </c>
      <c r="D7" s="622">
        <v>983235000</v>
      </c>
      <c r="E7" s="632">
        <v>295.71733412733857</v>
      </c>
      <c r="F7" s="622">
        <v>3324915</v>
      </c>
      <c r="G7" s="343">
        <v>6.8528664295382902E-2</v>
      </c>
      <c r="H7" s="42"/>
    </row>
    <row r="8" spans="1:8" ht="20" customHeight="1" thickBot="1">
      <c r="A8" s="80">
        <v>1995</v>
      </c>
      <c r="B8" s="622">
        <v>1078822000</v>
      </c>
      <c r="C8" s="632">
        <v>329.71181366833588</v>
      </c>
      <c r="D8" s="622">
        <v>1017388000</v>
      </c>
      <c r="E8" s="632">
        <v>310.93622737059582</v>
      </c>
      <c r="F8" s="622">
        <v>3272015</v>
      </c>
      <c r="G8" s="343">
        <v>-1.591018116252596E-2</v>
      </c>
    </row>
    <row r="9" spans="1:8" ht="20" customHeight="1" thickBot="1">
      <c r="A9" s="80">
        <v>1996</v>
      </c>
      <c r="B9" s="622">
        <v>834293460.30999994</v>
      </c>
      <c r="C9" s="632">
        <v>376.29671172369871</v>
      </c>
      <c r="D9" s="622">
        <v>872501911.04999995</v>
      </c>
      <c r="E9" s="632">
        <v>393.53011346722496</v>
      </c>
      <c r="F9" s="622">
        <v>2217116</v>
      </c>
      <c r="G9" s="343">
        <v>-0.32240041686850457</v>
      </c>
    </row>
    <row r="10" spans="1:8" ht="20" customHeight="1" thickBot="1">
      <c r="A10" s="80">
        <v>1997</v>
      </c>
      <c r="B10" s="622">
        <v>560570162</v>
      </c>
      <c r="C10" s="632">
        <v>392.67</v>
      </c>
      <c r="D10" s="622">
        <v>621526120</v>
      </c>
      <c r="E10" s="632">
        <v>435.36</v>
      </c>
      <c r="F10" s="622">
        <v>1427603</v>
      </c>
      <c r="G10" s="343">
        <v>-0.35609909449934057</v>
      </c>
    </row>
    <row r="11" spans="1:8" ht="20" customHeight="1" thickBot="1">
      <c r="A11" s="80">
        <v>1998</v>
      </c>
      <c r="B11" s="622">
        <v>511396331</v>
      </c>
      <c r="C11" s="632">
        <v>426.81</v>
      </c>
      <c r="D11" s="622">
        <v>456362591</v>
      </c>
      <c r="E11" s="632">
        <v>380.88</v>
      </c>
      <c r="F11" s="622">
        <v>1198191</v>
      </c>
      <c r="G11" s="343">
        <v>-0.16069733672456557</v>
      </c>
    </row>
    <row r="12" spans="1:8" ht="20" customHeight="1" thickBot="1">
      <c r="A12" s="80">
        <v>1999</v>
      </c>
      <c r="B12" s="622">
        <v>464483007</v>
      </c>
      <c r="C12" s="632">
        <v>435.18</v>
      </c>
      <c r="D12" s="622">
        <v>412149153</v>
      </c>
      <c r="E12" s="632">
        <v>386.14</v>
      </c>
      <c r="F12" s="622">
        <v>1067344</v>
      </c>
      <c r="G12" s="343">
        <v>-0.1092037913821753</v>
      </c>
    </row>
    <row r="13" spans="1:8" ht="20" customHeight="1" thickBot="1">
      <c r="A13" s="80">
        <v>2000</v>
      </c>
      <c r="B13" s="622">
        <v>439226020</v>
      </c>
      <c r="C13" s="632">
        <v>461.5</v>
      </c>
      <c r="D13" s="622">
        <v>381639920</v>
      </c>
      <c r="E13" s="632">
        <v>400.99</v>
      </c>
      <c r="F13" s="622">
        <v>951742</v>
      </c>
      <c r="G13" s="343">
        <v>-0.10830809935690837</v>
      </c>
    </row>
    <row r="14" spans="1:8" ht="20" customHeight="1" thickBot="1">
      <c r="A14" s="80">
        <v>2001</v>
      </c>
      <c r="B14" s="622">
        <v>400711889</v>
      </c>
      <c r="C14" s="632">
        <v>461</v>
      </c>
      <c r="D14" s="622">
        <v>351971371</v>
      </c>
      <c r="E14" s="632">
        <v>405</v>
      </c>
      <c r="F14" s="622">
        <v>868760</v>
      </c>
      <c r="G14" s="343">
        <v>-8.7189595499620701E-2</v>
      </c>
    </row>
    <row r="15" spans="1:8" ht="20" customHeight="1" thickBot="1">
      <c r="A15" s="80">
        <v>2002</v>
      </c>
      <c r="B15" s="622">
        <v>371743676</v>
      </c>
      <c r="C15" s="632">
        <v>472.03</v>
      </c>
      <c r="D15" s="622">
        <v>329149106</v>
      </c>
      <c r="E15" s="632">
        <v>417.95</v>
      </c>
      <c r="F15" s="622">
        <v>787539</v>
      </c>
      <c r="G15" s="343">
        <v>-9.3490722408950691E-2</v>
      </c>
    </row>
    <row r="16" spans="1:8" ht="30" customHeight="1" thickBot="1">
      <c r="A16" s="621">
        <v>2003</v>
      </c>
      <c r="B16" s="114">
        <v>357143156</v>
      </c>
      <c r="C16" s="115">
        <v>512.29999999999995</v>
      </c>
      <c r="D16" s="114">
        <v>309913033</v>
      </c>
      <c r="E16" s="115">
        <v>444.55</v>
      </c>
      <c r="F16" s="114">
        <v>697140</v>
      </c>
      <c r="G16" s="536">
        <v>-0.11478669627789861</v>
      </c>
    </row>
    <row r="17" spans="1:7" ht="20" customHeight="1">
      <c r="A17" s="9" t="s">
        <v>379</v>
      </c>
      <c r="B17" s="9"/>
      <c r="C17" s="9"/>
      <c r="D17" s="9"/>
      <c r="E17" s="9"/>
      <c r="F17" s="9"/>
      <c r="G17" s="9"/>
    </row>
    <row r="18" spans="1:7" ht="13.5" customHeight="1">
      <c r="A18" s="37"/>
      <c r="B18" s="37"/>
      <c r="C18" s="37"/>
      <c r="D18" s="37"/>
      <c r="E18" s="37"/>
      <c r="F18" s="37"/>
      <c r="G18" s="37"/>
    </row>
    <row r="19" spans="1:7" ht="15.75" customHeight="1">
      <c r="A19" s="37" t="s">
        <v>1398</v>
      </c>
      <c r="B19" s="37"/>
      <c r="C19" s="37"/>
      <c r="D19" s="37"/>
      <c r="E19" s="37"/>
      <c r="F19" s="37"/>
      <c r="G19" s="37"/>
    </row>
    <row r="20" spans="1:7" ht="14.25" customHeight="1">
      <c r="A20" s="37"/>
      <c r="B20" s="37"/>
      <c r="C20" s="37"/>
      <c r="D20" s="37"/>
      <c r="E20" s="37"/>
      <c r="F20" s="37"/>
      <c r="G20" s="37"/>
    </row>
    <row r="21" spans="1:7" ht="12.75" customHeight="1">
      <c r="A21" s="37" t="s">
        <v>1399</v>
      </c>
      <c r="B21" s="37"/>
      <c r="C21" s="37"/>
      <c r="D21" s="37"/>
      <c r="E21" s="37"/>
      <c r="F21" s="37"/>
      <c r="G21" s="37"/>
    </row>
    <row r="24" spans="1:7">
      <c r="A24" s="3" t="s">
        <v>256</v>
      </c>
    </row>
  </sheetData>
  <phoneticPr fontId="0" type="noConversion"/>
  <pageMargins left="0.62" right="0.64" top="1.01" bottom="0.49" header="0.53" footer="0.4921259845"/>
  <pageSetup paperSize="9" scale="86" orientation="portrait" horizontalDpi="4294967292" verticalDpi="4294967292"/>
  <headerFooter alignWithMargins="0">
    <oddHeader>&amp;L&amp;"Arial,Bold"Freiwillige Taggeldversicherung KVG</oddHead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DCECB-0B41-9845-88E1-B783590C889A}">
  <sheetPr>
    <pageSetUpPr fitToPage="1"/>
  </sheetPr>
  <dimension ref="A1:K24"/>
  <sheetViews>
    <sheetView zoomScale="75" workbookViewId="0"/>
  </sheetViews>
  <sheetFormatPr baseColWidth="10" defaultColWidth="11.3984375" defaultRowHeight="13"/>
  <cols>
    <col min="1" max="1" width="16.796875" style="3" customWidth="1"/>
    <col min="2" max="2" width="14.796875" style="3" customWidth="1"/>
    <col min="3" max="3" width="14.796875" style="100" customWidth="1"/>
    <col min="4" max="4" width="14.796875" style="3" customWidth="1"/>
    <col min="5" max="5" width="14.796875" style="100" customWidth="1"/>
    <col min="6" max="6" width="14.796875" style="3" customWidth="1"/>
    <col min="7" max="7" width="14.796875" style="100" customWidth="1"/>
    <col min="8" max="16384" width="11.3984375" style="3"/>
  </cols>
  <sheetData>
    <row r="1" spans="1:11" s="1" customFormat="1" ht="14" customHeight="1">
      <c r="C1" s="90"/>
      <c r="E1" s="90"/>
      <c r="G1" s="90"/>
    </row>
    <row r="2" spans="1:11" s="1" customFormat="1" ht="28" customHeight="1">
      <c r="A2" s="76" t="s">
        <v>1379</v>
      </c>
      <c r="C2" s="90"/>
      <c r="E2" s="90"/>
      <c r="G2" s="76">
        <v>2003</v>
      </c>
    </row>
    <row r="3" spans="1:11" ht="24" customHeight="1">
      <c r="A3" s="2" t="s">
        <v>1591</v>
      </c>
      <c r="B3" s="69" t="s">
        <v>1380</v>
      </c>
      <c r="C3" s="91" t="s">
        <v>24</v>
      </c>
      <c r="D3" s="69" t="s">
        <v>1381</v>
      </c>
      <c r="E3" s="91" t="s">
        <v>24</v>
      </c>
      <c r="F3" s="69" t="s">
        <v>2020</v>
      </c>
      <c r="G3" s="91" t="s">
        <v>24</v>
      </c>
    </row>
    <row r="4" spans="1:11" ht="15" customHeight="1">
      <c r="A4" s="77"/>
      <c r="B4" s="70" t="s">
        <v>2020</v>
      </c>
      <c r="C4" s="4" t="s">
        <v>25</v>
      </c>
      <c r="D4" s="70" t="s">
        <v>1382</v>
      </c>
      <c r="E4" s="4" t="s">
        <v>25</v>
      </c>
      <c r="F4" s="70" t="s">
        <v>1383</v>
      </c>
      <c r="G4" s="4" t="s">
        <v>25</v>
      </c>
    </row>
    <row r="5" spans="1:11" ht="15" customHeight="1">
      <c r="A5" s="77"/>
      <c r="B5" s="70" t="s">
        <v>1387</v>
      </c>
      <c r="C5" s="4" t="s">
        <v>26</v>
      </c>
      <c r="D5" s="70" t="s">
        <v>1384</v>
      </c>
      <c r="E5" s="4" t="s">
        <v>26</v>
      </c>
      <c r="F5" s="70" t="s">
        <v>1388</v>
      </c>
      <c r="G5" s="4" t="s">
        <v>26</v>
      </c>
    </row>
    <row r="6" spans="1:11" ht="24" customHeight="1" thickBot="1">
      <c r="A6" s="78"/>
      <c r="B6" s="73"/>
      <c r="C6" s="5"/>
      <c r="D6" s="73" t="s">
        <v>1389</v>
      </c>
      <c r="E6" s="5"/>
      <c r="F6" s="73"/>
      <c r="G6" s="5"/>
    </row>
    <row r="7" spans="1:11" ht="30" customHeight="1" thickBot="1">
      <c r="A7" s="80">
        <v>1994</v>
      </c>
      <c r="B7" s="29">
        <v>1062816459</v>
      </c>
      <c r="C7" s="343" t="s">
        <v>258</v>
      </c>
      <c r="D7" s="29">
        <v>1094518000</v>
      </c>
      <c r="E7" s="343" t="s">
        <v>258</v>
      </c>
      <c r="F7" s="29">
        <v>-31701541</v>
      </c>
      <c r="G7" s="343" t="s">
        <v>258</v>
      </c>
      <c r="H7" s="42"/>
    </row>
    <row r="8" spans="1:11" ht="20" customHeight="1" thickBot="1">
      <c r="A8" s="80">
        <v>1995</v>
      </c>
      <c r="B8" s="29">
        <v>1085790660</v>
      </c>
      <c r="C8" s="343">
        <v>2.1616339119942065E-2</v>
      </c>
      <c r="D8" s="29">
        <v>1112474000</v>
      </c>
      <c r="E8" s="343">
        <v>1.6405394886150799E-2</v>
      </c>
      <c r="F8" s="29">
        <v>-26683340</v>
      </c>
      <c r="G8" s="343">
        <v>0.15829517561938078</v>
      </c>
    </row>
    <row r="9" spans="1:11" ht="20" customHeight="1" thickBot="1">
      <c r="A9" s="80">
        <v>1996</v>
      </c>
      <c r="B9" s="29">
        <v>842626041.5999999</v>
      </c>
      <c r="C9" s="343">
        <v>-0.22395165786377283</v>
      </c>
      <c r="D9" s="29">
        <v>918792074.10000002</v>
      </c>
      <c r="E9" s="343">
        <v>-0.174100182026726</v>
      </c>
      <c r="F9" s="29">
        <v>-76164233.309999987</v>
      </c>
      <c r="G9" s="343">
        <v>-1.8543740517491432</v>
      </c>
      <c r="I9" s="43"/>
      <c r="J9" s="43"/>
      <c r="K9" s="43"/>
    </row>
    <row r="10" spans="1:11" ht="20" customHeight="1" thickBot="1">
      <c r="A10" s="80">
        <v>1997</v>
      </c>
      <c r="B10" s="29">
        <v>582586264.20000005</v>
      </c>
      <c r="C10" s="343">
        <v>-0.30860638594343665</v>
      </c>
      <c r="D10" s="29">
        <v>600844654.99000001</v>
      </c>
      <c r="E10" s="343">
        <v>-0.34604937076916387</v>
      </c>
      <c r="F10" s="29">
        <v>-18258290.829999998</v>
      </c>
      <c r="G10" s="343">
        <v>0.76027736331716245</v>
      </c>
    </row>
    <row r="11" spans="1:11" ht="20" customHeight="1" thickBot="1">
      <c r="A11" s="80">
        <v>1998</v>
      </c>
      <c r="B11" s="29">
        <v>506597985.24000001</v>
      </c>
      <c r="C11" s="343">
        <v>-0.13043266487641306</v>
      </c>
      <c r="D11" s="29">
        <v>466707907.44999999</v>
      </c>
      <c r="E11" s="343">
        <v>-0.22324696812395292</v>
      </c>
      <c r="F11" s="29">
        <v>39890107.789999999</v>
      </c>
      <c r="G11" s="343">
        <v>3.1847668087561076</v>
      </c>
    </row>
    <row r="12" spans="1:11" ht="20" customHeight="1" thickBot="1">
      <c r="A12" s="80">
        <v>1999</v>
      </c>
      <c r="B12" s="29">
        <v>464005598.98000002</v>
      </c>
      <c r="C12" s="343">
        <v>-8.4075317117224449E-2</v>
      </c>
      <c r="D12" s="29">
        <v>422158429.66000003</v>
      </c>
      <c r="E12" s="343">
        <v>-9.5454731061681661E-2</v>
      </c>
      <c r="F12" s="29">
        <v>41847169.719999999</v>
      </c>
      <c r="G12" s="343">
        <v>4.9061334712427351E-2</v>
      </c>
    </row>
    <row r="13" spans="1:11" ht="20" customHeight="1" thickBot="1">
      <c r="A13" s="80">
        <v>2000</v>
      </c>
      <c r="B13" s="29">
        <v>458973777.85000002</v>
      </c>
      <c r="C13" s="343">
        <v>-1.0844311234737667E-2</v>
      </c>
      <c r="D13" s="29">
        <v>416527371.23000002</v>
      </c>
      <c r="E13" s="343">
        <v>-1.3338732651945802E-2</v>
      </c>
      <c r="F13" s="29">
        <v>42446406.640000001</v>
      </c>
      <c r="G13" s="343">
        <v>1.4319652296905794E-2</v>
      </c>
    </row>
    <row r="14" spans="1:11" ht="20" customHeight="1" thickBot="1">
      <c r="A14" s="80">
        <v>2001</v>
      </c>
      <c r="B14" s="29">
        <v>405199385</v>
      </c>
      <c r="C14" s="343">
        <v>-0.11716223332387053</v>
      </c>
      <c r="D14" s="29">
        <v>389159830</v>
      </c>
      <c r="E14" s="343">
        <v>-6.5704064415224431E-2</v>
      </c>
      <c r="F14" s="29">
        <v>16039555</v>
      </c>
      <c r="G14" s="343">
        <v>-0.62212219432292559</v>
      </c>
    </row>
    <row r="15" spans="1:11" ht="20" customHeight="1" thickBot="1">
      <c r="A15" s="80">
        <v>2002</v>
      </c>
      <c r="B15" s="29">
        <v>372184863.34999996</v>
      </c>
      <c r="C15" s="343">
        <v>-8.147722546518682E-2</v>
      </c>
      <c r="D15" s="29">
        <v>361726442.44999999</v>
      </c>
      <c r="E15" s="343">
        <v>-7.0493883065988625E-2</v>
      </c>
      <c r="F15" s="29">
        <v>10458420.890000001</v>
      </c>
      <c r="G15" s="343">
        <v>-0.34796065788608221</v>
      </c>
    </row>
    <row r="16" spans="1:11" ht="30" customHeight="1" thickBot="1">
      <c r="A16" s="621">
        <v>2003</v>
      </c>
      <c r="B16" s="33">
        <v>364678826.25</v>
      </c>
      <c r="C16" s="536">
        <v>-2.0167496959545454E-2</v>
      </c>
      <c r="D16" s="33">
        <v>338730046.06999999</v>
      </c>
      <c r="E16" s="536">
        <v>-6.3573998694272105E-2</v>
      </c>
      <c r="F16" s="33">
        <v>25948780.16</v>
      </c>
      <c r="G16" s="536">
        <v>1.4811374903463079</v>
      </c>
    </row>
    <row r="17" spans="1:7" ht="20" customHeight="1">
      <c r="A17" s="9" t="s">
        <v>379</v>
      </c>
      <c r="B17" s="9"/>
      <c r="C17" s="98"/>
      <c r="D17" s="9"/>
      <c r="E17" s="98"/>
      <c r="F17" s="9"/>
      <c r="G17" s="98"/>
    </row>
    <row r="18" spans="1:7" ht="15.75" customHeight="1">
      <c r="A18" s="37"/>
      <c r="B18" s="37"/>
      <c r="C18" s="99"/>
      <c r="D18" s="37"/>
      <c r="E18" s="99"/>
      <c r="F18" s="37"/>
      <c r="G18" s="99"/>
    </row>
    <row r="19" spans="1:7" ht="15.75" customHeight="1">
      <c r="A19" s="37" t="s">
        <v>1385</v>
      </c>
      <c r="B19" s="37"/>
      <c r="C19" s="99"/>
      <c r="D19" s="37"/>
      <c r="E19" s="99"/>
      <c r="F19" s="37"/>
      <c r="G19" s="99"/>
    </row>
    <row r="20" spans="1:7" ht="15.75" customHeight="1">
      <c r="A20" s="37"/>
      <c r="B20" s="37"/>
      <c r="C20" s="99"/>
      <c r="D20" s="37"/>
      <c r="E20" s="99"/>
      <c r="F20" s="37"/>
      <c r="G20" s="99"/>
    </row>
    <row r="21" spans="1:7">
      <c r="A21" s="37" t="s">
        <v>1386</v>
      </c>
    </row>
    <row r="24" spans="1:7">
      <c r="A24" s="3" t="s">
        <v>256</v>
      </c>
    </row>
  </sheetData>
  <phoneticPr fontId="0" type="noConversion"/>
  <pageMargins left="0.57999999999999996" right="0.65" top="0.96" bottom="0.49" header="0.49" footer="0.4921259845"/>
  <pageSetup paperSize="9" scale="87" orientation="portrait" horizontalDpi="4294967292" verticalDpi="4294967292"/>
  <headerFooter alignWithMargins="0">
    <oddHeader>&amp;L&amp;"Arial,Bold"Freiwillige Taggeldversicherung KVG</oddHeader>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6A039-F7CA-4543-B90D-DE50068DC927}">
  <sheetPr>
    <pageSetUpPr fitToPage="1"/>
  </sheetPr>
  <dimension ref="A1:H37"/>
  <sheetViews>
    <sheetView zoomScale="75" workbookViewId="0"/>
  </sheetViews>
  <sheetFormatPr baseColWidth="10" defaultColWidth="11.3984375" defaultRowHeight="13"/>
  <cols>
    <col min="1" max="1" width="33.796875" style="3" customWidth="1"/>
    <col min="2" max="3" width="17.59765625" style="3" customWidth="1"/>
    <col min="4" max="4" width="17.59765625" style="35" customWidth="1"/>
    <col min="5" max="5" width="17.59765625" style="529" customWidth="1"/>
    <col min="6" max="6" width="11.3984375" style="3"/>
    <col min="7" max="7" width="14.796875" style="3" hidden="1" customWidth="1"/>
    <col min="8" max="8" width="14.3984375" style="3" hidden="1" customWidth="1"/>
    <col min="9" max="16384" width="11.3984375" style="3"/>
  </cols>
  <sheetData>
    <row r="1" spans="1:8" s="1" customFormat="1" ht="14" customHeight="1">
      <c r="D1" s="58"/>
      <c r="E1" s="521"/>
    </row>
    <row r="2" spans="1:8" s="1" customFormat="1" ht="40.5" customHeight="1">
      <c r="A2" s="1473" t="s">
        <v>1416</v>
      </c>
      <c r="B2" s="1474"/>
      <c r="C2" s="1474"/>
      <c r="D2" s="1474"/>
      <c r="E2" s="76">
        <v>2003</v>
      </c>
    </row>
    <row r="3" spans="1:8" ht="24" customHeight="1">
      <c r="A3" s="2" t="s">
        <v>1401</v>
      </c>
      <c r="B3" s="69" t="s">
        <v>1402</v>
      </c>
      <c r="C3" s="16" t="s">
        <v>1403</v>
      </c>
      <c r="D3" s="339" t="s">
        <v>22</v>
      </c>
      <c r="E3" s="522" t="s">
        <v>24</v>
      </c>
    </row>
    <row r="4" spans="1:8" ht="15" customHeight="1">
      <c r="A4" s="77"/>
      <c r="B4" s="70" t="s">
        <v>1404</v>
      </c>
      <c r="C4" s="17" t="s">
        <v>1404</v>
      </c>
      <c r="D4" s="416"/>
      <c r="E4" s="633" t="s">
        <v>25</v>
      </c>
    </row>
    <row r="5" spans="1:8" ht="15" customHeight="1">
      <c r="A5" s="77"/>
      <c r="B5" s="70" t="s">
        <v>1405</v>
      </c>
      <c r="C5" s="17" t="s">
        <v>1405</v>
      </c>
      <c r="D5" s="416"/>
      <c r="E5" s="633" t="s">
        <v>26</v>
      </c>
    </row>
    <row r="6" spans="1:8" ht="24" customHeight="1">
      <c r="A6" s="78"/>
      <c r="B6" s="73"/>
      <c r="C6" s="18"/>
      <c r="D6" s="419"/>
      <c r="E6" s="523"/>
      <c r="G6" s="634" t="s">
        <v>1406</v>
      </c>
      <c r="H6" s="634" t="s">
        <v>1407</v>
      </c>
    </row>
    <row r="7" spans="1:8" ht="30" customHeight="1" thickBot="1">
      <c r="A7" s="635" t="s">
        <v>1408</v>
      </c>
      <c r="B7" s="28">
        <v>89</v>
      </c>
      <c r="C7" s="63">
        <v>56</v>
      </c>
      <c r="D7" s="513">
        <v>92</v>
      </c>
      <c r="E7" s="508">
        <v>-1.0752688172043012E-2</v>
      </c>
      <c r="F7" s="42"/>
      <c r="G7" s="19">
        <v>109</v>
      </c>
      <c r="H7" s="19">
        <v>109</v>
      </c>
    </row>
    <row r="8" spans="1:8" ht="24" customHeight="1" thickBot="1">
      <c r="A8" s="636" t="s">
        <v>1505</v>
      </c>
      <c r="B8" s="29"/>
      <c r="C8" s="116"/>
      <c r="D8" s="84"/>
      <c r="E8" s="343" t="s">
        <v>969</v>
      </c>
      <c r="G8" s="29"/>
      <c r="H8" s="29"/>
    </row>
    <row r="9" spans="1:8" ht="20" customHeight="1" thickBot="1">
      <c r="A9" s="632" t="s">
        <v>42</v>
      </c>
      <c r="B9" s="29">
        <v>195881</v>
      </c>
      <c r="C9" s="116">
        <v>162877</v>
      </c>
      <c r="D9" s="84">
        <v>358757</v>
      </c>
      <c r="E9" s="343">
        <v>-0.11475729401081763</v>
      </c>
      <c r="G9" s="29">
        <v>747913</v>
      </c>
      <c r="H9" s="29">
        <v>541989</v>
      </c>
    </row>
    <row r="10" spans="1:8" ht="20" customHeight="1" thickBot="1">
      <c r="A10" s="632" t="s">
        <v>43</v>
      </c>
      <c r="B10" s="29">
        <v>243203</v>
      </c>
      <c r="C10" s="116">
        <v>95182</v>
      </c>
      <c r="D10" s="84">
        <v>338384</v>
      </c>
      <c r="E10" s="343">
        <v>-0.11481525080112484</v>
      </c>
      <c r="G10" s="29">
        <v>671493</v>
      </c>
      <c r="H10" s="29">
        <v>525355</v>
      </c>
    </row>
    <row r="11" spans="1:8" ht="20" customHeight="1" thickBot="1">
      <c r="A11" s="632" t="s">
        <v>22</v>
      </c>
      <c r="B11" s="29">
        <v>439082</v>
      </c>
      <c r="C11" s="116">
        <v>258059</v>
      </c>
      <c r="D11" s="84">
        <v>697140</v>
      </c>
      <c r="E11" s="343">
        <v>-0.11478669627789861</v>
      </c>
      <c r="G11" s="29">
        <v>1419406</v>
      </c>
      <c r="H11" s="29">
        <v>1067344</v>
      </c>
    </row>
    <row r="12" spans="1:8" ht="24" customHeight="1" thickBot="1">
      <c r="A12" s="637" t="s">
        <v>1409</v>
      </c>
      <c r="B12" s="29"/>
      <c r="C12" s="116"/>
      <c r="D12" s="84"/>
      <c r="E12" s="343" t="s">
        <v>969</v>
      </c>
      <c r="G12" s="29"/>
      <c r="H12" s="29"/>
    </row>
    <row r="13" spans="1:8" ht="20" customHeight="1" thickBot="1">
      <c r="A13" s="632" t="s">
        <v>42</v>
      </c>
      <c r="B13" s="29">
        <v>61585118</v>
      </c>
      <c r="C13" s="116">
        <v>178077416</v>
      </c>
      <c r="D13" s="84">
        <v>239662534</v>
      </c>
      <c r="E13" s="343">
        <v>-5.3378279496994252E-2</v>
      </c>
      <c r="G13" s="29">
        <v>346254879</v>
      </c>
      <c r="H13" s="29">
        <v>346254879</v>
      </c>
    </row>
    <row r="14" spans="1:8" ht="20" customHeight="1" thickBot="1">
      <c r="A14" s="632" t="s">
        <v>43</v>
      </c>
      <c r="B14" s="29">
        <v>39644857</v>
      </c>
      <c r="C14" s="116">
        <v>77835767</v>
      </c>
      <c r="D14" s="84">
        <v>117480623</v>
      </c>
      <c r="E14" s="343">
        <v>-9.1626330896143297E-3</v>
      </c>
      <c r="G14" s="29">
        <v>118228128</v>
      </c>
      <c r="H14" s="29">
        <v>118228128</v>
      </c>
    </row>
    <row r="15" spans="1:8" ht="20" customHeight="1" thickBot="1">
      <c r="A15" s="632" t="s">
        <v>22</v>
      </c>
      <c r="B15" s="29">
        <v>101229974</v>
      </c>
      <c r="C15" s="116">
        <v>255913182</v>
      </c>
      <c r="D15" s="84">
        <v>357143156</v>
      </c>
      <c r="E15" s="343">
        <v>-3.9275772373865481E-2</v>
      </c>
      <c r="G15" s="29">
        <v>464483007</v>
      </c>
      <c r="H15" s="29">
        <v>464483007</v>
      </c>
    </row>
    <row r="16" spans="1:8" ht="24" customHeight="1" thickBot="1">
      <c r="A16" s="637" t="s">
        <v>1410</v>
      </c>
      <c r="B16" s="29"/>
      <c r="C16" s="116"/>
      <c r="D16" s="84"/>
      <c r="E16" s="343" t="s">
        <v>969</v>
      </c>
      <c r="G16" s="29"/>
      <c r="H16" s="29"/>
    </row>
    <row r="17" spans="1:8" ht="20" customHeight="1" thickBot="1">
      <c r="A17" s="632" t="s">
        <v>42</v>
      </c>
      <c r="B17" s="29">
        <v>314.39999999999998</v>
      </c>
      <c r="C17" s="116">
        <v>1093.32</v>
      </c>
      <c r="D17" s="84">
        <v>668.04</v>
      </c>
      <c r="E17" s="343">
        <v>6.9343065693430558E-2</v>
      </c>
      <c r="G17" s="29">
        <v>462.96</v>
      </c>
      <c r="H17" s="29">
        <v>638.86</v>
      </c>
    </row>
    <row r="18" spans="1:8" ht="20" customHeight="1" thickBot="1">
      <c r="A18" s="632" t="s">
        <v>43</v>
      </c>
      <c r="B18" s="29">
        <v>163.01</v>
      </c>
      <c r="C18" s="116">
        <v>817.76</v>
      </c>
      <c r="D18" s="84">
        <v>347.18</v>
      </c>
      <c r="E18" s="343">
        <v>0.11935775083827695</v>
      </c>
      <c r="G18" s="29">
        <v>176.07</v>
      </c>
      <c r="H18" s="29">
        <v>225.04</v>
      </c>
    </row>
    <row r="19" spans="1:8" ht="20" customHeight="1" thickBot="1">
      <c r="A19" s="632" t="s">
        <v>22</v>
      </c>
      <c r="B19" s="29">
        <v>230.55</v>
      </c>
      <c r="C19" s="116">
        <v>991.68</v>
      </c>
      <c r="D19" s="84">
        <v>512.29999999999995</v>
      </c>
      <c r="E19" s="343">
        <v>8.531237421350335E-2</v>
      </c>
      <c r="G19" s="29">
        <v>327.24</v>
      </c>
      <c r="H19" s="29">
        <v>435.18</v>
      </c>
    </row>
    <row r="20" spans="1:8" ht="24" customHeight="1" thickBot="1">
      <c r="A20" s="637" t="s">
        <v>1411</v>
      </c>
      <c r="B20" s="29"/>
      <c r="C20" s="116"/>
      <c r="D20" s="84"/>
      <c r="E20" s="343" t="s">
        <v>969</v>
      </c>
      <c r="G20" s="29"/>
      <c r="H20" s="29"/>
    </row>
    <row r="21" spans="1:8" ht="20" customHeight="1" thickBot="1">
      <c r="A21" s="632" t="s">
        <v>42</v>
      </c>
      <c r="B21" s="29">
        <v>56557378</v>
      </c>
      <c r="C21" s="116">
        <v>165302075</v>
      </c>
      <c r="D21" s="84">
        <v>221859456</v>
      </c>
      <c r="E21" s="343">
        <v>-7.1149674017365966E-2</v>
      </c>
      <c r="G21" s="29">
        <v>297772901</v>
      </c>
      <c r="H21" s="29">
        <v>297772901</v>
      </c>
    </row>
    <row r="22" spans="1:8" ht="20" customHeight="1" thickBot="1">
      <c r="A22" s="632" t="s">
        <v>43</v>
      </c>
      <c r="B22" s="29">
        <v>29885902</v>
      </c>
      <c r="C22" s="116">
        <v>58167679</v>
      </c>
      <c r="D22" s="84">
        <v>88053580</v>
      </c>
      <c r="E22" s="343">
        <v>-2.4826357762232163E-2</v>
      </c>
      <c r="G22" s="29">
        <v>114376252</v>
      </c>
      <c r="H22" s="29">
        <v>114376252</v>
      </c>
    </row>
    <row r="23" spans="1:8" ht="20" customHeight="1" thickBot="1">
      <c r="A23" s="632" t="s">
        <v>22</v>
      </c>
      <c r="B23" s="29">
        <v>86443283</v>
      </c>
      <c r="C23" s="116">
        <v>223469749</v>
      </c>
      <c r="D23" s="84">
        <v>309913033</v>
      </c>
      <c r="E23" s="343">
        <v>-5.8441820589359282E-2</v>
      </c>
      <c r="G23" s="29">
        <v>412149153</v>
      </c>
      <c r="H23" s="29">
        <v>412149153</v>
      </c>
    </row>
    <row r="24" spans="1:8" ht="24" customHeight="1" thickBot="1">
      <c r="A24" s="558" t="s">
        <v>1641</v>
      </c>
      <c r="B24" s="29">
        <v>1812604</v>
      </c>
      <c r="C24" s="116">
        <v>13566888</v>
      </c>
      <c r="D24" s="84">
        <v>15379492</v>
      </c>
      <c r="E24" s="343">
        <v>-4.6554180728338876E-2</v>
      </c>
      <c r="G24" s="407">
        <v>21005933</v>
      </c>
      <c r="H24" s="407">
        <v>21005933</v>
      </c>
    </row>
    <row r="25" spans="1:8" ht="24" customHeight="1" thickBot="1">
      <c r="A25" s="637" t="s">
        <v>1412</v>
      </c>
      <c r="B25" s="29"/>
      <c r="C25" s="116"/>
      <c r="D25" s="84"/>
      <c r="E25" s="343" t="s">
        <v>969</v>
      </c>
      <c r="G25" s="29"/>
      <c r="H25" s="29"/>
    </row>
    <row r="26" spans="1:8" ht="20" customHeight="1" thickBot="1">
      <c r="A26" s="632" t="s">
        <v>42</v>
      </c>
      <c r="B26" s="29">
        <v>288.73</v>
      </c>
      <c r="C26" s="116">
        <v>1014.89</v>
      </c>
      <c r="D26" s="84">
        <v>618.41</v>
      </c>
      <c r="E26" s="343">
        <v>4.9255149479113601E-2</v>
      </c>
      <c r="G26" s="29">
        <v>398.14</v>
      </c>
      <c r="H26" s="29">
        <v>549.41</v>
      </c>
    </row>
    <row r="27" spans="1:8" ht="20" customHeight="1" thickBot="1">
      <c r="A27" s="632" t="s">
        <v>43</v>
      </c>
      <c r="B27" s="29">
        <v>122.88</v>
      </c>
      <c r="C27" s="116">
        <v>611.12</v>
      </c>
      <c r="D27" s="84">
        <v>260.22000000000003</v>
      </c>
      <c r="E27" s="343">
        <v>0.10164683967655908</v>
      </c>
      <c r="G27" s="29">
        <v>170.33</v>
      </c>
      <c r="H27" s="29">
        <v>217.71</v>
      </c>
    </row>
    <row r="28" spans="1:8" ht="30" customHeight="1" thickBot="1">
      <c r="A28" s="638" t="s">
        <v>22</v>
      </c>
      <c r="B28" s="407">
        <v>196.87</v>
      </c>
      <c r="C28" s="408">
        <v>865.96</v>
      </c>
      <c r="D28" s="33">
        <v>444.55</v>
      </c>
      <c r="E28" s="525">
        <v>6.364397655221922E-2</v>
      </c>
      <c r="G28" s="639">
        <v>290.37</v>
      </c>
      <c r="H28" s="639">
        <v>386.14</v>
      </c>
    </row>
    <row r="29" spans="1:8" ht="20" customHeight="1">
      <c r="A29" s="9" t="s">
        <v>379</v>
      </c>
      <c r="B29" s="9"/>
      <c r="C29" s="9"/>
      <c r="D29" s="426"/>
      <c r="E29" s="527"/>
    </row>
    <row r="30" spans="1:8" ht="14.25" customHeight="1">
      <c r="A30" s="37"/>
      <c r="B30" s="37"/>
      <c r="C30" s="37"/>
      <c r="D30" s="429"/>
      <c r="E30" s="528"/>
    </row>
    <row r="31" spans="1:8" ht="14.25" customHeight="1">
      <c r="A31" s="37" t="s">
        <v>1413</v>
      </c>
      <c r="B31" s="37"/>
      <c r="C31" s="37"/>
      <c r="D31" s="429"/>
      <c r="E31" s="528"/>
    </row>
    <row r="32" spans="1:8" ht="14.25" customHeight="1">
      <c r="A32" s="37"/>
      <c r="B32" s="37"/>
      <c r="C32" s="37"/>
      <c r="D32" s="429"/>
      <c r="E32" s="528"/>
    </row>
    <row r="33" spans="1:1">
      <c r="A33" s="37" t="s">
        <v>1414</v>
      </c>
    </row>
    <row r="34" spans="1:1">
      <c r="A34" s="3" t="s">
        <v>1415</v>
      </c>
    </row>
    <row r="37" spans="1:1">
      <c r="A37" s="3" t="s">
        <v>256</v>
      </c>
    </row>
  </sheetData>
  <mergeCells count="1">
    <mergeCell ref="A2:D2"/>
  </mergeCells>
  <phoneticPr fontId="0" type="noConversion"/>
  <pageMargins left="0.56999999999999995" right="0.56000000000000005" top="0.96" bottom="0.49" header="0.56000000000000005" footer="0.4921259845"/>
  <pageSetup paperSize="9" scale="89" orientation="portrait" horizontalDpi="1200" verticalDpi="1200"/>
  <headerFooter alignWithMargins="0">
    <oddHeader>&amp;L&amp;"Arial,Bold"Freiwillige Taggeldversicherung KVG</oddHeader>
  </headerFooter>
  <legacyDrawing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F55DD-CA9D-2047-96E2-B718AEEC3C4D}">
  <dimension ref="A1:E37"/>
  <sheetViews>
    <sheetView zoomScale="75" workbookViewId="0">
      <selection sqref="A1:E40"/>
    </sheetView>
  </sheetViews>
  <sheetFormatPr baseColWidth="10" defaultColWidth="11.3984375" defaultRowHeight="13"/>
  <cols>
    <col min="1" max="1" width="8.796875" style="3" customWidth="1"/>
    <col min="2" max="2" width="48.796875" style="100" customWidth="1"/>
    <col min="3" max="3" width="16.796875" style="3" customWidth="1"/>
    <col min="4" max="4" width="16.796875" style="42" customWidth="1"/>
    <col min="5" max="5" width="16.796875" style="642" customWidth="1"/>
    <col min="6" max="16384" width="11.3984375" style="3"/>
  </cols>
  <sheetData>
    <row r="1" spans="1:5" s="1" customFormat="1" ht="14" customHeight="1">
      <c r="B1" s="90"/>
      <c r="D1" s="101"/>
      <c r="E1" s="640"/>
    </row>
    <row r="2" spans="1:5" s="1" customFormat="1" ht="28" customHeight="1">
      <c r="A2" s="76" t="s">
        <v>1417</v>
      </c>
      <c r="B2" s="90"/>
      <c r="D2" s="101"/>
      <c r="E2" s="76">
        <v>2003</v>
      </c>
    </row>
    <row r="3" spans="1:5" ht="39" customHeight="1">
      <c r="A3" s="588" t="s">
        <v>1335</v>
      </c>
      <c r="B3" s="91"/>
      <c r="C3" s="69" t="s">
        <v>1336</v>
      </c>
      <c r="D3" s="60" t="s">
        <v>1337</v>
      </c>
      <c r="E3" s="404" t="s">
        <v>22</v>
      </c>
    </row>
    <row r="4" spans="1:5" ht="38" customHeight="1">
      <c r="A4" s="405"/>
      <c r="B4" s="390"/>
      <c r="C4" s="73" t="s">
        <v>1925</v>
      </c>
      <c r="D4" s="62" t="s">
        <v>1925</v>
      </c>
      <c r="E4" s="341" t="s">
        <v>1925</v>
      </c>
    </row>
    <row r="5" spans="1:5" ht="30" customHeight="1" thickBot="1">
      <c r="A5" s="6">
        <v>60</v>
      </c>
      <c r="B5" s="6" t="s">
        <v>336</v>
      </c>
      <c r="C5" s="28">
        <v>331368462.66000003</v>
      </c>
      <c r="D5" s="63">
        <v>25774694.289999999</v>
      </c>
      <c r="E5" s="513">
        <v>357143156.94999999</v>
      </c>
    </row>
    <row r="6" spans="1:5" ht="20" customHeight="1" thickBot="1">
      <c r="A6" s="7">
        <v>64</v>
      </c>
      <c r="B6" s="7" t="s">
        <v>1338</v>
      </c>
      <c r="C6" s="29">
        <v>-2889748.28</v>
      </c>
      <c r="D6" s="116">
        <v>-256097.36</v>
      </c>
      <c r="E6" s="84">
        <v>-3145845.64</v>
      </c>
    </row>
    <row r="7" spans="1:5" ht="20" customHeight="1" thickBot="1">
      <c r="A7" s="7">
        <v>65</v>
      </c>
      <c r="B7" s="7" t="s">
        <v>1339</v>
      </c>
      <c r="C7" s="29">
        <v>81269.320000000007</v>
      </c>
      <c r="D7" s="116">
        <v>2225.9899999999998</v>
      </c>
      <c r="E7" s="84">
        <v>83495.31</v>
      </c>
    </row>
    <row r="8" spans="1:5" ht="27" customHeight="1" thickBot="1">
      <c r="A8" s="65" t="s">
        <v>1340</v>
      </c>
      <c r="B8" s="65" t="s">
        <v>1341</v>
      </c>
      <c r="C8" s="29">
        <v>328559983.69999999</v>
      </c>
      <c r="D8" s="116">
        <v>25520822.920000002</v>
      </c>
      <c r="E8" s="84">
        <v>354080806.62</v>
      </c>
    </row>
    <row r="9" spans="1:5" ht="20" customHeight="1" thickBot="1">
      <c r="A9" s="7">
        <v>66</v>
      </c>
      <c r="B9" s="7" t="s">
        <v>1342</v>
      </c>
      <c r="C9" s="29">
        <v>-2611937</v>
      </c>
      <c r="D9" s="116">
        <v>-119655.03999999999</v>
      </c>
      <c r="E9" s="84">
        <v>-2731592.04</v>
      </c>
    </row>
    <row r="10" spans="1:5" ht="27" customHeight="1" thickBot="1">
      <c r="A10" s="65" t="s">
        <v>1343</v>
      </c>
      <c r="B10" s="65" t="s">
        <v>1344</v>
      </c>
      <c r="C10" s="29">
        <v>325948046.69999999</v>
      </c>
      <c r="D10" s="116">
        <v>25401167.890000001</v>
      </c>
      <c r="E10" s="84">
        <v>351349214.58999997</v>
      </c>
    </row>
    <row r="11" spans="1:5" ht="20" customHeight="1" thickBot="1">
      <c r="A11" s="7">
        <v>67</v>
      </c>
      <c r="B11" s="7" t="s">
        <v>1345</v>
      </c>
      <c r="C11" s="29">
        <v>18266961.300000001</v>
      </c>
      <c r="D11" s="116">
        <v>175941.85</v>
      </c>
      <c r="E11" s="84">
        <v>18442903.149999999</v>
      </c>
    </row>
    <row r="12" spans="1:5" ht="20" customHeight="1" thickBot="1">
      <c r="A12" s="7">
        <v>68</v>
      </c>
      <c r="B12" s="7" t="s">
        <v>1346</v>
      </c>
      <c r="C12" s="29">
        <v>-17990356.050000001</v>
      </c>
      <c r="D12" s="116">
        <v>-74731.05</v>
      </c>
      <c r="E12" s="84">
        <v>-18065087.100000001</v>
      </c>
    </row>
    <row r="13" spans="1:5" ht="20" customHeight="1" thickBot="1">
      <c r="A13" s="7">
        <v>69</v>
      </c>
      <c r="B13" s="7" t="s">
        <v>1347</v>
      </c>
      <c r="C13" s="29">
        <v>4189526.35</v>
      </c>
      <c r="D13" s="116">
        <v>61695.27</v>
      </c>
      <c r="E13" s="84">
        <v>4251221.62</v>
      </c>
    </row>
    <row r="14" spans="1:5" ht="27" customHeight="1" thickBot="1">
      <c r="A14" s="65">
        <v>6</v>
      </c>
      <c r="B14" s="65" t="s">
        <v>1348</v>
      </c>
      <c r="C14" s="29">
        <v>330414178.30000001</v>
      </c>
      <c r="D14" s="116">
        <v>25564073.969999999</v>
      </c>
      <c r="E14" s="84">
        <v>355978252.26999998</v>
      </c>
    </row>
    <row r="15" spans="1:5" ht="20" customHeight="1" thickBot="1">
      <c r="A15" s="7">
        <v>30</v>
      </c>
      <c r="B15" s="7" t="s">
        <v>338</v>
      </c>
      <c r="C15" s="29">
        <v>282573330.98000002</v>
      </c>
      <c r="D15" s="116">
        <v>27339699.739999998</v>
      </c>
      <c r="E15" s="84">
        <v>309913030.72000003</v>
      </c>
    </row>
    <row r="16" spans="1:5" ht="20" customHeight="1" thickBot="1">
      <c r="A16" s="7">
        <v>32</v>
      </c>
      <c r="B16" s="7" t="s">
        <v>1349</v>
      </c>
      <c r="C16" s="29">
        <v>0</v>
      </c>
      <c r="D16" s="116">
        <v>0</v>
      </c>
      <c r="E16" s="84">
        <v>0</v>
      </c>
    </row>
    <row r="17" spans="1:5" ht="27" customHeight="1" thickBot="1">
      <c r="A17" s="65" t="s">
        <v>1350</v>
      </c>
      <c r="B17" s="65" t="s">
        <v>1351</v>
      </c>
      <c r="C17" s="29">
        <v>282573330.98000002</v>
      </c>
      <c r="D17" s="116">
        <v>27339699.739999998</v>
      </c>
      <c r="E17" s="84">
        <v>309913030.72000003</v>
      </c>
    </row>
    <row r="18" spans="1:5" ht="20" customHeight="1" thickBot="1">
      <c r="A18" s="7">
        <v>34</v>
      </c>
      <c r="B18" s="7" t="s">
        <v>1352</v>
      </c>
      <c r="C18" s="29">
        <v>776153.99</v>
      </c>
      <c r="D18" s="116">
        <v>14675.97</v>
      </c>
      <c r="E18" s="84">
        <v>790829.96</v>
      </c>
    </row>
    <row r="19" spans="1:5" ht="20" customHeight="1" thickBot="1">
      <c r="A19" s="7">
        <v>35</v>
      </c>
      <c r="B19" s="7" t="s">
        <v>1353</v>
      </c>
      <c r="C19" s="29">
        <v>-6676187.29</v>
      </c>
      <c r="D19" s="116">
        <v>-397319.54</v>
      </c>
      <c r="E19" s="84">
        <v>-7073506.8300000001</v>
      </c>
    </row>
    <row r="20" spans="1:5" ht="27" customHeight="1" thickBot="1">
      <c r="A20" s="65" t="s">
        <v>1354</v>
      </c>
      <c r="B20" s="65" t="s">
        <v>1355</v>
      </c>
      <c r="C20" s="29">
        <v>276673297.68000001</v>
      </c>
      <c r="D20" s="116">
        <v>26957056.170000002</v>
      </c>
      <c r="E20" s="84">
        <v>303630353.85000002</v>
      </c>
    </row>
    <row r="21" spans="1:5" ht="20" customHeight="1" thickBot="1">
      <c r="A21" s="7">
        <v>36</v>
      </c>
      <c r="B21" s="7" t="s">
        <v>1356</v>
      </c>
      <c r="C21" s="29">
        <v>-2706345.78</v>
      </c>
      <c r="D21" s="116">
        <v>-129667.52</v>
      </c>
      <c r="E21" s="84">
        <v>-2836013.3</v>
      </c>
    </row>
    <row r="22" spans="1:5" ht="20" customHeight="1" thickBot="1">
      <c r="A22" s="7">
        <v>37</v>
      </c>
      <c r="B22" s="7" t="s">
        <v>1357</v>
      </c>
      <c r="C22" s="29">
        <v>0</v>
      </c>
      <c r="D22" s="116">
        <v>0</v>
      </c>
      <c r="E22" s="84">
        <v>0</v>
      </c>
    </row>
    <row r="23" spans="1:5" ht="27" customHeight="1" thickBot="1">
      <c r="A23" s="65">
        <v>3</v>
      </c>
      <c r="B23" s="65" t="s">
        <v>1358</v>
      </c>
      <c r="C23" s="29">
        <v>273966951.89999998</v>
      </c>
      <c r="D23" s="116">
        <v>26827388.649999999</v>
      </c>
      <c r="E23" s="84">
        <v>300794340.55000001</v>
      </c>
    </row>
    <row r="24" spans="1:5" ht="20" customHeight="1" thickBot="1">
      <c r="A24" s="7" t="s">
        <v>1359</v>
      </c>
      <c r="B24" s="7" t="s">
        <v>1835</v>
      </c>
      <c r="C24" s="29">
        <v>31130094.289999999</v>
      </c>
      <c r="D24" s="116">
        <v>2209844.94</v>
      </c>
      <c r="E24" s="84">
        <v>33339939.23</v>
      </c>
    </row>
    <row r="25" spans="1:5" ht="20" customHeight="1" thickBot="1">
      <c r="A25" s="7">
        <v>48</v>
      </c>
      <c r="B25" s="7" t="s">
        <v>1836</v>
      </c>
      <c r="C25" s="29">
        <v>4193099.08</v>
      </c>
      <c r="D25" s="116">
        <v>632505.43000000005</v>
      </c>
      <c r="E25" s="84">
        <v>4825604.51</v>
      </c>
    </row>
    <row r="26" spans="1:5" ht="20" customHeight="1" thickBot="1">
      <c r="A26" s="7">
        <v>49</v>
      </c>
      <c r="B26" s="7" t="s">
        <v>1837</v>
      </c>
      <c r="C26" s="29">
        <v>-195713.1</v>
      </c>
      <c r="D26" s="116">
        <v>-34125.089999999997</v>
      </c>
      <c r="E26" s="84">
        <v>-229838.19</v>
      </c>
    </row>
    <row r="27" spans="1:5" ht="27" customHeight="1" thickBot="1">
      <c r="A27" s="65">
        <v>4</v>
      </c>
      <c r="B27" s="65" t="s">
        <v>1838</v>
      </c>
      <c r="C27" s="29">
        <v>35127480.259999998</v>
      </c>
      <c r="D27" s="116">
        <v>2808225.26</v>
      </c>
      <c r="E27" s="84">
        <v>37935705.520000003</v>
      </c>
    </row>
    <row r="28" spans="1:5" ht="27" customHeight="1" thickBot="1">
      <c r="A28" s="65" t="s">
        <v>1839</v>
      </c>
      <c r="B28" s="65" t="s">
        <v>1840</v>
      </c>
      <c r="C28" s="29">
        <v>309094432.16000003</v>
      </c>
      <c r="D28" s="116">
        <v>29635613.91</v>
      </c>
      <c r="E28" s="84">
        <v>338730046.06999999</v>
      </c>
    </row>
    <row r="29" spans="1:5" ht="27" customHeight="1" thickBot="1">
      <c r="A29" s="65"/>
      <c r="B29" s="65" t="s">
        <v>1841</v>
      </c>
      <c r="C29" s="29">
        <v>21319746.140000001</v>
      </c>
      <c r="D29" s="116">
        <v>-4071539.95</v>
      </c>
      <c r="E29" s="84">
        <v>17248206.190000001</v>
      </c>
    </row>
    <row r="30" spans="1:5" ht="27" customHeight="1" thickBot="1">
      <c r="A30" s="65">
        <v>7</v>
      </c>
      <c r="B30" s="65" t="s">
        <v>1842</v>
      </c>
      <c r="C30" s="29">
        <v>7999103.9100000001</v>
      </c>
      <c r="D30" s="116">
        <v>701470.07</v>
      </c>
      <c r="E30" s="84">
        <v>8700573.9800000004</v>
      </c>
    </row>
    <row r="31" spans="1:5" ht="34.5" customHeight="1" thickBot="1">
      <c r="A31" s="516"/>
      <c r="B31" s="516" t="s">
        <v>1843</v>
      </c>
      <c r="C31" s="407">
        <v>29318850.050000001</v>
      </c>
      <c r="D31" s="408">
        <v>-3370069.89</v>
      </c>
      <c r="E31" s="33">
        <v>25948780.16</v>
      </c>
    </row>
    <row r="32" spans="1:5" ht="19.5" customHeight="1">
      <c r="A32" s="9" t="s">
        <v>379</v>
      </c>
      <c r="B32" s="98"/>
      <c r="C32" s="9"/>
      <c r="D32" s="111"/>
      <c r="E32" s="641"/>
    </row>
    <row r="34" spans="1:1">
      <c r="A34" s="3" t="s">
        <v>1418</v>
      </c>
    </row>
    <row r="37" spans="1:1">
      <c r="A37" s="3" t="s">
        <v>256</v>
      </c>
    </row>
  </sheetData>
  <phoneticPr fontId="0" type="noConversion"/>
  <pageMargins left="0.62" right="0.68" top="0.87" bottom="0.49" header="0.49" footer="0.4921259845"/>
  <pageSetup paperSize="9" scale="80" orientation="portrait" horizontalDpi="4294967292" verticalDpi="4294967292"/>
  <headerFooter alignWithMargins="0">
    <oddHeader>&amp;L&amp;"Arial,Bold"Freiwillige Taggeldversicherung KVG</oddHead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8B33A-773C-A740-8FD2-D619319C7D3E}">
  <sheetPr>
    <pageSetUpPr fitToPage="1"/>
  </sheetPr>
  <dimension ref="A1:E40"/>
  <sheetViews>
    <sheetView topLeftCell="A29" zoomScale="75" workbookViewId="0">
      <selection activeCell="A40" sqref="A1:E40"/>
    </sheetView>
  </sheetViews>
  <sheetFormatPr baseColWidth="10" defaultColWidth="11.3984375" defaultRowHeight="13"/>
  <cols>
    <col min="1" max="1" width="8.796875" style="3" customWidth="1"/>
    <col min="2" max="2" width="48.796875" style="100" customWidth="1"/>
    <col min="3" max="3" width="16.796875" style="3" customWidth="1"/>
    <col min="4" max="4" width="16.796875" style="42" customWidth="1"/>
    <col min="5" max="5" width="16.796875" style="642" customWidth="1"/>
    <col min="6" max="16384" width="11.3984375" style="3"/>
  </cols>
  <sheetData>
    <row r="1" spans="1:5" s="1" customFormat="1" ht="14" customHeight="1">
      <c r="B1" s="90"/>
      <c r="D1" s="101"/>
      <c r="E1" s="640"/>
    </row>
    <row r="2" spans="1:5" s="1" customFormat="1" ht="28" customHeight="1">
      <c r="A2" s="76" t="s">
        <v>1420</v>
      </c>
      <c r="B2" s="90"/>
      <c r="D2" s="101"/>
      <c r="E2" s="76">
        <v>2003</v>
      </c>
    </row>
    <row r="3" spans="1:5" ht="39" customHeight="1">
      <c r="A3" s="588" t="s">
        <v>1335</v>
      </c>
      <c r="B3" s="91"/>
      <c r="C3" s="69" t="s">
        <v>1336</v>
      </c>
      <c r="D3" s="60" t="s">
        <v>1337</v>
      </c>
      <c r="E3" s="404" t="s">
        <v>22</v>
      </c>
    </row>
    <row r="4" spans="1:5" ht="38" customHeight="1">
      <c r="A4" s="405"/>
      <c r="B4" s="390"/>
      <c r="C4" s="73" t="s">
        <v>1925</v>
      </c>
      <c r="D4" s="62" t="s">
        <v>1925</v>
      </c>
      <c r="E4" s="341" t="s">
        <v>1925</v>
      </c>
    </row>
    <row r="5" spans="1:5" ht="30" customHeight="1" thickBot="1">
      <c r="A5" s="643">
        <v>60</v>
      </c>
      <c r="B5" s="643" t="s">
        <v>336</v>
      </c>
      <c r="C5" s="510">
        <v>91178780.120000005</v>
      </c>
      <c r="D5" s="644">
        <v>10051195.699999999</v>
      </c>
      <c r="E5" s="66">
        <v>101229975.81999999</v>
      </c>
    </row>
    <row r="6" spans="1:5" ht="20" customHeight="1" thickBot="1">
      <c r="A6" s="65">
        <v>64</v>
      </c>
      <c r="B6" s="65" t="s">
        <v>1338</v>
      </c>
      <c r="C6" s="407">
        <v>-299334.84000000003</v>
      </c>
      <c r="D6" s="408">
        <v>-26414.7</v>
      </c>
      <c r="E6" s="33">
        <v>-325749.53999999998</v>
      </c>
    </row>
    <row r="7" spans="1:5" ht="20" customHeight="1" thickBot="1">
      <c r="A7" s="65">
        <v>65</v>
      </c>
      <c r="B7" s="65" t="s">
        <v>1339</v>
      </c>
      <c r="C7" s="407">
        <v>31441.68</v>
      </c>
      <c r="D7" s="408">
        <v>1890.68</v>
      </c>
      <c r="E7" s="33">
        <v>33332.36</v>
      </c>
    </row>
    <row r="8" spans="1:5" ht="27" customHeight="1" thickBot="1">
      <c r="A8" s="65" t="s">
        <v>1340</v>
      </c>
      <c r="B8" s="65" t="s">
        <v>1341</v>
      </c>
      <c r="C8" s="407">
        <v>90910886.959999993</v>
      </c>
      <c r="D8" s="408">
        <v>10026671.68</v>
      </c>
      <c r="E8" s="33">
        <v>100937558.64</v>
      </c>
    </row>
    <row r="9" spans="1:5" ht="20" customHeight="1" thickBot="1">
      <c r="A9" s="65">
        <v>66</v>
      </c>
      <c r="B9" s="65" t="s">
        <v>1342</v>
      </c>
      <c r="C9" s="407">
        <v>-910395.43</v>
      </c>
      <c r="D9" s="408">
        <v>-110040.73</v>
      </c>
      <c r="E9" s="33">
        <v>-1020436.16</v>
      </c>
    </row>
    <row r="10" spans="1:5" ht="27" customHeight="1" thickBot="1">
      <c r="A10" s="65" t="s">
        <v>1343</v>
      </c>
      <c r="B10" s="65" t="s">
        <v>1344</v>
      </c>
      <c r="C10" s="407">
        <v>90000491.530000001</v>
      </c>
      <c r="D10" s="408">
        <v>9916630.9499999993</v>
      </c>
      <c r="E10" s="33">
        <v>99917122.480000004</v>
      </c>
    </row>
    <row r="11" spans="1:5" ht="20" customHeight="1" thickBot="1">
      <c r="A11" s="65">
        <v>67</v>
      </c>
      <c r="B11" s="65" t="s">
        <v>1345</v>
      </c>
      <c r="C11" s="407">
        <v>328169.45</v>
      </c>
      <c r="D11" s="408">
        <v>104549.35</v>
      </c>
      <c r="E11" s="33">
        <v>432718.8</v>
      </c>
    </row>
    <row r="12" spans="1:5" ht="20" customHeight="1" thickBot="1">
      <c r="A12" s="65">
        <v>68</v>
      </c>
      <c r="B12" s="65" t="s">
        <v>1346</v>
      </c>
      <c r="C12" s="407">
        <v>-51564.2</v>
      </c>
      <c r="D12" s="408">
        <v>-3338.55</v>
      </c>
      <c r="E12" s="33">
        <v>-54902.75</v>
      </c>
    </row>
    <row r="13" spans="1:5" ht="20" customHeight="1" thickBot="1">
      <c r="A13" s="65">
        <v>69</v>
      </c>
      <c r="B13" s="65" t="s">
        <v>1347</v>
      </c>
      <c r="C13" s="407">
        <v>899819.39</v>
      </c>
      <c r="D13" s="408">
        <v>44353.279999999999</v>
      </c>
      <c r="E13" s="33">
        <v>944172.67</v>
      </c>
    </row>
    <row r="14" spans="1:5" ht="27" customHeight="1" thickBot="1">
      <c r="A14" s="65">
        <v>6</v>
      </c>
      <c r="B14" s="65" t="s">
        <v>1348</v>
      </c>
      <c r="C14" s="407">
        <v>91176916.170000002</v>
      </c>
      <c r="D14" s="408">
        <v>10062195.039999999</v>
      </c>
      <c r="E14" s="33">
        <v>101239111.20999999</v>
      </c>
    </row>
    <row r="15" spans="1:5" ht="20" customHeight="1" thickBot="1">
      <c r="A15" s="65">
        <v>30</v>
      </c>
      <c r="B15" s="65" t="s">
        <v>338</v>
      </c>
      <c r="C15" s="407">
        <v>77196929.260000005</v>
      </c>
      <c r="D15" s="408">
        <v>9246352.4399999995</v>
      </c>
      <c r="E15" s="33">
        <v>86443281.700000003</v>
      </c>
    </row>
    <row r="16" spans="1:5" ht="20" customHeight="1" thickBot="1">
      <c r="A16" s="65">
        <v>32</v>
      </c>
      <c r="B16" s="65" t="s">
        <v>1349</v>
      </c>
      <c r="C16" s="407">
        <v>0</v>
      </c>
      <c r="D16" s="408">
        <v>0</v>
      </c>
      <c r="E16" s="33">
        <v>0</v>
      </c>
    </row>
    <row r="17" spans="1:5" ht="27" customHeight="1" thickBot="1">
      <c r="A17" s="65" t="s">
        <v>1350</v>
      </c>
      <c r="B17" s="65" t="s">
        <v>1351</v>
      </c>
      <c r="C17" s="407">
        <v>77196929.260000005</v>
      </c>
      <c r="D17" s="408">
        <v>9246352.4399999995</v>
      </c>
      <c r="E17" s="33">
        <v>86443281.700000003</v>
      </c>
    </row>
    <row r="18" spans="1:5" ht="20" customHeight="1" thickBot="1">
      <c r="A18" s="65">
        <v>34</v>
      </c>
      <c r="B18" s="65" t="s">
        <v>1352</v>
      </c>
      <c r="C18" s="407">
        <v>133242.19</v>
      </c>
      <c r="D18" s="408">
        <v>9681.0400000000009</v>
      </c>
      <c r="E18" s="33">
        <v>142923.23000000001</v>
      </c>
    </row>
    <row r="19" spans="1:5" ht="20" customHeight="1" thickBot="1">
      <c r="A19" s="65">
        <v>35</v>
      </c>
      <c r="B19" s="65" t="s">
        <v>1353</v>
      </c>
      <c r="C19" s="407">
        <v>-784861.06</v>
      </c>
      <c r="D19" s="408">
        <v>88691.16</v>
      </c>
      <c r="E19" s="33">
        <v>-696169.9</v>
      </c>
    </row>
    <row r="20" spans="1:5" ht="27" customHeight="1" thickBot="1">
      <c r="A20" s="65" t="s">
        <v>1354</v>
      </c>
      <c r="B20" s="65" t="s">
        <v>1355</v>
      </c>
      <c r="C20" s="407">
        <v>76545310.390000001</v>
      </c>
      <c r="D20" s="408">
        <v>9344724.6400000006</v>
      </c>
      <c r="E20" s="33">
        <v>85890035.030000001</v>
      </c>
    </row>
    <row r="21" spans="1:5" ht="20" customHeight="1" thickBot="1">
      <c r="A21" s="65">
        <v>36</v>
      </c>
      <c r="B21" s="65" t="s">
        <v>1356</v>
      </c>
      <c r="C21" s="407">
        <v>-1084108.24</v>
      </c>
      <c r="D21" s="408">
        <v>-127031.27</v>
      </c>
      <c r="E21" s="33">
        <v>-1211139.51</v>
      </c>
    </row>
    <row r="22" spans="1:5" ht="20" customHeight="1" thickBot="1">
      <c r="A22" s="65">
        <v>37</v>
      </c>
      <c r="B22" s="65" t="s">
        <v>1357</v>
      </c>
      <c r="C22" s="407">
        <v>0</v>
      </c>
      <c r="D22" s="408">
        <v>0</v>
      </c>
      <c r="E22" s="33">
        <v>0</v>
      </c>
    </row>
    <row r="23" spans="1:5" ht="27" customHeight="1" thickBot="1">
      <c r="A23" s="65">
        <v>3</v>
      </c>
      <c r="B23" s="65" t="s">
        <v>1358</v>
      </c>
      <c r="C23" s="407">
        <v>75461202.150000006</v>
      </c>
      <c r="D23" s="408">
        <v>9217693.3699999992</v>
      </c>
      <c r="E23" s="33">
        <v>84678895.519999996</v>
      </c>
    </row>
    <row r="24" spans="1:5" ht="20" customHeight="1" thickBot="1">
      <c r="A24" s="7" t="s">
        <v>1359</v>
      </c>
      <c r="B24" s="7" t="s">
        <v>1835</v>
      </c>
      <c r="C24" s="407">
        <v>9428027.5700000003</v>
      </c>
      <c r="D24" s="408">
        <v>914335.19</v>
      </c>
      <c r="E24" s="33">
        <v>10342362.76</v>
      </c>
    </row>
    <row r="25" spans="1:5" ht="20" customHeight="1" thickBot="1">
      <c r="A25" s="7">
        <v>48</v>
      </c>
      <c r="B25" s="7" t="s">
        <v>1836</v>
      </c>
      <c r="C25" s="407">
        <v>1025541.58</v>
      </c>
      <c r="D25" s="408">
        <v>151951.06</v>
      </c>
      <c r="E25" s="33">
        <v>1177492.6399999999</v>
      </c>
    </row>
    <row r="26" spans="1:5" ht="20" customHeight="1" thickBot="1">
      <c r="A26" s="65">
        <v>49</v>
      </c>
      <c r="B26" s="65" t="s">
        <v>1837</v>
      </c>
      <c r="C26" s="407">
        <v>-39275.61</v>
      </c>
      <c r="D26" s="408">
        <v>-6416.7</v>
      </c>
      <c r="E26" s="33">
        <v>-45692.31</v>
      </c>
    </row>
    <row r="27" spans="1:5" ht="27" customHeight="1" thickBot="1">
      <c r="A27" s="65">
        <v>4</v>
      </c>
      <c r="B27" s="65" t="s">
        <v>1838</v>
      </c>
      <c r="C27" s="407">
        <v>10414293.539999999</v>
      </c>
      <c r="D27" s="408">
        <v>1059869.53</v>
      </c>
      <c r="E27" s="33">
        <v>11474163.07</v>
      </c>
    </row>
    <row r="28" spans="1:5" ht="27" customHeight="1" thickBot="1">
      <c r="A28" s="65" t="s">
        <v>1839</v>
      </c>
      <c r="B28" s="65" t="s">
        <v>1840</v>
      </c>
      <c r="C28" s="407">
        <v>85875495.689999998</v>
      </c>
      <c r="D28" s="408">
        <v>10277562.9</v>
      </c>
      <c r="E28" s="33">
        <v>96153058.590000004</v>
      </c>
    </row>
    <row r="29" spans="1:5" ht="27" customHeight="1" thickBot="1">
      <c r="A29" s="65"/>
      <c r="B29" s="65" t="s">
        <v>1841</v>
      </c>
      <c r="C29" s="407">
        <v>5301420.4800000004</v>
      </c>
      <c r="D29" s="408">
        <v>-215367.87</v>
      </c>
      <c r="E29" s="33">
        <v>5086052.6100000003</v>
      </c>
    </row>
    <row r="30" spans="1:5" ht="27" customHeight="1" thickBot="1">
      <c r="A30" s="65">
        <v>7</v>
      </c>
      <c r="B30" s="65" t="s">
        <v>1842</v>
      </c>
      <c r="C30" s="407">
        <v>4051100.38</v>
      </c>
      <c r="D30" s="408">
        <v>441516.06</v>
      </c>
      <c r="E30" s="33">
        <v>4492616.4400000004</v>
      </c>
    </row>
    <row r="31" spans="1:5" ht="34.5" customHeight="1" thickBot="1">
      <c r="A31" s="516"/>
      <c r="B31" s="516" t="s">
        <v>1843</v>
      </c>
      <c r="C31" s="407">
        <v>9352520.8599999994</v>
      </c>
      <c r="D31" s="408">
        <v>226148.18</v>
      </c>
      <c r="E31" s="33">
        <v>9578669.0399999991</v>
      </c>
    </row>
    <row r="32" spans="1:5" ht="20" customHeight="1">
      <c r="A32" s="9" t="s">
        <v>379</v>
      </c>
      <c r="B32" s="98"/>
      <c r="C32" s="9"/>
      <c r="D32" s="111"/>
      <c r="E32" s="641"/>
    </row>
    <row r="33" spans="1:5" ht="15.75" customHeight="1">
      <c r="A33" s="37"/>
      <c r="B33" s="99"/>
      <c r="C33" s="37"/>
      <c r="D33" s="112"/>
      <c r="E33" s="645"/>
    </row>
    <row r="34" spans="1:5" ht="15.75" customHeight="1">
      <c r="A34" s="3" t="s">
        <v>1419</v>
      </c>
      <c r="B34" s="99"/>
      <c r="C34" s="37"/>
      <c r="D34" s="112"/>
      <c r="E34" s="645"/>
    </row>
    <row r="35" spans="1:5" ht="13.5" customHeight="1">
      <c r="A35" s="37"/>
      <c r="B35" s="99"/>
      <c r="C35" s="37"/>
      <c r="D35" s="112"/>
      <c r="E35" s="645"/>
    </row>
    <row r="36" spans="1:5">
      <c r="A36" s="37" t="s">
        <v>1414</v>
      </c>
    </row>
    <row r="37" spans="1:5">
      <c r="A37" s="3" t="s">
        <v>1415</v>
      </c>
    </row>
    <row r="40" spans="1:5">
      <c r="A40" s="3" t="s">
        <v>256</v>
      </c>
    </row>
  </sheetData>
  <phoneticPr fontId="0" type="noConversion"/>
  <pageMargins left="0.6" right="0.6" top="0.78" bottom="0.49" header="0.49" footer="0.4921259845"/>
  <pageSetup paperSize="9" scale="84" orientation="portrait" horizontalDpi="4294967292" verticalDpi="4294967292"/>
  <headerFooter alignWithMargins="0">
    <oddHeader>&amp;L&amp;"Arial,Bold"Freiwillige Taggeldversicherung KVG</oddHead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5AA64-47AE-2F4A-B2E1-BFE38F3FA032}">
  <sheetPr>
    <pageSetUpPr fitToPage="1"/>
  </sheetPr>
  <dimension ref="A1:E40"/>
  <sheetViews>
    <sheetView zoomScale="75" workbookViewId="0">
      <selection sqref="A1:E40"/>
    </sheetView>
  </sheetViews>
  <sheetFormatPr baseColWidth="10" defaultColWidth="11.3984375" defaultRowHeight="13"/>
  <cols>
    <col min="1" max="1" width="8.796875" style="3" customWidth="1"/>
    <col min="2" max="2" width="48.796875" style="100" customWidth="1"/>
    <col min="3" max="3" width="16.796875" style="3" customWidth="1"/>
    <col min="4" max="4" width="16.796875" style="42" customWidth="1"/>
    <col min="5" max="5" width="16.796875" style="642" customWidth="1"/>
    <col min="6" max="16384" width="11.3984375" style="3"/>
  </cols>
  <sheetData>
    <row r="1" spans="1:5" s="1" customFormat="1" ht="14" customHeight="1">
      <c r="B1" s="90"/>
      <c r="D1" s="101"/>
      <c r="E1" s="640"/>
    </row>
    <row r="2" spans="1:5" s="1" customFormat="1" ht="28" customHeight="1">
      <c r="A2" s="76" t="s">
        <v>1422</v>
      </c>
      <c r="B2" s="90"/>
      <c r="D2" s="101"/>
      <c r="E2" s="76">
        <v>2003</v>
      </c>
    </row>
    <row r="3" spans="1:5" ht="39" customHeight="1">
      <c r="A3" s="2" t="s">
        <v>1335</v>
      </c>
      <c r="B3" s="91"/>
      <c r="C3" s="69" t="s">
        <v>1336</v>
      </c>
      <c r="D3" s="60" t="s">
        <v>1337</v>
      </c>
      <c r="E3" s="404" t="s">
        <v>22</v>
      </c>
    </row>
    <row r="4" spans="1:5" ht="38" customHeight="1">
      <c r="A4" s="405"/>
      <c r="B4" s="390"/>
      <c r="C4" s="73" t="s">
        <v>1925</v>
      </c>
      <c r="D4" s="62" t="s">
        <v>1925</v>
      </c>
      <c r="E4" s="341" t="s">
        <v>1925</v>
      </c>
    </row>
    <row r="5" spans="1:5" ht="30" customHeight="1" thickBot="1">
      <c r="A5" s="643">
        <v>60</v>
      </c>
      <c r="B5" s="643" t="s">
        <v>336</v>
      </c>
      <c r="C5" s="510">
        <v>240189682.53999999</v>
      </c>
      <c r="D5" s="644">
        <v>15723498.59</v>
      </c>
      <c r="E5" s="66">
        <v>255913181.13</v>
      </c>
    </row>
    <row r="6" spans="1:5" ht="20" customHeight="1" thickBot="1">
      <c r="A6" s="65">
        <v>64</v>
      </c>
      <c r="B6" s="65" t="s">
        <v>1338</v>
      </c>
      <c r="C6" s="510">
        <v>-2590413.44</v>
      </c>
      <c r="D6" s="644">
        <v>-229682.66</v>
      </c>
      <c r="E6" s="66">
        <v>-2820096.1</v>
      </c>
    </row>
    <row r="7" spans="1:5" ht="20" customHeight="1" thickBot="1">
      <c r="A7" s="65">
        <v>65</v>
      </c>
      <c r="B7" s="65" t="s">
        <v>1339</v>
      </c>
      <c r="C7" s="510">
        <v>49827.64</v>
      </c>
      <c r="D7" s="644">
        <v>335.31</v>
      </c>
      <c r="E7" s="66">
        <v>50162.95</v>
      </c>
    </row>
    <row r="8" spans="1:5" ht="27" customHeight="1" thickBot="1">
      <c r="A8" s="65" t="s">
        <v>1340</v>
      </c>
      <c r="B8" s="65" t="s">
        <v>1341</v>
      </c>
      <c r="C8" s="510">
        <v>237649096.74000001</v>
      </c>
      <c r="D8" s="644">
        <v>15494151.24</v>
      </c>
      <c r="E8" s="66">
        <v>253143247.97999999</v>
      </c>
    </row>
    <row r="9" spans="1:5" ht="20" customHeight="1" thickBot="1">
      <c r="A9" s="65">
        <v>66</v>
      </c>
      <c r="B9" s="65" t="s">
        <v>1342</v>
      </c>
      <c r="C9" s="510">
        <v>-1701541.57</v>
      </c>
      <c r="D9" s="644">
        <v>-9614.31</v>
      </c>
      <c r="E9" s="66">
        <v>-1711155.88</v>
      </c>
    </row>
    <row r="10" spans="1:5" ht="27" customHeight="1" thickBot="1">
      <c r="A10" s="65" t="s">
        <v>1343</v>
      </c>
      <c r="B10" s="65" t="s">
        <v>1344</v>
      </c>
      <c r="C10" s="510">
        <v>235947555.16999999</v>
      </c>
      <c r="D10" s="644">
        <v>15484536.939999999</v>
      </c>
      <c r="E10" s="66">
        <v>251432092.11000001</v>
      </c>
    </row>
    <row r="11" spans="1:5" ht="20" customHeight="1" thickBot="1">
      <c r="A11" s="65">
        <v>67</v>
      </c>
      <c r="B11" s="65" t="s">
        <v>1345</v>
      </c>
      <c r="C11" s="510">
        <v>17938791.850000001</v>
      </c>
      <c r="D11" s="644">
        <v>71392.5</v>
      </c>
      <c r="E11" s="66">
        <v>18010184.350000001</v>
      </c>
    </row>
    <row r="12" spans="1:5" ht="20" customHeight="1" thickBot="1">
      <c r="A12" s="65">
        <v>68</v>
      </c>
      <c r="B12" s="65" t="s">
        <v>1346</v>
      </c>
      <c r="C12" s="510">
        <v>-17938791.850000001</v>
      </c>
      <c r="D12" s="644">
        <v>-71392.5</v>
      </c>
      <c r="E12" s="66">
        <v>-18010184.350000001</v>
      </c>
    </row>
    <row r="13" spans="1:5" ht="20" customHeight="1" thickBot="1">
      <c r="A13" s="65">
        <v>69</v>
      </c>
      <c r="B13" s="65" t="s">
        <v>1347</v>
      </c>
      <c r="C13" s="510">
        <v>3289706.96</v>
      </c>
      <c r="D13" s="644">
        <v>17341.990000000002</v>
      </c>
      <c r="E13" s="66">
        <v>3307048.95</v>
      </c>
    </row>
    <row r="14" spans="1:5" ht="27" customHeight="1" thickBot="1">
      <c r="A14" s="65">
        <v>6</v>
      </c>
      <c r="B14" s="65" t="s">
        <v>1348</v>
      </c>
      <c r="C14" s="510">
        <v>239237262.13</v>
      </c>
      <c r="D14" s="644">
        <v>15501878.93</v>
      </c>
      <c r="E14" s="66">
        <v>254739141.06</v>
      </c>
    </row>
    <row r="15" spans="1:5" ht="20" customHeight="1" thickBot="1">
      <c r="A15" s="65">
        <v>30</v>
      </c>
      <c r="B15" s="65" t="s">
        <v>338</v>
      </c>
      <c r="C15" s="510">
        <v>205376401.72</v>
      </c>
      <c r="D15" s="644">
        <v>18093347.300000001</v>
      </c>
      <c r="E15" s="66">
        <v>223469749.02000001</v>
      </c>
    </row>
    <row r="16" spans="1:5" ht="20" customHeight="1" thickBot="1">
      <c r="A16" s="65">
        <v>32</v>
      </c>
      <c r="B16" s="65" t="s">
        <v>1349</v>
      </c>
      <c r="C16" s="510">
        <v>0</v>
      </c>
      <c r="D16" s="644">
        <v>0</v>
      </c>
      <c r="E16" s="66">
        <v>0</v>
      </c>
    </row>
    <row r="17" spans="1:5" ht="27" customHeight="1" thickBot="1">
      <c r="A17" s="65" t="s">
        <v>1350</v>
      </c>
      <c r="B17" s="65" t="s">
        <v>1351</v>
      </c>
      <c r="C17" s="510">
        <v>205376401.72</v>
      </c>
      <c r="D17" s="644">
        <v>18093347.300000001</v>
      </c>
      <c r="E17" s="66">
        <v>223469749.02000001</v>
      </c>
    </row>
    <row r="18" spans="1:5" ht="20" customHeight="1" thickBot="1">
      <c r="A18" s="65">
        <v>34</v>
      </c>
      <c r="B18" s="65" t="s">
        <v>1352</v>
      </c>
      <c r="C18" s="510">
        <v>642911.80000000005</v>
      </c>
      <c r="D18" s="644">
        <v>4994.93</v>
      </c>
      <c r="E18" s="66">
        <v>647906.73</v>
      </c>
    </row>
    <row r="19" spans="1:5" ht="20" customHeight="1" thickBot="1">
      <c r="A19" s="65">
        <v>35</v>
      </c>
      <c r="B19" s="65" t="s">
        <v>1353</v>
      </c>
      <c r="C19" s="510">
        <v>-5891326.2300000004</v>
      </c>
      <c r="D19" s="644">
        <v>-486010.7</v>
      </c>
      <c r="E19" s="66">
        <v>-6377336.9299999997</v>
      </c>
    </row>
    <row r="20" spans="1:5" ht="27" customHeight="1" thickBot="1">
      <c r="A20" s="65" t="s">
        <v>1354</v>
      </c>
      <c r="B20" s="65" t="s">
        <v>1355</v>
      </c>
      <c r="C20" s="510">
        <v>200127987.28999999</v>
      </c>
      <c r="D20" s="644">
        <v>17612331.530000001</v>
      </c>
      <c r="E20" s="66">
        <v>217740318.81999999</v>
      </c>
    </row>
    <row r="21" spans="1:5" ht="20" customHeight="1" thickBot="1">
      <c r="A21" s="65">
        <v>36</v>
      </c>
      <c r="B21" s="65" t="s">
        <v>1356</v>
      </c>
      <c r="C21" s="510">
        <v>-1622237.54</v>
      </c>
      <c r="D21" s="644">
        <v>-2636.25</v>
      </c>
      <c r="E21" s="66">
        <v>-1624873.79</v>
      </c>
    </row>
    <row r="22" spans="1:5" ht="20" customHeight="1" thickBot="1">
      <c r="A22" s="65">
        <v>37</v>
      </c>
      <c r="B22" s="65" t="s">
        <v>1357</v>
      </c>
      <c r="C22" s="510">
        <v>0</v>
      </c>
      <c r="D22" s="644">
        <v>0</v>
      </c>
      <c r="E22" s="66">
        <v>0</v>
      </c>
    </row>
    <row r="23" spans="1:5" ht="27" customHeight="1" thickBot="1">
      <c r="A23" s="65">
        <v>3</v>
      </c>
      <c r="B23" s="65" t="s">
        <v>1358</v>
      </c>
      <c r="C23" s="510">
        <v>198505749.75</v>
      </c>
      <c r="D23" s="644">
        <v>17609695.280000001</v>
      </c>
      <c r="E23" s="66">
        <v>216115445.03</v>
      </c>
    </row>
    <row r="24" spans="1:5" ht="20" customHeight="1" thickBot="1">
      <c r="A24" s="7" t="s">
        <v>1359</v>
      </c>
      <c r="B24" s="7" t="s">
        <v>1835</v>
      </c>
      <c r="C24" s="510">
        <v>21702066.719999999</v>
      </c>
      <c r="D24" s="644">
        <v>1295509.75</v>
      </c>
      <c r="E24" s="66">
        <v>22997576.469999999</v>
      </c>
    </row>
    <row r="25" spans="1:5" ht="20" customHeight="1" thickBot="1">
      <c r="A25" s="7">
        <v>48</v>
      </c>
      <c r="B25" s="7" t="s">
        <v>1836</v>
      </c>
      <c r="C25" s="510">
        <v>3167557.5</v>
      </c>
      <c r="D25" s="644">
        <v>480554.37</v>
      </c>
      <c r="E25" s="66">
        <v>3648111.87</v>
      </c>
    </row>
    <row r="26" spans="1:5" ht="20" customHeight="1" thickBot="1">
      <c r="A26" s="65">
        <v>49</v>
      </c>
      <c r="B26" s="65" t="s">
        <v>1837</v>
      </c>
      <c r="C26" s="510">
        <v>-156437.49</v>
      </c>
      <c r="D26" s="644">
        <v>-27708.39</v>
      </c>
      <c r="E26" s="66">
        <v>-184145.88</v>
      </c>
    </row>
    <row r="27" spans="1:5" ht="27" customHeight="1" thickBot="1">
      <c r="A27" s="65">
        <v>4</v>
      </c>
      <c r="B27" s="65" t="s">
        <v>1838</v>
      </c>
      <c r="C27" s="510">
        <v>24713186.719999999</v>
      </c>
      <c r="D27" s="644">
        <v>1748355.73</v>
      </c>
      <c r="E27" s="66">
        <v>26461542.449999999</v>
      </c>
    </row>
    <row r="28" spans="1:5" ht="27" customHeight="1" thickBot="1">
      <c r="A28" s="65" t="s">
        <v>1839</v>
      </c>
      <c r="B28" s="65" t="s">
        <v>1840</v>
      </c>
      <c r="C28" s="510">
        <v>223218936.47</v>
      </c>
      <c r="D28" s="644">
        <v>19358051.010000002</v>
      </c>
      <c r="E28" s="66">
        <v>242576987.47999999</v>
      </c>
    </row>
    <row r="29" spans="1:5" ht="27" customHeight="1" thickBot="1">
      <c r="A29" s="65"/>
      <c r="B29" s="65" t="s">
        <v>1841</v>
      </c>
      <c r="C29" s="510">
        <v>16018325.66</v>
      </c>
      <c r="D29" s="644">
        <v>-3856172.08</v>
      </c>
      <c r="E29" s="66">
        <v>12162153.58</v>
      </c>
    </row>
    <row r="30" spans="1:5" ht="27" customHeight="1" thickBot="1">
      <c r="A30" s="65">
        <v>7</v>
      </c>
      <c r="B30" s="65" t="s">
        <v>1842</v>
      </c>
      <c r="C30" s="510">
        <v>3948003.53</v>
      </c>
      <c r="D30" s="644">
        <v>259954.01</v>
      </c>
      <c r="E30" s="66">
        <v>4207957.54</v>
      </c>
    </row>
    <row r="31" spans="1:5" ht="34.5" customHeight="1" thickBot="1">
      <c r="A31" s="516"/>
      <c r="B31" s="516" t="s">
        <v>1843</v>
      </c>
      <c r="C31" s="510">
        <v>19966329.190000001</v>
      </c>
      <c r="D31" s="644">
        <v>-3596218.07</v>
      </c>
      <c r="E31" s="66">
        <v>16370111.119999999</v>
      </c>
    </row>
    <row r="32" spans="1:5" ht="20" customHeight="1">
      <c r="A32" s="9" t="s">
        <v>379</v>
      </c>
      <c r="B32" s="98"/>
      <c r="C32" s="9"/>
      <c r="D32" s="111"/>
      <c r="E32" s="641"/>
    </row>
    <row r="33" spans="1:5" ht="14.25" customHeight="1">
      <c r="A33" s="37"/>
      <c r="B33" s="99"/>
      <c r="C33" s="37"/>
      <c r="D33" s="112"/>
      <c r="E33" s="645"/>
    </row>
    <row r="34" spans="1:5" ht="15.75" customHeight="1">
      <c r="A34" s="3" t="s">
        <v>1421</v>
      </c>
      <c r="B34" s="99"/>
      <c r="C34" s="37"/>
      <c r="D34" s="112"/>
      <c r="E34" s="645"/>
    </row>
    <row r="35" spans="1:5" ht="13.5" customHeight="1">
      <c r="A35" s="37"/>
      <c r="B35" s="99"/>
      <c r="C35" s="37"/>
      <c r="D35" s="112"/>
      <c r="E35" s="645"/>
    </row>
    <row r="36" spans="1:5">
      <c r="A36" s="37" t="s">
        <v>1414</v>
      </c>
    </row>
    <row r="37" spans="1:5">
      <c r="A37" s="3" t="s">
        <v>1415</v>
      </c>
    </row>
    <row r="40" spans="1:5">
      <c r="A40" s="3" t="s">
        <v>256</v>
      </c>
    </row>
  </sheetData>
  <phoneticPr fontId="0" type="noConversion"/>
  <pageMargins left="0.57999999999999996" right="0.65" top="0.92" bottom="0.49" header="0.49" footer="0.4921259845"/>
  <pageSetup paperSize="9" scale="84" orientation="portrait" horizontalDpi="4294967292" verticalDpi="4294967292"/>
  <headerFooter alignWithMargins="0">
    <oddHeader>&amp;L&amp;"Arial,Bold"Freiwillige Taggeldversicherung KVG</oddHead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C843D-7ACA-8640-9BDE-54D41E3ABCA9}">
  <sheetPr>
    <pageSetUpPr fitToPage="1"/>
  </sheetPr>
  <dimension ref="A1:B11"/>
  <sheetViews>
    <sheetView workbookViewId="0">
      <selection activeCell="B3" sqref="B3:B8"/>
    </sheetView>
  </sheetViews>
  <sheetFormatPr baseColWidth="10" defaultColWidth="11.3984375" defaultRowHeight="13"/>
  <cols>
    <col min="1" max="1" width="5.59765625" style="660" customWidth="1"/>
    <col min="2" max="16384" width="11.3984375" style="660"/>
  </cols>
  <sheetData>
    <row r="1" spans="1:2" ht="16">
      <c r="A1" s="659" t="s">
        <v>1794</v>
      </c>
    </row>
    <row r="2" spans="1:2" ht="16">
      <c r="A2" s="661"/>
    </row>
    <row r="3" spans="1:2">
      <c r="A3" s="660">
        <v>7.01</v>
      </c>
      <c r="B3" s="199" t="s">
        <v>1795</v>
      </c>
    </row>
    <row r="4" spans="1:2">
      <c r="A4" s="660">
        <v>7.02</v>
      </c>
      <c r="B4" s="199" t="s">
        <v>1796</v>
      </c>
    </row>
    <row r="5" spans="1:2">
      <c r="A5" s="660">
        <v>7.03</v>
      </c>
      <c r="B5" s="199" t="s">
        <v>199</v>
      </c>
    </row>
    <row r="6" spans="1:2">
      <c r="A6" s="660">
        <v>7.04</v>
      </c>
      <c r="B6" s="199" t="s">
        <v>1797</v>
      </c>
    </row>
    <row r="7" spans="1:2">
      <c r="A7" s="660">
        <v>7.05</v>
      </c>
      <c r="B7" s="199" t="s">
        <v>0</v>
      </c>
    </row>
    <row r="8" spans="1:2">
      <c r="A8" s="660">
        <v>7.06</v>
      </c>
      <c r="B8" s="199" t="s">
        <v>200</v>
      </c>
    </row>
    <row r="11" spans="1:2">
      <c r="A11" s="662" t="s">
        <v>256</v>
      </c>
    </row>
  </sheetData>
  <phoneticPr fontId="21" type="noConversion"/>
  <pageMargins left="0.46" right="0.35" top="0.62" bottom="0.984251969" header="0.36" footer="0.4921259845"/>
  <pageSetup paperSize="9" scale="89" orientation="portrait"/>
  <headerFooter alignWithMargins="0"/>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FDD14-E99E-7642-AE80-7319A67E06A6}">
  <sheetPr>
    <pageSetUpPr fitToPage="1"/>
  </sheetPr>
  <dimension ref="A1:K29"/>
  <sheetViews>
    <sheetView topLeftCell="A9" zoomScale="75" workbookViewId="0">
      <selection activeCell="B26" sqref="B26"/>
    </sheetView>
  </sheetViews>
  <sheetFormatPr baseColWidth="10" defaultColWidth="11.3984375" defaultRowHeight="13"/>
  <cols>
    <col min="1" max="1" width="16.796875" style="3" customWidth="1"/>
    <col min="2" max="2" width="16.19921875" style="3" customWidth="1"/>
    <col min="3" max="3" width="15" style="3" customWidth="1"/>
    <col min="4" max="4" width="16.19921875" style="3" customWidth="1"/>
    <col min="5" max="7" width="15" style="3" customWidth="1"/>
    <col min="8" max="16384" width="11.3984375" style="3"/>
  </cols>
  <sheetData>
    <row r="1" spans="1:11" s="1" customFormat="1" ht="14" customHeight="1"/>
    <row r="2" spans="1:11" s="1" customFormat="1" ht="42" customHeight="1">
      <c r="A2" s="1473" t="s">
        <v>1434</v>
      </c>
      <c r="B2" s="1474"/>
      <c r="C2" s="1474"/>
      <c r="D2" s="1474"/>
      <c r="E2" s="1474"/>
      <c r="F2" s="1474"/>
      <c r="G2" s="76">
        <v>2003</v>
      </c>
    </row>
    <row r="3" spans="1:11" ht="24" customHeight="1">
      <c r="A3" s="2" t="s">
        <v>1757</v>
      </c>
      <c r="B3" s="69" t="s">
        <v>1380</v>
      </c>
      <c r="C3" s="16" t="s">
        <v>24</v>
      </c>
      <c r="D3" s="69" t="s">
        <v>1381</v>
      </c>
      <c r="E3" s="16" t="s">
        <v>24</v>
      </c>
      <c r="F3" s="69" t="s">
        <v>2020</v>
      </c>
      <c r="G3" s="16" t="s">
        <v>24</v>
      </c>
    </row>
    <row r="4" spans="1:11" ht="15" customHeight="1">
      <c r="A4" s="77"/>
      <c r="B4" s="70" t="s">
        <v>2020</v>
      </c>
      <c r="C4" s="17" t="s">
        <v>25</v>
      </c>
      <c r="D4" s="70" t="s">
        <v>1382</v>
      </c>
      <c r="E4" s="17" t="s">
        <v>25</v>
      </c>
      <c r="F4" s="70" t="s">
        <v>1383</v>
      </c>
      <c r="G4" s="17" t="s">
        <v>25</v>
      </c>
    </row>
    <row r="5" spans="1:11" ht="15" customHeight="1">
      <c r="A5" s="77"/>
      <c r="B5" s="70" t="s">
        <v>1758</v>
      </c>
      <c r="C5" s="17" t="s">
        <v>26</v>
      </c>
      <c r="D5" s="70" t="s">
        <v>1384</v>
      </c>
      <c r="E5" s="17" t="s">
        <v>26</v>
      </c>
      <c r="F5" s="70" t="s">
        <v>1759</v>
      </c>
      <c r="G5" s="17" t="s">
        <v>26</v>
      </c>
    </row>
    <row r="6" spans="1:11" ht="24" customHeight="1">
      <c r="A6" s="78"/>
      <c r="B6" s="73"/>
      <c r="C6" s="18"/>
      <c r="D6" s="73" t="s">
        <v>1430</v>
      </c>
      <c r="E6" s="18"/>
      <c r="F6" s="73"/>
      <c r="G6" s="18"/>
    </row>
    <row r="7" spans="1:11" ht="30" customHeight="1" thickBot="1">
      <c r="A7" s="651">
        <v>1994</v>
      </c>
      <c r="B7" s="28">
        <v>4198316767</v>
      </c>
      <c r="C7" s="24" t="s">
        <v>258</v>
      </c>
      <c r="D7" s="28">
        <v>3818641000</v>
      </c>
      <c r="E7" s="24" t="s">
        <v>258</v>
      </c>
      <c r="F7" s="28">
        <v>379675767</v>
      </c>
      <c r="G7" s="24" t="s">
        <v>258</v>
      </c>
      <c r="H7" s="42"/>
    </row>
    <row r="8" spans="1:11" ht="20" customHeight="1" thickBot="1">
      <c r="A8" s="80">
        <v>1995</v>
      </c>
      <c r="B8" s="29">
        <v>4392004810</v>
      </c>
      <c r="C8" s="25">
        <v>4.6134690103053863E-2</v>
      </c>
      <c r="D8" s="29">
        <v>4165379000</v>
      </c>
      <c r="E8" s="25">
        <v>9.0801413382404897E-2</v>
      </c>
      <c r="F8" s="29">
        <v>226625810</v>
      </c>
      <c r="G8" s="25">
        <v>-0.40310699365756469</v>
      </c>
    </row>
    <row r="9" spans="1:11" ht="20" customHeight="1" thickBot="1">
      <c r="A9" s="80">
        <v>1996</v>
      </c>
      <c r="B9" s="29">
        <v>4599022226.4899998</v>
      </c>
      <c r="C9" s="25">
        <v>4.7135061423122571E-2</v>
      </c>
      <c r="D9" s="29">
        <v>4507461189</v>
      </c>
      <c r="E9" s="25">
        <v>8.2125105302542703E-2</v>
      </c>
      <c r="F9" s="29">
        <v>91699445.469999999</v>
      </c>
      <c r="G9" s="25">
        <v>-0.59537068849307151</v>
      </c>
      <c r="I9" s="43"/>
      <c r="J9" s="43"/>
      <c r="K9" s="43"/>
    </row>
    <row r="10" spans="1:11" ht="20" customHeight="1" thickBot="1">
      <c r="A10" s="80">
        <v>1997</v>
      </c>
      <c r="B10" s="29">
        <v>4851626656</v>
      </c>
      <c r="C10" s="25">
        <v>5.4925681388321837E-2</v>
      </c>
      <c r="D10" s="29">
        <v>4710142665.8999996</v>
      </c>
      <c r="E10" s="25">
        <v>4.4965773059704457E-2</v>
      </c>
      <c r="F10" s="29">
        <v>141483990.28999999</v>
      </c>
      <c r="G10" s="25">
        <v>0.54290998778490207</v>
      </c>
    </row>
    <row r="11" spans="1:11" ht="20" customHeight="1" thickBot="1">
      <c r="A11" s="80">
        <v>1998</v>
      </c>
      <c r="B11" s="29">
        <v>4992640209.6999998</v>
      </c>
      <c r="C11" s="25">
        <v>2.9065211257673453E-2</v>
      </c>
      <c r="D11" s="29">
        <v>4882154897.6999998</v>
      </c>
      <c r="E11" s="25">
        <v>3.6519537517476157E-2</v>
      </c>
      <c r="F11" s="29">
        <v>110485312.03</v>
      </c>
      <c r="G11" s="25">
        <v>-0.2190967203883771</v>
      </c>
    </row>
    <row r="12" spans="1:11" ht="20" customHeight="1" thickBot="1">
      <c r="A12" s="80">
        <v>1999</v>
      </c>
      <c r="B12" s="29">
        <v>4257016347.5999999</v>
      </c>
      <c r="C12" s="25">
        <v>-0.14734165315393363</v>
      </c>
      <c r="D12" s="29">
        <v>4120691131.5999999</v>
      </c>
      <c r="E12" s="25">
        <v>-0.15596878469766048</v>
      </c>
      <c r="F12" s="29">
        <v>136325216.02000001</v>
      </c>
      <c r="G12" s="25">
        <v>0.23387637248092957</v>
      </c>
    </row>
    <row r="13" spans="1:11" ht="20" customHeight="1" thickBot="1">
      <c r="A13" s="80">
        <v>2000</v>
      </c>
      <c r="B13" s="29">
        <v>3297340718.6999998</v>
      </c>
      <c r="C13" s="25">
        <v>-0.22543386037054836</v>
      </c>
      <c r="D13" s="29">
        <v>3197872772.4000001</v>
      </c>
      <c r="E13" s="25">
        <v>-0.22394747136548521</v>
      </c>
      <c r="F13" s="29">
        <v>99467946.299999997</v>
      </c>
      <c r="G13" s="25">
        <v>-0.27036281911772475</v>
      </c>
    </row>
    <row r="14" spans="1:11" ht="19.5" customHeight="1" thickBot="1">
      <c r="A14" s="80">
        <v>2001</v>
      </c>
      <c r="B14" s="29">
        <v>2297775177.9000001</v>
      </c>
      <c r="C14" s="25">
        <v>-0.30314293428374778</v>
      </c>
      <c r="D14" s="29">
        <v>2245296158.4000001</v>
      </c>
      <c r="E14" s="25">
        <v>-0.29787820898362138</v>
      </c>
      <c r="F14" s="29">
        <v>52479019.649999999</v>
      </c>
      <c r="G14" s="25">
        <v>-0.4724027025578591</v>
      </c>
    </row>
    <row r="15" spans="1:11" ht="19.5" customHeight="1" thickBot="1">
      <c r="A15" s="80">
        <v>2002</v>
      </c>
      <c r="B15" s="29">
        <v>2186631397.5500002</v>
      </c>
      <c r="C15" s="25">
        <v>-4.8370171903230876E-2</v>
      </c>
      <c r="D15" s="29">
        <v>2202008968.0199995</v>
      </c>
      <c r="E15" s="25">
        <v>-1.9279056002503955E-2</v>
      </c>
      <c r="F15" s="29">
        <v>-15377570.530000001</v>
      </c>
      <c r="G15" s="25">
        <v>-1.2930232049409103</v>
      </c>
    </row>
    <row r="16" spans="1:11" ht="30" customHeight="1" thickBot="1">
      <c r="A16" s="621">
        <v>2003</v>
      </c>
      <c r="B16" s="33">
        <v>2326190967.8999996</v>
      </c>
      <c r="C16" s="34">
        <v>6.3824003673581306E-2</v>
      </c>
      <c r="D16" s="33">
        <v>2254502246.5600004</v>
      </c>
      <c r="E16" s="34">
        <v>2.3838812331087724E-2</v>
      </c>
      <c r="F16" s="33">
        <v>71688721.330000013</v>
      </c>
      <c r="G16" s="34">
        <v>5.6619016437052236</v>
      </c>
    </row>
    <row r="17" spans="1:7" ht="20" customHeight="1">
      <c r="A17" s="9" t="s">
        <v>379</v>
      </c>
      <c r="B17" s="9"/>
      <c r="C17" s="9"/>
      <c r="D17" s="9"/>
      <c r="E17" s="9"/>
      <c r="F17" s="9"/>
      <c r="G17" s="9"/>
    </row>
    <row r="18" spans="1:7" ht="9.75" customHeight="1">
      <c r="A18" s="37"/>
      <c r="B18" s="37"/>
      <c r="C18" s="37"/>
      <c r="D18" s="37"/>
      <c r="E18" s="37"/>
      <c r="F18" s="37"/>
      <c r="G18" s="37"/>
    </row>
    <row r="19" spans="1:7">
      <c r="A19" s="37" t="s">
        <v>1616</v>
      </c>
    </row>
    <row r="20" spans="1:7">
      <c r="A20" s="3" t="s">
        <v>1617</v>
      </c>
    </row>
    <row r="21" spans="1:7">
      <c r="A21" s="3" t="s">
        <v>1618</v>
      </c>
    </row>
    <row r="22" spans="1:7">
      <c r="A22" s="3" t="s">
        <v>1431</v>
      </c>
    </row>
    <row r="23" spans="1:7">
      <c r="A23" s="3" t="s">
        <v>567</v>
      </c>
    </row>
    <row r="24" spans="1:7">
      <c r="A24" s="3" t="s">
        <v>1432</v>
      </c>
    </row>
    <row r="26" spans="1:7" ht="15.75" customHeight="1">
      <c r="A26" s="37" t="s">
        <v>1433</v>
      </c>
      <c r="B26" s="37"/>
      <c r="C26" s="37"/>
      <c r="D26" s="37"/>
      <c r="E26" s="37"/>
      <c r="F26" s="37"/>
      <c r="G26" s="37"/>
    </row>
    <row r="29" spans="1:7">
      <c r="A29" s="3" t="s">
        <v>256</v>
      </c>
    </row>
  </sheetData>
  <mergeCells count="1">
    <mergeCell ref="A2:F2"/>
  </mergeCells>
  <phoneticPr fontId="0" type="noConversion"/>
  <pageMargins left="0.56000000000000005" right="0.59" top="0.89" bottom="0.49" header="0.49" footer="0.4921259845"/>
  <pageSetup paperSize="9" scale="84" orientation="portrait" horizontalDpi="1200" verticalDpi="1200"/>
  <headerFooter alignWithMargins="0">
    <oddHeader>&amp;L&amp;"Arial,Bold"Andere Versicherungen der vom BAG anerkannten Krankenversicherer</oddHead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01169-226E-4940-A2FE-456D27724FE5}">
  <sheetPr>
    <pageSetUpPr fitToPage="1"/>
  </sheetPr>
  <dimension ref="A1:J23"/>
  <sheetViews>
    <sheetView topLeftCell="A8" zoomScale="75" workbookViewId="0">
      <selection activeCell="C8" sqref="C8"/>
    </sheetView>
  </sheetViews>
  <sheetFormatPr baseColWidth="10" defaultColWidth="11.3984375" defaultRowHeight="13"/>
  <cols>
    <col min="1" max="1" width="33.3984375" style="3" customWidth="1"/>
    <col min="2" max="2" width="15.19921875" style="3" customWidth="1"/>
    <col min="3" max="4" width="14.59765625" style="3" customWidth="1"/>
    <col min="5" max="5" width="16.19921875" style="3" customWidth="1"/>
    <col min="6" max="6" width="16.19921875" style="35" customWidth="1"/>
    <col min="7" max="7" width="14.59765625" style="3" customWidth="1"/>
    <col min="8" max="16384" width="11.3984375" style="3"/>
  </cols>
  <sheetData>
    <row r="1" spans="1:10" s="1" customFormat="1" ht="14" customHeight="1">
      <c r="F1" s="58"/>
    </row>
    <row r="2" spans="1:10" s="1" customFormat="1" ht="28" customHeight="1">
      <c r="A2" s="76" t="s">
        <v>1760</v>
      </c>
      <c r="F2" s="58"/>
      <c r="G2" s="76">
        <v>2003</v>
      </c>
    </row>
    <row r="3" spans="1:10" ht="24" customHeight="1">
      <c r="A3" s="588" t="s">
        <v>1335</v>
      </c>
      <c r="B3" s="69" t="s">
        <v>1761</v>
      </c>
      <c r="C3" s="16" t="s">
        <v>1762</v>
      </c>
      <c r="D3" s="69" t="s">
        <v>2136</v>
      </c>
      <c r="E3" s="16" t="s">
        <v>1613</v>
      </c>
      <c r="F3" s="339" t="s">
        <v>22</v>
      </c>
      <c r="G3" s="16" t="s">
        <v>24</v>
      </c>
    </row>
    <row r="4" spans="1:10" ht="15" customHeight="1">
      <c r="A4" s="77"/>
      <c r="B4" s="70" t="s">
        <v>1763</v>
      </c>
      <c r="C4" s="17" t="s">
        <v>1764</v>
      </c>
      <c r="D4" s="70" t="s">
        <v>1612</v>
      </c>
      <c r="E4" s="17" t="s">
        <v>1614</v>
      </c>
      <c r="F4" s="416"/>
      <c r="G4" s="17" t="s">
        <v>25</v>
      </c>
    </row>
    <row r="5" spans="1:10" ht="15" customHeight="1">
      <c r="A5" s="77"/>
      <c r="B5" s="70"/>
      <c r="C5" s="17" t="s">
        <v>1765</v>
      </c>
      <c r="D5" s="70" t="s">
        <v>1030</v>
      </c>
      <c r="E5" s="17" t="s">
        <v>1615</v>
      </c>
      <c r="F5" s="416"/>
      <c r="G5" s="17" t="s">
        <v>26</v>
      </c>
    </row>
    <row r="6" spans="1:10" ht="15" customHeight="1">
      <c r="A6" s="77"/>
      <c r="B6" s="70"/>
      <c r="C6" s="17" t="s">
        <v>1766</v>
      </c>
      <c r="D6" s="70" t="s">
        <v>1769</v>
      </c>
      <c r="E6" s="17" t="s">
        <v>1767</v>
      </c>
      <c r="F6" s="416"/>
      <c r="G6" s="652"/>
    </row>
    <row r="7" spans="1:10" ht="15" customHeight="1">
      <c r="A7" s="77"/>
      <c r="B7" s="70"/>
      <c r="C7" s="17" t="s">
        <v>1768</v>
      </c>
      <c r="D7" s="470" t="s">
        <v>1772</v>
      </c>
      <c r="E7" s="471" t="s">
        <v>1770</v>
      </c>
      <c r="F7" s="416"/>
      <c r="G7" s="17"/>
    </row>
    <row r="8" spans="1:10" ht="24" customHeight="1">
      <c r="A8" s="78"/>
      <c r="B8" s="73"/>
      <c r="C8" s="18"/>
      <c r="D8" s="73"/>
      <c r="E8" s="18" t="s">
        <v>1773</v>
      </c>
      <c r="F8" s="419"/>
      <c r="G8" s="18"/>
    </row>
    <row r="9" spans="1:10" ht="30" customHeight="1" thickBot="1">
      <c r="A9" s="653" t="s">
        <v>1774</v>
      </c>
      <c r="B9" s="510">
        <v>2171352082.5</v>
      </c>
      <c r="C9" s="644">
        <v>82793483.739999995</v>
      </c>
      <c r="D9" s="510">
        <v>6908526.25</v>
      </c>
      <c r="E9" s="644">
        <v>37202046.68</v>
      </c>
      <c r="F9" s="66">
        <v>2298256139.1699996</v>
      </c>
      <c r="G9" s="654">
        <v>6.4598942616117113E-3</v>
      </c>
      <c r="H9" s="42"/>
    </row>
    <row r="10" spans="1:10" ht="20" customHeight="1" thickBot="1">
      <c r="A10" s="65" t="s">
        <v>1775</v>
      </c>
      <c r="B10" s="407">
        <v>2178115467.0999999</v>
      </c>
      <c r="C10" s="408">
        <v>47117158.009999998</v>
      </c>
      <c r="D10" s="407">
        <v>6923930.6500000004</v>
      </c>
      <c r="E10" s="408">
        <v>37220306.950000003</v>
      </c>
      <c r="F10" s="33">
        <v>2269376862.71</v>
      </c>
      <c r="G10" s="453">
        <v>-2.126487786181165E-4</v>
      </c>
      <c r="I10" s="43"/>
      <c r="J10" s="43"/>
    </row>
    <row r="11" spans="1:10" ht="20" customHeight="1" thickBot="1">
      <c r="A11" s="80" t="s">
        <v>1776</v>
      </c>
      <c r="B11" s="407">
        <v>26974578.739999998</v>
      </c>
      <c r="C11" s="408">
        <v>653428.36</v>
      </c>
      <c r="D11" s="407">
        <v>36384.9</v>
      </c>
      <c r="E11" s="408">
        <v>270436.73</v>
      </c>
      <c r="F11" s="33">
        <v>27934828.729999997</v>
      </c>
      <c r="G11" s="453">
        <v>1.2883638647842397</v>
      </c>
      <c r="I11" s="43"/>
      <c r="J11" s="43"/>
    </row>
    <row r="12" spans="1:10" ht="20" customHeight="1" thickBot="1">
      <c r="A12" s="80" t="s">
        <v>1777</v>
      </c>
      <c r="B12" s="407">
        <v>2198326661.2399998</v>
      </c>
      <c r="C12" s="408">
        <v>83446912.099999994</v>
      </c>
      <c r="D12" s="407">
        <v>6944911.1500000004</v>
      </c>
      <c r="E12" s="408">
        <v>37472483.409999996</v>
      </c>
      <c r="F12" s="33">
        <v>2326190967.8999996</v>
      </c>
      <c r="G12" s="453">
        <v>6.3824003673581306E-2</v>
      </c>
      <c r="I12" s="43"/>
      <c r="J12" s="43"/>
    </row>
    <row r="13" spans="1:10" ht="20" customHeight="1" thickBot="1">
      <c r="A13" s="80" t="s">
        <v>1778</v>
      </c>
      <c r="B13" s="407">
        <v>1840940529.5</v>
      </c>
      <c r="C13" s="408">
        <v>77061641.829999998</v>
      </c>
      <c r="D13" s="407">
        <v>6391118.7699999996</v>
      </c>
      <c r="E13" s="408">
        <v>20395838.57</v>
      </c>
      <c r="F13" s="33">
        <v>1944789128.6699998</v>
      </c>
      <c r="G13" s="453">
        <v>3.0871121510997718E-2</v>
      </c>
      <c r="I13" s="43"/>
      <c r="J13" s="43"/>
    </row>
    <row r="14" spans="1:10" ht="20" customHeight="1" thickBot="1">
      <c r="A14" s="65" t="s">
        <v>1779</v>
      </c>
      <c r="B14" s="407">
        <v>1846915298.9000001</v>
      </c>
      <c r="C14" s="408">
        <v>77061641.829999998</v>
      </c>
      <c r="D14" s="407">
        <v>6391118.7699999996</v>
      </c>
      <c r="E14" s="408">
        <v>19169286.460000001</v>
      </c>
      <c r="F14" s="33">
        <v>1949537345.96</v>
      </c>
      <c r="G14" s="453">
        <v>2.8585929818676824E-2</v>
      </c>
      <c r="I14" s="43"/>
      <c r="J14" s="43"/>
    </row>
    <row r="15" spans="1:10" ht="20" customHeight="1" thickBot="1">
      <c r="A15" s="80" t="s">
        <v>1780</v>
      </c>
      <c r="B15" s="407">
        <v>298270348.11000001</v>
      </c>
      <c r="C15" s="408">
        <v>6760966.4299999997</v>
      </c>
      <c r="D15" s="407">
        <v>771015.03</v>
      </c>
      <c r="E15" s="408">
        <v>3910788.34</v>
      </c>
      <c r="F15" s="33">
        <v>309713117.90999997</v>
      </c>
      <c r="G15" s="453">
        <v>-1.8216626976285531E-2</v>
      </c>
      <c r="I15" s="43"/>
      <c r="J15" s="43"/>
    </row>
    <row r="16" spans="1:10" ht="20" customHeight="1" thickBot="1">
      <c r="A16" s="80" t="s">
        <v>1781</v>
      </c>
      <c r="B16" s="407">
        <v>2139210877.5999999</v>
      </c>
      <c r="C16" s="408">
        <v>83822608.260000005</v>
      </c>
      <c r="D16" s="407">
        <v>7162133.7999999998</v>
      </c>
      <c r="E16" s="408">
        <v>24306626.899999999</v>
      </c>
      <c r="F16" s="33">
        <v>2254502246.5600004</v>
      </c>
      <c r="G16" s="453">
        <v>2.3838812331087724E-2</v>
      </c>
      <c r="I16" s="43"/>
      <c r="J16" s="43"/>
    </row>
    <row r="17" spans="1:7" ht="30" customHeight="1" thickBot="1">
      <c r="A17" s="451" t="s">
        <v>1843</v>
      </c>
      <c r="B17" s="407">
        <v>59115783.640000001</v>
      </c>
      <c r="C17" s="408">
        <v>-375696.16</v>
      </c>
      <c r="D17" s="407">
        <v>-217222.65</v>
      </c>
      <c r="E17" s="408">
        <v>13165856.5</v>
      </c>
      <c r="F17" s="33">
        <v>71688721.330000013</v>
      </c>
      <c r="G17" s="453">
        <v>5.6619016437052236</v>
      </c>
    </row>
    <row r="18" spans="1:7" ht="20" customHeight="1">
      <c r="A18" s="9" t="s">
        <v>379</v>
      </c>
      <c r="B18" s="9"/>
      <c r="C18" s="9"/>
      <c r="D18" s="9"/>
      <c r="E18" s="9"/>
      <c r="F18" s="426"/>
      <c r="G18" s="9"/>
    </row>
    <row r="19" spans="1:7">
      <c r="A19" s="37"/>
    </row>
    <row r="20" spans="1:7">
      <c r="A20" s="3" t="s">
        <v>1782</v>
      </c>
    </row>
    <row r="23" spans="1:7">
      <c r="A23" s="3" t="s">
        <v>256</v>
      </c>
    </row>
  </sheetData>
  <phoneticPr fontId="0" type="noConversion"/>
  <pageMargins left="0.47" right="0.47" top="0.92" bottom="0.49" header="0.49" footer="0.4921259845"/>
  <pageSetup paperSize="9" scale="76" orientation="portrait" horizontalDpi="1200" verticalDpi="1200"/>
  <headerFooter alignWithMargins="0">
    <oddHeader>&amp;L&amp;"Arial,Bold"Andere Versicherungen der vom BAG anerkannten Krankenversicherer</oddHead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63DB0-F7F2-3843-9337-CD1E4D056BBF}">
  <sheetPr>
    <pageSetUpPr fitToPage="1"/>
  </sheetPr>
  <dimension ref="A1:E39"/>
  <sheetViews>
    <sheetView topLeftCell="A32" zoomScale="75" workbookViewId="0">
      <selection activeCell="A35" sqref="A35"/>
    </sheetView>
  </sheetViews>
  <sheetFormatPr baseColWidth="10" defaultColWidth="11.3984375" defaultRowHeight="13"/>
  <cols>
    <col min="1" max="1" width="8.796875" style="3" customWidth="1"/>
    <col min="2" max="2" width="48.796875" style="100" customWidth="1"/>
    <col min="3" max="3" width="16.59765625" style="3" customWidth="1"/>
    <col min="4" max="4" width="16.59765625" style="42" customWidth="1"/>
    <col min="5" max="5" width="15.3984375" style="642" customWidth="1"/>
    <col min="6" max="16384" width="11.3984375" style="3"/>
  </cols>
  <sheetData>
    <row r="1" spans="1:5" s="1" customFormat="1" ht="14" customHeight="1">
      <c r="B1" s="90"/>
      <c r="D1" s="101"/>
      <c r="E1" s="640"/>
    </row>
    <row r="2" spans="1:5" s="1" customFormat="1" ht="30.75" customHeight="1">
      <c r="A2" s="1473" t="s">
        <v>1610</v>
      </c>
      <c r="B2" s="1474"/>
      <c r="C2" s="1474"/>
      <c r="D2" s="1474"/>
      <c r="E2" s="76">
        <v>2003</v>
      </c>
    </row>
    <row r="3" spans="1:5" ht="39" customHeight="1">
      <c r="A3" s="588" t="s">
        <v>1335</v>
      </c>
      <c r="B3" s="91"/>
      <c r="C3" s="69" t="s">
        <v>1336</v>
      </c>
      <c r="D3" s="60" t="s">
        <v>1337</v>
      </c>
      <c r="E3" s="404" t="s">
        <v>22</v>
      </c>
    </row>
    <row r="4" spans="1:5" ht="38" customHeight="1">
      <c r="A4" s="405"/>
      <c r="B4" s="390"/>
      <c r="C4" s="73" t="s">
        <v>1925</v>
      </c>
      <c r="D4" s="62" t="s">
        <v>1925</v>
      </c>
      <c r="E4" s="341" t="s">
        <v>1925</v>
      </c>
    </row>
    <row r="5" spans="1:5" ht="30" customHeight="1" thickBot="1">
      <c r="A5" s="6">
        <v>63</v>
      </c>
      <c r="B5" s="6" t="s">
        <v>336</v>
      </c>
      <c r="C5" s="28">
        <v>2107007861.5999999</v>
      </c>
      <c r="D5" s="63">
        <v>97506738.459999993</v>
      </c>
      <c r="E5" s="513">
        <v>2204514600.0999999</v>
      </c>
    </row>
    <row r="6" spans="1:5" ht="20" customHeight="1" thickBot="1">
      <c r="A6" s="7">
        <v>64</v>
      </c>
      <c r="B6" s="7" t="s">
        <v>1338</v>
      </c>
      <c r="C6" s="29">
        <v>-26149699.219999999</v>
      </c>
      <c r="D6" s="116">
        <v>-661661.30000000005</v>
      </c>
      <c r="E6" s="84">
        <v>-26811360.52</v>
      </c>
    </row>
    <row r="7" spans="1:5" ht="20" customHeight="1" thickBot="1">
      <c r="A7" s="7">
        <v>65</v>
      </c>
      <c r="B7" s="7" t="s">
        <v>1339</v>
      </c>
      <c r="C7" s="29">
        <v>394355.46</v>
      </c>
      <c r="D7" s="116">
        <v>17872.150000000001</v>
      </c>
      <c r="E7" s="84">
        <v>412227.61</v>
      </c>
    </row>
    <row r="8" spans="1:5" ht="27" customHeight="1" thickBot="1">
      <c r="A8" s="65" t="s">
        <v>1340</v>
      </c>
      <c r="B8" s="65" t="s">
        <v>1341</v>
      </c>
      <c r="C8" s="29">
        <v>2081252517.8</v>
      </c>
      <c r="D8" s="116">
        <v>96862949.310000002</v>
      </c>
      <c r="E8" s="84">
        <v>2178115467.0999999</v>
      </c>
    </row>
    <row r="9" spans="1:5" ht="20" customHeight="1" thickBot="1">
      <c r="A9" s="7">
        <v>66</v>
      </c>
      <c r="B9" s="7" t="s">
        <v>1342</v>
      </c>
      <c r="C9" s="29">
        <v>-17279292.690000001</v>
      </c>
      <c r="D9" s="116">
        <v>-987237.57</v>
      </c>
      <c r="E9" s="84">
        <v>-18266530.260000002</v>
      </c>
    </row>
    <row r="10" spans="1:5" ht="27" customHeight="1" thickBot="1">
      <c r="A10" s="65" t="s">
        <v>1343</v>
      </c>
      <c r="B10" s="65" t="s">
        <v>1344</v>
      </c>
      <c r="C10" s="29">
        <v>2063973225.0999999</v>
      </c>
      <c r="D10" s="116">
        <v>95875711.739999995</v>
      </c>
      <c r="E10" s="84">
        <v>2159848936.9000001</v>
      </c>
    </row>
    <row r="11" spans="1:5" ht="20" customHeight="1" thickBot="1">
      <c r="A11" s="7">
        <v>67</v>
      </c>
      <c r="B11" s="7" t="s">
        <v>1345</v>
      </c>
      <c r="C11" s="29">
        <v>33312672.719999999</v>
      </c>
      <c r="D11" s="116">
        <v>1598375.43</v>
      </c>
      <c r="E11" s="84">
        <v>34911048.149999999</v>
      </c>
    </row>
    <row r="12" spans="1:5" ht="20" customHeight="1" thickBot="1">
      <c r="A12" s="7">
        <v>68</v>
      </c>
      <c r="B12" s="7" t="s">
        <v>1346</v>
      </c>
      <c r="C12" s="29">
        <v>-35893602.75</v>
      </c>
      <c r="D12" s="116">
        <v>-1725777.95</v>
      </c>
      <c r="E12" s="84">
        <v>-37619380.700000003</v>
      </c>
    </row>
    <row r="13" spans="1:5" ht="20" customHeight="1" thickBot="1">
      <c r="A13" s="7">
        <v>69</v>
      </c>
      <c r="B13" s="7" t="s">
        <v>1347</v>
      </c>
      <c r="C13" s="29">
        <v>12128845.66</v>
      </c>
      <c r="D13" s="116">
        <v>2082632.48</v>
      </c>
      <c r="E13" s="84">
        <v>14211478.140000001</v>
      </c>
    </row>
    <row r="14" spans="1:5" ht="27" customHeight="1" thickBot="1">
      <c r="A14" s="65">
        <v>6</v>
      </c>
      <c r="B14" s="65" t="s">
        <v>1348</v>
      </c>
      <c r="C14" s="29">
        <v>2073521140.8</v>
      </c>
      <c r="D14" s="116">
        <v>97830941.709999993</v>
      </c>
      <c r="E14" s="84">
        <v>2171352082.5</v>
      </c>
    </row>
    <row r="15" spans="1:5" ht="20" customHeight="1" thickBot="1">
      <c r="A15" s="7">
        <v>33</v>
      </c>
      <c r="B15" s="7" t="s">
        <v>338</v>
      </c>
      <c r="C15" s="29">
        <v>1602854952</v>
      </c>
      <c r="D15" s="116">
        <v>57689557.859999999</v>
      </c>
      <c r="E15" s="84">
        <v>1660544509.9000001</v>
      </c>
    </row>
    <row r="16" spans="1:5" ht="20" customHeight="1" thickBot="1">
      <c r="A16" s="7">
        <v>32</v>
      </c>
      <c r="B16" s="7" t="s">
        <v>1349</v>
      </c>
      <c r="C16" s="29">
        <v>-37863933.840000004</v>
      </c>
      <c r="D16" s="116">
        <v>-1181540.29</v>
      </c>
      <c r="E16" s="84">
        <v>-39045474.130000003</v>
      </c>
    </row>
    <row r="17" spans="1:5" ht="27" customHeight="1" thickBot="1">
      <c r="A17" s="65" t="s">
        <v>1350</v>
      </c>
      <c r="B17" s="65" t="s">
        <v>1351</v>
      </c>
      <c r="C17" s="29">
        <v>1564991018.2</v>
      </c>
      <c r="D17" s="116">
        <v>56508017.57</v>
      </c>
      <c r="E17" s="84">
        <v>1621499035.8</v>
      </c>
    </row>
    <row r="18" spans="1:5" ht="20" customHeight="1" thickBot="1">
      <c r="A18" s="7">
        <v>34</v>
      </c>
      <c r="B18" s="7" t="s">
        <v>1352</v>
      </c>
      <c r="C18" s="29">
        <v>10471079.58</v>
      </c>
      <c r="D18" s="116">
        <v>351948.98</v>
      </c>
      <c r="E18" s="84">
        <v>10823028.560000001</v>
      </c>
    </row>
    <row r="19" spans="1:5" ht="20" customHeight="1" thickBot="1">
      <c r="A19" s="7">
        <v>35</v>
      </c>
      <c r="B19" s="7" t="s">
        <v>1353</v>
      </c>
      <c r="C19" s="29">
        <v>206795697.59999999</v>
      </c>
      <c r="D19" s="116">
        <v>7797536.96</v>
      </c>
      <c r="E19" s="84">
        <v>214593234.56</v>
      </c>
    </row>
    <row r="20" spans="1:5" ht="27" customHeight="1" thickBot="1">
      <c r="A20" s="65" t="s">
        <v>1354</v>
      </c>
      <c r="B20" s="65" t="s">
        <v>1355</v>
      </c>
      <c r="C20" s="29">
        <v>1782257795.4000001</v>
      </c>
      <c r="D20" s="116">
        <v>64657503.520000003</v>
      </c>
      <c r="E20" s="84">
        <v>1846915298.9000001</v>
      </c>
    </row>
    <row r="21" spans="1:5" ht="20" customHeight="1" thickBot="1">
      <c r="A21" s="7">
        <v>36</v>
      </c>
      <c r="B21" s="7" t="s">
        <v>1356</v>
      </c>
      <c r="C21" s="29">
        <v>-5771830.7699999996</v>
      </c>
      <c r="D21" s="116">
        <v>-202938.65</v>
      </c>
      <c r="E21" s="84">
        <v>-5974769.4199999999</v>
      </c>
    </row>
    <row r="22" spans="1:5" ht="20" customHeight="1" thickBot="1">
      <c r="A22" s="7">
        <v>37</v>
      </c>
      <c r="B22" s="7" t="s">
        <v>1357</v>
      </c>
      <c r="C22" s="29">
        <v>0</v>
      </c>
      <c r="D22" s="116">
        <v>0</v>
      </c>
      <c r="E22" s="84">
        <v>0</v>
      </c>
    </row>
    <row r="23" spans="1:5" ht="26.25" customHeight="1" thickBot="1">
      <c r="A23" s="65">
        <v>3</v>
      </c>
      <c r="B23" s="65" t="s">
        <v>1358</v>
      </c>
      <c r="C23" s="29">
        <v>1776485964.5999999</v>
      </c>
      <c r="D23" s="116">
        <v>64454564.869999997</v>
      </c>
      <c r="E23" s="84">
        <v>1840940529.5</v>
      </c>
    </row>
    <row r="24" spans="1:5" ht="20" customHeight="1" thickBot="1">
      <c r="A24" s="7" t="s">
        <v>1359</v>
      </c>
      <c r="B24" s="7" t="s">
        <v>1835</v>
      </c>
      <c r="C24" s="29">
        <v>268516391.10000002</v>
      </c>
      <c r="D24" s="116">
        <v>11133251.199999999</v>
      </c>
      <c r="E24" s="84">
        <v>279649642.30000001</v>
      </c>
    </row>
    <row r="25" spans="1:5" ht="20" customHeight="1" thickBot="1">
      <c r="A25" s="7">
        <v>48</v>
      </c>
      <c r="B25" s="7" t="s">
        <v>1836</v>
      </c>
      <c r="C25" s="29">
        <v>14604765.52</v>
      </c>
      <c r="D25" s="116">
        <v>864904.36</v>
      </c>
      <c r="E25" s="84">
        <v>15469669.880000001</v>
      </c>
    </row>
    <row r="26" spans="1:5" ht="20" customHeight="1" thickBot="1">
      <c r="A26" s="7">
        <v>49</v>
      </c>
      <c r="B26" s="7" t="s">
        <v>1837</v>
      </c>
      <c r="C26" s="29">
        <v>2969937.28</v>
      </c>
      <c r="D26" s="116">
        <v>181098.64</v>
      </c>
      <c r="E26" s="84">
        <v>3151035.92</v>
      </c>
    </row>
    <row r="27" spans="1:5" ht="27" customHeight="1" thickBot="1">
      <c r="A27" s="65">
        <v>4</v>
      </c>
      <c r="B27" s="65" t="s">
        <v>1838</v>
      </c>
      <c r="C27" s="29">
        <v>286091093.89999998</v>
      </c>
      <c r="D27" s="116">
        <v>12179254.210000001</v>
      </c>
      <c r="E27" s="84">
        <v>298270348.11000001</v>
      </c>
    </row>
    <row r="28" spans="1:5" ht="27" customHeight="1" thickBot="1">
      <c r="A28" s="65" t="s">
        <v>1839</v>
      </c>
      <c r="B28" s="65" t="s">
        <v>1840</v>
      </c>
      <c r="C28" s="29">
        <v>2062577058.5</v>
      </c>
      <c r="D28" s="116">
        <v>76633819.069999993</v>
      </c>
      <c r="E28" s="84">
        <v>2139210877.5999999</v>
      </c>
    </row>
    <row r="29" spans="1:5" ht="27" customHeight="1" thickBot="1">
      <c r="A29" s="65"/>
      <c r="B29" s="65" t="s">
        <v>1841</v>
      </c>
      <c r="C29" s="29">
        <v>10944082.26</v>
      </c>
      <c r="D29" s="116">
        <v>21197122.629999999</v>
      </c>
      <c r="E29" s="84">
        <v>32141204.890000001</v>
      </c>
    </row>
    <row r="30" spans="1:5" ht="27" customHeight="1" thickBot="1">
      <c r="A30" s="65">
        <v>7</v>
      </c>
      <c r="B30" s="65" t="s">
        <v>1842</v>
      </c>
      <c r="C30" s="29">
        <v>25231056.399999999</v>
      </c>
      <c r="D30" s="116">
        <v>1743522.34</v>
      </c>
      <c r="E30" s="84">
        <v>26974578.739999998</v>
      </c>
    </row>
    <row r="31" spans="1:5" ht="28.5" customHeight="1" thickBot="1">
      <c r="A31" s="516"/>
      <c r="B31" s="516" t="s">
        <v>1843</v>
      </c>
      <c r="C31" s="29">
        <v>36175138.670000002</v>
      </c>
      <c r="D31" s="116">
        <v>22940644.969999999</v>
      </c>
      <c r="E31" s="84">
        <v>59115783.640000001</v>
      </c>
    </row>
    <row r="32" spans="1:5" ht="20" customHeight="1">
      <c r="A32" s="9" t="s">
        <v>379</v>
      </c>
      <c r="B32" s="98"/>
      <c r="C32" s="9"/>
      <c r="D32" s="111"/>
      <c r="E32" s="641"/>
    </row>
    <row r="33" spans="1:1">
      <c r="A33" s="37"/>
    </row>
    <row r="34" spans="1:1">
      <c r="A34" s="37" t="s">
        <v>1611</v>
      </c>
    </row>
    <row r="35" spans="1:1">
      <c r="A35" s="37"/>
    </row>
    <row r="36" spans="1:1">
      <c r="A36" s="3" t="s">
        <v>1783</v>
      </c>
    </row>
    <row r="39" spans="1:1">
      <c r="A39" s="3" t="s">
        <v>256</v>
      </c>
    </row>
  </sheetData>
  <mergeCells count="1">
    <mergeCell ref="A2:D2"/>
  </mergeCells>
  <phoneticPr fontId="0" type="noConversion"/>
  <pageMargins left="0.53" right="0.49" top="0.85" bottom="0.49" header="0.49" footer="0.4921259845"/>
  <pageSetup paperSize="9" scale="88" orientation="portrait" horizontalDpi="1200" verticalDpi="1200"/>
  <headerFooter alignWithMargins="0">
    <oddHeader>&amp;L&amp;"Arial,Bold"Andere Versicherungen der vom BAG anerkannten Krankenversicherer</oddHead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A3A12-FA39-F847-98C7-3C62AE3FBE15}">
  <sheetPr>
    <pageSetUpPr fitToPage="1"/>
  </sheetPr>
  <dimension ref="A1:H37"/>
  <sheetViews>
    <sheetView topLeftCell="A32" zoomScale="75" workbookViewId="0">
      <selection activeCell="G11" sqref="G11"/>
    </sheetView>
  </sheetViews>
  <sheetFormatPr baseColWidth="10" defaultColWidth="11.3984375" defaultRowHeight="13"/>
  <cols>
    <col min="1" max="1" width="8.796875" style="3" customWidth="1"/>
    <col min="2" max="2" width="48.796875" style="100" customWidth="1"/>
    <col min="3" max="3" width="16.796875" style="3" customWidth="1"/>
    <col min="4" max="4" width="16.796875" style="42" customWidth="1"/>
    <col min="5" max="5" width="14.796875" style="642" customWidth="1"/>
    <col min="6" max="16384" width="11.3984375" style="3"/>
  </cols>
  <sheetData>
    <row r="1" spans="1:8" s="1" customFormat="1" ht="14" customHeight="1">
      <c r="B1" s="90"/>
      <c r="D1" s="101"/>
      <c r="E1" s="640"/>
    </row>
    <row r="2" spans="1:8" s="1" customFormat="1" ht="28" customHeight="1">
      <c r="A2" s="76" t="s">
        <v>1784</v>
      </c>
      <c r="B2" s="90"/>
      <c r="D2" s="101"/>
      <c r="E2" s="76">
        <v>2003</v>
      </c>
    </row>
    <row r="3" spans="1:8" ht="39" customHeight="1">
      <c r="A3" s="588" t="s">
        <v>1335</v>
      </c>
      <c r="B3" s="91"/>
      <c r="C3" s="69" t="s">
        <v>1336</v>
      </c>
      <c r="D3" s="60" t="s">
        <v>1337</v>
      </c>
      <c r="E3" s="404" t="s">
        <v>22</v>
      </c>
      <c r="G3" s="38"/>
      <c r="H3" s="38"/>
    </row>
    <row r="4" spans="1:8" ht="38" customHeight="1">
      <c r="A4" s="405"/>
      <c r="B4" s="390"/>
      <c r="C4" s="73" t="s">
        <v>1925</v>
      </c>
      <c r="D4" s="62" t="s">
        <v>1925</v>
      </c>
      <c r="E4" s="341" t="s">
        <v>1925</v>
      </c>
      <c r="G4" s="655"/>
      <c r="H4" s="656"/>
    </row>
    <row r="5" spans="1:8" ht="30" customHeight="1" thickBot="1">
      <c r="A5" s="6">
        <v>63</v>
      </c>
      <c r="B5" s="6" t="s">
        <v>336</v>
      </c>
      <c r="C5" s="28">
        <v>46072465.509999998</v>
      </c>
      <c r="D5" s="63">
        <v>1242274.0900000001</v>
      </c>
      <c r="E5" s="513">
        <v>47314739.600000001</v>
      </c>
      <c r="G5" s="171"/>
      <c r="H5" s="656"/>
    </row>
    <row r="6" spans="1:8" ht="20" customHeight="1" thickBot="1">
      <c r="A6" s="7">
        <v>64</v>
      </c>
      <c r="B6" s="7" t="s">
        <v>1338</v>
      </c>
      <c r="C6" s="29">
        <v>-188427.86</v>
      </c>
      <c r="D6" s="116">
        <v>-4982.2299999999996</v>
      </c>
      <c r="E6" s="84">
        <v>-193410.09</v>
      </c>
      <c r="G6" s="171"/>
      <c r="H6" s="656"/>
    </row>
    <row r="7" spans="1:8" ht="20" customHeight="1" thickBot="1">
      <c r="A7" s="7">
        <v>65</v>
      </c>
      <c r="B7" s="7" t="s">
        <v>1339</v>
      </c>
      <c r="C7" s="29">
        <v>-4026.71</v>
      </c>
      <c r="D7" s="116">
        <v>-144.79</v>
      </c>
      <c r="E7" s="84">
        <v>-4171.5</v>
      </c>
      <c r="G7" s="171"/>
      <c r="H7" s="656"/>
    </row>
    <row r="8" spans="1:8" ht="27" customHeight="1" thickBot="1">
      <c r="A8" s="65" t="s">
        <v>1340</v>
      </c>
      <c r="B8" s="65" t="s">
        <v>1341</v>
      </c>
      <c r="C8" s="29">
        <v>45880010.939999998</v>
      </c>
      <c r="D8" s="116">
        <v>1237147.07</v>
      </c>
      <c r="E8" s="84">
        <v>47117158.009999998</v>
      </c>
      <c r="G8" s="171"/>
      <c r="H8" s="656"/>
    </row>
    <row r="9" spans="1:8" ht="21" customHeight="1" thickBot="1">
      <c r="A9" s="7">
        <v>66</v>
      </c>
      <c r="B9" s="7" t="s">
        <v>1342</v>
      </c>
      <c r="C9" s="29">
        <v>0</v>
      </c>
      <c r="D9" s="116">
        <v>0</v>
      </c>
      <c r="E9" s="84">
        <v>0</v>
      </c>
      <c r="G9" s="171"/>
      <c r="H9" s="656"/>
    </row>
    <row r="10" spans="1:8" ht="27" customHeight="1" thickBot="1">
      <c r="A10" s="65" t="s">
        <v>1343</v>
      </c>
      <c r="B10" s="65" t="s">
        <v>1344</v>
      </c>
      <c r="C10" s="29">
        <v>45880010.939999998</v>
      </c>
      <c r="D10" s="116">
        <v>1237147.07</v>
      </c>
      <c r="E10" s="84">
        <v>47117158.009999998</v>
      </c>
      <c r="G10" s="171"/>
      <c r="H10" s="656"/>
    </row>
    <row r="11" spans="1:8" ht="20" customHeight="1" thickBot="1">
      <c r="A11" s="7">
        <v>67</v>
      </c>
      <c r="B11" s="7" t="s">
        <v>1345</v>
      </c>
      <c r="C11" s="29">
        <v>34740644.490000002</v>
      </c>
      <c r="D11" s="116">
        <v>931923.51</v>
      </c>
      <c r="E11" s="84">
        <v>35672568</v>
      </c>
      <c r="G11" s="657"/>
      <c r="H11" s="656"/>
    </row>
    <row r="12" spans="1:8" ht="20" customHeight="1" thickBot="1">
      <c r="A12" s="7">
        <v>68</v>
      </c>
      <c r="B12" s="7" t="s">
        <v>1346</v>
      </c>
      <c r="C12" s="29">
        <v>0</v>
      </c>
      <c r="D12" s="116">
        <v>0</v>
      </c>
      <c r="E12" s="84">
        <v>0</v>
      </c>
      <c r="G12" s="171"/>
      <c r="H12" s="656"/>
    </row>
    <row r="13" spans="1:8" ht="20" customHeight="1" thickBot="1">
      <c r="A13" s="7">
        <v>69</v>
      </c>
      <c r="B13" s="7" t="s">
        <v>1347</v>
      </c>
      <c r="C13" s="29">
        <v>3661.99</v>
      </c>
      <c r="D13" s="116">
        <v>95.74</v>
      </c>
      <c r="E13" s="84">
        <v>3757.73</v>
      </c>
    </row>
    <row r="14" spans="1:8" ht="27" customHeight="1" thickBot="1">
      <c r="A14" s="65">
        <v>6</v>
      </c>
      <c r="B14" s="65" t="s">
        <v>1348</v>
      </c>
      <c r="C14" s="29">
        <v>80624317.420000002</v>
      </c>
      <c r="D14" s="116">
        <v>2169166.3199999998</v>
      </c>
      <c r="E14" s="84">
        <v>82793483.739999995</v>
      </c>
    </row>
    <row r="15" spans="1:8" ht="20" customHeight="1" thickBot="1">
      <c r="A15" s="7">
        <v>33</v>
      </c>
      <c r="B15" s="7" t="s">
        <v>338</v>
      </c>
      <c r="C15" s="29">
        <v>75324484.709999993</v>
      </c>
      <c r="D15" s="116">
        <v>2331052.92</v>
      </c>
      <c r="E15" s="84">
        <v>77655537.629999995</v>
      </c>
    </row>
    <row r="16" spans="1:8" ht="20" customHeight="1" thickBot="1">
      <c r="A16" s="7">
        <v>32</v>
      </c>
      <c r="B16" s="7" t="s">
        <v>1349</v>
      </c>
      <c r="C16" s="29">
        <v>-3935002.48</v>
      </c>
      <c r="D16" s="116">
        <v>-51060.85</v>
      </c>
      <c r="E16" s="84">
        <v>-3986063.33</v>
      </c>
    </row>
    <row r="17" spans="1:5" ht="27" customHeight="1" thickBot="1">
      <c r="A17" s="65" t="s">
        <v>1350</v>
      </c>
      <c r="B17" s="65" t="s">
        <v>1351</v>
      </c>
      <c r="C17" s="29">
        <v>71389482.230000004</v>
      </c>
      <c r="D17" s="116">
        <v>2279992.0699999998</v>
      </c>
      <c r="E17" s="84">
        <v>73669474.299999997</v>
      </c>
    </row>
    <row r="18" spans="1:5" ht="20" customHeight="1" thickBot="1">
      <c r="A18" s="7">
        <v>34</v>
      </c>
      <c r="B18" s="7" t="s">
        <v>1352</v>
      </c>
      <c r="C18" s="29">
        <v>690156.26</v>
      </c>
      <c r="D18" s="116">
        <v>26523.38</v>
      </c>
      <c r="E18" s="84">
        <v>716679.64</v>
      </c>
    </row>
    <row r="19" spans="1:5" ht="20" customHeight="1" thickBot="1">
      <c r="A19" s="7">
        <v>35</v>
      </c>
      <c r="B19" s="7" t="s">
        <v>1353</v>
      </c>
      <c r="C19" s="29">
        <v>2595683.4500000002</v>
      </c>
      <c r="D19" s="116">
        <v>79804.44</v>
      </c>
      <c r="E19" s="84">
        <v>2675487.89</v>
      </c>
    </row>
    <row r="20" spans="1:5" ht="27" customHeight="1" thickBot="1">
      <c r="A20" s="65" t="s">
        <v>1354</v>
      </c>
      <c r="B20" s="65" t="s">
        <v>1355</v>
      </c>
      <c r="C20" s="29">
        <v>74675321.939999998</v>
      </c>
      <c r="D20" s="116">
        <v>2386319.89</v>
      </c>
      <c r="E20" s="84">
        <v>77061641.829999998</v>
      </c>
    </row>
    <row r="21" spans="1:5" ht="20" customHeight="1" thickBot="1">
      <c r="A21" s="7">
        <v>36</v>
      </c>
      <c r="B21" s="7" t="s">
        <v>1356</v>
      </c>
      <c r="C21" s="29">
        <v>0</v>
      </c>
      <c r="D21" s="116">
        <v>0</v>
      </c>
      <c r="E21" s="84">
        <v>0</v>
      </c>
    </row>
    <row r="22" spans="1:5" ht="20" customHeight="1" thickBot="1">
      <c r="A22" s="7">
        <v>37</v>
      </c>
      <c r="B22" s="7" t="s">
        <v>1357</v>
      </c>
      <c r="C22" s="29">
        <v>0</v>
      </c>
      <c r="D22" s="116">
        <v>0</v>
      </c>
      <c r="E22" s="84">
        <v>0</v>
      </c>
    </row>
    <row r="23" spans="1:5" ht="27" customHeight="1" thickBot="1">
      <c r="A23" s="65">
        <v>3</v>
      </c>
      <c r="B23" s="65" t="s">
        <v>1358</v>
      </c>
      <c r="C23" s="29">
        <v>74675321.939999998</v>
      </c>
      <c r="D23" s="116">
        <v>2386319.89</v>
      </c>
      <c r="E23" s="84">
        <v>77061641.829999998</v>
      </c>
    </row>
    <row r="24" spans="1:5" ht="20" customHeight="1" thickBot="1">
      <c r="A24" s="7" t="s">
        <v>1359</v>
      </c>
      <c r="B24" s="7" t="s">
        <v>1835</v>
      </c>
      <c r="C24" s="29">
        <v>6087232.5800000001</v>
      </c>
      <c r="D24" s="116">
        <v>161092.53</v>
      </c>
      <c r="E24" s="84">
        <v>6248325.1100000003</v>
      </c>
    </row>
    <row r="25" spans="1:5" ht="20" customHeight="1" thickBot="1">
      <c r="A25" s="7">
        <v>48</v>
      </c>
      <c r="B25" s="7" t="s">
        <v>1836</v>
      </c>
      <c r="C25" s="29">
        <v>451344.71</v>
      </c>
      <c r="D25" s="116">
        <v>11815.6</v>
      </c>
      <c r="E25" s="84">
        <v>463160.31</v>
      </c>
    </row>
    <row r="26" spans="1:5" ht="20" customHeight="1" thickBot="1">
      <c r="A26" s="7">
        <v>49</v>
      </c>
      <c r="B26" s="7" t="s">
        <v>1837</v>
      </c>
      <c r="C26" s="29">
        <v>48220.26</v>
      </c>
      <c r="D26" s="116">
        <v>1260.75</v>
      </c>
      <c r="E26" s="84">
        <v>49481.01</v>
      </c>
    </row>
    <row r="27" spans="1:5" ht="27" customHeight="1" thickBot="1">
      <c r="A27" s="65">
        <v>4</v>
      </c>
      <c r="B27" s="65" t="s">
        <v>1838</v>
      </c>
      <c r="C27" s="29">
        <v>6586797.5499999998</v>
      </c>
      <c r="D27" s="116">
        <v>174168.88</v>
      </c>
      <c r="E27" s="84">
        <v>6760966.4299999997</v>
      </c>
    </row>
    <row r="28" spans="1:5" ht="27" customHeight="1" thickBot="1">
      <c r="A28" s="65" t="s">
        <v>1839</v>
      </c>
      <c r="B28" s="65" t="s">
        <v>1840</v>
      </c>
      <c r="C28" s="29">
        <v>81262119.489999995</v>
      </c>
      <c r="D28" s="116">
        <v>2560488.77</v>
      </c>
      <c r="E28" s="84">
        <v>83822608.260000005</v>
      </c>
    </row>
    <row r="29" spans="1:5" ht="27" customHeight="1" thickBot="1">
      <c r="A29" s="65"/>
      <c r="B29" s="65" t="s">
        <v>1841</v>
      </c>
      <c r="C29" s="29">
        <v>-637802.06999999995</v>
      </c>
      <c r="D29" s="116">
        <v>-391322.45</v>
      </c>
      <c r="E29" s="84">
        <v>-1029124.52</v>
      </c>
    </row>
    <row r="30" spans="1:5" ht="27" customHeight="1" thickBot="1">
      <c r="A30" s="65">
        <v>7</v>
      </c>
      <c r="B30" s="65" t="s">
        <v>1842</v>
      </c>
      <c r="C30" s="29">
        <v>637374.52</v>
      </c>
      <c r="D30" s="116">
        <v>16053.84</v>
      </c>
      <c r="E30" s="84">
        <v>653428.36</v>
      </c>
    </row>
    <row r="31" spans="1:5" ht="26.25" customHeight="1" thickBot="1">
      <c r="A31" s="516"/>
      <c r="B31" s="516" t="s">
        <v>1843</v>
      </c>
      <c r="C31" s="29">
        <v>-427.55</v>
      </c>
      <c r="D31" s="116">
        <v>-375268.61</v>
      </c>
      <c r="E31" s="84">
        <v>-375696.16</v>
      </c>
    </row>
    <row r="32" spans="1:5" ht="20.25" customHeight="1">
      <c r="A32" s="9" t="s">
        <v>379</v>
      </c>
      <c r="B32" s="98"/>
      <c r="C32" s="9"/>
      <c r="D32" s="111"/>
      <c r="E32" s="641"/>
    </row>
    <row r="34" spans="1:1">
      <c r="A34" s="3" t="s">
        <v>1785</v>
      </c>
    </row>
    <row r="37" spans="1:1">
      <c r="A37" s="3" t="s">
        <v>256</v>
      </c>
    </row>
  </sheetData>
  <phoneticPr fontId="0" type="noConversion"/>
  <pageMargins left="0.51" right="0.56000000000000005" top="0.74" bottom="0.49" header="0.44" footer="0.4921259845"/>
  <pageSetup paperSize="9" scale="88" orientation="portrait" horizontalDpi="4294967292" verticalDpi="4294967292"/>
  <headerFooter alignWithMargins="0">
    <oddHeader>&amp;L&amp;"Arial,Bold"Andere Versicherungen der vom BAG anerkannten Krankenversicherer</oddHead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829AB-4CBF-0947-8702-C6B48E521A60}">
  <sheetPr>
    <pageSetUpPr fitToPage="1"/>
  </sheetPr>
  <dimension ref="A1:H39"/>
  <sheetViews>
    <sheetView zoomScale="75" workbookViewId="0">
      <selection activeCell="A35" sqref="A35"/>
    </sheetView>
  </sheetViews>
  <sheetFormatPr baseColWidth="10" defaultColWidth="11.3984375" defaultRowHeight="13"/>
  <cols>
    <col min="1" max="1" width="8.796875" style="3" customWidth="1"/>
    <col min="2" max="2" width="48.796875" style="100" customWidth="1"/>
    <col min="3" max="3" width="16.796875" style="3" customWidth="1"/>
    <col min="4" max="4" width="16.796875" style="42" customWidth="1"/>
    <col min="5" max="5" width="16.796875" style="642" customWidth="1"/>
    <col min="6" max="16384" width="11.3984375" style="3"/>
  </cols>
  <sheetData>
    <row r="1" spans="1:8" s="1" customFormat="1" ht="43.5" customHeight="1">
      <c r="A1" s="1484" t="s">
        <v>1608</v>
      </c>
      <c r="B1" s="1483"/>
      <c r="C1" s="1483"/>
      <c r="D1" s="1483"/>
      <c r="E1" s="76">
        <v>2003</v>
      </c>
    </row>
    <row r="2" spans="1:8" s="1" customFormat="1" ht="12" customHeight="1">
      <c r="A2" s="497"/>
      <c r="B2" s="497"/>
      <c r="C2" s="497"/>
      <c r="D2" s="497"/>
      <c r="E2" s="497"/>
    </row>
    <row r="3" spans="1:8" ht="39" customHeight="1">
      <c r="A3" s="588" t="s">
        <v>1335</v>
      </c>
      <c r="B3" s="91"/>
      <c r="C3" s="69" t="s">
        <v>1336</v>
      </c>
      <c r="D3" s="60" t="s">
        <v>1337</v>
      </c>
      <c r="E3" s="404" t="s">
        <v>22</v>
      </c>
      <c r="G3" s="38"/>
      <c r="H3" s="38"/>
    </row>
    <row r="4" spans="1:8" ht="38" customHeight="1">
      <c r="A4" s="405"/>
      <c r="B4" s="390"/>
      <c r="C4" s="73" t="s">
        <v>1925</v>
      </c>
      <c r="D4" s="62" t="s">
        <v>1925</v>
      </c>
      <c r="E4" s="341" t="s">
        <v>1925</v>
      </c>
      <c r="G4" s="655"/>
      <c r="H4" s="656"/>
    </row>
    <row r="5" spans="1:8" ht="30" customHeight="1" thickBot="1">
      <c r="A5" s="6">
        <v>63</v>
      </c>
      <c r="B5" s="6" t="s">
        <v>336</v>
      </c>
      <c r="C5" s="28">
        <v>6692671.9000000004</v>
      </c>
      <c r="D5" s="63">
        <v>241633.75</v>
      </c>
      <c r="E5" s="513">
        <v>6934305.6500000004</v>
      </c>
      <c r="G5" s="171"/>
      <c r="H5" s="656"/>
    </row>
    <row r="6" spans="1:8" ht="20" customHeight="1" thickBot="1">
      <c r="A6" s="7">
        <v>64</v>
      </c>
      <c r="B6" s="7" t="s">
        <v>1338</v>
      </c>
      <c r="C6" s="29">
        <v>-10016.620000000001</v>
      </c>
      <c r="D6" s="116">
        <v>-364.6</v>
      </c>
      <c r="E6" s="84">
        <v>-10381.219999999999</v>
      </c>
      <c r="G6" s="171"/>
      <c r="H6" s="656"/>
    </row>
    <row r="7" spans="1:8" ht="20" customHeight="1" thickBot="1">
      <c r="A7" s="7">
        <v>65</v>
      </c>
      <c r="B7" s="7" t="s">
        <v>1339</v>
      </c>
      <c r="C7" s="29">
        <v>5.92</v>
      </c>
      <c r="D7" s="116">
        <v>0.3</v>
      </c>
      <c r="E7" s="84">
        <v>6.22</v>
      </c>
      <c r="G7" s="171"/>
      <c r="H7" s="656"/>
    </row>
    <row r="8" spans="1:8" ht="27" customHeight="1" thickBot="1">
      <c r="A8" s="65" t="s">
        <v>1340</v>
      </c>
      <c r="B8" s="65" t="s">
        <v>1341</v>
      </c>
      <c r="C8" s="29">
        <v>6682661.2000000002</v>
      </c>
      <c r="D8" s="116">
        <v>241269.45</v>
      </c>
      <c r="E8" s="84">
        <v>6923930.6500000004</v>
      </c>
      <c r="G8" s="171"/>
      <c r="H8" s="656"/>
    </row>
    <row r="9" spans="1:8" ht="20" customHeight="1" thickBot="1">
      <c r="A9" s="7">
        <v>66</v>
      </c>
      <c r="B9" s="7" t="s">
        <v>1342</v>
      </c>
      <c r="C9" s="29">
        <v>-14004.3</v>
      </c>
      <c r="D9" s="116">
        <v>-763.5</v>
      </c>
      <c r="E9" s="84">
        <v>-14767.8</v>
      </c>
      <c r="G9" s="171"/>
      <c r="H9" s="656"/>
    </row>
    <row r="10" spans="1:8" ht="27" customHeight="1" thickBot="1">
      <c r="A10" s="65" t="s">
        <v>1343</v>
      </c>
      <c r="B10" s="65" t="s">
        <v>1344</v>
      </c>
      <c r="C10" s="29">
        <v>6668656.9000000004</v>
      </c>
      <c r="D10" s="116">
        <v>240505.95</v>
      </c>
      <c r="E10" s="84">
        <v>6909162.8499999996</v>
      </c>
      <c r="G10" s="171"/>
      <c r="H10" s="656"/>
    </row>
    <row r="11" spans="1:8" ht="21" customHeight="1" thickBot="1">
      <c r="A11" s="7">
        <v>67</v>
      </c>
      <c r="B11" s="7" t="s">
        <v>1345</v>
      </c>
      <c r="C11" s="29">
        <v>0</v>
      </c>
      <c r="D11" s="116">
        <v>0</v>
      </c>
      <c r="E11" s="84">
        <v>0</v>
      </c>
      <c r="G11" s="657"/>
      <c r="H11" s="656"/>
    </row>
    <row r="12" spans="1:8" ht="21" customHeight="1" thickBot="1">
      <c r="A12" s="7">
        <v>68</v>
      </c>
      <c r="B12" s="7" t="s">
        <v>1346</v>
      </c>
      <c r="C12" s="29">
        <v>0</v>
      </c>
      <c r="D12" s="116">
        <v>0</v>
      </c>
      <c r="E12" s="84">
        <v>0</v>
      </c>
      <c r="G12" s="171"/>
      <c r="H12" s="656"/>
    </row>
    <row r="13" spans="1:8" ht="21" customHeight="1" thickBot="1">
      <c r="A13" s="7">
        <v>69</v>
      </c>
      <c r="B13" s="7" t="s">
        <v>1347</v>
      </c>
      <c r="C13" s="29">
        <v>-615.53</v>
      </c>
      <c r="D13" s="116">
        <v>-21.07</v>
      </c>
      <c r="E13" s="84">
        <v>-636.6</v>
      </c>
    </row>
    <row r="14" spans="1:8" ht="27" customHeight="1" thickBot="1">
      <c r="A14" s="65">
        <v>6</v>
      </c>
      <c r="B14" s="65" t="s">
        <v>1348</v>
      </c>
      <c r="C14" s="29">
        <v>6668041.3700000001</v>
      </c>
      <c r="D14" s="116">
        <v>240484.88</v>
      </c>
      <c r="E14" s="84">
        <v>6908526.25</v>
      </c>
    </row>
    <row r="15" spans="1:8" ht="20" customHeight="1" thickBot="1">
      <c r="A15" s="7">
        <v>33</v>
      </c>
      <c r="B15" s="7" t="s">
        <v>338</v>
      </c>
      <c r="C15" s="29">
        <v>7297222.4900000002</v>
      </c>
      <c r="D15" s="116">
        <v>210893.41</v>
      </c>
      <c r="E15" s="84">
        <v>7508115.9000000004</v>
      </c>
    </row>
    <row r="16" spans="1:8" ht="20" customHeight="1" thickBot="1">
      <c r="A16" s="7">
        <v>32</v>
      </c>
      <c r="B16" s="7" t="s">
        <v>1349</v>
      </c>
      <c r="C16" s="29">
        <v>-269235.36</v>
      </c>
      <c r="D16" s="116">
        <v>-5850.58</v>
      </c>
      <c r="E16" s="84">
        <v>-275085.94</v>
      </c>
    </row>
    <row r="17" spans="1:5" ht="27" customHeight="1" thickBot="1">
      <c r="A17" s="65" t="s">
        <v>1350</v>
      </c>
      <c r="B17" s="65" t="s">
        <v>1351</v>
      </c>
      <c r="C17" s="29">
        <v>7027987.1299999999</v>
      </c>
      <c r="D17" s="116">
        <v>205042.83</v>
      </c>
      <c r="E17" s="84">
        <v>7233029.96</v>
      </c>
    </row>
    <row r="18" spans="1:5" ht="20" customHeight="1" thickBot="1">
      <c r="A18" s="7">
        <v>34</v>
      </c>
      <c r="B18" s="7" t="s">
        <v>1352</v>
      </c>
      <c r="C18" s="29">
        <v>474.86</v>
      </c>
      <c r="D18" s="116">
        <v>5.33</v>
      </c>
      <c r="E18" s="84">
        <v>480.19</v>
      </c>
    </row>
    <row r="19" spans="1:5" ht="20" customHeight="1" thickBot="1">
      <c r="A19" s="7">
        <v>35</v>
      </c>
      <c r="B19" s="7" t="s">
        <v>1353</v>
      </c>
      <c r="C19" s="29">
        <v>-825885.9</v>
      </c>
      <c r="D19" s="116">
        <v>-16505.48</v>
      </c>
      <c r="E19" s="84">
        <v>-842391.38</v>
      </c>
    </row>
    <row r="20" spans="1:5" ht="27" customHeight="1" thickBot="1">
      <c r="A20" s="65" t="s">
        <v>1354</v>
      </c>
      <c r="B20" s="65" t="s">
        <v>1355</v>
      </c>
      <c r="C20" s="29">
        <v>6202576.0899999999</v>
      </c>
      <c r="D20" s="116">
        <v>188542.68</v>
      </c>
      <c r="E20" s="84">
        <v>6391118.7699999996</v>
      </c>
    </row>
    <row r="21" spans="1:5" ht="20" customHeight="1" thickBot="1">
      <c r="A21" s="7">
        <v>36</v>
      </c>
      <c r="B21" s="7" t="s">
        <v>1356</v>
      </c>
      <c r="C21" s="29">
        <v>0</v>
      </c>
      <c r="D21" s="116">
        <v>0</v>
      </c>
      <c r="E21" s="84">
        <v>0</v>
      </c>
    </row>
    <row r="22" spans="1:5" ht="20" customHeight="1" thickBot="1">
      <c r="A22" s="7">
        <v>37</v>
      </c>
      <c r="B22" s="7" t="s">
        <v>1357</v>
      </c>
      <c r="C22" s="29">
        <v>0</v>
      </c>
      <c r="D22" s="116">
        <v>0</v>
      </c>
      <c r="E22" s="84">
        <v>0</v>
      </c>
    </row>
    <row r="23" spans="1:5" ht="27" customHeight="1" thickBot="1">
      <c r="A23" s="65">
        <v>3</v>
      </c>
      <c r="B23" s="65" t="s">
        <v>1358</v>
      </c>
      <c r="C23" s="29">
        <v>6202576.0899999999</v>
      </c>
      <c r="D23" s="116">
        <v>188542.68</v>
      </c>
      <c r="E23" s="84">
        <v>6391118.7699999996</v>
      </c>
    </row>
    <row r="24" spans="1:5" ht="20" customHeight="1" thickBot="1">
      <c r="A24" s="7" t="s">
        <v>1359</v>
      </c>
      <c r="B24" s="7" t="s">
        <v>1835</v>
      </c>
      <c r="C24" s="29">
        <v>87796</v>
      </c>
      <c r="D24" s="116">
        <v>2999.68</v>
      </c>
      <c r="E24" s="84">
        <v>90795.68</v>
      </c>
    </row>
    <row r="25" spans="1:5" ht="20" customHeight="1" thickBot="1">
      <c r="A25" s="7">
        <v>48</v>
      </c>
      <c r="B25" s="7" t="s">
        <v>1836</v>
      </c>
      <c r="C25" s="29">
        <v>642627.74</v>
      </c>
      <c r="D25" s="116">
        <v>22884.45</v>
      </c>
      <c r="E25" s="84">
        <v>665512.18999999994</v>
      </c>
    </row>
    <row r="26" spans="1:5" ht="20" customHeight="1" thickBot="1">
      <c r="A26" s="7">
        <v>49</v>
      </c>
      <c r="B26" s="7" t="s">
        <v>1837</v>
      </c>
      <c r="C26" s="29">
        <v>14229.18</v>
      </c>
      <c r="D26" s="116">
        <v>477.98</v>
      </c>
      <c r="E26" s="84">
        <v>14707.16</v>
      </c>
    </row>
    <row r="27" spans="1:5" ht="27" customHeight="1" thickBot="1">
      <c r="A27" s="65">
        <v>4</v>
      </c>
      <c r="B27" s="65" t="s">
        <v>1838</v>
      </c>
      <c r="C27" s="29">
        <v>744652.92</v>
      </c>
      <c r="D27" s="116">
        <v>26362.11</v>
      </c>
      <c r="E27" s="84">
        <v>771015.03</v>
      </c>
    </row>
    <row r="28" spans="1:5" ht="27" customHeight="1" thickBot="1">
      <c r="A28" s="65" t="s">
        <v>1839</v>
      </c>
      <c r="B28" s="65" t="s">
        <v>1840</v>
      </c>
      <c r="C28" s="29">
        <v>6947229.0099999998</v>
      </c>
      <c r="D28" s="116">
        <v>214904.79</v>
      </c>
      <c r="E28" s="84">
        <v>7162133.7999999998</v>
      </c>
    </row>
    <row r="29" spans="1:5" ht="27" customHeight="1" thickBot="1">
      <c r="A29" s="65"/>
      <c r="B29" s="65" t="s">
        <v>1841</v>
      </c>
      <c r="C29" s="29">
        <v>-279187.64</v>
      </c>
      <c r="D29" s="116">
        <v>25580.09</v>
      </c>
      <c r="E29" s="84">
        <v>-253607.55</v>
      </c>
    </row>
    <row r="30" spans="1:5" ht="27" customHeight="1" thickBot="1">
      <c r="A30" s="65">
        <v>7</v>
      </c>
      <c r="B30" s="65" t="s">
        <v>1842</v>
      </c>
      <c r="C30" s="29">
        <v>35258.94</v>
      </c>
      <c r="D30" s="116">
        <v>1125.96</v>
      </c>
      <c r="E30" s="84">
        <v>36384.9</v>
      </c>
    </row>
    <row r="31" spans="1:5" ht="27.75" customHeight="1" thickBot="1">
      <c r="A31" s="516"/>
      <c r="B31" s="516" t="s">
        <v>1843</v>
      </c>
      <c r="C31" s="29">
        <v>-243928.7</v>
      </c>
      <c r="D31" s="116">
        <v>26706.05</v>
      </c>
      <c r="E31" s="84">
        <v>-217222.65</v>
      </c>
    </row>
    <row r="32" spans="1:5" ht="19.5" customHeight="1">
      <c r="A32" s="9" t="s">
        <v>379</v>
      </c>
      <c r="B32" s="98"/>
      <c r="C32" s="9"/>
      <c r="D32" s="111"/>
      <c r="E32" s="641"/>
    </row>
    <row r="34" spans="1:1">
      <c r="A34" s="658" t="s">
        <v>1609</v>
      </c>
    </row>
    <row r="35" spans="1:1">
      <c r="A35" s="414"/>
    </row>
    <row r="36" spans="1:1">
      <c r="A36" s="3" t="s">
        <v>1786</v>
      </c>
    </row>
    <row r="39" spans="1:1">
      <c r="A39" s="3" t="s">
        <v>256</v>
      </c>
    </row>
  </sheetData>
  <mergeCells count="1">
    <mergeCell ref="A1:D1"/>
  </mergeCells>
  <phoneticPr fontId="0" type="noConversion"/>
  <pageMargins left="0.53" right="0.57999999999999996" top="0.92" bottom="0.49" header="0.49" footer="0.4921259845"/>
  <pageSetup paperSize="9" scale="86" orientation="portrait" horizontalDpi="4294967292" verticalDpi="4294967292"/>
  <headerFooter alignWithMargins="0">
    <oddHeader>&amp;L&amp;"Arial,Bold"Andere Versicherungen der vom BAG anerkannten Krankenversicherer</oddHead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B2FC6-D7F2-1C44-A05E-1C483D7EA485}">
  <sheetPr>
    <pageSetUpPr fitToPage="1"/>
  </sheetPr>
  <dimension ref="A1:E42"/>
  <sheetViews>
    <sheetView zoomScale="75" workbookViewId="0">
      <selection activeCell="A38" sqref="A38"/>
    </sheetView>
  </sheetViews>
  <sheetFormatPr baseColWidth="10" defaultColWidth="11.3984375" defaultRowHeight="13"/>
  <cols>
    <col min="1" max="1" width="8.796875" style="3" customWidth="1"/>
    <col min="2" max="2" width="48.796875" style="100" customWidth="1"/>
    <col min="3" max="3" width="16.796875" style="3" customWidth="1"/>
    <col min="4" max="4" width="16.796875" style="42" customWidth="1"/>
    <col min="5" max="5" width="16.796875" style="642" customWidth="1"/>
    <col min="6" max="16384" width="11.3984375" style="3"/>
  </cols>
  <sheetData>
    <row r="1" spans="1:5" s="1" customFormat="1" ht="37.5" customHeight="1">
      <c r="A1" s="1484" t="s">
        <v>1793</v>
      </c>
      <c r="B1" s="1483"/>
      <c r="C1" s="1483"/>
      <c r="D1" s="1483"/>
      <c r="E1" s="76">
        <v>2003</v>
      </c>
    </row>
    <row r="2" spans="1:5" s="1" customFormat="1" ht="10.5" customHeight="1">
      <c r="A2" s="497"/>
      <c r="B2" s="497"/>
      <c r="C2" s="497"/>
      <c r="D2" s="497"/>
      <c r="E2" s="497"/>
    </row>
    <row r="3" spans="1:5" ht="39" customHeight="1">
      <c r="A3" s="588" t="s">
        <v>1335</v>
      </c>
      <c r="B3" s="91"/>
      <c r="C3" s="69" t="s">
        <v>1336</v>
      </c>
      <c r="D3" s="60" t="s">
        <v>1337</v>
      </c>
      <c r="E3" s="404" t="s">
        <v>22</v>
      </c>
    </row>
    <row r="4" spans="1:5" ht="38" customHeight="1">
      <c r="A4" s="405"/>
      <c r="B4" s="390"/>
      <c r="C4" s="73" t="s">
        <v>1925</v>
      </c>
      <c r="D4" s="62" t="s">
        <v>1925</v>
      </c>
      <c r="E4" s="341" t="s">
        <v>1925</v>
      </c>
    </row>
    <row r="5" spans="1:5" ht="30" customHeight="1" thickBot="1">
      <c r="A5" s="6">
        <v>61.1</v>
      </c>
      <c r="B5" s="6" t="s">
        <v>1787</v>
      </c>
      <c r="C5" s="28">
        <v>33497751.75</v>
      </c>
      <c r="D5" s="63">
        <v>1784278.12</v>
      </c>
      <c r="E5" s="513">
        <v>35282029.869999997</v>
      </c>
    </row>
    <row r="6" spans="1:5" ht="22.5" customHeight="1" thickBot="1">
      <c r="A6" s="421">
        <v>61.2</v>
      </c>
      <c r="B6" s="421" t="s">
        <v>1788</v>
      </c>
      <c r="C6" s="28">
        <v>1933367.76</v>
      </c>
      <c r="D6" s="63">
        <v>113537.89</v>
      </c>
      <c r="E6" s="513">
        <v>2046905.65</v>
      </c>
    </row>
    <row r="7" spans="1:5" ht="20" customHeight="1" thickBot="1">
      <c r="A7" s="7">
        <v>64</v>
      </c>
      <c r="B7" s="7" t="s">
        <v>1338</v>
      </c>
      <c r="C7" s="28">
        <v>-92646.23</v>
      </c>
      <c r="D7" s="63">
        <v>-14294.64</v>
      </c>
      <c r="E7" s="513">
        <v>-106940.87</v>
      </c>
    </row>
    <row r="8" spans="1:5" ht="20" customHeight="1" thickBot="1">
      <c r="A8" s="7">
        <v>65</v>
      </c>
      <c r="B8" s="7" t="s">
        <v>1339</v>
      </c>
      <c r="C8" s="28">
        <v>-1889.54</v>
      </c>
      <c r="D8" s="63">
        <v>201.84</v>
      </c>
      <c r="E8" s="513">
        <v>-1687.7</v>
      </c>
    </row>
    <row r="9" spans="1:5" ht="27" customHeight="1" thickBot="1">
      <c r="A9" s="65" t="s">
        <v>1340</v>
      </c>
      <c r="B9" s="65" t="s">
        <v>1341</v>
      </c>
      <c r="C9" s="28">
        <v>35336583.740000002</v>
      </c>
      <c r="D9" s="63">
        <v>1883723.21</v>
      </c>
      <c r="E9" s="513">
        <v>37220306.950000003</v>
      </c>
    </row>
    <row r="10" spans="1:5" ht="20" customHeight="1" thickBot="1">
      <c r="A10" s="7">
        <v>66</v>
      </c>
      <c r="B10" s="7" t="s">
        <v>1342</v>
      </c>
      <c r="C10" s="28">
        <v>-14919.16</v>
      </c>
      <c r="D10" s="63">
        <v>-227.18</v>
      </c>
      <c r="E10" s="513">
        <v>-15146.34</v>
      </c>
    </row>
    <row r="11" spans="1:5" ht="27" customHeight="1" thickBot="1">
      <c r="A11" s="65" t="s">
        <v>1343</v>
      </c>
      <c r="B11" s="65" t="s">
        <v>1344</v>
      </c>
      <c r="C11" s="28">
        <v>35321664.579999998</v>
      </c>
      <c r="D11" s="63">
        <v>1883496.03</v>
      </c>
      <c r="E11" s="513">
        <v>37205160.609999999</v>
      </c>
    </row>
    <row r="12" spans="1:5" ht="21" customHeight="1" thickBot="1">
      <c r="A12" s="7">
        <v>67</v>
      </c>
      <c r="B12" s="7" t="s">
        <v>1345</v>
      </c>
      <c r="C12" s="28">
        <v>699162.28</v>
      </c>
      <c r="D12" s="63">
        <v>25299.85</v>
      </c>
      <c r="E12" s="513">
        <v>724462.13</v>
      </c>
    </row>
    <row r="13" spans="1:5" ht="21" customHeight="1" thickBot="1">
      <c r="A13" s="7">
        <v>68</v>
      </c>
      <c r="B13" s="7" t="s">
        <v>1346</v>
      </c>
      <c r="C13" s="28">
        <v>-712581.62</v>
      </c>
      <c r="D13" s="63">
        <v>-25705.5</v>
      </c>
      <c r="E13" s="513">
        <v>-738287.12</v>
      </c>
    </row>
    <row r="14" spans="1:5" ht="21" customHeight="1" thickBot="1">
      <c r="A14" s="7">
        <v>69</v>
      </c>
      <c r="B14" s="7" t="s">
        <v>1347</v>
      </c>
      <c r="C14" s="28">
        <v>10688.4</v>
      </c>
      <c r="D14" s="63">
        <v>22.67</v>
      </c>
      <c r="E14" s="513">
        <v>10711.07</v>
      </c>
    </row>
    <row r="15" spans="1:5" ht="27" customHeight="1" thickBot="1">
      <c r="A15" s="65">
        <v>6</v>
      </c>
      <c r="B15" s="65" t="s">
        <v>1348</v>
      </c>
      <c r="C15" s="28">
        <v>35318933.640000001</v>
      </c>
      <c r="D15" s="63">
        <v>1883113.04</v>
      </c>
      <c r="E15" s="513">
        <v>37202046.68</v>
      </c>
    </row>
    <row r="16" spans="1:5" ht="20" customHeight="1" thickBot="1">
      <c r="A16" s="7">
        <v>31.1</v>
      </c>
      <c r="B16" s="7" t="s">
        <v>1789</v>
      </c>
      <c r="C16" s="28">
        <v>16585698.74</v>
      </c>
      <c r="D16" s="63">
        <v>1027296.38</v>
      </c>
      <c r="E16" s="513">
        <v>17612995.120000001</v>
      </c>
    </row>
    <row r="17" spans="1:5" ht="20" customHeight="1" thickBot="1">
      <c r="A17" s="7">
        <v>31.2</v>
      </c>
      <c r="B17" s="7" t="s">
        <v>1790</v>
      </c>
      <c r="C17" s="28">
        <v>347245.93</v>
      </c>
      <c r="D17" s="63">
        <v>6278.87</v>
      </c>
      <c r="E17" s="513">
        <v>353524.8</v>
      </c>
    </row>
    <row r="18" spans="1:5" ht="20" customHeight="1" thickBot="1">
      <c r="A18" s="7">
        <v>32</v>
      </c>
      <c r="B18" s="7" t="s">
        <v>1349</v>
      </c>
      <c r="C18" s="28">
        <v>-2095777.92</v>
      </c>
      <c r="D18" s="63">
        <v>-97373.6</v>
      </c>
      <c r="E18" s="513">
        <v>-2193151.52</v>
      </c>
    </row>
    <row r="19" spans="1:5" ht="27" customHeight="1" thickBot="1">
      <c r="A19" s="65" t="s">
        <v>1350</v>
      </c>
      <c r="B19" s="65" t="s">
        <v>1351</v>
      </c>
      <c r="C19" s="28">
        <v>14837166.75</v>
      </c>
      <c r="D19" s="63">
        <v>936201.65</v>
      </c>
      <c r="E19" s="513">
        <v>15773368.4</v>
      </c>
    </row>
    <row r="20" spans="1:5" ht="20" customHeight="1" thickBot="1">
      <c r="A20" s="7">
        <v>34</v>
      </c>
      <c r="B20" s="7" t="s">
        <v>1352</v>
      </c>
      <c r="C20" s="28">
        <v>9342.9</v>
      </c>
      <c r="D20" s="63">
        <v>703.89</v>
      </c>
      <c r="E20" s="513">
        <v>10046.790000000001</v>
      </c>
    </row>
    <row r="21" spans="1:5" ht="20" customHeight="1" thickBot="1">
      <c r="A21" s="7">
        <v>35</v>
      </c>
      <c r="B21" s="7" t="s">
        <v>1353</v>
      </c>
      <c r="C21" s="28">
        <v>2679162.4900000002</v>
      </c>
      <c r="D21" s="63">
        <v>126957.22</v>
      </c>
      <c r="E21" s="513">
        <v>2806119.71</v>
      </c>
    </row>
    <row r="22" spans="1:5" ht="20" customHeight="1" thickBot="1">
      <c r="A22" s="7">
        <v>35.1</v>
      </c>
      <c r="B22" s="7" t="s">
        <v>1791</v>
      </c>
      <c r="C22" s="28">
        <v>561093.89</v>
      </c>
      <c r="D22" s="63">
        <v>18657.669999999998</v>
      </c>
      <c r="E22" s="513">
        <v>579751.56000000006</v>
      </c>
    </row>
    <row r="23" spans="1:5" ht="27" customHeight="1" thickBot="1">
      <c r="A23" s="65" t="s">
        <v>1354</v>
      </c>
      <c r="B23" s="65" t="s">
        <v>1355</v>
      </c>
      <c r="C23" s="28">
        <v>18086766.030000001</v>
      </c>
      <c r="D23" s="63">
        <v>1082520.43</v>
      </c>
      <c r="E23" s="513">
        <v>19169286.460000001</v>
      </c>
    </row>
    <row r="24" spans="1:5" ht="20" customHeight="1" thickBot="1">
      <c r="A24" s="7">
        <v>36</v>
      </c>
      <c r="B24" s="7" t="s">
        <v>1356</v>
      </c>
      <c r="C24" s="28">
        <v>-19878.54</v>
      </c>
      <c r="D24" s="63">
        <v>-179.35</v>
      </c>
      <c r="E24" s="513">
        <v>-20057.89</v>
      </c>
    </row>
    <row r="25" spans="1:5" ht="20" customHeight="1" thickBot="1">
      <c r="A25" s="7">
        <v>37</v>
      </c>
      <c r="B25" s="7" t="s">
        <v>1357</v>
      </c>
      <c r="C25" s="28">
        <v>989752.51</v>
      </c>
      <c r="D25" s="63">
        <v>256857.49</v>
      </c>
      <c r="E25" s="513">
        <v>1246610</v>
      </c>
    </row>
    <row r="26" spans="1:5" ht="27" customHeight="1" thickBot="1">
      <c r="A26" s="65">
        <v>3</v>
      </c>
      <c r="B26" s="65" t="s">
        <v>1358</v>
      </c>
      <c r="C26" s="28">
        <v>19056640</v>
      </c>
      <c r="D26" s="63">
        <v>1339198.57</v>
      </c>
      <c r="E26" s="513">
        <v>20395838.57</v>
      </c>
    </row>
    <row r="27" spans="1:5" ht="20" customHeight="1" thickBot="1">
      <c r="A27" s="7" t="s">
        <v>1359</v>
      </c>
      <c r="B27" s="7" t="s">
        <v>1835</v>
      </c>
      <c r="C27" s="28">
        <v>3677790.27</v>
      </c>
      <c r="D27" s="63">
        <v>161371.14000000001</v>
      </c>
      <c r="E27" s="513">
        <v>3839161.41</v>
      </c>
    </row>
    <row r="28" spans="1:5" ht="20" customHeight="1" thickBot="1">
      <c r="A28" s="7">
        <v>48</v>
      </c>
      <c r="B28" s="7" t="s">
        <v>1836</v>
      </c>
      <c r="C28" s="28">
        <v>63044.47</v>
      </c>
      <c r="D28" s="63">
        <v>3586.63</v>
      </c>
      <c r="E28" s="513">
        <v>66631.100000000006</v>
      </c>
    </row>
    <row r="29" spans="1:5" ht="20" customHeight="1" thickBot="1">
      <c r="A29" s="7">
        <v>49</v>
      </c>
      <c r="B29" s="7" t="s">
        <v>1837</v>
      </c>
      <c r="C29" s="28">
        <v>4806.1000000000004</v>
      </c>
      <c r="D29" s="63">
        <v>189.74</v>
      </c>
      <c r="E29" s="513">
        <v>4995.84</v>
      </c>
    </row>
    <row r="30" spans="1:5" ht="27" customHeight="1" thickBot="1">
      <c r="A30" s="65">
        <v>4</v>
      </c>
      <c r="B30" s="65" t="s">
        <v>1838</v>
      </c>
      <c r="C30" s="28">
        <v>3745640.83</v>
      </c>
      <c r="D30" s="63">
        <v>165147.51</v>
      </c>
      <c r="E30" s="513">
        <v>3910788.34</v>
      </c>
    </row>
    <row r="31" spans="1:5" ht="27" customHeight="1" thickBot="1">
      <c r="A31" s="65" t="s">
        <v>1839</v>
      </c>
      <c r="B31" s="65" t="s">
        <v>1840</v>
      </c>
      <c r="C31" s="28">
        <v>22802280.829999998</v>
      </c>
      <c r="D31" s="63">
        <v>1504346.07</v>
      </c>
      <c r="E31" s="513">
        <v>24306626.899999999</v>
      </c>
    </row>
    <row r="32" spans="1:5" ht="27" customHeight="1" thickBot="1">
      <c r="A32" s="65"/>
      <c r="B32" s="65" t="s">
        <v>1841</v>
      </c>
      <c r="C32" s="29">
        <v>12516652.810000001</v>
      </c>
      <c r="D32" s="116">
        <v>378766.96</v>
      </c>
      <c r="E32" s="84">
        <v>12895419.77</v>
      </c>
    </row>
    <row r="33" spans="1:5" ht="27" customHeight="1" thickBot="1">
      <c r="A33" s="65">
        <v>7</v>
      </c>
      <c r="B33" s="65" t="s">
        <v>1842</v>
      </c>
      <c r="C33" s="29">
        <v>240866.36</v>
      </c>
      <c r="D33" s="116">
        <v>29570.37</v>
      </c>
      <c r="E33" s="84">
        <v>270436.73</v>
      </c>
    </row>
    <row r="34" spans="1:5" ht="27.75" customHeight="1" thickBot="1">
      <c r="A34" s="516"/>
      <c r="B34" s="516" t="s">
        <v>1843</v>
      </c>
      <c r="C34" s="29">
        <v>12757519.17</v>
      </c>
      <c r="D34" s="116">
        <v>408337.33</v>
      </c>
      <c r="E34" s="84">
        <v>13165856.5</v>
      </c>
    </row>
    <row r="35" spans="1:5" ht="19.5" customHeight="1">
      <c r="A35" s="9" t="s">
        <v>379</v>
      </c>
      <c r="B35" s="98"/>
      <c r="C35" s="9"/>
      <c r="D35" s="111"/>
      <c r="E35" s="641"/>
    </row>
    <row r="37" spans="1:5">
      <c r="A37" s="3" t="s">
        <v>1607</v>
      </c>
    </row>
    <row r="39" spans="1:5">
      <c r="A39" s="3" t="s">
        <v>1792</v>
      </c>
    </row>
    <row r="42" spans="1:5">
      <c r="A42" s="3" t="s">
        <v>256</v>
      </c>
    </row>
  </sheetData>
  <mergeCells count="1">
    <mergeCell ref="A1:D1"/>
  </mergeCells>
  <phoneticPr fontId="0" type="noConversion"/>
  <pageMargins left="0.49" right="0.59" top="0.85" bottom="0.49" header="0.49" footer="0.4921259845"/>
  <pageSetup paperSize="9" scale="82" orientation="portrait" horizontalDpi="4294967292" verticalDpi="4294967292"/>
  <headerFooter alignWithMargins="0">
    <oddHeader>&amp;L&amp;"Arial,Bold"Andere Versicherungen der vom BAG anerkannten Krankenversicherer</oddHead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44F5D-9A89-9544-AF1B-1D7DF41D61BA}">
  <sheetPr>
    <pageSetUpPr fitToPage="1"/>
  </sheetPr>
  <dimension ref="A1:B17"/>
  <sheetViews>
    <sheetView workbookViewId="0">
      <selection activeCell="A2" sqref="A2"/>
    </sheetView>
  </sheetViews>
  <sheetFormatPr baseColWidth="10" defaultColWidth="11.3984375" defaultRowHeight="13"/>
  <cols>
    <col min="1" max="1" width="5.59765625" style="501" customWidth="1"/>
    <col min="2" max="16384" width="11.3984375" style="501"/>
  </cols>
  <sheetData>
    <row r="1" spans="1:2" ht="16">
      <c r="A1" s="500" t="s">
        <v>656</v>
      </c>
    </row>
    <row r="2" spans="1:2" ht="16">
      <c r="A2" s="500"/>
    </row>
    <row r="3" spans="1:2">
      <c r="A3" s="502">
        <v>8.01</v>
      </c>
      <c r="B3" s="503" t="s">
        <v>657</v>
      </c>
    </row>
    <row r="4" spans="1:2">
      <c r="A4" s="502">
        <v>8.02</v>
      </c>
      <c r="B4" s="503" t="s">
        <v>658</v>
      </c>
    </row>
    <row r="5" spans="1:2">
      <c r="A5" s="502">
        <v>8.0299999999999994</v>
      </c>
      <c r="B5" s="503" t="s">
        <v>659</v>
      </c>
    </row>
    <row r="6" spans="1:2">
      <c r="A6" s="502">
        <v>8.0399999999999991</v>
      </c>
      <c r="B6" s="503" t="s">
        <v>660</v>
      </c>
    </row>
    <row r="7" spans="1:2">
      <c r="A7" s="502">
        <v>8.0500000000000007</v>
      </c>
      <c r="B7" s="503" t="s">
        <v>662</v>
      </c>
    </row>
    <row r="8" spans="1:2">
      <c r="A8" s="502">
        <v>8.06</v>
      </c>
      <c r="B8" s="503" t="s">
        <v>663</v>
      </c>
    </row>
    <row r="9" spans="1:2">
      <c r="A9" s="502">
        <v>8.07</v>
      </c>
      <c r="B9" s="503" t="s">
        <v>664</v>
      </c>
    </row>
    <row r="10" spans="1:2">
      <c r="A10" s="502">
        <v>8.08</v>
      </c>
      <c r="B10" s="503" t="s">
        <v>665</v>
      </c>
    </row>
    <row r="11" spans="1:2">
      <c r="A11" s="502">
        <v>8.09</v>
      </c>
      <c r="B11" s="503" t="s">
        <v>666</v>
      </c>
    </row>
    <row r="12" spans="1:2">
      <c r="A12" s="502">
        <v>8.1</v>
      </c>
      <c r="B12" s="503" t="s">
        <v>667</v>
      </c>
    </row>
    <row r="13" spans="1:2">
      <c r="A13" s="502">
        <v>8.11</v>
      </c>
      <c r="B13" s="504" t="s">
        <v>668</v>
      </c>
    </row>
    <row r="14" spans="1:2">
      <c r="A14" s="502">
        <v>8.1199999999999992</v>
      </c>
      <c r="B14" s="504" t="s">
        <v>669</v>
      </c>
    </row>
    <row r="17" spans="1:1">
      <c r="A17" s="505" t="s">
        <v>256</v>
      </c>
    </row>
  </sheetData>
  <phoneticPr fontId="21" type="noConversion"/>
  <pageMargins left="0.54" right="0.53" top="0.65" bottom="0.984251969" header="0.38" footer="0.4921259845"/>
  <pageSetup paperSize="9" orientation="portrait"/>
  <headerFooter alignWithMargins="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B7FA-7EFD-8A49-8D77-0D9A57301DF3}">
  <sheetPr>
    <pageSetUpPr fitToPage="1"/>
  </sheetPr>
  <dimension ref="A1:F54"/>
  <sheetViews>
    <sheetView topLeftCell="A46" zoomScale="75" workbookViewId="0">
      <selection activeCell="F2" sqref="F2"/>
    </sheetView>
  </sheetViews>
  <sheetFormatPr baseColWidth="10" defaultColWidth="11.3984375" defaultRowHeight="13"/>
  <cols>
    <col min="1" max="1" width="12.796875" style="3" customWidth="1"/>
    <col min="2" max="2" width="13.19921875" style="100" customWidth="1"/>
    <col min="3" max="4" width="13.19921875" style="3" customWidth="1"/>
    <col min="5" max="6" width="13.19921875" style="100" customWidth="1"/>
    <col min="7" max="16384" width="11.3984375" style="3"/>
  </cols>
  <sheetData>
    <row r="1" spans="1:6" s="1" customFormat="1" ht="14" customHeight="1">
      <c r="B1" s="90"/>
      <c r="E1" s="90"/>
      <c r="F1" s="90"/>
    </row>
    <row r="2" spans="1:6" s="1" customFormat="1" ht="28" customHeight="1">
      <c r="A2" s="76" t="s">
        <v>498</v>
      </c>
      <c r="B2" s="90"/>
      <c r="C2" s="76"/>
      <c r="D2" s="76"/>
      <c r="E2" s="90"/>
      <c r="F2" s="321">
        <v>2003</v>
      </c>
    </row>
    <row r="3" spans="1:6" ht="24" customHeight="1">
      <c r="A3" s="2" t="s">
        <v>1591</v>
      </c>
      <c r="B3" s="312"/>
      <c r="C3" s="2"/>
      <c r="D3" s="85"/>
      <c r="E3" s="2" t="s">
        <v>506</v>
      </c>
      <c r="F3" s="312"/>
    </row>
    <row r="4" spans="1:6" ht="15" customHeight="1">
      <c r="A4" s="77"/>
      <c r="B4" s="347" t="s">
        <v>499</v>
      </c>
      <c r="C4" s="17" t="s">
        <v>500</v>
      </c>
      <c r="D4" s="70" t="s">
        <v>501</v>
      </c>
      <c r="E4" s="4" t="s">
        <v>1762</v>
      </c>
      <c r="F4" s="71" t="s">
        <v>502</v>
      </c>
    </row>
    <row r="5" spans="1:6" ht="15" customHeight="1">
      <c r="A5" s="77"/>
      <c r="B5" s="347" t="s">
        <v>961</v>
      </c>
      <c r="C5" s="17"/>
      <c r="D5" s="70"/>
      <c r="E5" s="4" t="s">
        <v>507</v>
      </c>
      <c r="F5" s="71"/>
    </row>
    <row r="6" spans="1:6" ht="24" customHeight="1">
      <c r="A6" s="78"/>
      <c r="B6" s="73"/>
      <c r="C6" s="18"/>
      <c r="D6" s="73"/>
      <c r="E6" s="5"/>
      <c r="F6" s="72"/>
    </row>
    <row r="7" spans="1:6" ht="17.25" customHeight="1" thickBot="1">
      <c r="A7" s="421">
        <v>1945</v>
      </c>
      <c r="B7" s="722">
        <v>1151</v>
      </c>
      <c r="C7" s="723" t="s">
        <v>1013</v>
      </c>
      <c r="D7" s="724" t="s">
        <v>1013</v>
      </c>
      <c r="E7" s="723" t="s">
        <v>1013</v>
      </c>
      <c r="F7" s="724" t="s">
        <v>1013</v>
      </c>
    </row>
    <row r="8" spans="1:6" ht="17.25" customHeight="1" thickBot="1">
      <c r="A8" s="7">
        <v>1950</v>
      </c>
      <c r="B8" s="407">
        <v>1154</v>
      </c>
      <c r="C8" s="723" t="s">
        <v>1013</v>
      </c>
      <c r="D8" s="724" t="s">
        <v>1013</v>
      </c>
      <c r="E8" s="723" t="s">
        <v>1013</v>
      </c>
      <c r="F8" s="724" t="s">
        <v>1013</v>
      </c>
    </row>
    <row r="9" spans="1:6" ht="17.25" customHeight="1" thickBot="1">
      <c r="A9" s="7">
        <v>1955</v>
      </c>
      <c r="B9" s="407">
        <v>1135</v>
      </c>
      <c r="C9" s="723" t="s">
        <v>1013</v>
      </c>
      <c r="D9" s="724" t="s">
        <v>1013</v>
      </c>
      <c r="E9" s="723" t="s">
        <v>1013</v>
      </c>
      <c r="F9" s="724" t="s">
        <v>1013</v>
      </c>
    </row>
    <row r="10" spans="1:6" ht="17.25" customHeight="1" thickBot="1">
      <c r="A10" s="7">
        <v>1960</v>
      </c>
      <c r="B10" s="407">
        <v>1088</v>
      </c>
      <c r="C10" s="723" t="s">
        <v>1013</v>
      </c>
      <c r="D10" s="724" t="s">
        <v>1013</v>
      </c>
      <c r="E10" s="723" t="s">
        <v>1013</v>
      </c>
      <c r="F10" s="724" t="s">
        <v>1013</v>
      </c>
    </row>
    <row r="11" spans="1:6" ht="17.25" customHeight="1" thickBot="1">
      <c r="A11" s="7">
        <v>1965</v>
      </c>
      <c r="B11" s="407">
        <v>984</v>
      </c>
      <c r="C11" s="723" t="s">
        <v>1013</v>
      </c>
      <c r="D11" s="724" t="s">
        <v>1013</v>
      </c>
      <c r="E11" s="723" t="s">
        <v>1013</v>
      </c>
      <c r="F11" s="724" t="s">
        <v>1013</v>
      </c>
    </row>
    <row r="12" spans="1:6" ht="17.25" customHeight="1">
      <c r="A12" s="725">
        <v>1970</v>
      </c>
      <c r="B12" s="719">
        <v>815</v>
      </c>
      <c r="C12" s="726">
        <v>1</v>
      </c>
      <c r="D12" s="719">
        <v>26</v>
      </c>
      <c r="E12" s="727" t="s">
        <v>1013</v>
      </c>
      <c r="F12" s="728" t="s">
        <v>1013</v>
      </c>
    </row>
    <row r="13" spans="1:6" ht="17.25" customHeight="1" thickBot="1">
      <c r="A13" s="421">
        <v>1971</v>
      </c>
      <c r="B13" s="510">
        <v>793</v>
      </c>
      <c r="C13" s="644">
        <v>0</v>
      </c>
      <c r="D13" s="510">
        <v>22</v>
      </c>
      <c r="E13" s="729" t="s">
        <v>1013</v>
      </c>
      <c r="F13" s="730" t="s">
        <v>1013</v>
      </c>
    </row>
    <row r="14" spans="1:6" ht="17.25" customHeight="1" thickBot="1">
      <c r="A14" s="7">
        <v>1972</v>
      </c>
      <c r="B14" s="407">
        <v>763</v>
      </c>
      <c r="C14" s="408">
        <v>1</v>
      </c>
      <c r="D14" s="407">
        <v>31</v>
      </c>
      <c r="E14" s="723" t="s">
        <v>1013</v>
      </c>
      <c r="F14" s="724" t="s">
        <v>1013</v>
      </c>
    </row>
    <row r="15" spans="1:6" ht="17.25" customHeight="1" thickBot="1">
      <c r="A15" s="7">
        <v>1973</v>
      </c>
      <c r="B15" s="407">
        <v>735</v>
      </c>
      <c r="C15" s="408">
        <v>0</v>
      </c>
      <c r="D15" s="407">
        <v>28</v>
      </c>
      <c r="E15" s="723" t="s">
        <v>1013</v>
      </c>
      <c r="F15" s="724" t="s">
        <v>1013</v>
      </c>
    </row>
    <row r="16" spans="1:6" ht="17.25" customHeight="1" thickBot="1">
      <c r="A16" s="7">
        <v>1974</v>
      </c>
      <c r="B16" s="407">
        <v>707</v>
      </c>
      <c r="C16" s="408">
        <v>3</v>
      </c>
      <c r="D16" s="407">
        <v>31</v>
      </c>
      <c r="E16" s="723" t="s">
        <v>1013</v>
      </c>
      <c r="F16" s="724" t="s">
        <v>1013</v>
      </c>
    </row>
    <row r="17" spans="1:6" ht="17.25" customHeight="1">
      <c r="A17" s="725">
        <v>1975</v>
      </c>
      <c r="B17" s="719">
        <v>662</v>
      </c>
      <c r="C17" s="726">
        <v>1</v>
      </c>
      <c r="D17" s="719">
        <v>46</v>
      </c>
      <c r="E17" s="727" t="s">
        <v>1013</v>
      </c>
      <c r="F17" s="728" t="s">
        <v>1013</v>
      </c>
    </row>
    <row r="18" spans="1:6" ht="17.25" customHeight="1" thickBot="1">
      <c r="A18" s="421">
        <v>1976</v>
      </c>
      <c r="B18" s="510">
        <v>634</v>
      </c>
      <c r="C18" s="644">
        <v>0</v>
      </c>
      <c r="D18" s="510">
        <v>28</v>
      </c>
      <c r="E18" s="729" t="s">
        <v>1013</v>
      </c>
      <c r="F18" s="730" t="s">
        <v>1013</v>
      </c>
    </row>
    <row r="19" spans="1:6" ht="17.25" customHeight="1" thickBot="1">
      <c r="A19" s="7">
        <v>1977</v>
      </c>
      <c r="B19" s="407">
        <v>615</v>
      </c>
      <c r="C19" s="408">
        <v>0</v>
      </c>
      <c r="D19" s="407">
        <v>19</v>
      </c>
      <c r="E19" s="723" t="s">
        <v>1013</v>
      </c>
      <c r="F19" s="724" t="s">
        <v>1013</v>
      </c>
    </row>
    <row r="20" spans="1:6" ht="17.25" customHeight="1" thickBot="1">
      <c r="A20" s="7">
        <v>1978</v>
      </c>
      <c r="B20" s="407">
        <v>598</v>
      </c>
      <c r="C20" s="408">
        <v>1</v>
      </c>
      <c r="D20" s="407">
        <v>18</v>
      </c>
      <c r="E20" s="723" t="s">
        <v>1013</v>
      </c>
      <c r="F20" s="724" t="s">
        <v>1013</v>
      </c>
    </row>
    <row r="21" spans="1:6" ht="17.25" customHeight="1" thickBot="1">
      <c r="A21" s="7">
        <v>1979</v>
      </c>
      <c r="B21" s="407">
        <v>577</v>
      </c>
      <c r="C21" s="408">
        <v>2</v>
      </c>
      <c r="D21" s="407">
        <v>23</v>
      </c>
      <c r="E21" s="723">
        <v>456</v>
      </c>
      <c r="F21" s="724">
        <v>400</v>
      </c>
    </row>
    <row r="22" spans="1:6" ht="17.25" customHeight="1">
      <c r="A22" s="725">
        <v>1980</v>
      </c>
      <c r="B22" s="719">
        <v>555</v>
      </c>
      <c r="C22" s="726">
        <v>2</v>
      </c>
      <c r="D22" s="719">
        <v>24</v>
      </c>
      <c r="E22" s="727">
        <v>435</v>
      </c>
      <c r="F22" s="728">
        <v>384</v>
      </c>
    </row>
    <row r="23" spans="1:6" ht="17.25" customHeight="1" thickBot="1">
      <c r="A23" s="421">
        <v>1981</v>
      </c>
      <c r="B23" s="510">
        <v>537</v>
      </c>
      <c r="C23" s="644">
        <v>0</v>
      </c>
      <c r="D23" s="510">
        <v>18</v>
      </c>
      <c r="E23" s="729">
        <v>418</v>
      </c>
      <c r="F23" s="730">
        <v>371</v>
      </c>
    </row>
    <row r="24" spans="1:6" ht="17.25" customHeight="1" thickBot="1">
      <c r="A24" s="7">
        <v>1982</v>
      </c>
      <c r="B24" s="407">
        <v>514</v>
      </c>
      <c r="C24" s="408">
        <v>1</v>
      </c>
      <c r="D24" s="407">
        <v>24</v>
      </c>
      <c r="E24" s="723">
        <v>395</v>
      </c>
      <c r="F24" s="724">
        <v>355</v>
      </c>
    </row>
    <row r="25" spans="1:6" ht="17.25" customHeight="1" thickBot="1">
      <c r="A25" s="7">
        <v>1983</v>
      </c>
      <c r="B25" s="407">
        <v>492</v>
      </c>
      <c r="C25" s="408">
        <v>2</v>
      </c>
      <c r="D25" s="407">
        <v>24</v>
      </c>
      <c r="E25" s="723">
        <v>376</v>
      </c>
      <c r="F25" s="724">
        <v>339</v>
      </c>
    </row>
    <row r="26" spans="1:6" ht="17.25" customHeight="1" thickBot="1">
      <c r="A26" s="7">
        <v>1984</v>
      </c>
      <c r="B26" s="407">
        <v>461</v>
      </c>
      <c r="C26" s="408">
        <v>1</v>
      </c>
      <c r="D26" s="407">
        <v>32</v>
      </c>
      <c r="E26" s="723">
        <v>344</v>
      </c>
      <c r="F26" s="724">
        <v>313</v>
      </c>
    </row>
    <row r="27" spans="1:6" ht="17.25" customHeight="1">
      <c r="A27" s="725">
        <v>1985</v>
      </c>
      <c r="B27" s="719">
        <v>449</v>
      </c>
      <c r="C27" s="726">
        <v>0</v>
      </c>
      <c r="D27" s="719">
        <v>12</v>
      </c>
      <c r="E27" s="727">
        <v>332</v>
      </c>
      <c r="F27" s="728">
        <v>306</v>
      </c>
    </row>
    <row r="28" spans="1:6" ht="17.25" customHeight="1" thickBot="1">
      <c r="A28" s="421">
        <v>1986</v>
      </c>
      <c r="B28" s="510">
        <v>432</v>
      </c>
      <c r="C28" s="644">
        <v>1</v>
      </c>
      <c r="D28" s="510">
        <v>18</v>
      </c>
      <c r="E28" s="729">
        <v>316</v>
      </c>
      <c r="F28" s="730">
        <v>294</v>
      </c>
    </row>
    <row r="29" spans="1:6" ht="17.25" customHeight="1" thickBot="1">
      <c r="A29" s="7">
        <v>1987</v>
      </c>
      <c r="B29" s="407">
        <v>385</v>
      </c>
      <c r="C29" s="408">
        <v>2</v>
      </c>
      <c r="D29" s="407">
        <v>49</v>
      </c>
      <c r="E29" s="723">
        <v>271</v>
      </c>
      <c r="F29" s="724">
        <v>281</v>
      </c>
    </row>
    <row r="30" spans="1:6" ht="17.25" customHeight="1" thickBot="1">
      <c r="A30" s="7">
        <v>1988</v>
      </c>
      <c r="B30" s="407">
        <v>370</v>
      </c>
      <c r="C30" s="408">
        <v>1</v>
      </c>
      <c r="D30" s="407">
        <v>16</v>
      </c>
      <c r="E30" s="723">
        <v>257</v>
      </c>
      <c r="F30" s="724">
        <v>266</v>
      </c>
    </row>
    <row r="31" spans="1:6" ht="17.25" customHeight="1" thickBot="1">
      <c r="A31" s="7">
        <v>1989</v>
      </c>
      <c r="B31" s="407">
        <v>269</v>
      </c>
      <c r="C31" s="408">
        <v>4</v>
      </c>
      <c r="D31" s="407">
        <v>105</v>
      </c>
      <c r="E31" s="723">
        <v>244</v>
      </c>
      <c r="F31" s="724">
        <v>251</v>
      </c>
    </row>
    <row r="32" spans="1:6" ht="17.25" customHeight="1">
      <c r="A32" s="725">
        <v>1990</v>
      </c>
      <c r="B32" s="719">
        <v>246</v>
      </c>
      <c r="C32" s="726">
        <v>1</v>
      </c>
      <c r="D32" s="719">
        <v>24</v>
      </c>
      <c r="E32" s="727">
        <v>220</v>
      </c>
      <c r="F32" s="728">
        <v>229</v>
      </c>
    </row>
    <row r="33" spans="1:6" ht="17.25" customHeight="1" thickBot="1">
      <c r="A33" s="421">
        <v>1991</v>
      </c>
      <c r="B33" s="510">
        <v>228</v>
      </c>
      <c r="C33" s="644">
        <v>0</v>
      </c>
      <c r="D33" s="510">
        <v>18</v>
      </c>
      <c r="E33" s="729">
        <v>203</v>
      </c>
      <c r="F33" s="730">
        <v>211</v>
      </c>
    </row>
    <row r="34" spans="1:6" ht="17.25" customHeight="1" thickBot="1">
      <c r="A34" s="7">
        <v>1992</v>
      </c>
      <c r="B34" s="407">
        <v>213</v>
      </c>
      <c r="C34" s="408">
        <v>2</v>
      </c>
      <c r="D34" s="407">
        <v>17</v>
      </c>
      <c r="E34" s="723">
        <v>191</v>
      </c>
      <c r="F34" s="724">
        <v>196</v>
      </c>
    </row>
    <row r="35" spans="1:6" ht="17.25" customHeight="1" thickBot="1">
      <c r="A35" s="7">
        <v>1993</v>
      </c>
      <c r="B35" s="407">
        <v>207</v>
      </c>
      <c r="C35" s="408">
        <v>0</v>
      </c>
      <c r="D35" s="407">
        <v>6</v>
      </c>
      <c r="E35" s="723">
        <v>185</v>
      </c>
      <c r="F35" s="724">
        <v>192</v>
      </c>
    </row>
    <row r="36" spans="1:6" ht="17.25" customHeight="1" thickBot="1">
      <c r="A36" s="7">
        <v>1994</v>
      </c>
      <c r="B36" s="407">
        <v>198</v>
      </c>
      <c r="C36" s="408">
        <v>0</v>
      </c>
      <c r="D36" s="407">
        <v>9</v>
      </c>
      <c r="E36" s="408">
        <v>178</v>
      </c>
      <c r="F36" s="407">
        <v>186</v>
      </c>
    </row>
    <row r="37" spans="1:6" ht="17.25" customHeight="1">
      <c r="A37" s="725">
        <v>1995</v>
      </c>
      <c r="B37" s="719">
        <v>184</v>
      </c>
      <c r="C37" s="726">
        <v>0</v>
      </c>
      <c r="D37" s="719">
        <v>14</v>
      </c>
      <c r="E37" s="726">
        <v>166</v>
      </c>
      <c r="F37" s="719">
        <v>174</v>
      </c>
    </row>
    <row r="38" spans="1:6" ht="17.25" customHeight="1" thickBot="1">
      <c r="A38" s="421">
        <v>1996</v>
      </c>
      <c r="B38" s="510">
        <v>159</v>
      </c>
      <c r="C38" s="644">
        <v>0</v>
      </c>
      <c r="D38" s="510">
        <v>25</v>
      </c>
      <c r="E38" s="644">
        <v>145</v>
      </c>
      <c r="F38" s="510">
        <v>150</v>
      </c>
    </row>
    <row r="39" spans="1:6" ht="17.25" customHeight="1" thickBot="1">
      <c r="A39" s="7">
        <v>1997</v>
      </c>
      <c r="B39" s="407">
        <v>142</v>
      </c>
      <c r="C39" s="408">
        <v>1</v>
      </c>
      <c r="D39" s="407">
        <v>18</v>
      </c>
      <c r="E39" s="408">
        <v>129</v>
      </c>
      <c r="F39" s="407">
        <v>134</v>
      </c>
    </row>
    <row r="40" spans="1:6" ht="17.25" customHeight="1" thickBot="1">
      <c r="A40" s="7">
        <v>1998</v>
      </c>
      <c r="B40" s="407">
        <v>127</v>
      </c>
      <c r="C40" s="408">
        <v>0</v>
      </c>
      <c r="D40" s="407">
        <v>15</v>
      </c>
      <c r="E40" s="408">
        <v>118</v>
      </c>
      <c r="F40" s="407">
        <v>115</v>
      </c>
    </row>
    <row r="41" spans="1:6" ht="17.25" customHeight="1" thickBot="1">
      <c r="A41" s="7">
        <v>1999</v>
      </c>
      <c r="B41" s="407">
        <v>119</v>
      </c>
      <c r="C41" s="408">
        <v>2</v>
      </c>
      <c r="D41" s="407">
        <v>10</v>
      </c>
      <c r="E41" s="408">
        <v>109</v>
      </c>
      <c r="F41" s="407">
        <v>109</v>
      </c>
    </row>
    <row r="42" spans="1:6" ht="17.25" customHeight="1">
      <c r="A42" s="725">
        <v>2000</v>
      </c>
      <c r="B42" s="719">
        <v>110</v>
      </c>
      <c r="C42" s="726">
        <v>0</v>
      </c>
      <c r="D42" s="719">
        <v>9</v>
      </c>
      <c r="E42" s="726">
        <v>101</v>
      </c>
      <c r="F42" s="719">
        <v>102</v>
      </c>
    </row>
    <row r="43" spans="1:6" ht="17.25" customHeight="1" thickBot="1">
      <c r="A43" s="421">
        <v>2001</v>
      </c>
      <c r="B43" s="510">
        <v>108</v>
      </c>
      <c r="C43" s="644">
        <v>0</v>
      </c>
      <c r="D43" s="510">
        <v>2</v>
      </c>
      <c r="E43" s="644">
        <v>101</v>
      </c>
      <c r="F43" s="510">
        <v>102</v>
      </c>
    </row>
    <row r="44" spans="1:6" ht="17.25" customHeight="1" thickBot="1">
      <c r="A44" s="421">
        <v>2002</v>
      </c>
      <c r="B44" s="510">
        <v>101</v>
      </c>
      <c r="C44" s="644">
        <v>1</v>
      </c>
      <c r="D44" s="510">
        <v>8</v>
      </c>
      <c r="E44" s="644">
        <v>93</v>
      </c>
      <c r="F44" s="510">
        <v>93</v>
      </c>
    </row>
    <row r="45" spans="1:6" ht="25.5" customHeight="1" thickBot="1">
      <c r="A45" s="12">
        <v>2003</v>
      </c>
      <c r="B45" s="356">
        <v>99</v>
      </c>
      <c r="C45" s="67">
        <v>2</v>
      </c>
      <c r="D45" s="356">
        <v>3</v>
      </c>
      <c r="E45" s="357">
        <v>93</v>
      </c>
      <c r="F45" s="356">
        <v>92</v>
      </c>
    </row>
    <row r="46" spans="1:6" ht="20" customHeight="1">
      <c r="A46" s="9" t="s">
        <v>379</v>
      </c>
      <c r="B46" s="98"/>
      <c r="C46" s="9"/>
      <c r="D46" s="9"/>
      <c r="E46" s="98"/>
      <c r="F46" s="98"/>
    </row>
    <row r="47" spans="1:6" ht="12.75" customHeight="1">
      <c r="A47" s="37"/>
      <c r="B47" s="99"/>
      <c r="C47" s="37"/>
      <c r="D47" s="37"/>
      <c r="E47" s="99"/>
      <c r="F47" s="99"/>
    </row>
    <row r="48" spans="1:6" ht="12" customHeight="1">
      <c r="A48" s="37" t="s">
        <v>503</v>
      </c>
    </row>
    <row r="49" spans="1:1" ht="12" customHeight="1">
      <c r="A49" s="37" t="s">
        <v>504</v>
      </c>
    </row>
    <row r="50" spans="1:1" ht="12" customHeight="1"/>
    <row r="51" spans="1:1" ht="12" customHeight="1">
      <c r="A51" s="355" t="s">
        <v>505</v>
      </c>
    </row>
    <row r="54" spans="1:1">
      <c r="A54" s="3" t="s">
        <v>256</v>
      </c>
    </row>
  </sheetData>
  <phoneticPr fontId="0" type="noConversion"/>
  <pageMargins left="0.56000000000000005" right="0.42" top="0.76" bottom="0.49" header="0.44" footer="0.4921259845"/>
  <pageSetup paperSize="9" scale="84" orientation="portrait" horizontalDpi="1200" verticalDpi="1200"/>
  <headerFooter alignWithMargins="0">
    <oddHeader>&amp;L&amp;"Arial,Bold"Gesamtgeschäft der vom BAG anerkannten Krankenversicherer</oddHead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812A9-0A37-B648-9A0D-6DF9E536FD8E}">
  <sheetPr>
    <pageSetUpPr fitToPage="1"/>
  </sheetPr>
  <dimension ref="A1:G57"/>
  <sheetViews>
    <sheetView zoomScale="75" workbookViewId="0"/>
  </sheetViews>
  <sheetFormatPr baseColWidth="10" defaultColWidth="11.3984375" defaultRowHeight="13"/>
  <cols>
    <col min="1" max="1" width="12.796875" style="3" customWidth="1"/>
    <col min="2" max="2" width="15.3984375" style="100" customWidth="1"/>
    <col min="3" max="3" width="13.19921875" style="100" customWidth="1"/>
    <col min="4" max="4" width="15.3984375" style="100" customWidth="1"/>
    <col min="5" max="5" width="13.19921875" style="100" customWidth="1"/>
    <col min="6" max="6" width="16" style="42" customWidth="1"/>
    <col min="7" max="7" width="14" style="460" customWidth="1"/>
    <col min="8" max="16384" width="11.3984375" style="3"/>
  </cols>
  <sheetData>
    <row r="1" spans="1:7" s="1" customFormat="1" ht="14" customHeight="1">
      <c r="B1" s="90"/>
      <c r="C1" s="90"/>
      <c r="D1" s="90"/>
      <c r="E1" s="90"/>
      <c r="F1" s="101"/>
      <c r="G1" s="440"/>
    </row>
    <row r="2" spans="1:7" s="1" customFormat="1" ht="28" customHeight="1">
      <c r="A2" s="76" t="s">
        <v>1870</v>
      </c>
      <c r="B2" s="90"/>
      <c r="C2" s="90"/>
      <c r="D2" s="90"/>
      <c r="E2" s="90"/>
      <c r="F2" s="101"/>
      <c r="G2" s="321">
        <v>2003</v>
      </c>
    </row>
    <row r="3" spans="1:7" ht="35.25" customHeight="1">
      <c r="A3" s="2" t="s">
        <v>1591</v>
      </c>
      <c r="B3" s="716" t="s">
        <v>496</v>
      </c>
      <c r="C3" s="2"/>
      <c r="D3" s="716" t="s">
        <v>496</v>
      </c>
      <c r="E3" s="91"/>
      <c r="F3" s="322"/>
      <c r="G3" s="522" t="s">
        <v>1851</v>
      </c>
    </row>
    <row r="4" spans="1:7" ht="15" customHeight="1">
      <c r="A4" s="77"/>
      <c r="B4" s="71" t="s">
        <v>1762</v>
      </c>
      <c r="C4" s="633" t="s">
        <v>24</v>
      </c>
      <c r="D4" s="71" t="s">
        <v>1762</v>
      </c>
      <c r="E4" s="633" t="s">
        <v>24</v>
      </c>
      <c r="F4" s="103" t="s">
        <v>1484</v>
      </c>
      <c r="G4" s="633" t="s">
        <v>497</v>
      </c>
    </row>
    <row r="5" spans="1:7" ht="15" customHeight="1">
      <c r="A5" s="77"/>
      <c r="B5" s="71" t="s">
        <v>1764</v>
      </c>
      <c r="C5" s="633" t="s">
        <v>25</v>
      </c>
      <c r="D5" s="71" t="s">
        <v>1871</v>
      </c>
      <c r="E5" s="633" t="s">
        <v>25</v>
      </c>
      <c r="F5" s="103" t="s">
        <v>1487</v>
      </c>
      <c r="G5" s="633" t="s">
        <v>1762</v>
      </c>
    </row>
    <row r="6" spans="1:7" ht="15" customHeight="1">
      <c r="A6" s="77"/>
      <c r="B6" s="717" t="s">
        <v>1872</v>
      </c>
      <c r="C6" s="633" t="s">
        <v>26</v>
      </c>
      <c r="D6" s="717" t="s">
        <v>1872</v>
      </c>
      <c r="E6" s="633" t="s">
        <v>26</v>
      </c>
      <c r="F6" s="103" t="s">
        <v>1873</v>
      </c>
      <c r="G6" s="633" t="s">
        <v>1764</v>
      </c>
    </row>
    <row r="7" spans="1:7" ht="24" customHeight="1">
      <c r="A7" s="78"/>
      <c r="B7" s="73"/>
      <c r="C7" s="18"/>
      <c r="D7" s="73"/>
      <c r="E7" s="18"/>
      <c r="F7" s="104"/>
      <c r="G7" s="523" t="s">
        <v>1874</v>
      </c>
    </row>
    <row r="8" spans="1:7" ht="18.75" customHeight="1" thickBot="1">
      <c r="A8" s="560">
        <v>1945</v>
      </c>
      <c r="B8" s="510">
        <v>2122028</v>
      </c>
      <c r="C8" s="654" t="s">
        <v>1013</v>
      </c>
      <c r="D8" s="510">
        <v>1318379</v>
      </c>
      <c r="E8" s="654" t="s">
        <v>1013</v>
      </c>
      <c r="F8" s="510">
        <v>4412000</v>
      </c>
      <c r="G8" s="654">
        <v>0.48100000000000004</v>
      </c>
    </row>
    <row r="9" spans="1:7" ht="18.75" customHeight="1" thickBot="1">
      <c r="A9" s="65">
        <v>1950</v>
      </c>
      <c r="B9" s="407">
        <v>2574399</v>
      </c>
      <c r="C9" s="453">
        <v>0.21317861969776075</v>
      </c>
      <c r="D9" s="407">
        <v>1698199</v>
      </c>
      <c r="E9" s="453">
        <v>0.28809621512478589</v>
      </c>
      <c r="F9" s="407">
        <v>4694000</v>
      </c>
      <c r="G9" s="453">
        <v>0.54799999999999993</v>
      </c>
    </row>
    <row r="10" spans="1:7" ht="18.75" customHeight="1" thickBot="1">
      <c r="A10" s="65">
        <v>1955</v>
      </c>
      <c r="B10" s="407">
        <v>3158227</v>
      </c>
      <c r="C10" s="453">
        <v>0.22678225092536164</v>
      </c>
      <c r="D10" s="407">
        <v>2079143</v>
      </c>
      <c r="E10" s="453">
        <v>0.2243223556249887</v>
      </c>
      <c r="F10" s="407">
        <v>4980000</v>
      </c>
      <c r="G10" s="453">
        <v>0.63400000000000001</v>
      </c>
    </row>
    <row r="11" spans="1:7" ht="18.75" customHeight="1" thickBot="1">
      <c r="A11" s="65">
        <v>1960</v>
      </c>
      <c r="B11" s="407">
        <v>3888386</v>
      </c>
      <c r="C11" s="453">
        <v>0.2311926913423259</v>
      </c>
      <c r="D11" s="407">
        <v>2517206</v>
      </c>
      <c r="E11" s="453">
        <v>0.2106940215271389</v>
      </c>
      <c r="F11" s="407">
        <v>5362000</v>
      </c>
      <c r="G11" s="453">
        <v>0.7251745617306975</v>
      </c>
    </row>
    <row r="12" spans="1:7" ht="18.75" customHeight="1" thickBot="1">
      <c r="A12" s="65">
        <v>1965</v>
      </c>
      <c r="B12" s="407">
        <v>4893312</v>
      </c>
      <c r="C12" s="453">
        <v>0.25844296322433014</v>
      </c>
      <c r="D12" s="407">
        <v>3097656</v>
      </c>
      <c r="E12" s="453">
        <v>0.23059296696416576</v>
      </c>
      <c r="F12" s="407">
        <v>5943000</v>
      </c>
      <c r="G12" s="453">
        <v>0.82059717314487624</v>
      </c>
    </row>
    <row r="13" spans="1:7" ht="18.75" customHeight="1">
      <c r="A13" s="718">
        <v>1970</v>
      </c>
      <c r="B13" s="719">
        <v>5603263</v>
      </c>
      <c r="C13" s="720">
        <v>0.14508598675089601</v>
      </c>
      <c r="D13" s="719">
        <v>3425013</v>
      </c>
      <c r="E13" s="720">
        <v>0.10567893917207072</v>
      </c>
      <c r="F13" s="719">
        <v>6267000</v>
      </c>
      <c r="G13" s="720">
        <v>0.88868677198021384</v>
      </c>
    </row>
    <row r="14" spans="1:7" ht="18.75" customHeight="1" thickBot="1">
      <c r="A14" s="560">
        <v>1971</v>
      </c>
      <c r="B14" s="510">
        <v>5732252</v>
      </c>
      <c r="C14" s="654">
        <v>2.3020336543189135E-2</v>
      </c>
      <c r="D14" s="510">
        <v>3520597</v>
      </c>
      <c r="E14" s="654">
        <v>2.790763129950169E-2</v>
      </c>
      <c r="F14" s="510">
        <v>6343300</v>
      </c>
      <c r="G14" s="654">
        <v>0.89822615988523324</v>
      </c>
    </row>
    <row r="15" spans="1:7" ht="18.75" customHeight="1" thickBot="1">
      <c r="A15" s="65">
        <v>1972</v>
      </c>
      <c r="B15" s="407">
        <v>5868657</v>
      </c>
      <c r="C15" s="453">
        <v>2.3796057814625016E-2</v>
      </c>
      <c r="D15" s="407">
        <v>3603527</v>
      </c>
      <c r="E15" s="453">
        <v>2.3555663996759568E-2</v>
      </c>
      <c r="F15" s="407">
        <v>6401400</v>
      </c>
      <c r="G15" s="453">
        <v>0.9108196644484019</v>
      </c>
    </row>
    <row r="16" spans="1:7" ht="18.75" customHeight="1" thickBot="1">
      <c r="A16" s="65">
        <v>1973</v>
      </c>
      <c r="B16" s="407">
        <v>5987857</v>
      </c>
      <c r="C16" s="453">
        <v>2.0311290981906094E-2</v>
      </c>
      <c r="D16" s="407">
        <v>3686319</v>
      </c>
      <c r="E16" s="453">
        <v>2.2975268396767889E-2</v>
      </c>
      <c r="F16" s="407">
        <v>6441100</v>
      </c>
      <c r="G16" s="453">
        <v>0.9235768735153933</v>
      </c>
    </row>
    <row r="17" spans="1:7" ht="18.75" customHeight="1" thickBot="1">
      <c r="A17" s="65">
        <v>1974</v>
      </c>
      <c r="B17" s="407">
        <v>6066165</v>
      </c>
      <c r="C17" s="453">
        <v>1.3077800622159241E-2</v>
      </c>
      <c r="D17" s="407">
        <v>3717245</v>
      </c>
      <c r="E17" s="453">
        <v>8.3893987470970988E-3</v>
      </c>
      <c r="F17" s="407">
        <v>6460000</v>
      </c>
      <c r="G17" s="453">
        <v>0.93341532507739933</v>
      </c>
    </row>
    <row r="18" spans="1:7" ht="18.75" customHeight="1">
      <c r="A18" s="718">
        <v>1975</v>
      </c>
      <c r="B18" s="719">
        <v>6057210</v>
      </c>
      <c r="C18" s="720">
        <v>-1.4762209732178677E-3</v>
      </c>
      <c r="D18" s="719">
        <v>3695253</v>
      </c>
      <c r="E18" s="720">
        <v>-5.9162094508163898E-3</v>
      </c>
      <c r="F18" s="719">
        <v>6403500</v>
      </c>
      <c r="G18" s="720">
        <v>0.93983493402045748</v>
      </c>
    </row>
    <row r="19" spans="1:7" ht="18.75" customHeight="1" thickBot="1">
      <c r="A19" s="560">
        <v>1976</v>
      </c>
      <c r="B19" s="510">
        <v>6027653</v>
      </c>
      <c r="C19" s="654">
        <v>-4.8796393058850862E-3</v>
      </c>
      <c r="D19" s="510">
        <v>3659141</v>
      </c>
      <c r="E19" s="654">
        <v>-9.7725379020056069E-3</v>
      </c>
      <c r="F19" s="510">
        <v>6333300</v>
      </c>
      <c r="G19" s="654">
        <v>0.94580645161290322</v>
      </c>
    </row>
    <row r="20" spans="1:7" ht="18.75" customHeight="1" thickBot="1">
      <c r="A20" s="65">
        <v>1977</v>
      </c>
      <c r="B20" s="407">
        <v>6041206</v>
      </c>
      <c r="C20" s="453">
        <v>2.2484705075092037E-3</v>
      </c>
      <c r="D20" s="407">
        <v>3656189</v>
      </c>
      <c r="E20" s="453">
        <v>-8.0674672006353365E-4</v>
      </c>
      <c r="F20" s="407">
        <v>6316400</v>
      </c>
      <c r="G20" s="453">
        <v>0.94998511810524977</v>
      </c>
    </row>
    <row r="21" spans="1:7" ht="18.75" customHeight="1" thickBot="1">
      <c r="A21" s="65">
        <v>1978</v>
      </c>
      <c r="B21" s="407">
        <v>6088290</v>
      </c>
      <c r="C21" s="453">
        <v>7.7938080575301605E-3</v>
      </c>
      <c r="D21" s="407">
        <v>3695499</v>
      </c>
      <c r="E21" s="453">
        <v>1.0751632369114361E-2</v>
      </c>
      <c r="F21" s="407">
        <v>6332600</v>
      </c>
      <c r="G21" s="453">
        <v>0.95417648359283702</v>
      </c>
    </row>
    <row r="22" spans="1:7" ht="18.75" customHeight="1" thickBot="1">
      <c r="A22" s="65">
        <v>1979</v>
      </c>
      <c r="B22" s="407">
        <v>6144808</v>
      </c>
      <c r="C22" s="453">
        <v>9.2830663453942197E-3</v>
      </c>
      <c r="D22" s="407">
        <v>3748233</v>
      </c>
      <c r="E22" s="453">
        <v>1.426979144088536E-2</v>
      </c>
      <c r="F22" s="407">
        <v>6350800</v>
      </c>
      <c r="G22" s="453">
        <v>0.95995921773634818</v>
      </c>
    </row>
    <row r="23" spans="1:7" ht="18.75" customHeight="1">
      <c r="A23" s="718">
        <v>1980</v>
      </c>
      <c r="B23" s="719">
        <v>6206832</v>
      </c>
      <c r="C23" s="720">
        <v>1.0093724653398528E-2</v>
      </c>
      <c r="D23" s="719">
        <v>3774704</v>
      </c>
      <c r="E23" s="720">
        <v>7.062261070749809E-3</v>
      </c>
      <c r="F23" s="719">
        <v>6385200</v>
      </c>
      <c r="G23" s="720">
        <v>0.96536365344859987</v>
      </c>
    </row>
    <row r="24" spans="1:7" ht="18.75" customHeight="1" thickBot="1">
      <c r="A24" s="560">
        <v>1981</v>
      </c>
      <c r="B24" s="510">
        <v>6283653</v>
      </c>
      <c r="C24" s="654">
        <v>1.2376845385858593E-2</v>
      </c>
      <c r="D24" s="510">
        <v>3802759</v>
      </c>
      <c r="E24" s="654">
        <v>7.4323708560988244E-3</v>
      </c>
      <c r="F24" s="510">
        <v>6429200</v>
      </c>
      <c r="G24" s="654">
        <v>0.97038869532756811</v>
      </c>
    </row>
    <row r="25" spans="1:7" ht="18.75" customHeight="1" thickBot="1">
      <c r="A25" s="65">
        <v>1982</v>
      </c>
      <c r="B25" s="407">
        <v>6344114</v>
      </c>
      <c r="C25" s="453">
        <v>9.621950798365253E-3</v>
      </c>
      <c r="D25" s="407">
        <v>3828481</v>
      </c>
      <c r="E25" s="453">
        <v>6.7640363220493605E-3</v>
      </c>
      <c r="F25" s="407">
        <v>6467200</v>
      </c>
      <c r="G25" s="453">
        <v>0.97375726744186042</v>
      </c>
    </row>
    <row r="26" spans="1:7" ht="18.75" customHeight="1" thickBot="1">
      <c r="A26" s="65">
        <v>1983</v>
      </c>
      <c r="B26" s="407">
        <v>6380457</v>
      </c>
      <c r="C26" s="453">
        <v>5.7286171087089777E-3</v>
      </c>
      <c r="D26" s="407">
        <v>3828883</v>
      </c>
      <c r="E26" s="453">
        <v>1.0500248009592816E-4</v>
      </c>
      <c r="F26" s="407">
        <v>6482000</v>
      </c>
      <c r="G26" s="453">
        <v>0.97709966059858067</v>
      </c>
    </row>
    <row r="27" spans="1:7" ht="18.75" customHeight="1" thickBot="1">
      <c r="A27" s="65">
        <v>1984</v>
      </c>
      <c r="B27" s="407">
        <v>6408942</v>
      </c>
      <c r="C27" s="453">
        <v>4.4644137559426422E-3</v>
      </c>
      <c r="D27" s="407">
        <v>3811388</v>
      </c>
      <c r="E27" s="453">
        <v>-4.5692177065739248E-3</v>
      </c>
      <c r="F27" s="407">
        <v>6505100</v>
      </c>
      <c r="G27" s="453">
        <v>0.97801632565218055</v>
      </c>
    </row>
    <row r="28" spans="1:7" ht="18.75" customHeight="1">
      <c r="A28" s="718">
        <v>1985</v>
      </c>
      <c r="B28" s="719">
        <v>6453517</v>
      </c>
      <c r="C28" s="720">
        <v>6.9551261347036153E-3</v>
      </c>
      <c r="D28" s="719">
        <v>3790416</v>
      </c>
      <c r="E28" s="720">
        <v>-5.5024573724847814E-3</v>
      </c>
      <c r="F28" s="719">
        <v>6533300</v>
      </c>
      <c r="G28" s="720">
        <v>0.98021489905560744</v>
      </c>
    </row>
    <row r="29" spans="1:7" ht="18.75" customHeight="1" thickBot="1">
      <c r="A29" s="560">
        <v>1986</v>
      </c>
      <c r="B29" s="510">
        <v>6514603</v>
      </c>
      <c r="C29" s="654">
        <v>9.4655363889177835E-3</v>
      </c>
      <c r="D29" s="510">
        <v>3775843</v>
      </c>
      <c r="E29" s="654">
        <v>-3.8446967298576551E-3</v>
      </c>
      <c r="F29" s="510">
        <v>6572900</v>
      </c>
      <c r="G29" s="654">
        <v>0.98302119308067981</v>
      </c>
    </row>
    <row r="30" spans="1:7" ht="18.75" customHeight="1" thickBot="1">
      <c r="A30" s="65">
        <v>1987</v>
      </c>
      <c r="B30" s="407">
        <v>6590780</v>
      </c>
      <c r="C30" s="453">
        <v>1.169326818533678E-2</v>
      </c>
      <c r="D30" s="407">
        <v>3728037</v>
      </c>
      <c r="E30" s="453">
        <v>-1.2661013712699343E-2</v>
      </c>
      <c r="F30" s="407">
        <v>6619000</v>
      </c>
      <c r="G30" s="453">
        <v>0.98743631968575318</v>
      </c>
    </row>
    <row r="31" spans="1:7" ht="18.75" customHeight="1" thickBot="1">
      <c r="A31" s="65">
        <v>1988</v>
      </c>
      <c r="B31" s="407">
        <v>6674553</v>
      </c>
      <c r="C31" s="453">
        <v>1.2710635160026573E-2</v>
      </c>
      <c r="D31" s="407">
        <v>3702895</v>
      </c>
      <c r="E31" s="453">
        <v>-6.7440317786545689E-3</v>
      </c>
      <c r="F31" s="407">
        <v>6671500</v>
      </c>
      <c r="G31" s="453">
        <v>0.99262354792775243</v>
      </c>
    </row>
    <row r="32" spans="1:7" ht="18.75" customHeight="1" thickBot="1">
      <c r="A32" s="65">
        <v>1989</v>
      </c>
      <c r="B32" s="407">
        <v>6772464</v>
      </c>
      <c r="C32" s="453">
        <v>1.4669296955166944E-2</v>
      </c>
      <c r="D32" s="407">
        <v>3662088</v>
      </c>
      <c r="E32" s="453">
        <v>-1.1020296281693098E-2</v>
      </c>
      <c r="F32" s="407">
        <v>6723000</v>
      </c>
      <c r="G32" s="453">
        <v>0.99807095046854089</v>
      </c>
    </row>
    <row r="33" spans="1:7" ht="18.75" customHeight="1">
      <c r="A33" s="718">
        <v>1990</v>
      </c>
      <c r="B33" s="719">
        <v>6874241</v>
      </c>
      <c r="C33" s="720">
        <v>1.5028060688104139E-2</v>
      </c>
      <c r="D33" s="719">
        <v>3596686</v>
      </c>
      <c r="E33" s="720">
        <v>-1.7859210373972423E-2</v>
      </c>
      <c r="F33" s="719">
        <v>6796300</v>
      </c>
      <c r="G33" s="720">
        <v>1.0026901402233568</v>
      </c>
    </row>
    <row r="34" spans="1:7" ht="18.75" customHeight="1" thickBot="1">
      <c r="A34" s="560">
        <v>1991</v>
      </c>
      <c r="B34" s="510">
        <v>6966976</v>
      </c>
      <c r="C34" s="654">
        <v>1.3490216592639159E-2</v>
      </c>
      <c r="D34" s="510">
        <v>3509250</v>
      </c>
      <c r="E34" s="654">
        <v>-2.4310156627517676E-2</v>
      </c>
      <c r="F34" s="510">
        <v>6880100</v>
      </c>
      <c r="G34" s="654">
        <v>1.0042370023691516</v>
      </c>
    </row>
    <row r="35" spans="1:7" ht="18.75" customHeight="1" thickBot="1">
      <c r="A35" s="65">
        <v>1992</v>
      </c>
      <c r="B35" s="407">
        <v>7016711</v>
      </c>
      <c r="C35" s="453">
        <v>7.13867824433434E-3</v>
      </c>
      <c r="D35" s="407">
        <v>3366134</v>
      </c>
      <c r="E35" s="453">
        <v>-4.0782503383913982E-2</v>
      </c>
      <c r="F35" s="407">
        <v>6943100</v>
      </c>
      <c r="G35" s="453">
        <v>1.0015536287825324</v>
      </c>
    </row>
    <row r="36" spans="1:7" ht="18.75" customHeight="1" thickBot="1">
      <c r="A36" s="65">
        <v>1993</v>
      </c>
      <c r="B36" s="407">
        <v>7056750</v>
      </c>
      <c r="C36" s="453">
        <v>5.7062347302032634E-3</v>
      </c>
      <c r="D36" s="407">
        <v>3111676</v>
      </c>
      <c r="E36" s="453">
        <v>-7.5593544404352286E-2</v>
      </c>
      <c r="F36" s="407">
        <v>6988900</v>
      </c>
      <c r="G36" s="453">
        <v>0.99930904720342251</v>
      </c>
    </row>
    <row r="37" spans="1:7" ht="18.75" customHeight="1" thickBot="1">
      <c r="A37" s="65">
        <v>1994</v>
      </c>
      <c r="B37" s="407">
        <v>7131653</v>
      </c>
      <c r="C37" s="453">
        <v>1.0614376306373297E-2</v>
      </c>
      <c r="D37" s="407">
        <v>3324915</v>
      </c>
      <c r="E37" s="453">
        <v>6.8528664295382846E-2</v>
      </c>
      <c r="F37" s="407">
        <v>7036851.9999999898</v>
      </c>
      <c r="G37" s="453">
        <v>1.0058592961739157</v>
      </c>
    </row>
    <row r="38" spans="1:7" ht="18.75" customHeight="1">
      <c r="A38" s="718">
        <v>1995</v>
      </c>
      <c r="B38" s="719">
        <v>7166317</v>
      </c>
      <c r="C38" s="720">
        <v>4.8605842151883127E-3</v>
      </c>
      <c r="D38" s="719">
        <v>3272015</v>
      </c>
      <c r="E38" s="720">
        <v>-1.591018116252596E-2</v>
      </c>
      <c r="F38" s="719">
        <v>7080948</v>
      </c>
      <c r="G38" s="720">
        <v>1.0041696394324602</v>
      </c>
    </row>
    <row r="39" spans="1:7" ht="18.75" customHeight="1" thickBot="1">
      <c r="A39" s="560">
        <v>1996</v>
      </c>
      <c r="B39" s="510">
        <v>7194754</v>
      </c>
      <c r="C39" s="654">
        <v>3.9681470970374111E-3</v>
      </c>
      <c r="D39" s="510">
        <v>2217116</v>
      </c>
      <c r="E39" s="654">
        <v>-0.32240041686850462</v>
      </c>
      <c r="F39" s="510">
        <v>7105446</v>
      </c>
      <c r="G39" s="654">
        <v>1.0070044864178829</v>
      </c>
    </row>
    <row r="40" spans="1:7" ht="18.75" customHeight="1" thickBot="1">
      <c r="A40" s="65">
        <v>1997</v>
      </c>
      <c r="B40" s="407">
        <v>7214805</v>
      </c>
      <c r="C40" s="453">
        <v>2.7868916713482683E-3</v>
      </c>
      <c r="D40" s="407">
        <v>1427603</v>
      </c>
      <c r="E40" s="453">
        <v>-0.35609909449934063</v>
      </c>
      <c r="F40" s="407">
        <v>7113565</v>
      </c>
      <c r="G40" s="453">
        <v>1.0109999999999999</v>
      </c>
    </row>
    <row r="41" spans="1:7" ht="18.75" customHeight="1" thickBot="1">
      <c r="A41" s="65">
        <v>1998</v>
      </c>
      <c r="B41" s="407">
        <v>7248603</v>
      </c>
      <c r="C41" s="453">
        <v>4.6845340934369428E-3</v>
      </c>
      <c r="D41" s="407">
        <v>1198191</v>
      </c>
      <c r="E41" s="453">
        <v>-0.16069733672456554</v>
      </c>
      <c r="F41" s="407">
        <v>7131888</v>
      </c>
      <c r="G41" s="453">
        <v>1.014</v>
      </c>
    </row>
    <row r="42" spans="1:7" ht="18.75" customHeight="1" thickBot="1">
      <c r="A42" s="65">
        <v>1999</v>
      </c>
      <c r="B42" s="407">
        <v>7266534</v>
      </c>
      <c r="C42" s="453">
        <v>2.473718039186279E-3</v>
      </c>
      <c r="D42" s="407">
        <v>1067344</v>
      </c>
      <c r="E42" s="453">
        <v>-0.10920379138217529</v>
      </c>
      <c r="F42" s="407">
        <v>7166738</v>
      </c>
      <c r="G42" s="453">
        <v>1.012</v>
      </c>
    </row>
    <row r="43" spans="1:7" ht="18.75" customHeight="1">
      <c r="A43" s="718">
        <v>2000</v>
      </c>
      <c r="B43" s="719">
        <v>7268111</v>
      </c>
      <c r="C43" s="720">
        <v>2.1702231077425083E-4</v>
      </c>
      <c r="D43" s="719">
        <v>951742</v>
      </c>
      <c r="E43" s="720">
        <v>-0.10830809935690833</v>
      </c>
      <c r="F43" s="719">
        <v>7209042</v>
      </c>
      <c r="G43" s="720">
        <v>1.006</v>
      </c>
    </row>
    <row r="44" spans="1:7" ht="18.75" customHeight="1" thickBot="1">
      <c r="A44" s="560">
        <v>2001</v>
      </c>
      <c r="B44" s="510">
        <v>7321287</v>
      </c>
      <c r="C44" s="654">
        <v>7.3163439578729506E-3</v>
      </c>
      <c r="D44" s="510">
        <v>868760</v>
      </c>
      <c r="E44" s="654">
        <v>-8.7189595499620687E-2</v>
      </c>
      <c r="F44" s="510">
        <v>7260339</v>
      </c>
      <c r="G44" s="654">
        <v>1.0049999999999999</v>
      </c>
    </row>
    <row r="45" spans="1:7" ht="18.75" customHeight="1" thickBot="1">
      <c r="A45" s="560">
        <v>2002</v>
      </c>
      <c r="B45" s="510">
        <v>7359365</v>
      </c>
      <c r="C45" s="654">
        <v>5.2009981305198849E-3</v>
      </c>
      <c r="D45" s="510">
        <v>787539</v>
      </c>
      <c r="E45" s="654">
        <v>-9.3490722408950733E-2</v>
      </c>
      <c r="F45" s="510">
        <v>7347770</v>
      </c>
      <c r="G45" s="654">
        <v>0.99969705094198646</v>
      </c>
    </row>
    <row r="46" spans="1:7" ht="18.75" customHeight="1" thickBot="1">
      <c r="A46" s="721">
        <v>2003</v>
      </c>
      <c r="B46" s="66">
        <v>7393188</v>
      </c>
      <c r="C46" s="68">
        <v>4.5959128267181182E-3</v>
      </c>
      <c r="D46" s="66">
        <v>697140</v>
      </c>
      <c r="E46" s="68">
        <v>-0.11478669627789861</v>
      </c>
      <c r="F46" s="66">
        <v>7405051</v>
      </c>
      <c r="G46" s="68">
        <v>0.99698354542055145</v>
      </c>
    </row>
    <row r="47" spans="1:7" ht="20" customHeight="1">
      <c r="A47" s="9" t="s">
        <v>379</v>
      </c>
      <c r="B47" s="98"/>
      <c r="C47" s="98"/>
      <c r="D47" s="98"/>
      <c r="E47" s="98"/>
      <c r="F47" s="111"/>
      <c r="G47" s="458"/>
    </row>
    <row r="48" spans="1:7" ht="14.25" customHeight="1">
      <c r="A48" s="37"/>
      <c r="B48" s="99"/>
      <c r="C48" s="99"/>
      <c r="D48" s="99"/>
      <c r="E48" s="99"/>
      <c r="F48" s="112"/>
      <c r="G48" s="459"/>
    </row>
    <row r="49" spans="1:1" ht="12" customHeight="1">
      <c r="A49" s="37" t="s">
        <v>1875</v>
      </c>
    </row>
    <row r="50" spans="1:1" ht="12" customHeight="1">
      <c r="A50" s="3" t="s">
        <v>1876</v>
      </c>
    </row>
    <row r="51" spans="1:1" ht="12" customHeight="1">
      <c r="A51" s="3" t="s">
        <v>1877</v>
      </c>
    </row>
    <row r="52" spans="1:1">
      <c r="A52" s="3" t="s">
        <v>494</v>
      </c>
    </row>
    <row r="54" spans="1:1">
      <c r="A54" s="3" t="s">
        <v>495</v>
      </c>
    </row>
    <row r="57" spans="1:1">
      <c r="A57" s="3" t="s">
        <v>256</v>
      </c>
    </row>
  </sheetData>
  <phoneticPr fontId="0" type="noConversion"/>
  <pageMargins left="0.53" right="0.57999999999999996" top="0.69" bottom="0.53" header="0.35" footer="0.31"/>
  <pageSetup paperSize="9" scale="75" orientation="portrait" horizontalDpi="1200" verticalDpi="1200"/>
  <headerFooter alignWithMargins="0">
    <oddHeader>&amp;L&amp;"Arial,Bold"Gesamtgeschäft der vom BAG anerkannten Krankenversicherer</oddHead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AABB6-DCB6-D14B-B4DD-402ED67BA84A}">
  <sheetPr>
    <pageSetUpPr fitToPage="1"/>
  </sheetPr>
  <dimension ref="A1:L24"/>
  <sheetViews>
    <sheetView topLeftCell="A10" zoomScale="75" workbookViewId="0">
      <selection activeCell="B27" sqref="B27"/>
    </sheetView>
  </sheetViews>
  <sheetFormatPr baseColWidth="10" defaultColWidth="11.3984375" defaultRowHeight="13"/>
  <cols>
    <col min="1" max="1" width="14.59765625" style="3" customWidth="1"/>
    <col min="2" max="7" width="12.796875" style="3" customWidth="1"/>
    <col min="8" max="8" width="12.796875" style="529" customWidth="1"/>
    <col min="9" max="16384" width="11.3984375" style="3"/>
  </cols>
  <sheetData>
    <row r="1" spans="1:12" s="1" customFormat="1" ht="14" customHeight="1">
      <c r="H1" s="521"/>
    </row>
    <row r="2" spans="1:12" s="1" customFormat="1" ht="28" customHeight="1">
      <c r="A2" s="76" t="s">
        <v>1863</v>
      </c>
      <c r="B2" s="76"/>
      <c r="H2" s="321">
        <v>2003</v>
      </c>
    </row>
    <row r="3" spans="1:12" ht="24" customHeight="1">
      <c r="A3" s="2" t="s">
        <v>2102</v>
      </c>
      <c r="B3" s="85" t="s">
        <v>1864</v>
      </c>
      <c r="C3" s="16"/>
      <c r="D3" s="85" t="s">
        <v>1865</v>
      </c>
      <c r="E3" s="16"/>
      <c r="F3" s="312" t="s">
        <v>1866</v>
      </c>
      <c r="G3" s="16"/>
      <c r="H3" s="708" t="s">
        <v>24</v>
      </c>
    </row>
    <row r="4" spans="1:12" ht="15" customHeight="1">
      <c r="A4" s="77"/>
      <c r="B4" s="71" t="s">
        <v>1867</v>
      </c>
      <c r="C4" s="4" t="s">
        <v>617</v>
      </c>
      <c r="D4" s="71" t="s">
        <v>1867</v>
      </c>
      <c r="E4" s="4" t="s">
        <v>617</v>
      </c>
      <c r="F4" s="71" t="s">
        <v>1867</v>
      </c>
      <c r="G4" s="4" t="s">
        <v>617</v>
      </c>
      <c r="H4" s="709" t="s">
        <v>25</v>
      </c>
    </row>
    <row r="5" spans="1:12" ht="15" customHeight="1">
      <c r="A5" s="77"/>
      <c r="B5" s="347"/>
      <c r="C5" s="17"/>
      <c r="D5" s="70"/>
      <c r="E5" s="17"/>
      <c r="F5" s="70"/>
      <c r="G5" s="17"/>
      <c r="H5" s="709" t="s">
        <v>26</v>
      </c>
    </row>
    <row r="6" spans="1:12" ht="24" customHeight="1">
      <c r="A6" s="78"/>
      <c r="B6" s="712"/>
      <c r="C6" s="18"/>
      <c r="D6" s="73"/>
      <c r="E6" s="18"/>
      <c r="F6" s="73"/>
      <c r="G6" s="18"/>
      <c r="H6" s="710"/>
    </row>
    <row r="7" spans="1:12" ht="30" customHeight="1" thickBot="1">
      <c r="A7" s="651">
        <v>1994</v>
      </c>
      <c r="B7" s="713" t="s">
        <v>1013</v>
      </c>
      <c r="C7" s="63" t="s">
        <v>1013</v>
      </c>
      <c r="D7" s="28" t="s">
        <v>1013</v>
      </c>
      <c r="E7" s="63" t="s">
        <v>1013</v>
      </c>
      <c r="F7" s="28">
        <v>9322</v>
      </c>
      <c r="G7" s="63">
        <v>12843</v>
      </c>
      <c r="H7" s="676">
        <v>-9.98738435660219E-2</v>
      </c>
      <c r="I7" s="42"/>
    </row>
    <row r="8" spans="1:12" ht="20" customHeight="1" thickBot="1">
      <c r="A8" s="80">
        <v>1995</v>
      </c>
      <c r="B8" s="714" t="s">
        <v>1013</v>
      </c>
      <c r="C8" s="116" t="s">
        <v>1013</v>
      </c>
      <c r="D8" s="29" t="s">
        <v>1013</v>
      </c>
      <c r="E8" s="116" t="s">
        <v>1013</v>
      </c>
      <c r="F8" s="29">
        <v>10067</v>
      </c>
      <c r="G8" s="116">
        <v>12618</v>
      </c>
      <c r="H8" s="328">
        <v>-1.751927119831815E-2</v>
      </c>
    </row>
    <row r="9" spans="1:12" ht="20" customHeight="1" thickBot="1">
      <c r="A9" s="80">
        <v>1996</v>
      </c>
      <c r="B9" s="714">
        <v>5252</v>
      </c>
      <c r="C9" s="116">
        <v>5728</v>
      </c>
      <c r="D9" s="29">
        <v>5623</v>
      </c>
      <c r="E9" s="116">
        <v>7761</v>
      </c>
      <c r="F9" s="29">
        <v>10875</v>
      </c>
      <c r="G9" s="116">
        <v>13489</v>
      </c>
      <c r="H9" s="328">
        <v>6.9028372166745913E-2</v>
      </c>
      <c r="J9" s="43"/>
      <c r="K9" s="43"/>
      <c r="L9" s="43"/>
    </row>
    <row r="10" spans="1:12" ht="20" customHeight="1" thickBot="1">
      <c r="A10" s="80">
        <v>1997</v>
      </c>
      <c r="B10" s="714">
        <v>5702</v>
      </c>
      <c r="C10" s="116">
        <v>6184</v>
      </c>
      <c r="D10" s="29">
        <v>4631</v>
      </c>
      <c r="E10" s="116">
        <v>6865</v>
      </c>
      <c r="F10" s="29">
        <v>10333</v>
      </c>
      <c r="G10" s="116">
        <v>13049</v>
      </c>
      <c r="H10" s="328">
        <v>-3.2619171176514195E-2</v>
      </c>
    </row>
    <row r="11" spans="1:12" ht="20" customHeight="1" thickBot="1">
      <c r="A11" s="80">
        <v>1998</v>
      </c>
      <c r="B11" s="714">
        <v>5440</v>
      </c>
      <c r="C11" s="116">
        <v>5884</v>
      </c>
      <c r="D11" s="29">
        <v>4852</v>
      </c>
      <c r="E11" s="116">
        <v>6728</v>
      </c>
      <c r="F11" s="29">
        <v>10292</v>
      </c>
      <c r="G11" s="116">
        <v>12612</v>
      </c>
      <c r="H11" s="328">
        <v>-3.348915625718446E-2</v>
      </c>
    </row>
    <row r="12" spans="1:12" ht="20" customHeight="1" thickBot="1">
      <c r="A12" s="80">
        <v>1999</v>
      </c>
      <c r="B12" s="714">
        <v>5286</v>
      </c>
      <c r="C12" s="116">
        <v>5825</v>
      </c>
      <c r="D12" s="29">
        <v>4444</v>
      </c>
      <c r="E12" s="116">
        <v>6096</v>
      </c>
      <c r="F12" s="29">
        <v>9729</v>
      </c>
      <c r="G12" s="116">
        <v>11920</v>
      </c>
      <c r="H12" s="328">
        <v>-5.4868379321281323E-2</v>
      </c>
    </row>
    <row r="13" spans="1:12" ht="20" customHeight="1" thickBot="1">
      <c r="A13" s="80">
        <v>2000</v>
      </c>
      <c r="B13" s="714">
        <v>4367</v>
      </c>
      <c r="C13" s="116">
        <v>4846</v>
      </c>
      <c r="D13" s="29">
        <v>5837</v>
      </c>
      <c r="E13" s="116">
        <v>7246</v>
      </c>
      <c r="F13" s="29">
        <v>10204</v>
      </c>
      <c r="G13" s="116">
        <v>12092</v>
      </c>
      <c r="H13" s="328">
        <v>1.4429530201342283E-2</v>
      </c>
    </row>
    <row r="14" spans="1:12" ht="20" customHeight="1" thickBot="1">
      <c r="A14" s="80">
        <v>2001</v>
      </c>
      <c r="B14" s="714">
        <v>4317</v>
      </c>
      <c r="C14" s="116">
        <v>4736</v>
      </c>
      <c r="D14" s="29">
        <v>3995</v>
      </c>
      <c r="E14" s="116">
        <v>4942</v>
      </c>
      <c r="F14" s="29">
        <v>8312</v>
      </c>
      <c r="G14" s="116">
        <v>9678</v>
      </c>
      <c r="H14" s="328">
        <v>-0.19963612305656633</v>
      </c>
    </row>
    <row r="15" spans="1:12" ht="21.75" customHeight="1" thickBot="1">
      <c r="A15" s="80">
        <v>2002</v>
      </c>
      <c r="B15" s="714">
        <v>4346</v>
      </c>
      <c r="C15" s="116">
        <v>4839</v>
      </c>
      <c r="D15" s="29">
        <v>3951</v>
      </c>
      <c r="E15" s="116">
        <v>4838</v>
      </c>
      <c r="F15" s="29">
        <v>8297</v>
      </c>
      <c r="G15" s="116">
        <v>9677</v>
      </c>
      <c r="H15" s="328">
        <v>-1.0332713370531102E-4</v>
      </c>
    </row>
    <row r="16" spans="1:12" s="526" customFormat="1" ht="26.25" customHeight="1" thickBot="1">
      <c r="A16" s="621">
        <v>2003</v>
      </c>
      <c r="B16" s="715">
        <v>5023</v>
      </c>
      <c r="C16" s="117">
        <v>5690</v>
      </c>
      <c r="D16" s="33">
        <v>2968</v>
      </c>
      <c r="E16" s="117">
        <v>3779</v>
      </c>
      <c r="F16" s="33">
        <v>7991</v>
      </c>
      <c r="G16" s="117">
        <v>9469</v>
      </c>
      <c r="H16" s="678">
        <v>-2.1494264751472564E-2</v>
      </c>
    </row>
    <row r="17" spans="1:8" ht="20.25" customHeight="1">
      <c r="A17" s="9" t="s">
        <v>379</v>
      </c>
      <c r="B17" s="9"/>
      <c r="C17" s="9"/>
      <c r="D17" s="9"/>
      <c r="E17" s="9"/>
      <c r="F17" s="9"/>
      <c r="G17" s="9"/>
      <c r="H17" s="527"/>
    </row>
    <row r="18" spans="1:8" ht="14.25" customHeight="1">
      <c r="A18" s="37"/>
      <c r="B18" s="37"/>
      <c r="C18" s="37"/>
      <c r="D18" s="37"/>
      <c r="E18" s="37"/>
      <c r="F18" s="37"/>
      <c r="G18" s="37"/>
      <c r="H18" s="528"/>
    </row>
    <row r="19" spans="1:8">
      <c r="A19" s="3" t="s">
        <v>1868</v>
      </c>
    </row>
    <row r="21" spans="1:8">
      <c r="A21" s="3" t="s">
        <v>1869</v>
      </c>
    </row>
    <row r="24" spans="1:8">
      <c r="A24" s="3" t="s">
        <v>256</v>
      </c>
    </row>
  </sheetData>
  <phoneticPr fontId="0" type="noConversion"/>
  <pageMargins left="0.69" right="0.69" top="1.03" bottom="0.49" header="0.61" footer="0.4921259845"/>
  <pageSetup paperSize="9" scale="85" orientation="portrait" horizontalDpi="4294967292" verticalDpi="4294967292"/>
  <headerFooter alignWithMargins="0">
    <oddHeader>&amp;L&amp;"Arial,Bold"Gesamtgeschäft der vom BAG anerkannten Krankenversicherer</oddHead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2665-E710-F241-B96D-34784215FC5E}">
  <sheetPr>
    <pageSetUpPr fitToPage="1"/>
  </sheetPr>
  <dimension ref="A1:K27"/>
  <sheetViews>
    <sheetView topLeftCell="A8" zoomScale="75" workbookViewId="0">
      <selection activeCell="A21" sqref="A21"/>
    </sheetView>
  </sheetViews>
  <sheetFormatPr baseColWidth="10" defaultColWidth="11.3984375" defaultRowHeight="13"/>
  <cols>
    <col min="1" max="1" width="15.796875" style="3" customWidth="1"/>
    <col min="2" max="2" width="16.796875" style="3" customWidth="1"/>
    <col min="3" max="3" width="12.796875" style="529" customWidth="1"/>
    <col min="4" max="4" width="16.796875" style="3" customWidth="1"/>
    <col min="5" max="5" width="12.796875" style="529" customWidth="1"/>
    <col min="6" max="6" width="16.796875" style="3" customWidth="1"/>
    <col min="7" max="7" width="14" style="529" customWidth="1"/>
    <col min="8" max="16384" width="11.3984375" style="3"/>
  </cols>
  <sheetData>
    <row r="1" spans="1:11" s="1" customFormat="1" ht="14" customHeight="1">
      <c r="C1" s="521"/>
      <c r="E1" s="521"/>
      <c r="G1" s="521"/>
    </row>
    <row r="2" spans="1:11" s="1" customFormat="1" ht="28" customHeight="1">
      <c r="A2" s="76" t="s">
        <v>2126</v>
      </c>
      <c r="C2" s="521"/>
      <c r="E2" s="521"/>
      <c r="G2" s="321">
        <v>2003</v>
      </c>
    </row>
    <row r="3" spans="1:11" ht="24" customHeight="1">
      <c r="A3" s="2" t="s">
        <v>2102</v>
      </c>
      <c r="B3" s="69" t="s">
        <v>1380</v>
      </c>
      <c r="C3" s="522" t="s">
        <v>24</v>
      </c>
      <c r="D3" s="69" t="s">
        <v>1381</v>
      </c>
      <c r="E3" s="522" t="s">
        <v>24</v>
      </c>
      <c r="F3" s="69" t="s">
        <v>2020</v>
      </c>
      <c r="G3" s="522" t="s">
        <v>24</v>
      </c>
    </row>
    <row r="4" spans="1:11" ht="15" customHeight="1">
      <c r="A4" s="77"/>
      <c r="B4" s="70" t="s">
        <v>2020</v>
      </c>
      <c r="C4" s="633" t="s">
        <v>25</v>
      </c>
      <c r="D4" s="70" t="s">
        <v>1382</v>
      </c>
      <c r="E4" s="633" t="s">
        <v>25</v>
      </c>
      <c r="F4" s="70" t="s">
        <v>1383</v>
      </c>
      <c r="G4" s="633" t="s">
        <v>25</v>
      </c>
    </row>
    <row r="5" spans="1:11" ht="15" customHeight="1">
      <c r="A5" s="77"/>
      <c r="B5" s="70" t="s">
        <v>2127</v>
      </c>
      <c r="C5" s="633" t="s">
        <v>26</v>
      </c>
      <c r="D5" s="70" t="s">
        <v>1384</v>
      </c>
      <c r="E5" s="633" t="s">
        <v>26</v>
      </c>
      <c r="F5" s="70" t="s">
        <v>570</v>
      </c>
      <c r="G5" s="633" t="s">
        <v>26</v>
      </c>
    </row>
    <row r="6" spans="1:11" ht="24" customHeight="1">
      <c r="A6" s="78"/>
      <c r="B6" s="73"/>
      <c r="C6" s="523"/>
      <c r="D6" s="73" t="s">
        <v>1430</v>
      </c>
      <c r="E6" s="523"/>
      <c r="F6" s="73"/>
      <c r="G6" s="523"/>
    </row>
    <row r="7" spans="1:11" ht="30" customHeight="1" thickBot="1">
      <c r="A7" s="651">
        <v>1994</v>
      </c>
      <c r="B7" s="28">
        <v>15937194000</v>
      </c>
      <c r="C7" s="508" t="s">
        <v>258</v>
      </c>
      <c r="D7" s="28">
        <v>15313505000</v>
      </c>
      <c r="E7" s="508" t="s">
        <v>258</v>
      </c>
      <c r="F7" s="28">
        <v>623688000</v>
      </c>
      <c r="G7" s="508" t="s">
        <v>258</v>
      </c>
      <c r="H7" s="42"/>
    </row>
    <row r="8" spans="1:11" ht="20" customHeight="1" thickBot="1">
      <c r="A8" s="80">
        <v>1995</v>
      </c>
      <c r="B8" s="29">
        <v>16355832000</v>
      </c>
      <c r="C8" s="343">
        <v>2.6267986698285783E-2</v>
      </c>
      <c r="D8" s="29">
        <v>16098947000</v>
      </c>
      <c r="E8" s="343">
        <v>5.1290805076956582E-2</v>
      </c>
      <c r="F8" s="29">
        <v>256926000</v>
      </c>
      <c r="G8" s="343">
        <v>-0.58805364220571821</v>
      </c>
    </row>
    <row r="9" spans="1:11" ht="20" customHeight="1" thickBot="1">
      <c r="A9" s="80">
        <v>1996</v>
      </c>
      <c r="B9" s="29">
        <v>16879057940.52</v>
      </c>
      <c r="C9" s="343">
        <v>3.1990175768496547E-2</v>
      </c>
      <c r="D9" s="29">
        <v>17192470827.740002</v>
      </c>
      <c r="E9" s="343">
        <v>6.792517720196245E-2</v>
      </c>
      <c r="F9" s="29">
        <v>-313412887.24000007</v>
      </c>
      <c r="G9" s="343">
        <v>-2.2198566405891191</v>
      </c>
      <c r="I9" s="43"/>
      <c r="J9" s="43"/>
      <c r="K9" s="43"/>
    </row>
    <row r="10" spans="1:11" ht="20" customHeight="1" thickBot="1">
      <c r="A10" s="80">
        <v>1997</v>
      </c>
      <c r="B10" s="29">
        <v>17865032287.75</v>
      </c>
      <c r="C10" s="343">
        <v>5.8414062603758338E-2</v>
      </c>
      <c r="D10" s="29">
        <v>17672056997.619999</v>
      </c>
      <c r="E10" s="343">
        <v>2.7895127738485754E-2</v>
      </c>
      <c r="F10" s="29">
        <v>192975290.09999996</v>
      </c>
      <c r="G10" s="343">
        <v>1.6157222563481461</v>
      </c>
    </row>
    <row r="11" spans="1:11" ht="20" customHeight="1" thickBot="1">
      <c r="A11" s="80">
        <v>1998</v>
      </c>
      <c r="B11" s="29">
        <v>18556339847.599998</v>
      </c>
      <c r="C11" s="343">
        <v>3.8696127088671761E-2</v>
      </c>
      <c r="D11" s="29">
        <v>18402610160.25</v>
      </c>
      <c r="E11" s="343">
        <v>4.1339452601832881E-2</v>
      </c>
      <c r="F11" s="29">
        <v>153728761.16999999</v>
      </c>
      <c r="G11" s="343">
        <v>-0.20337592916514022</v>
      </c>
    </row>
    <row r="12" spans="1:11" ht="19.5" customHeight="1" thickBot="1">
      <c r="A12" s="80">
        <v>1999</v>
      </c>
      <c r="B12" s="29">
        <v>18130009685.380001</v>
      </c>
      <c r="C12" s="343">
        <v>-2.2974905920099174E-2</v>
      </c>
      <c r="D12" s="29">
        <v>18002606410.59</v>
      </c>
      <c r="E12" s="343">
        <v>-2.1736250791423915E-2</v>
      </c>
      <c r="F12" s="29">
        <v>127403274.93000001</v>
      </c>
      <c r="G12" s="343">
        <v>-0.17124633048260959</v>
      </c>
    </row>
    <row r="13" spans="1:11" ht="19.5" customHeight="1" thickBot="1">
      <c r="A13" s="80">
        <v>2000</v>
      </c>
      <c r="B13" s="29">
        <v>17664531028.940002</v>
      </c>
      <c r="C13" s="343">
        <v>-2.5674484708927629E-2</v>
      </c>
      <c r="D13" s="29">
        <v>17831851511.68</v>
      </c>
      <c r="E13" s="343">
        <v>-9.4850098377729126E-3</v>
      </c>
      <c r="F13" s="29">
        <v>-167299750.25</v>
      </c>
      <c r="G13" s="343">
        <v>-2.3131510971120686</v>
      </c>
    </row>
    <row r="14" spans="1:11" ht="19.5" customHeight="1" thickBot="1">
      <c r="A14" s="80">
        <v>2001</v>
      </c>
      <c r="B14" s="29">
        <v>16854501683</v>
      </c>
      <c r="C14" s="343">
        <v>-4.5856261035909875E-2</v>
      </c>
      <c r="D14" s="29">
        <v>17581378780</v>
      </c>
      <c r="E14" s="343">
        <v>-1.4046367059300529E-2</v>
      </c>
      <c r="F14" s="29">
        <v>-724676858.32999992</v>
      </c>
      <c r="G14" s="343">
        <v>-3.3316075322712559</v>
      </c>
    </row>
    <row r="15" spans="1:11" ht="19.5" customHeight="1" thickBot="1">
      <c r="A15" s="80">
        <v>2002</v>
      </c>
      <c r="B15" s="29">
        <v>17923033692</v>
      </c>
      <c r="C15" s="343">
        <v>6.339742515661298E-2</v>
      </c>
      <c r="D15" s="29">
        <v>18156411305</v>
      </c>
      <c r="E15" s="343">
        <v>3.2706907245189334E-2</v>
      </c>
      <c r="F15" s="29">
        <v>-233377612.33999997</v>
      </c>
      <c r="G15" s="343">
        <v>0.67795630610060742</v>
      </c>
    </row>
    <row r="16" spans="1:11" s="526" customFormat="1" ht="26.25" customHeight="1" thickBot="1">
      <c r="A16" s="621">
        <v>2003</v>
      </c>
      <c r="B16" s="33">
        <v>19735068495</v>
      </c>
      <c r="C16" s="536">
        <v>0.1011008981034727</v>
      </c>
      <c r="D16" s="33">
        <v>19234994873</v>
      </c>
      <c r="E16" s="536">
        <v>5.9405107643875334E-2</v>
      </c>
      <c r="F16" s="33">
        <v>500073622.12000006</v>
      </c>
      <c r="G16" s="536">
        <v>3.1427660395782078</v>
      </c>
      <c r="I16" s="711"/>
    </row>
    <row r="17" spans="1:7" ht="20" customHeight="1">
      <c r="A17" s="9" t="s">
        <v>379</v>
      </c>
      <c r="B17" s="9"/>
      <c r="C17" s="527"/>
      <c r="D17" s="9"/>
      <c r="E17" s="527"/>
      <c r="F17" s="9"/>
      <c r="G17" s="527"/>
    </row>
    <row r="18" spans="1:7" ht="13.5" customHeight="1">
      <c r="A18" s="37"/>
      <c r="B18" s="37"/>
      <c r="C18" s="528"/>
      <c r="D18" s="37"/>
      <c r="E18" s="528"/>
      <c r="F18" s="37"/>
      <c r="G18" s="528"/>
    </row>
    <row r="19" spans="1:7">
      <c r="A19" s="37" t="s">
        <v>2128</v>
      </c>
    </row>
    <row r="20" spans="1:7">
      <c r="A20" s="3" t="s">
        <v>567</v>
      </c>
    </row>
    <row r="21" spans="1:7">
      <c r="A21" s="3" t="s">
        <v>1862</v>
      </c>
    </row>
    <row r="22" spans="1:7">
      <c r="A22" s="3" t="s">
        <v>568</v>
      </c>
    </row>
    <row r="24" spans="1:7">
      <c r="A24" s="3" t="s">
        <v>569</v>
      </c>
    </row>
    <row r="27" spans="1:7">
      <c r="A27" s="3" t="s">
        <v>256</v>
      </c>
    </row>
  </sheetData>
  <phoneticPr fontId="0" type="noConversion"/>
  <pageMargins left="0.67" right="0.78740157480314965" top="1.1000000000000001" bottom="0.49" header="0.59" footer="0.4921259845"/>
  <pageSetup paperSize="9" scale="83" orientation="portrait" horizontalDpi="4294967292" verticalDpi="4294967292"/>
  <headerFooter alignWithMargins="0">
    <oddHeader>&amp;L&amp;"Arial,Bold"Gesamtgeschäft der vom BAG anerkannten Krankenversicherer</oddHead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E5616-4CE1-6047-A596-9B0BFE9558F3}">
  <sheetPr>
    <pageSetUpPr fitToPage="1"/>
  </sheetPr>
  <dimension ref="A1:D48"/>
  <sheetViews>
    <sheetView zoomScale="75" workbookViewId="0"/>
  </sheetViews>
  <sheetFormatPr baseColWidth="10" defaultColWidth="11.3984375" defaultRowHeight="13"/>
  <cols>
    <col min="1" max="1" width="10.796875" style="3" customWidth="1"/>
    <col min="2" max="2" width="60.3984375" style="100" customWidth="1"/>
    <col min="3" max="3" width="18.3984375" style="42" customWidth="1"/>
    <col min="4" max="4" width="17" style="529" customWidth="1"/>
    <col min="5" max="16384" width="11.3984375" style="3"/>
  </cols>
  <sheetData>
    <row r="1" spans="1:4" s="1" customFormat="1" ht="14" customHeight="1">
      <c r="B1" s="90"/>
      <c r="C1" s="101"/>
      <c r="D1" s="521"/>
    </row>
    <row r="2" spans="1:4" s="1" customFormat="1" ht="28" customHeight="1">
      <c r="A2" s="76" t="s">
        <v>380</v>
      </c>
      <c r="B2" s="90"/>
      <c r="C2" s="101"/>
      <c r="D2" s="321">
        <v>2003</v>
      </c>
    </row>
    <row r="3" spans="1:4" ht="39" customHeight="1">
      <c r="A3" s="2" t="s">
        <v>1335</v>
      </c>
      <c r="B3" s="91"/>
      <c r="C3" s="13" t="s">
        <v>671</v>
      </c>
      <c r="D3" s="522" t="s">
        <v>672</v>
      </c>
    </row>
    <row r="4" spans="1:4" ht="38" customHeight="1">
      <c r="A4" s="405"/>
      <c r="B4" s="390"/>
      <c r="C4" s="15" t="s">
        <v>1925</v>
      </c>
      <c r="D4" s="523" t="s">
        <v>46</v>
      </c>
    </row>
    <row r="5" spans="1:4" ht="30" customHeight="1" thickBot="1">
      <c r="A5" s="6">
        <v>60</v>
      </c>
      <c r="B5" s="6" t="s">
        <v>63</v>
      </c>
      <c r="C5" s="28">
        <v>357143156.94999999</v>
      </c>
      <c r="D5" s="508">
        <v>1.8096879523903573E-2</v>
      </c>
    </row>
    <row r="6" spans="1:4" ht="16" customHeight="1" thickBot="1">
      <c r="A6" s="7">
        <v>600</v>
      </c>
      <c r="B6" s="7" t="s">
        <v>381</v>
      </c>
      <c r="C6" s="29">
        <v>364183731.39999998</v>
      </c>
      <c r="D6" s="343">
        <v>1.8453634021704468E-2</v>
      </c>
    </row>
    <row r="7" spans="1:4" ht="16" customHeight="1" thickBot="1">
      <c r="A7" s="7">
        <v>601</v>
      </c>
      <c r="B7" s="7" t="s">
        <v>382</v>
      </c>
      <c r="C7" s="29">
        <v>-7040574.4500000002</v>
      </c>
      <c r="D7" s="343">
        <v>-3.5675449780089554E-4</v>
      </c>
    </row>
    <row r="8" spans="1:4" ht="16" customHeight="1" thickBot="1">
      <c r="A8" s="7">
        <v>61</v>
      </c>
      <c r="B8" s="7" t="s">
        <v>697</v>
      </c>
      <c r="C8" s="29">
        <v>16857440086</v>
      </c>
      <c r="D8" s="343">
        <v>0.85418705743387391</v>
      </c>
    </row>
    <row r="9" spans="1:4" ht="18" customHeight="1" thickBot="1">
      <c r="A9" s="7">
        <v>63</v>
      </c>
      <c r="B9" s="7" t="s">
        <v>378</v>
      </c>
      <c r="C9" s="29">
        <v>2258763645.3000002</v>
      </c>
      <c r="D9" s="343">
        <v>0.11445430989369364</v>
      </c>
    </row>
    <row r="10" spans="1:4" ht="21.75" customHeight="1" thickBot="1">
      <c r="A10" s="65" t="s">
        <v>383</v>
      </c>
      <c r="B10" s="65" t="s">
        <v>384</v>
      </c>
      <c r="C10" s="29">
        <v>19473346888</v>
      </c>
      <c r="D10" s="343">
        <v>0.98673824683880329</v>
      </c>
    </row>
    <row r="11" spans="1:4" ht="16" customHeight="1" thickBot="1">
      <c r="A11" s="7">
        <v>64</v>
      </c>
      <c r="B11" s="7" t="s">
        <v>385</v>
      </c>
      <c r="C11" s="29">
        <v>-92598919.019999996</v>
      </c>
      <c r="D11" s="343">
        <v>-4.6921002095057585E-3</v>
      </c>
    </row>
    <row r="12" spans="1:4" ht="16" customHeight="1" thickBot="1">
      <c r="A12" s="7">
        <v>65</v>
      </c>
      <c r="B12" s="7" t="s">
        <v>386</v>
      </c>
      <c r="C12" s="29">
        <v>2417167.27</v>
      </c>
      <c r="D12" s="343">
        <v>1.2248081483033131E-4</v>
      </c>
    </row>
    <row r="13" spans="1:4" ht="21.75" customHeight="1" thickBot="1">
      <c r="A13" s="65" t="s">
        <v>387</v>
      </c>
      <c r="B13" s="65" t="s">
        <v>1341</v>
      </c>
      <c r="C13" s="29">
        <v>19383165136</v>
      </c>
      <c r="D13" s="343">
        <v>0.98216862743146005</v>
      </c>
    </row>
    <row r="14" spans="1:4" ht="16" customHeight="1" thickBot="1">
      <c r="A14" s="7">
        <v>66</v>
      </c>
      <c r="B14" s="7" t="s">
        <v>388</v>
      </c>
      <c r="C14" s="29">
        <v>-33868660.759999998</v>
      </c>
      <c r="D14" s="343">
        <v>-1.7161663648940883E-3</v>
      </c>
    </row>
    <row r="15" spans="1:4" ht="21.75" customHeight="1" thickBot="1">
      <c r="A15" s="65" t="s">
        <v>389</v>
      </c>
      <c r="B15" s="65" t="s">
        <v>1344</v>
      </c>
      <c r="C15" s="29">
        <v>19349296475</v>
      </c>
      <c r="D15" s="343">
        <v>0.98045246105440487</v>
      </c>
    </row>
    <row r="16" spans="1:4" ht="16" customHeight="1" thickBot="1">
      <c r="A16" s="7">
        <v>67</v>
      </c>
      <c r="B16" s="7" t="s">
        <v>390</v>
      </c>
      <c r="C16" s="29">
        <v>1610621474.2</v>
      </c>
      <c r="D16" s="343">
        <v>8.1612155266046371E-2</v>
      </c>
    </row>
    <row r="17" spans="1:4" ht="16" customHeight="1" thickBot="1">
      <c r="A17" s="7">
        <v>670</v>
      </c>
      <c r="B17" s="7" t="s">
        <v>391</v>
      </c>
      <c r="C17" s="29">
        <v>1487119337.5</v>
      </c>
      <c r="D17" s="343">
        <v>7.5354151310737569E-2</v>
      </c>
    </row>
    <row r="18" spans="1:4" ht="16" customHeight="1" thickBot="1">
      <c r="A18" s="7">
        <v>672</v>
      </c>
      <c r="B18" s="7" t="s">
        <v>392</v>
      </c>
      <c r="C18" s="29">
        <v>107661081.8</v>
      </c>
      <c r="D18" s="343">
        <v>5.4553183753720735E-3</v>
      </c>
    </row>
    <row r="19" spans="1:4" ht="16" customHeight="1" thickBot="1">
      <c r="A19" s="7">
        <v>673</v>
      </c>
      <c r="B19" s="7" t="s">
        <v>393</v>
      </c>
      <c r="C19" s="29">
        <v>24930900.75</v>
      </c>
      <c r="D19" s="343">
        <v>1.2632791599540886E-3</v>
      </c>
    </row>
    <row r="20" spans="1:4" ht="16" customHeight="1" thickBot="1">
      <c r="A20" s="7">
        <v>675</v>
      </c>
      <c r="B20" s="7" t="s">
        <v>394</v>
      </c>
      <c r="C20" s="29">
        <v>-9089845.8499999996</v>
      </c>
      <c r="D20" s="343">
        <v>-4.6059358001736695E-4</v>
      </c>
    </row>
    <row r="21" spans="1:4" ht="16" customHeight="1" thickBot="1">
      <c r="A21" s="7">
        <v>68</v>
      </c>
      <c r="B21" s="7" t="s">
        <v>395</v>
      </c>
      <c r="C21" s="29">
        <v>-1560677096</v>
      </c>
      <c r="D21" s="343">
        <v>-7.9081412683994837E-2</v>
      </c>
    </row>
    <row r="22" spans="1:4" ht="21.75" customHeight="1" thickBot="1">
      <c r="A22" s="65" t="s">
        <v>396</v>
      </c>
      <c r="B22" s="65" t="s">
        <v>397</v>
      </c>
      <c r="C22" s="29">
        <v>49944378</v>
      </c>
      <c r="D22" s="343">
        <v>2.5307425719172808E-3</v>
      </c>
    </row>
    <row r="23" spans="1:4" ht="16" customHeight="1" thickBot="1">
      <c r="A23" s="7">
        <v>69</v>
      </c>
      <c r="B23" s="7" t="s">
        <v>1347</v>
      </c>
      <c r="C23" s="29">
        <v>61113062.960000001</v>
      </c>
      <c r="D23" s="343">
        <v>3.0966734660932832E-3</v>
      </c>
    </row>
    <row r="24" spans="1:4" ht="21.75" customHeight="1" thickBot="1">
      <c r="A24" s="65">
        <v>6</v>
      </c>
      <c r="B24" s="65" t="s">
        <v>1348</v>
      </c>
      <c r="C24" s="29">
        <v>19460353916</v>
      </c>
      <c r="D24" s="343">
        <v>0.98607987709444234</v>
      </c>
    </row>
    <row r="25" spans="1:4" ht="16" customHeight="1" thickBot="1">
      <c r="A25" s="7">
        <v>70</v>
      </c>
      <c r="B25" s="7" t="s">
        <v>398</v>
      </c>
      <c r="C25" s="29">
        <v>27077187.760000002</v>
      </c>
      <c r="D25" s="343">
        <v>1.3720341415009616E-3</v>
      </c>
    </row>
    <row r="26" spans="1:4" ht="16" customHeight="1" thickBot="1">
      <c r="A26" s="7">
        <v>701</v>
      </c>
      <c r="B26" s="7" t="s">
        <v>399</v>
      </c>
      <c r="C26" s="29">
        <v>27077187.760000002</v>
      </c>
      <c r="D26" s="343">
        <v>1.3720341415009616E-3</v>
      </c>
    </row>
    <row r="27" spans="1:4" ht="16" customHeight="1" thickBot="1">
      <c r="A27" s="7">
        <v>72</v>
      </c>
      <c r="B27" s="7" t="s">
        <v>400</v>
      </c>
      <c r="C27" s="29">
        <v>245526705.01999998</v>
      </c>
      <c r="D27" s="343">
        <v>1.2441137717976792E-2</v>
      </c>
    </row>
    <row r="28" spans="1:4" ht="16" customHeight="1" thickBot="1">
      <c r="A28" s="7">
        <v>720</v>
      </c>
      <c r="B28" s="7" t="s">
        <v>401</v>
      </c>
      <c r="C28" s="29">
        <v>348368578.69999999</v>
      </c>
      <c r="D28" s="343">
        <v>1.7652260937845811E-2</v>
      </c>
    </row>
    <row r="29" spans="1:4" ht="16" customHeight="1" thickBot="1">
      <c r="A29" s="7">
        <v>721</v>
      </c>
      <c r="B29" s="7" t="s">
        <v>402</v>
      </c>
      <c r="C29" s="29">
        <v>-205694995</v>
      </c>
      <c r="D29" s="343">
        <v>-1.0422816371380423E-2</v>
      </c>
    </row>
    <row r="30" spans="1:4" ht="16" customHeight="1" thickBot="1">
      <c r="A30" s="7">
        <v>722</v>
      </c>
      <c r="B30" s="7" t="s">
        <v>403</v>
      </c>
      <c r="C30" s="29">
        <v>97283109.180000007</v>
      </c>
      <c r="D30" s="343">
        <v>4.9294538402360893E-3</v>
      </c>
    </row>
    <row r="31" spans="1:4" ht="16" customHeight="1" thickBot="1">
      <c r="A31" s="7">
        <v>723</v>
      </c>
      <c r="B31" s="7" t="s">
        <v>404</v>
      </c>
      <c r="C31" s="29">
        <v>904964.41</v>
      </c>
      <c r="D31" s="343">
        <v>4.5855650829348694E-5</v>
      </c>
    </row>
    <row r="32" spans="1:4" ht="16" customHeight="1" thickBot="1">
      <c r="A32" s="7">
        <v>724</v>
      </c>
      <c r="B32" s="7" t="s">
        <v>405</v>
      </c>
      <c r="C32" s="29">
        <v>4665047.7300000004</v>
      </c>
      <c r="D32" s="343">
        <v>2.3638366044596799E-4</v>
      </c>
    </row>
    <row r="33" spans="1:4" ht="16" customHeight="1" thickBot="1">
      <c r="A33" s="7">
        <v>76</v>
      </c>
      <c r="B33" s="7" t="s">
        <v>406</v>
      </c>
      <c r="C33" s="29">
        <v>2110685.65</v>
      </c>
      <c r="D33" s="343">
        <v>1.0695101719736899E-4</v>
      </c>
    </row>
    <row r="34" spans="1:4" ht="21.75" customHeight="1" thickBot="1">
      <c r="A34" s="65">
        <v>7</v>
      </c>
      <c r="B34" s="65" t="s">
        <v>407</v>
      </c>
      <c r="C34" s="29">
        <v>274714578.38999999</v>
      </c>
      <c r="D34" s="343">
        <v>1.3920122874648274E-2</v>
      </c>
    </row>
    <row r="35" spans="1:4" s="35" customFormat="1" ht="21.75" customHeight="1" thickBot="1">
      <c r="A35" s="512" t="s">
        <v>408</v>
      </c>
      <c r="B35" s="512" t="s">
        <v>409</v>
      </c>
      <c r="C35" s="84">
        <v>19735068495</v>
      </c>
      <c r="D35" s="524">
        <v>1</v>
      </c>
    </row>
    <row r="36" spans="1:4" ht="21.75" customHeight="1" thickBot="1">
      <c r="A36" s="65" t="s">
        <v>689</v>
      </c>
      <c r="B36" s="65" t="s">
        <v>410</v>
      </c>
      <c r="C36" s="29">
        <v>95045249.579999998</v>
      </c>
      <c r="D36" s="343" t="s">
        <v>258</v>
      </c>
    </row>
    <row r="37" spans="1:4" s="526" customFormat="1" ht="35.25" customHeight="1" thickBot="1">
      <c r="A37" s="516"/>
      <c r="B37" s="516" t="s">
        <v>691</v>
      </c>
      <c r="C37" s="407">
        <v>19830113744</v>
      </c>
      <c r="D37" s="525" t="s">
        <v>258</v>
      </c>
    </row>
    <row r="38" spans="1:4" ht="20" customHeight="1">
      <c r="A38" s="9" t="s">
        <v>379</v>
      </c>
      <c r="B38" s="98"/>
      <c r="C38" s="111"/>
      <c r="D38" s="527"/>
    </row>
    <row r="39" spans="1:4" ht="11.25" customHeight="1">
      <c r="A39" s="37"/>
      <c r="B39" s="99"/>
      <c r="C39" s="112"/>
      <c r="D39" s="528"/>
    </row>
    <row r="40" spans="1:4" ht="11.25" customHeight="1">
      <c r="A40" s="37" t="s">
        <v>692</v>
      </c>
      <c r="B40" s="99"/>
      <c r="C40" s="112"/>
      <c r="D40" s="528"/>
    </row>
    <row r="41" spans="1:4" ht="11.25" customHeight="1">
      <c r="A41" s="37" t="s">
        <v>693</v>
      </c>
      <c r="B41" s="99"/>
      <c r="C41" s="112"/>
      <c r="D41" s="528"/>
    </row>
    <row r="42" spans="1:4">
      <c r="A42" s="37" t="s">
        <v>694</v>
      </c>
    </row>
    <row r="43" spans="1:4">
      <c r="A43" s="3" t="s">
        <v>695</v>
      </c>
    </row>
    <row r="45" spans="1:4">
      <c r="A45" s="3" t="s">
        <v>411</v>
      </c>
    </row>
    <row r="48" spans="1:4">
      <c r="A48" s="118" t="s">
        <v>256</v>
      </c>
    </row>
  </sheetData>
  <phoneticPr fontId="0" type="noConversion"/>
  <pageMargins left="0.69" right="0.71" top="0.85" bottom="0.49" header="0.44" footer="0.4921259845"/>
  <pageSetup paperSize="9" scale="83" orientation="portrait" horizontalDpi="4294967292" verticalDpi="4294967292"/>
  <headerFooter alignWithMargins="0">
    <oddHeader>&amp;L&amp;"Arial,Bold"Gesamtgeschäft der vom BAG anerkannten Krankenversicherer</oddHead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6FEA3-858F-FA4F-919F-DAA8DB5FF957}">
  <sheetPr>
    <pageSetUpPr fitToPage="1"/>
  </sheetPr>
  <dimension ref="A1:D41"/>
  <sheetViews>
    <sheetView zoomScale="75" workbookViewId="0"/>
  </sheetViews>
  <sheetFormatPr baseColWidth="10" defaultColWidth="11.3984375" defaultRowHeight="13"/>
  <cols>
    <col min="1" max="1" width="10.59765625" style="3" customWidth="1"/>
    <col min="2" max="2" width="60.796875" style="100" customWidth="1"/>
    <col min="3" max="3" width="17" style="42" customWidth="1"/>
    <col min="4" max="4" width="17" style="520" customWidth="1"/>
    <col min="5" max="16384" width="11.3984375" style="3"/>
  </cols>
  <sheetData>
    <row r="1" spans="1:4" s="1" customFormat="1" ht="14" customHeight="1">
      <c r="B1" s="90"/>
      <c r="C1" s="101"/>
      <c r="D1" s="506"/>
    </row>
    <row r="2" spans="1:4" s="1" customFormat="1" ht="28" customHeight="1">
      <c r="A2" s="76" t="s">
        <v>670</v>
      </c>
      <c r="B2" s="90"/>
      <c r="C2" s="101"/>
      <c r="D2" s="321">
        <v>2003</v>
      </c>
    </row>
    <row r="3" spans="1:4" ht="39" customHeight="1">
      <c r="A3" s="2" t="s">
        <v>1335</v>
      </c>
      <c r="B3" s="91"/>
      <c r="C3" s="13" t="s">
        <v>671</v>
      </c>
      <c r="D3" s="507" t="s">
        <v>672</v>
      </c>
    </row>
    <row r="4" spans="1:4" ht="38" customHeight="1">
      <c r="A4" s="405"/>
      <c r="B4" s="390"/>
      <c r="C4" s="15" t="s">
        <v>1925</v>
      </c>
      <c r="D4" s="105" t="s">
        <v>46</v>
      </c>
    </row>
    <row r="5" spans="1:4" ht="30" customHeight="1" thickBot="1">
      <c r="A5" s="6">
        <v>30</v>
      </c>
      <c r="B5" s="6" t="s">
        <v>63</v>
      </c>
      <c r="C5" s="28">
        <v>309913030.70999998</v>
      </c>
      <c r="D5" s="508">
        <v>1.6111937266228352E-2</v>
      </c>
    </row>
    <row r="6" spans="1:4" ht="16" customHeight="1" thickBot="1">
      <c r="A6" s="7">
        <v>31</v>
      </c>
      <c r="B6" s="7" t="s">
        <v>697</v>
      </c>
      <c r="C6" s="28">
        <v>17942085876</v>
      </c>
      <c r="D6" s="508">
        <v>0.93278350186540238</v>
      </c>
    </row>
    <row r="7" spans="1:4" ht="16" customHeight="1" thickBot="1">
      <c r="A7" s="7">
        <v>32</v>
      </c>
      <c r="B7" s="7" t="s">
        <v>673</v>
      </c>
      <c r="C7" s="28">
        <v>-2633999427</v>
      </c>
      <c r="D7" s="508">
        <v>-0.13693788037850338</v>
      </c>
    </row>
    <row r="8" spans="1:4" ht="18.75" customHeight="1" thickBot="1">
      <c r="A8" s="7">
        <v>33</v>
      </c>
      <c r="B8" s="7" t="s">
        <v>378</v>
      </c>
      <c r="C8" s="28">
        <v>1745708163.4000001</v>
      </c>
      <c r="D8" s="508">
        <v>9.0756882178868473E-2</v>
      </c>
    </row>
    <row r="9" spans="1:4" ht="21.75" customHeight="1" thickBot="1">
      <c r="A9" s="65" t="s">
        <v>674</v>
      </c>
      <c r="B9" s="65" t="s">
        <v>1351</v>
      </c>
      <c r="C9" s="28">
        <v>17363707643</v>
      </c>
      <c r="D9" s="508">
        <v>0.90271444092627706</v>
      </c>
    </row>
    <row r="10" spans="1:4" ht="16" customHeight="1" thickBot="1">
      <c r="A10" s="7">
        <v>34</v>
      </c>
      <c r="B10" s="7" t="s">
        <v>1352</v>
      </c>
      <c r="C10" s="28">
        <v>59908013.579999998</v>
      </c>
      <c r="D10" s="508">
        <v>3.1145323393921135E-3</v>
      </c>
    </row>
    <row r="11" spans="1:4" ht="39" customHeight="1" thickBot="1">
      <c r="A11" s="509">
        <v>35</v>
      </c>
      <c r="B11" s="509" t="s">
        <v>675</v>
      </c>
      <c r="C11" s="510">
        <v>465258176.60000002</v>
      </c>
      <c r="D11" s="511">
        <v>2.4188110247592477E-2</v>
      </c>
    </row>
    <row r="12" spans="1:4" ht="21.75" customHeight="1" thickBot="1">
      <c r="A12" s="65" t="s">
        <v>676</v>
      </c>
      <c r="B12" s="65" t="s">
        <v>1355</v>
      </c>
      <c r="C12" s="28">
        <v>17888873834</v>
      </c>
      <c r="D12" s="508">
        <v>0.9300170835558923</v>
      </c>
    </row>
    <row r="13" spans="1:4" ht="16" customHeight="1" thickBot="1">
      <c r="A13" s="7">
        <v>36</v>
      </c>
      <c r="B13" s="7" t="s">
        <v>677</v>
      </c>
      <c r="C13" s="28">
        <v>-21819951.59</v>
      </c>
      <c r="D13" s="508">
        <v>-1.134388219704102E-3</v>
      </c>
    </row>
    <row r="14" spans="1:4" ht="16" customHeight="1" thickBot="1">
      <c r="A14" s="65">
        <v>37</v>
      </c>
      <c r="B14" s="65" t="s">
        <v>1357</v>
      </c>
      <c r="C14" s="28">
        <v>72916554.439999998</v>
      </c>
      <c r="D14" s="508">
        <v>3.7908278594008023E-3</v>
      </c>
    </row>
    <row r="15" spans="1:4" ht="21.75" customHeight="1" thickBot="1">
      <c r="A15" s="65">
        <v>3</v>
      </c>
      <c r="B15" s="65" t="s">
        <v>1358</v>
      </c>
      <c r="C15" s="28">
        <v>17939970436</v>
      </c>
      <c r="D15" s="508">
        <v>0.93267352315139862</v>
      </c>
    </row>
    <row r="16" spans="1:4" ht="16" customHeight="1" thickBot="1">
      <c r="A16" s="7">
        <v>400</v>
      </c>
      <c r="B16" s="7" t="s">
        <v>678</v>
      </c>
      <c r="C16" s="28">
        <v>863207155.79999995</v>
      </c>
      <c r="D16" s="508">
        <v>4.4876911145512004E-2</v>
      </c>
    </row>
    <row r="17" spans="1:4" ht="16" customHeight="1" thickBot="1">
      <c r="A17" s="7">
        <v>410</v>
      </c>
      <c r="B17" s="7" t="s">
        <v>679</v>
      </c>
      <c r="C17" s="28">
        <v>90257591.489999995</v>
      </c>
      <c r="D17" s="508">
        <v>4.6923636884714645E-3</v>
      </c>
    </row>
    <row r="18" spans="1:4" ht="16" customHeight="1" thickBot="1">
      <c r="A18" s="7">
        <v>420</v>
      </c>
      <c r="B18" s="7" t="s">
        <v>680</v>
      </c>
      <c r="C18" s="28">
        <v>139255339.46000001</v>
      </c>
      <c r="D18" s="508">
        <v>7.2396868509422667E-3</v>
      </c>
    </row>
    <row r="19" spans="1:4" ht="16" customHeight="1" thickBot="1">
      <c r="A19" s="7">
        <v>430</v>
      </c>
      <c r="B19" s="7" t="s">
        <v>681</v>
      </c>
      <c r="C19" s="28">
        <v>46781458.509999998</v>
      </c>
      <c r="D19" s="508">
        <v>2.4321014286136739E-3</v>
      </c>
    </row>
    <row r="20" spans="1:4" ht="16" customHeight="1" thickBot="1">
      <c r="A20" s="65">
        <v>450</v>
      </c>
      <c r="B20" s="65" t="s">
        <v>682</v>
      </c>
      <c r="C20" s="28">
        <v>100648349.31</v>
      </c>
      <c r="D20" s="508">
        <v>5.2325643949757035E-3</v>
      </c>
    </row>
    <row r="21" spans="1:4" ht="16" customHeight="1" thickBot="1">
      <c r="A21" s="7">
        <v>453</v>
      </c>
      <c r="B21" s="7" t="s">
        <v>683</v>
      </c>
      <c r="C21" s="28">
        <v>36055660.939999998</v>
      </c>
      <c r="D21" s="508">
        <v>1.8744824824783823E-3</v>
      </c>
    </row>
    <row r="22" spans="1:4" ht="16" customHeight="1" thickBot="1">
      <c r="A22" s="65">
        <v>460</v>
      </c>
      <c r="B22" s="65" t="s">
        <v>684</v>
      </c>
      <c r="C22" s="28">
        <v>364884443.25</v>
      </c>
      <c r="D22" s="508">
        <v>1.8969822745426631E-2</v>
      </c>
    </row>
    <row r="23" spans="1:4" ht="16" customHeight="1" thickBot="1">
      <c r="A23" s="7">
        <v>470</v>
      </c>
      <c r="B23" s="7" t="s">
        <v>685</v>
      </c>
      <c r="C23" s="28">
        <v>-453408630.60000002</v>
      </c>
      <c r="D23" s="508">
        <v>-2.3572069220379459E-2</v>
      </c>
    </row>
    <row r="24" spans="1:4" ht="21.75" customHeight="1" thickBot="1">
      <c r="A24" s="65" t="s">
        <v>686</v>
      </c>
      <c r="B24" s="65" t="s">
        <v>687</v>
      </c>
      <c r="C24" s="28">
        <v>1187681368.2</v>
      </c>
      <c r="D24" s="508">
        <v>6.1745863518120211E-2</v>
      </c>
    </row>
    <row r="25" spans="1:4" ht="16" customHeight="1" thickBot="1">
      <c r="A25" s="7">
        <v>48</v>
      </c>
      <c r="B25" s="7" t="s">
        <v>1836</v>
      </c>
      <c r="C25" s="28">
        <v>106738730.59999999</v>
      </c>
      <c r="D25" s="508">
        <v>5.5491946478149704E-3</v>
      </c>
    </row>
    <row r="26" spans="1:4" ht="16" customHeight="1" thickBot="1">
      <c r="A26" s="7">
        <v>49</v>
      </c>
      <c r="B26" s="7" t="s">
        <v>1837</v>
      </c>
      <c r="C26" s="28">
        <v>604337.43000000005</v>
      </c>
      <c r="D26" s="508">
        <v>3.141864263495611E-5</v>
      </c>
    </row>
    <row r="27" spans="1:4" ht="21.75" customHeight="1" thickBot="1">
      <c r="A27" s="65">
        <v>4</v>
      </c>
      <c r="B27" s="65" t="s">
        <v>1838</v>
      </c>
      <c r="C27" s="28">
        <v>1295024436.2</v>
      </c>
      <c r="D27" s="508">
        <v>6.7326476807010482E-2</v>
      </c>
    </row>
    <row r="28" spans="1:4" s="35" customFormat="1" ht="21.75" customHeight="1" thickBot="1">
      <c r="A28" s="512" t="s">
        <v>688</v>
      </c>
      <c r="B28" s="512" t="s">
        <v>1840</v>
      </c>
      <c r="C28" s="513">
        <v>19234994873</v>
      </c>
      <c r="D28" s="514">
        <v>1</v>
      </c>
    </row>
    <row r="29" spans="1:4" ht="21.75" customHeight="1" thickBot="1">
      <c r="A29" s="65" t="s">
        <v>689</v>
      </c>
      <c r="B29" s="65" t="s">
        <v>690</v>
      </c>
      <c r="C29" s="510">
        <v>595118871.70000005</v>
      </c>
      <c r="D29" s="515" t="s">
        <v>258</v>
      </c>
    </row>
    <row r="30" spans="1:4" ht="35.25" customHeight="1" thickBot="1">
      <c r="A30" s="516"/>
      <c r="B30" s="516" t="s">
        <v>691</v>
      </c>
      <c r="C30" s="510">
        <v>19830113744</v>
      </c>
      <c r="D30" s="517" t="s">
        <v>258</v>
      </c>
    </row>
    <row r="31" spans="1:4" ht="20" customHeight="1">
      <c r="A31" s="9" t="s">
        <v>379</v>
      </c>
      <c r="B31" s="98"/>
      <c r="C31" s="111"/>
      <c r="D31" s="518"/>
    </row>
    <row r="32" spans="1:4" ht="15.75" customHeight="1">
      <c r="A32" s="37"/>
      <c r="B32" s="99"/>
      <c r="C32" s="112"/>
      <c r="D32" s="519"/>
    </row>
    <row r="33" spans="1:4" ht="15.75" customHeight="1">
      <c r="A33" s="37" t="s">
        <v>692</v>
      </c>
      <c r="B33" s="99"/>
      <c r="C33" s="112"/>
      <c r="D33" s="519"/>
    </row>
    <row r="34" spans="1:4" ht="15.75" customHeight="1">
      <c r="A34" s="37" t="s">
        <v>693</v>
      </c>
      <c r="B34" s="99"/>
      <c r="C34" s="112"/>
      <c r="D34" s="519"/>
    </row>
    <row r="35" spans="1:4">
      <c r="A35" s="37" t="s">
        <v>694</v>
      </c>
    </row>
    <row r="36" spans="1:4">
      <c r="A36" s="3" t="s">
        <v>695</v>
      </c>
    </row>
    <row r="38" spans="1:4">
      <c r="A38" s="3" t="s">
        <v>696</v>
      </c>
    </row>
    <row r="41" spans="1:4">
      <c r="A41" s="118" t="s">
        <v>256</v>
      </c>
    </row>
  </sheetData>
  <phoneticPr fontId="0" type="noConversion"/>
  <pageMargins left="0.65" right="0.74" top="0.83" bottom="0.49" header="0.53" footer="0.4921259845"/>
  <pageSetup paperSize="9" scale="84" orientation="portrait" horizontalDpi="4294967292" verticalDpi="4294967292"/>
  <headerFooter alignWithMargins="0">
    <oddHeader>&amp;L&amp;"Arial,Bold"Gesamtgeschäft der vom BAG anerkannten Krankenversicherer</oddHead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D9B65-08EF-6F4C-81FB-2212BD0B5092}">
  <dimension ref="A1:K26"/>
  <sheetViews>
    <sheetView zoomScale="75" workbookViewId="0"/>
  </sheetViews>
  <sheetFormatPr baseColWidth="10" defaultColWidth="11.3984375" defaultRowHeight="13"/>
  <cols>
    <col min="1" max="1" width="13.796875" style="3" customWidth="1"/>
    <col min="2" max="6" width="15.796875" style="3" customWidth="1"/>
    <col min="7" max="7" width="11.796875" style="529" customWidth="1"/>
    <col min="8" max="16384" width="11.3984375" style="3"/>
  </cols>
  <sheetData>
    <row r="1" spans="1:11" s="1" customFormat="1" ht="14" customHeight="1">
      <c r="G1" s="521"/>
    </row>
    <row r="2" spans="1:11" s="1" customFormat="1" ht="28" customHeight="1">
      <c r="A2" s="76" t="s">
        <v>2111</v>
      </c>
      <c r="G2" s="321">
        <v>2003</v>
      </c>
    </row>
    <row r="3" spans="1:11" ht="24" customHeight="1">
      <c r="A3" s="2" t="s">
        <v>2102</v>
      </c>
      <c r="B3" s="69" t="s">
        <v>2112</v>
      </c>
      <c r="C3" s="16"/>
      <c r="D3" s="69" t="s">
        <v>2113</v>
      </c>
      <c r="E3" s="16"/>
      <c r="F3" s="69" t="s">
        <v>2114</v>
      </c>
      <c r="G3" s="522" t="s">
        <v>24</v>
      </c>
    </row>
    <row r="4" spans="1:11" ht="15" customHeight="1">
      <c r="A4" s="77"/>
      <c r="B4" s="70" t="s">
        <v>2115</v>
      </c>
      <c r="C4" s="17" t="s">
        <v>2116</v>
      </c>
      <c r="D4" s="70" t="s">
        <v>2117</v>
      </c>
      <c r="E4" s="17" t="s">
        <v>2118</v>
      </c>
      <c r="F4" s="70" t="s">
        <v>2119</v>
      </c>
      <c r="G4" s="633" t="s">
        <v>25</v>
      </c>
    </row>
    <row r="5" spans="1:11" ht="15" customHeight="1">
      <c r="A5" s="77"/>
      <c r="B5" s="70" t="s">
        <v>2120</v>
      </c>
      <c r="C5" s="17" t="s">
        <v>2120</v>
      </c>
      <c r="D5" s="70" t="s">
        <v>2121</v>
      </c>
      <c r="E5" s="17" t="s">
        <v>342</v>
      </c>
      <c r="F5" s="70"/>
      <c r="G5" s="633" t="s">
        <v>26</v>
      </c>
    </row>
    <row r="6" spans="1:11" ht="24" customHeight="1">
      <c r="A6" s="78"/>
      <c r="B6" s="73"/>
      <c r="C6" s="18"/>
      <c r="D6" s="73"/>
      <c r="E6" s="18"/>
      <c r="F6" s="73"/>
      <c r="G6" s="523"/>
    </row>
    <row r="7" spans="1:11" ht="21.75" customHeight="1" thickBot="1">
      <c r="A7" s="651">
        <v>1994</v>
      </c>
      <c r="B7" s="28">
        <v>4424721000</v>
      </c>
      <c r="C7" s="63">
        <v>7733883000</v>
      </c>
      <c r="D7" s="28">
        <v>7245197000</v>
      </c>
      <c r="E7" s="63">
        <v>4913392000</v>
      </c>
      <c r="F7" s="28">
        <v>12158596000</v>
      </c>
      <c r="G7" s="508" t="s">
        <v>258</v>
      </c>
      <c r="H7" s="42"/>
    </row>
    <row r="8" spans="1:11" ht="20" customHeight="1" thickBot="1">
      <c r="A8" s="80">
        <v>1995</v>
      </c>
      <c r="B8" s="29">
        <v>4866523000</v>
      </c>
      <c r="C8" s="116">
        <v>8051465000</v>
      </c>
      <c r="D8" s="29">
        <v>7671754000</v>
      </c>
      <c r="E8" s="116">
        <v>5246769000</v>
      </c>
      <c r="F8" s="29">
        <v>12918536000</v>
      </c>
      <c r="G8" s="343">
        <v>6.2502282335888129E-2</v>
      </c>
    </row>
    <row r="9" spans="1:11" ht="20" customHeight="1" thickBot="1">
      <c r="A9" s="80">
        <v>1996</v>
      </c>
      <c r="B9" s="29">
        <v>4170906498.3500004</v>
      </c>
      <c r="C9" s="116">
        <v>8662528518.7900009</v>
      </c>
      <c r="D9" s="29">
        <v>8044141952.3000002</v>
      </c>
      <c r="E9" s="116">
        <v>4789293064.8400002</v>
      </c>
      <c r="F9" s="29">
        <v>12833435017.170002</v>
      </c>
      <c r="G9" s="343">
        <v>-6.5875098254165963E-3</v>
      </c>
      <c r="I9" s="43"/>
      <c r="J9" s="43"/>
      <c r="K9" s="43"/>
    </row>
    <row r="10" spans="1:11" ht="20" customHeight="1" thickBot="1">
      <c r="A10" s="80">
        <v>1997</v>
      </c>
      <c r="B10" s="29">
        <v>4394709847.7299995</v>
      </c>
      <c r="C10" s="116">
        <v>9362350997.4099998</v>
      </c>
      <c r="D10" s="29">
        <v>9077911654.8700008</v>
      </c>
      <c r="E10" s="116">
        <v>4679149190.2700005</v>
      </c>
      <c r="F10" s="29">
        <v>13757060845.139999</v>
      </c>
      <c r="G10" s="343">
        <v>7.1970273487516612E-2</v>
      </c>
    </row>
    <row r="11" spans="1:11" ht="20" customHeight="1" thickBot="1">
      <c r="A11" s="80">
        <v>1998</v>
      </c>
      <c r="B11" s="29">
        <v>4492004206.21</v>
      </c>
      <c r="C11" s="116">
        <v>10278585833.719999</v>
      </c>
      <c r="D11" s="29">
        <v>9968547987.1800003</v>
      </c>
      <c r="E11" s="116">
        <v>4802042053.0199995</v>
      </c>
      <c r="F11" s="29">
        <v>14770590039.959999</v>
      </c>
      <c r="G11" s="343">
        <v>7.367338170769612E-2</v>
      </c>
    </row>
    <row r="12" spans="1:11" ht="20" customHeight="1" thickBot="1">
      <c r="A12" s="80">
        <v>1999</v>
      </c>
      <c r="B12" s="29">
        <v>4039072052.96</v>
      </c>
      <c r="C12" s="116">
        <v>10698624229.800001</v>
      </c>
      <c r="D12" s="29">
        <v>9829333068.8500004</v>
      </c>
      <c r="E12" s="116">
        <v>4908363213.9400005</v>
      </c>
      <c r="F12" s="29">
        <v>14737696282.75</v>
      </c>
      <c r="G12" s="343">
        <v>-2.2269765203021073E-3</v>
      </c>
    </row>
    <row r="13" spans="1:11" ht="20" customHeight="1" thickBot="1">
      <c r="A13" s="80">
        <v>2000</v>
      </c>
      <c r="B13" s="29">
        <v>4332012500.6399994</v>
      </c>
      <c r="C13" s="116">
        <v>10499430512.299999</v>
      </c>
      <c r="D13" s="29">
        <v>10459056308.799999</v>
      </c>
      <c r="E13" s="116">
        <v>4372386704.1300001</v>
      </c>
      <c r="F13" s="29">
        <v>14831443012.869999</v>
      </c>
      <c r="G13" s="343">
        <v>6.3610165606226036E-3</v>
      </c>
    </row>
    <row r="14" spans="1:11" ht="20" customHeight="1" thickBot="1">
      <c r="A14" s="80">
        <v>2001</v>
      </c>
      <c r="B14" s="29">
        <v>4480221295.5</v>
      </c>
      <c r="C14" s="116">
        <v>9101419286.2999992</v>
      </c>
      <c r="D14" s="29">
        <v>10583525388</v>
      </c>
      <c r="E14" s="116">
        <v>2998115193.5</v>
      </c>
      <c r="F14" s="29">
        <v>13581640582</v>
      </c>
      <c r="G14" s="343">
        <v>-8.4267082426536757E-2</v>
      </c>
    </row>
    <row r="15" spans="1:11" ht="20" customHeight="1" thickBot="1">
      <c r="A15" s="80">
        <v>2002</v>
      </c>
      <c r="B15" s="29">
        <v>5055018753.3999996</v>
      </c>
      <c r="C15" s="116">
        <v>8256319714.8999996</v>
      </c>
      <c r="D15" s="29">
        <v>10485582893</v>
      </c>
      <c r="E15" s="116">
        <v>2730316146</v>
      </c>
      <c r="F15" s="29">
        <v>13311318468</v>
      </c>
      <c r="G15" s="343">
        <v>-1.990349489576855E-2</v>
      </c>
    </row>
    <row r="16" spans="1:11" s="526" customFormat="1" ht="27.75" customHeight="1" thickBot="1">
      <c r="A16" s="621">
        <v>2003</v>
      </c>
      <c r="B16" s="33">
        <v>6067195996.1999998</v>
      </c>
      <c r="C16" s="117">
        <v>8398494201.8000002</v>
      </c>
      <c r="D16" s="33">
        <v>11252005747</v>
      </c>
      <c r="E16" s="117">
        <v>3213684450.5</v>
      </c>
      <c r="F16" s="33">
        <v>14465690198</v>
      </c>
      <c r="G16" s="536">
        <v>8.6721066194537691E-2</v>
      </c>
    </row>
    <row r="17" spans="1:7" ht="20" customHeight="1">
      <c r="A17" s="9" t="s">
        <v>379</v>
      </c>
      <c r="B17" s="9"/>
      <c r="C17" s="9"/>
      <c r="D17" s="9"/>
      <c r="E17" s="9"/>
      <c r="F17" s="9"/>
      <c r="G17" s="527"/>
    </row>
    <row r="18" spans="1:7" ht="10.5" customHeight="1">
      <c r="A18" s="37"/>
      <c r="B18" s="37"/>
      <c r="C18" s="37"/>
      <c r="D18" s="37"/>
      <c r="E18" s="37"/>
      <c r="F18" s="37"/>
      <c r="G18" s="528"/>
    </row>
    <row r="19" spans="1:7">
      <c r="A19" s="37" t="s">
        <v>2122</v>
      </c>
    </row>
    <row r="20" spans="1:7">
      <c r="A20" s="3" t="s">
        <v>2123</v>
      </c>
    </row>
    <row r="21" spans="1:7">
      <c r="A21" s="3" t="s">
        <v>2124</v>
      </c>
    </row>
    <row r="23" spans="1:7">
      <c r="A23" s="3" t="s">
        <v>2125</v>
      </c>
    </row>
    <row r="26" spans="1:7">
      <c r="A26" s="3" t="s">
        <v>256</v>
      </c>
    </row>
  </sheetData>
  <phoneticPr fontId="0" type="noConversion"/>
  <pageMargins left="0.65" right="0.61" top="0.99" bottom="0.49" header="0.56000000000000005" footer="0.4921259845"/>
  <pageSetup paperSize="9" scale="80" orientation="portrait" horizontalDpi="4294967292" verticalDpi="4294967292"/>
  <headerFooter alignWithMargins="0">
    <oddHeader>&amp;L&amp;"Arial,Bold"Gesamtgeschäft der vom BAG anerkannten Krankenversicherer</oddHead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7F530-5988-C64A-B2DA-835D6F5FA509}">
  <sheetPr>
    <pageSetUpPr fitToPage="1"/>
  </sheetPr>
  <dimension ref="A1:I26"/>
  <sheetViews>
    <sheetView zoomScale="75" workbookViewId="0"/>
  </sheetViews>
  <sheetFormatPr baseColWidth="10" defaultColWidth="11.3984375" defaultRowHeight="13"/>
  <cols>
    <col min="1" max="1" width="14.19921875" style="3" customWidth="1"/>
    <col min="2" max="2" width="18.796875" style="3" customWidth="1"/>
    <col min="3" max="3" width="15.59765625" style="529" customWidth="1"/>
    <col min="4" max="4" width="16.19921875" style="529" customWidth="1"/>
    <col min="5" max="5" width="16.796875" style="529" customWidth="1"/>
    <col min="6" max="16384" width="11.3984375" style="3"/>
  </cols>
  <sheetData>
    <row r="1" spans="1:9" s="1" customFormat="1" ht="14" customHeight="1">
      <c r="C1" s="521"/>
      <c r="D1" s="521"/>
      <c r="E1" s="521"/>
    </row>
    <row r="2" spans="1:9" s="1" customFormat="1" ht="42" customHeight="1">
      <c r="A2" s="1473" t="s">
        <v>2104</v>
      </c>
      <c r="B2" s="1474"/>
      <c r="C2" s="1474"/>
      <c r="D2" s="1474"/>
      <c r="E2" s="321">
        <v>2003</v>
      </c>
    </row>
    <row r="3" spans="1:9" ht="24" customHeight="1">
      <c r="A3" s="2" t="s">
        <v>1847</v>
      </c>
      <c r="B3" s="69" t="s">
        <v>462</v>
      </c>
      <c r="C3" s="522" t="s">
        <v>24</v>
      </c>
      <c r="D3" s="708" t="s">
        <v>2105</v>
      </c>
      <c r="E3" s="522" t="s">
        <v>24</v>
      </c>
    </row>
    <row r="4" spans="1:9" ht="15" customHeight="1">
      <c r="A4" s="77"/>
      <c r="B4" s="70" t="s">
        <v>1925</v>
      </c>
      <c r="C4" s="633" t="s">
        <v>25</v>
      </c>
      <c r="D4" s="709" t="s">
        <v>2110</v>
      </c>
      <c r="E4" s="633" t="s">
        <v>25</v>
      </c>
    </row>
    <row r="5" spans="1:9" ht="15" customHeight="1">
      <c r="A5" s="77"/>
      <c r="B5" s="70"/>
      <c r="C5" s="633" t="s">
        <v>26</v>
      </c>
      <c r="D5" s="709"/>
      <c r="E5" s="633" t="s">
        <v>26</v>
      </c>
    </row>
    <row r="6" spans="1:9" ht="24" customHeight="1">
      <c r="A6" s="78"/>
      <c r="B6" s="73"/>
      <c r="C6" s="523"/>
      <c r="D6" s="710"/>
      <c r="E6" s="523"/>
    </row>
    <row r="7" spans="1:9" ht="30" customHeight="1" thickBot="1">
      <c r="A7" s="651">
        <v>1994</v>
      </c>
      <c r="B7" s="28">
        <v>3986037000</v>
      </c>
      <c r="C7" s="508" t="s">
        <v>258</v>
      </c>
      <c r="D7" s="676">
        <v>0.27871248612656102</v>
      </c>
      <c r="E7" s="508" t="s">
        <v>258</v>
      </c>
      <c r="F7" s="42"/>
    </row>
    <row r="8" spans="1:9" ht="20" customHeight="1" thickBot="1">
      <c r="A8" s="80">
        <v>1995</v>
      </c>
      <c r="B8" s="29">
        <v>4079950000</v>
      </c>
      <c r="C8" s="343">
        <v>2.3560493793710394E-2</v>
      </c>
      <c r="D8" s="328">
        <v>0.27928113796958481</v>
      </c>
      <c r="E8" s="343">
        <v>2.040281190579933E-3</v>
      </c>
    </row>
    <row r="9" spans="1:9" ht="20" customHeight="1" thickBot="1">
      <c r="A9" s="80">
        <v>1996</v>
      </c>
      <c r="B9" s="29">
        <v>4007836659.5999999</v>
      </c>
      <c r="C9" s="343">
        <v>-1.767505493939879E-2</v>
      </c>
      <c r="D9" s="328">
        <v>0.24196501185861982</v>
      </c>
      <c r="E9" s="343">
        <v>-0.13361491714857204</v>
      </c>
      <c r="G9" s="43"/>
      <c r="H9" s="43"/>
      <c r="I9" s="43"/>
    </row>
    <row r="10" spans="1:9" ht="20" customHeight="1" thickBot="1">
      <c r="A10" s="80">
        <v>1997</v>
      </c>
      <c r="B10" s="29">
        <v>4017395607.9000001</v>
      </c>
      <c r="C10" s="343">
        <v>2.3850643406595857E-3</v>
      </c>
      <c r="D10" s="328">
        <v>0.22399999999999998</v>
      </c>
      <c r="E10" s="343">
        <v>-7.42463206586116E-2</v>
      </c>
    </row>
    <row r="11" spans="1:9" ht="20" customHeight="1" thickBot="1">
      <c r="A11" s="80">
        <v>1998</v>
      </c>
      <c r="B11" s="29">
        <v>4117666794.6999998</v>
      </c>
      <c r="C11" s="343">
        <v>2.4959251362455224E-2</v>
      </c>
      <c r="D11" s="328">
        <v>0.22</v>
      </c>
      <c r="E11" s="343">
        <v>-1.7857142857142752E-2</v>
      </c>
    </row>
    <row r="12" spans="1:9" ht="20" customHeight="1" thickBot="1">
      <c r="A12" s="80">
        <v>1999</v>
      </c>
      <c r="B12" s="29">
        <v>4531003557.1000004</v>
      </c>
      <c r="C12" s="343">
        <v>0.10038130402683906</v>
      </c>
      <c r="D12" s="328">
        <v>0.248</v>
      </c>
      <c r="E12" s="343">
        <v>0.12727272727272726</v>
      </c>
    </row>
    <row r="13" spans="1:9" ht="20" customHeight="1" thickBot="1">
      <c r="A13" s="80">
        <v>2000</v>
      </c>
      <c r="B13" s="29">
        <v>4046317342.6999998</v>
      </c>
      <c r="C13" s="343">
        <v>-0.10697105139997211</v>
      </c>
      <c r="D13" s="328">
        <v>0.22899999999999998</v>
      </c>
      <c r="E13" s="343">
        <v>-7.6612903225806522E-2</v>
      </c>
    </row>
    <row r="14" spans="1:9" ht="20" customHeight="1" thickBot="1">
      <c r="A14" s="80">
        <v>2001</v>
      </c>
      <c r="B14" s="29">
        <v>2721453787.0999999</v>
      </c>
      <c r="C14" s="343">
        <v>-0.32742453035479263</v>
      </c>
      <c r="D14" s="328">
        <v>0.16266572127677031</v>
      </c>
      <c r="E14" s="343">
        <v>-0.28966933940274964</v>
      </c>
    </row>
    <row r="15" spans="1:9" ht="20" customHeight="1" thickBot="1">
      <c r="A15" s="80">
        <v>2002</v>
      </c>
      <c r="B15" s="29">
        <v>2517283980.4000001</v>
      </c>
      <c r="C15" s="343">
        <v>-7.5022330957000949E-2</v>
      </c>
      <c r="D15" s="328">
        <v>0.13972376589664312</v>
      </c>
      <c r="E15" s="343">
        <v>-0.14103743062800686</v>
      </c>
    </row>
    <row r="16" spans="1:9" s="526" customFormat="1" ht="28.5" customHeight="1" thickBot="1">
      <c r="A16" s="621">
        <v>2003</v>
      </c>
      <c r="B16" s="33">
        <v>3007478271.7600007</v>
      </c>
      <c r="C16" s="536">
        <v>0.19473142290529655</v>
      </c>
      <c r="D16" s="678">
        <v>0.15444074863234167</v>
      </c>
      <c r="E16" s="536">
        <v>0.10532913023962608</v>
      </c>
    </row>
    <row r="17" spans="1:5" ht="20" customHeight="1">
      <c r="A17" s="9" t="s">
        <v>379</v>
      </c>
      <c r="B17" s="9"/>
      <c r="C17" s="527"/>
      <c r="D17" s="527"/>
      <c r="E17" s="527"/>
    </row>
    <row r="18" spans="1:5" ht="11.25" customHeight="1">
      <c r="A18" s="37"/>
      <c r="B18" s="37"/>
      <c r="C18" s="528"/>
      <c r="D18" s="528"/>
      <c r="E18" s="528"/>
    </row>
    <row r="19" spans="1:5">
      <c r="A19" s="3" t="s">
        <v>2106</v>
      </c>
    </row>
    <row r="20" spans="1:5">
      <c r="A20" s="3" t="s">
        <v>2107</v>
      </c>
    </row>
    <row r="21" spans="1:5">
      <c r="A21" s="3" t="s">
        <v>2108</v>
      </c>
    </row>
    <row r="23" spans="1:5">
      <c r="A23" s="3" t="s">
        <v>2109</v>
      </c>
    </row>
    <row r="26" spans="1:5">
      <c r="A26" s="3" t="s">
        <v>256</v>
      </c>
    </row>
  </sheetData>
  <mergeCells count="1">
    <mergeCell ref="A2:D2"/>
  </mergeCells>
  <phoneticPr fontId="0" type="noConversion"/>
  <pageMargins left="0.69" right="0.56000000000000005" top="1.08" bottom="0.49" header="0.53" footer="0.4921259845"/>
  <pageSetup paperSize="9" scale="98" orientation="portrait" horizontalDpi="4294967292" verticalDpi="4294967292"/>
  <headerFooter alignWithMargins="0">
    <oddHeader>&amp;L&amp;"Arial,Bold"Gesamtgeschäft der vom BAG anerkannten Krankenversicherer</oddHead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93D1B-885A-0E4E-BEC6-2E98FCB01253}">
  <sheetPr>
    <pageSetUpPr fitToPage="1"/>
  </sheetPr>
  <dimension ref="A1:D33"/>
  <sheetViews>
    <sheetView zoomScale="75" workbookViewId="0"/>
  </sheetViews>
  <sheetFormatPr baseColWidth="10" defaultColWidth="11.3984375" defaultRowHeight="13"/>
  <cols>
    <col min="1" max="1" width="10.59765625" style="3" customWidth="1"/>
    <col min="2" max="2" width="60.796875" style="100" customWidth="1"/>
    <col min="3" max="3" width="17" style="42" customWidth="1"/>
    <col min="4" max="4" width="17" style="529" customWidth="1"/>
    <col min="5" max="16384" width="11.3984375" style="3"/>
  </cols>
  <sheetData>
    <row r="1" spans="1:4" s="1" customFormat="1" ht="14" customHeight="1">
      <c r="B1" s="90"/>
      <c r="C1" s="101"/>
      <c r="D1" s="521"/>
    </row>
    <row r="2" spans="1:4" s="1" customFormat="1" ht="28" customHeight="1">
      <c r="A2" s="76" t="s">
        <v>412</v>
      </c>
      <c r="B2" s="90"/>
      <c r="C2" s="101"/>
      <c r="D2" s="321">
        <v>2003</v>
      </c>
    </row>
    <row r="3" spans="1:4" ht="39" customHeight="1">
      <c r="A3" s="2" t="s">
        <v>1335</v>
      </c>
      <c r="B3" s="91"/>
      <c r="C3" s="13" t="s">
        <v>671</v>
      </c>
      <c r="D3" s="522" t="s">
        <v>672</v>
      </c>
    </row>
    <row r="4" spans="1:4" ht="38" customHeight="1">
      <c r="A4" s="405"/>
      <c r="B4" s="390"/>
      <c r="C4" s="15" t="s">
        <v>1925</v>
      </c>
      <c r="D4" s="523" t="s">
        <v>46</v>
      </c>
    </row>
    <row r="5" spans="1:4" ht="30" customHeight="1" thickBot="1">
      <c r="A5" s="6"/>
      <c r="B5" s="530" t="s">
        <v>413</v>
      </c>
      <c r="C5" s="513">
        <v>6067195996.1999998</v>
      </c>
      <c r="D5" s="508">
        <v>0.41941973823266582</v>
      </c>
    </row>
    <row r="6" spans="1:4" ht="21.75" customHeight="1" thickBot="1">
      <c r="A6" s="7">
        <v>10</v>
      </c>
      <c r="B6" s="7" t="s">
        <v>414</v>
      </c>
      <c r="C6" s="28">
        <v>1916523933.9000001</v>
      </c>
      <c r="D6" s="343">
        <v>0.13248755556544237</v>
      </c>
    </row>
    <row r="7" spans="1:4" ht="21.75" customHeight="1" thickBot="1">
      <c r="A7" s="7">
        <v>11</v>
      </c>
      <c r="B7" s="7" t="s">
        <v>415</v>
      </c>
      <c r="C7" s="28">
        <v>2944745028.5999999</v>
      </c>
      <c r="D7" s="343">
        <v>0.20356754418860257</v>
      </c>
    </row>
    <row r="8" spans="1:4" ht="18.75" customHeight="1" thickBot="1">
      <c r="A8" s="7"/>
      <c r="B8" s="531" t="s">
        <v>416</v>
      </c>
      <c r="C8" s="532">
        <v>3139029257.4000001</v>
      </c>
      <c r="D8" s="343">
        <v>0.21699823613214089</v>
      </c>
    </row>
    <row r="9" spans="1:4" ht="18.75" customHeight="1" thickBot="1">
      <c r="A9" s="7"/>
      <c r="B9" s="531" t="s">
        <v>417</v>
      </c>
      <c r="C9" s="532">
        <v>-194284228.80000001</v>
      </c>
      <c r="D9" s="343">
        <v>-1.3430691943538332E-2</v>
      </c>
    </row>
    <row r="10" spans="1:4" ht="21.75" customHeight="1" thickBot="1">
      <c r="A10" s="7">
        <v>12</v>
      </c>
      <c r="B10" s="7" t="s">
        <v>418</v>
      </c>
      <c r="C10" s="28">
        <v>373588976.13999999</v>
      </c>
      <c r="D10" s="343">
        <v>2.5825865964670784E-2</v>
      </c>
    </row>
    <row r="11" spans="1:4" ht="18.75" customHeight="1" thickBot="1">
      <c r="A11" s="7"/>
      <c r="B11" s="531" t="s">
        <v>419</v>
      </c>
      <c r="C11" s="532">
        <v>391801796.44999999</v>
      </c>
      <c r="D11" s="343">
        <v>2.7084901659526053E-2</v>
      </c>
    </row>
    <row r="12" spans="1:4" ht="18.75" customHeight="1" thickBot="1">
      <c r="A12" s="7"/>
      <c r="B12" s="531" t="s">
        <v>420</v>
      </c>
      <c r="C12" s="532">
        <v>-18212820.309999999</v>
      </c>
      <c r="D12" s="343">
        <v>-1.25903569485527E-3</v>
      </c>
    </row>
    <row r="13" spans="1:4" ht="24" customHeight="1" thickBot="1">
      <c r="A13" s="7">
        <v>13</v>
      </c>
      <c r="B13" s="7" t="s">
        <v>421</v>
      </c>
      <c r="C13" s="28">
        <v>13154018.43</v>
      </c>
      <c r="D13" s="343">
        <v>9.093253242640749E-4</v>
      </c>
    </row>
    <row r="14" spans="1:4" ht="28.5" customHeight="1" thickBot="1">
      <c r="A14" s="7">
        <v>14</v>
      </c>
      <c r="B14" s="533" t="s">
        <v>422</v>
      </c>
      <c r="C14" s="28">
        <v>397080031.13999999</v>
      </c>
      <c r="D14" s="343">
        <v>2.7449781220594615E-2</v>
      </c>
    </row>
    <row r="15" spans="1:4" ht="30.75" customHeight="1" thickBot="1">
      <c r="A15" s="7">
        <v>15</v>
      </c>
      <c r="B15" s="533" t="s">
        <v>423</v>
      </c>
      <c r="C15" s="28">
        <v>60863315.700000003</v>
      </c>
      <c r="D15" s="343">
        <v>4.2074256303660405E-3</v>
      </c>
    </row>
    <row r="16" spans="1:4" ht="21.75" customHeight="1" thickBot="1">
      <c r="A16" s="7">
        <v>16</v>
      </c>
      <c r="B16" s="7" t="s">
        <v>424</v>
      </c>
      <c r="C16" s="28">
        <v>361240692.31999999</v>
      </c>
      <c r="D16" s="343">
        <v>2.4972240340799257E-2</v>
      </c>
    </row>
    <row r="17" spans="1:4" ht="30" customHeight="1" thickBot="1">
      <c r="A17" s="7"/>
      <c r="B17" s="534" t="s">
        <v>425</v>
      </c>
      <c r="C17" s="513">
        <v>8398494201.8000002</v>
      </c>
      <c r="D17" s="343">
        <v>0.58058026176733413</v>
      </c>
    </row>
    <row r="18" spans="1:4" ht="21.75" customHeight="1" thickBot="1">
      <c r="A18" s="7">
        <v>17</v>
      </c>
      <c r="B18" s="7" t="s">
        <v>426</v>
      </c>
      <c r="C18" s="28">
        <v>7378045351.5</v>
      </c>
      <c r="D18" s="343">
        <v>0.51003756132701328</v>
      </c>
    </row>
    <row r="19" spans="1:4" ht="18.75" customHeight="1" thickBot="1">
      <c r="A19" s="7"/>
      <c r="B19" s="531" t="s">
        <v>427</v>
      </c>
      <c r="C19" s="532">
        <v>7826337409.1999998</v>
      </c>
      <c r="D19" s="343">
        <v>0.54102758334213841</v>
      </c>
    </row>
    <row r="20" spans="1:4" ht="18.75" customHeight="1" thickBot="1">
      <c r="A20" s="65"/>
      <c r="B20" s="535" t="s">
        <v>428</v>
      </c>
      <c r="C20" s="532">
        <v>-448292057.69999999</v>
      </c>
      <c r="D20" s="343">
        <v>-3.0990022015125143E-2</v>
      </c>
    </row>
    <row r="21" spans="1:4" ht="21.75" customHeight="1" thickBot="1">
      <c r="A21" s="7">
        <v>18</v>
      </c>
      <c r="B21" s="7" t="s">
        <v>429</v>
      </c>
      <c r="C21" s="28">
        <v>885895210.98000002</v>
      </c>
      <c r="D21" s="343">
        <v>6.1241129794310283E-2</v>
      </c>
    </row>
    <row r="22" spans="1:4" ht="18.75" customHeight="1" thickBot="1">
      <c r="A22" s="65"/>
      <c r="B22" s="535" t="s">
        <v>430</v>
      </c>
      <c r="C22" s="532">
        <v>1307099326</v>
      </c>
      <c r="D22" s="343">
        <v>9.0358586981263922E-2</v>
      </c>
    </row>
    <row r="23" spans="1:4" ht="18.75" customHeight="1" thickBot="1">
      <c r="A23" s="7"/>
      <c r="B23" s="531" t="s">
        <v>431</v>
      </c>
      <c r="C23" s="532">
        <v>-421204115</v>
      </c>
      <c r="D23" s="343">
        <v>-2.9117457185571065E-2</v>
      </c>
    </row>
    <row r="24" spans="1:4" ht="21.75" customHeight="1" thickBot="1">
      <c r="A24" s="7">
        <v>19</v>
      </c>
      <c r="B24" s="7" t="s">
        <v>432</v>
      </c>
      <c r="C24" s="28">
        <v>134553639.28</v>
      </c>
      <c r="D24" s="343">
        <v>9.3015706432454312E-3</v>
      </c>
    </row>
    <row r="25" spans="1:4" ht="18.75" customHeight="1" thickBot="1">
      <c r="A25" s="7"/>
      <c r="B25" s="531" t="s">
        <v>433</v>
      </c>
      <c r="C25" s="532">
        <v>689372876.47000003</v>
      </c>
      <c r="D25" s="343">
        <v>4.765571963965546E-2</v>
      </c>
    </row>
    <row r="26" spans="1:4" ht="18.75" customHeight="1" thickBot="1">
      <c r="A26" s="7"/>
      <c r="B26" s="531" t="s">
        <v>428</v>
      </c>
      <c r="C26" s="532">
        <v>-554819237.20000005</v>
      </c>
      <c r="D26" s="343">
        <v>-3.8354148997101316E-2</v>
      </c>
    </row>
    <row r="27" spans="1:4" s="109" customFormat="1" ht="36" customHeight="1" thickBot="1">
      <c r="A27" s="12">
        <v>1</v>
      </c>
      <c r="B27" s="12" t="s">
        <v>434</v>
      </c>
      <c r="C27" s="66">
        <v>14465690198</v>
      </c>
      <c r="D27" s="536">
        <v>1</v>
      </c>
    </row>
    <row r="28" spans="1:4" ht="18.75" customHeight="1">
      <c r="A28" s="9" t="s">
        <v>379</v>
      </c>
      <c r="B28" s="98"/>
      <c r="C28" s="111"/>
      <c r="D28" s="527"/>
    </row>
    <row r="30" spans="1:4">
      <c r="A30" s="3" t="s">
        <v>435</v>
      </c>
    </row>
    <row r="33" spans="1:1">
      <c r="A33" s="118" t="s">
        <v>256</v>
      </c>
    </row>
  </sheetData>
  <phoneticPr fontId="0" type="noConversion"/>
  <pageMargins left="0.78740157480314965" right="0.78740157480314965" top="0.87" bottom="0.49" header="0.47" footer="0.4921259845"/>
  <pageSetup paperSize="9" scale="82" orientation="portrait" horizontalDpi="4294967292" verticalDpi="4294967292"/>
  <headerFooter alignWithMargins="0">
    <oddHeader>&amp;L&amp;"Arial,Bold"Gesamtgeschäft der vom BAG anerkannten Krankenversicherer</oddHead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2ACA5-40B0-F04A-8AB0-3A77A6C2F6AE}">
  <sheetPr>
    <pageSetUpPr fitToPage="1"/>
  </sheetPr>
  <dimension ref="A1:D44"/>
  <sheetViews>
    <sheetView zoomScale="75" workbookViewId="0"/>
  </sheetViews>
  <sheetFormatPr baseColWidth="10" defaultColWidth="11.3984375" defaultRowHeight="13"/>
  <cols>
    <col min="1" max="1" width="10.59765625" style="3" customWidth="1"/>
    <col min="2" max="2" width="60.796875" style="100" customWidth="1"/>
    <col min="3" max="3" width="16.796875" style="20" customWidth="1"/>
    <col min="4" max="4" width="16.796875" style="529" customWidth="1"/>
    <col min="5" max="16384" width="11.3984375" style="3"/>
  </cols>
  <sheetData>
    <row r="1" spans="1:4" s="1" customFormat="1" ht="14" customHeight="1">
      <c r="B1" s="90"/>
      <c r="C1" s="32"/>
      <c r="D1" s="521"/>
    </row>
    <row r="2" spans="1:4" s="1" customFormat="1" ht="28" customHeight="1">
      <c r="A2" s="76" t="s">
        <v>436</v>
      </c>
      <c r="B2" s="90"/>
      <c r="C2" s="32"/>
      <c r="D2" s="321">
        <v>2003</v>
      </c>
    </row>
    <row r="3" spans="1:4" ht="39" customHeight="1">
      <c r="A3" s="2" t="s">
        <v>1335</v>
      </c>
      <c r="B3" s="91"/>
      <c r="C3" s="13" t="s">
        <v>671</v>
      </c>
      <c r="D3" s="522" t="s">
        <v>672</v>
      </c>
    </row>
    <row r="4" spans="1:4" ht="38" customHeight="1">
      <c r="A4" s="405"/>
      <c r="B4" s="390"/>
      <c r="C4" s="15" t="s">
        <v>1925</v>
      </c>
      <c r="D4" s="523" t="s">
        <v>46</v>
      </c>
    </row>
    <row r="5" spans="1:4" ht="30" customHeight="1" thickBot="1">
      <c r="A5" s="6"/>
      <c r="B5" s="530" t="s">
        <v>437</v>
      </c>
      <c r="C5" s="513">
        <v>11252005747</v>
      </c>
      <c r="D5" s="508">
        <v>0.77784091826850277</v>
      </c>
    </row>
    <row r="6" spans="1:4" ht="21.75" customHeight="1" thickBot="1">
      <c r="A6" s="7">
        <v>20</v>
      </c>
      <c r="B6" s="7" t="s">
        <v>438</v>
      </c>
      <c r="C6" s="28">
        <v>329477221.54000002</v>
      </c>
      <c r="D6" s="508">
        <v>2.2776460509679169E-2</v>
      </c>
    </row>
    <row r="7" spans="1:4" ht="21.75" customHeight="1" thickBot="1">
      <c r="A7" s="7">
        <v>21</v>
      </c>
      <c r="B7" s="7" t="s">
        <v>439</v>
      </c>
      <c r="C7" s="28">
        <v>3465860148.5999999</v>
      </c>
      <c r="D7" s="508">
        <v>0.23959175823350506</v>
      </c>
    </row>
    <row r="8" spans="1:4" ht="31.5" customHeight="1" thickBot="1">
      <c r="A8" s="7">
        <v>215</v>
      </c>
      <c r="B8" s="533" t="s">
        <v>440</v>
      </c>
      <c r="C8" s="28">
        <v>-859749.86</v>
      </c>
      <c r="D8" s="508">
        <v>-5.9433725472626768E-5</v>
      </c>
    </row>
    <row r="9" spans="1:4" ht="21.75" customHeight="1" thickBot="1">
      <c r="A9" s="7">
        <v>22</v>
      </c>
      <c r="B9" s="7" t="s">
        <v>441</v>
      </c>
      <c r="C9" s="28">
        <v>308832167.16000003</v>
      </c>
      <c r="D9" s="508">
        <v>2.134928668683217E-2</v>
      </c>
    </row>
    <row r="10" spans="1:4" ht="21.75" customHeight="1" thickBot="1">
      <c r="A10" s="7">
        <v>23</v>
      </c>
      <c r="B10" s="7" t="s">
        <v>442</v>
      </c>
      <c r="C10" s="28">
        <v>22695789.989999998</v>
      </c>
      <c r="D10" s="508">
        <v>1.5689393094522291E-3</v>
      </c>
    </row>
    <row r="11" spans="1:4" ht="21.75" customHeight="1" thickBot="1">
      <c r="A11" s="7">
        <v>24</v>
      </c>
      <c r="B11" s="7" t="s">
        <v>443</v>
      </c>
      <c r="C11" s="28">
        <v>33808671.350000001</v>
      </c>
      <c r="D11" s="508">
        <v>2.3371626854468601E-3</v>
      </c>
    </row>
    <row r="12" spans="1:4" ht="21.75" customHeight="1" thickBot="1">
      <c r="A12" s="7">
        <v>25</v>
      </c>
      <c r="B12" s="7" t="s">
        <v>444</v>
      </c>
      <c r="C12" s="28">
        <v>29105576.91</v>
      </c>
      <c r="D12" s="508">
        <v>2.0120420464986928E-3</v>
      </c>
    </row>
    <row r="13" spans="1:4" ht="21.75" customHeight="1" thickBot="1">
      <c r="A13" s="7">
        <v>26</v>
      </c>
      <c r="B13" s="7" t="s">
        <v>445</v>
      </c>
      <c r="C13" s="28">
        <v>538092565.65999997</v>
      </c>
      <c r="D13" s="508">
        <v>3.7197849414360863E-2</v>
      </c>
    </row>
    <row r="14" spans="1:4" s="537" customFormat="1" ht="47.25" customHeight="1" thickBot="1">
      <c r="A14" s="533">
        <v>27</v>
      </c>
      <c r="B14" s="533" t="s">
        <v>446</v>
      </c>
      <c r="C14" s="28">
        <v>6524993356.1000004</v>
      </c>
      <c r="D14" s="508">
        <v>0.4510668531393085</v>
      </c>
    </row>
    <row r="15" spans="1:4" s="537" customFormat="1" ht="21" customHeight="1" thickBot="1">
      <c r="A15" s="538">
        <v>270</v>
      </c>
      <c r="B15" s="539" t="s">
        <v>447</v>
      </c>
      <c r="C15" s="28">
        <v>4264253540.5999999</v>
      </c>
      <c r="D15" s="508">
        <v>0.2947839669060221</v>
      </c>
    </row>
    <row r="16" spans="1:4" ht="18.75" customHeight="1" thickBot="1">
      <c r="A16" s="540">
        <v>270.10000000000002</v>
      </c>
      <c r="B16" s="531" t="s">
        <v>448</v>
      </c>
      <c r="C16" s="28">
        <v>151913796.66999999</v>
      </c>
      <c r="D16" s="508">
        <v>1.0501662526341351E-2</v>
      </c>
    </row>
    <row r="17" spans="1:4" ht="31.5" customHeight="1" thickBot="1">
      <c r="A17" s="540">
        <v>270.2</v>
      </c>
      <c r="B17" s="539" t="s">
        <v>449</v>
      </c>
      <c r="C17" s="28">
        <v>5146068.67</v>
      </c>
      <c r="D17" s="508">
        <v>3.557430443734711E-4</v>
      </c>
    </row>
    <row r="18" spans="1:4" ht="30.75" customHeight="1" thickBot="1">
      <c r="A18" s="540">
        <v>270.3</v>
      </c>
      <c r="B18" s="539" t="s">
        <v>450</v>
      </c>
      <c r="C18" s="28">
        <v>681026.26</v>
      </c>
      <c r="D18" s="508">
        <v>4.7078725638280121E-5</v>
      </c>
    </row>
    <row r="19" spans="1:4" ht="18.75" customHeight="1" thickBot="1">
      <c r="A19" s="540">
        <v>271</v>
      </c>
      <c r="B19" s="531" t="s">
        <v>451</v>
      </c>
      <c r="C19" s="28">
        <v>90653702.480000004</v>
      </c>
      <c r="D19" s="508">
        <v>6.2668079600193306E-3</v>
      </c>
    </row>
    <row r="20" spans="1:4" ht="18.75" customHeight="1" thickBot="1">
      <c r="A20" s="540">
        <v>272</v>
      </c>
      <c r="B20" s="531" t="s">
        <v>452</v>
      </c>
      <c r="C20" s="28">
        <v>2495000</v>
      </c>
      <c r="D20" s="508">
        <v>1.7247707961732473E-4</v>
      </c>
    </row>
    <row r="21" spans="1:4" ht="18.75" customHeight="1" thickBot="1">
      <c r="A21" s="540">
        <v>273</v>
      </c>
      <c r="B21" s="531" t="s">
        <v>453</v>
      </c>
      <c r="C21" s="28">
        <v>1261796905.9000001</v>
      </c>
      <c r="D21" s="508">
        <v>8.7226871903730796E-2</v>
      </c>
    </row>
    <row r="22" spans="1:4" ht="18.75" customHeight="1" thickBot="1">
      <c r="A22" s="540">
        <v>273.10000000000002</v>
      </c>
      <c r="B22" s="531" t="s">
        <v>454</v>
      </c>
      <c r="C22" s="28">
        <v>138992078.94999999</v>
      </c>
      <c r="D22" s="508">
        <v>9.6083959387721976E-3</v>
      </c>
    </row>
    <row r="23" spans="1:4" ht="18.75" customHeight="1" thickBot="1">
      <c r="A23" s="540">
        <v>274</v>
      </c>
      <c r="B23" s="531" t="s">
        <v>455</v>
      </c>
      <c r="C23" s="28">
        <v>227603914.78</v>
      </c>
      <c r="D23" s="508">
        <v>1.5734051515320584E-2</v>
      </c>
    </row>
    <row r="24" spans="1:4" ht="18.75" customHeight="1" thickBot="1">
      <c r="A24" s="540">
        <v>279</v>
      </c>
      <c r="B24" s="531" t="s">
        <v>456</v>
      </c>
      <c r="C24" s="28">
        <v>381457321.80000001</v>
      </c>
      <c r="D24" s="508">
        <v>2.6369797540164355E-2</v>
      </c>
    </row>
    <row r="25" spans="1:4" ht="21.75" customHeight="1" thickBot="1">
      <c r="A25" s="7"/>
      <c r="B25" s="531" t="s">
        <v>457</v>
      </c>
      <c r="C25" s="28">
        <v>3213684450.5</v>
      </c>
      <c r="D25" s="508">
        <v>0.22215908169693266</v>
      </c>
    </row>
    <row r="26" spans="1:4" ht="21.75" customHeight="1" thickBot="1">
      <c r="A26" s="7">
        <v>28</v>
      </c>
      <c r="B26" s="534" t="s">
        <v>458</v>
      </c>
      <c r="C26" s="28">
        <v>206206178.68000001</v>
      </c>
      <c r="D26" s="508">
        <v>1.425484549009004E-2</v>
      </c>
    </row>
    <row r="27" spans="1:4" ht="18.75" customHeight="1" thickBot="1">
      <c r="A27" s="540">
        <v>280</v>
      </c>
      <c r="B27" s="531" t="s">
        <v>459</v>
      </c>
      <c r="C27" s="28">
        <v>122495195.13</v>
      </c>
      <c r="D27" s="508">
        <v>8.467981372014724E-3</v>
      </c>
    </row>
    <row r="28" spans="1:4" ht="18.75" customHeight="1" thickBot="1">
      <c r="A28" s="540">
        <v>281</v>
      </c>
      <c r="B28" s="531" t="s">
        <v>460</v>
      </c>
      <c r="C28" s="28">
        <v>55216520.619999997</v>
      </c>
      <c r="D28" s="508">
        <v>3.8170678249167906E-3</v>
      </c>
    </row>
    <row r="29" spans="1:4" ht="18.75" customHeight="1" thickBot="1">
      <c r="A29" s="540">
        <v>282</v>
      </c>
      <c r="B29" s="531" t="s">
        <v>461</v>
      </c>
      <c r="C29" s="28">
        <v>28494462.93</v>
      </c>
      <c r="D29" s="508">
        <v>1.9697962931585242E-3</v>
      </c>
    </row>
    <row r="30" spans="1:4" ht="21.75" customHeight="1" thickBot="1">
      <c r="A30" s="7">
        <v>29</v>
      </c>
      <c r="B30" s="534" t="s">
        <v>462</v>
      </c>
      <c r="C30" s="28">
        <v>3007478271.8000002</v>
      </c>
      <c r="D30" s="508">
        <v>0.20790423620546006</v>
      </c>
    </row>
    <row r="31" spans="1:4" ht="30" customHeight="1" thickBot="1">
      <c r="A31" s="540">
        <v>290</v>
      </c>
      <c r="B31" s="539" t="s">
        <v>463</v>
      </c>
      <c r="C31" s="28">
        <v>2300622072.8000002</v>
      </c>
      <c r="D31" s="508">
        <v>0.15903991038865745</v>
      </c>
    </row>
    <row r="32" spans="1:4" ht="30.75" customHeight="1" thickBot="1">
      <c r="A32" s="540">
        <v>290.5</v>
      </c>
      <c r="B32" s="539" t="s">
        <v>464</v>
      </c>
      <c r="C32" s="28">
        <v>6340406.4800000004</v>
      </c>
      <c r="D32" s="508">
        <v>4.3830653036359187E-4</v>
      </c>
    </row>
    <row r="33" spans="1:4" ht="18.75" customHeight="1" thickBot="1">
      <c r="A33" s="540">
        <v>290.89999999999998</v>
      </c>
      <c r="B33" s="531" t="s">
        <v>465</v>
      </c>
      <c r="C33" s="28">
        <v>93084000</v>
      </c>
      <c r="D33" s="508">
        <v>6.4348122160717653E-3</v>
      </c>
    </row>
    <row r="34" spans="1:4" ht="18.75" customHeight="1" thickBot="1">
      <c r="A34" s="540">
        <v>291</v>
      </c>
      <c r="B34" s="531" t="s">
        <v>466</v>
      </c>
      <c r="C34" s="28">
        <v>251362922</v>
      </c>
      <c r="D34" s="508">
        <v>1.7376490064383722E-2</v>
      </c>
    </row>
    <row r="35" spans="1:4" ht="18.75" customHeight="1" thickBot="1">
      <c r="A35" s="540">
        <v>292</v>
      </c>
      <c r="B35" s="531" t="s">
        <v>467</v>
      </c>
      <c r="C35" s="28">
        <v>-3322325.39</v>
      </c>
      <c r="D35" s="508">
        <v>-2.2966933098424427E-4</v>
      </c>
    </row>
    <row r="36" spans="1:4" ht="18.75" customHeight="1" thickBot="1">
      <c r="A36" s="540">
        <v>293</v>
      </c>
      <c r="B36" s="531" t="s">
        <v>468</v>
      </c>
      <c r="C36" s="28">
        <v>359153080.47000003</v>
      </c>
      <c r="D36" s="508">
        <v>2.4827925633279211E-2</v>
      </c>
    </row>
    <row r="37" spans="1:4" ht="18.75" customHeight="1" thickBot="1">
      <c r="A37" s="540">
        <v>299</v>
      </c>
      <c r="B37" s="531" t="s">
        <v>469</v>
      </c>
      <c r="C37" s="28">
        <v>238115.4</v>
      </c>
      <c r="D37" s="508">
        <v>1.6460700923411273E-5</v>
      </c>
    </row>
    <row r="38" spans="1:4" s="109" customFormat="1" ht="35.25" customHeight="1" thickBot="1">
      <c r="A38" s="12">
        <v>2</v>
      </c>
      <c r="B38" s="12" t="s">
        <v>470</v>
      </c>
      <c r="C38" s="66">
        <v>14465690198</v>
      </c>
      <c r="D38" s="541">
        <v>1</v>
      </c>
    </row>
    <row r="39" spans="1:4" ht="19.5" customHeight="1">
      <c r="A39" s="9" t="s">
        <v>379</v>
      </c>
      <c r="B39" s="98"/>
      <c r="C39" s="30"/>
      <c r="D39" s="527"/>
    </row>
    <row r="41" spans="1:4">
      <c r="A41" s="3" t="s">
        <v>471</v>
      </c>
    </row>
    <row r="44" spans="1:4">
      <c r="A44" s="118" t="s">
        <v>256</v>
      </c>
    </row>
  </sheetData>
  <phoneticPr fontId="0" type="noConversion"/>
  <pageMargins left="0.62" right="0.69" top="0.85" bottom="0.49" header="0.47" footer="0.4921259845"/>
  <pageSetup paperSize="9" scale="77" orientation="portrait" horizontalDpi="4294967292" verticalDpi="4294967292"/>
  <headerFooter alignWithMargins="0">
    <oddHeader>&amp;L&amp;"Arial,Bold"Gesamtgeschäft der vom BAG anerkannten Krankenversicherer</oddHead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99157-D4C0-FC4B-A023-7B9FE5452E94}">
  <sheetPr>
    <pageSetUpPr fitToPage="1"/>
  </sheetPr>
  <dimension ref="A1:D31"/>
  <sheetViews>
    <sheetView zoomScale="75" workbookViewId="0">
      <selection activeCell="A2" sqref="A2"/>
    </sheetView>
  </sheetViews>
  <sheetFormatPr baseColWidth="10" defaultColWidth="11.3984375" defaultRowHeight="13"/>
  <cols>
    <col min="1" max="1" width="10.59765625" style="3" customWidth="1"/>
    <col min="2" max="2" width="60.796875" style="100" customWidth="1"/>
    <col min="3" max="3" width="16.796875" style="42" customWidth="1"/>
    <col min="4" max="4" width="16.796875" style="529" customWidth="1"/>
    <col min="5" max="16384" width="11.3984375" style="3"/>
  </cols>
  <sheetData>
    <row r="1" spans="1:4" s="1" customFormat="1" ht="14" customHeight="1">
      <c r="B1" s="90"/>
      <c r="C1" s="101"/>
      <c r="D1" s="521"/>
    </row>
    <row r="2" spans="1:4" s="1" customFormat="1" ht="28" customHeight="1">
      <c r="A2" s="76" t="s">
        <v>472</v>
      </c>
      <c r="B2" s="90"/>
      <c r="C2" s="101"/>
      <c r="D2" s="321">
        <v>2003</v>
      </c>
    </row>
    <row r="3" spans="1:4" ht="39" customHeight="1">
      <c r="A3" s="2" t="s">
        <v>1335</v>
      </c>
      <c r="B3" s="91"/>
      <c r="C3" s="13" t="s">
        <v>671</v>
      </c>
      <c r="D3" s="522" t="s">
        <v>672</v>
      </c>
    </row>
    <row r="4" spans="1:4" ht="38" customHeight="1">
      <c r="A4" s="405"/>
      <c r="B4" s="390"/>
      <c r="C4" s="15" t="s">
        <v>1925</v>
      </c>
      <c r="D4" s="523" t="s">
        <v>46</v>
      </c>
    </row>
    <row r="5" spans="1:4" ht="39" customHeight="1" thickBot="1">
      <c r="A5" s="542">
        <v>17</v>
      </c>
      <c r="B5" s="543" t="s">
        <v>473</v>
      </c>
      <c r="C5" s="544"/>
      <c r="D5" s="545"/>
    </row>
    <row r="6" spans="1:4" ht="21.75" customHeight="1" thickBot="1">
      <c r="A6" s="540">
        <v>170</v>
      </c>
      <c r="B6" s="531" t="s">
        <v>474</v>
      </c>
      <c r="C6" s="29"/>
      <c r="D6" s="94"/>
    </row>
    <row r="7" spans="1:4" ht="33.75" customHeight="1" thickBot="1">
      <c r="A7" s="546"/>
      <c r="B7" s="533" t="s">
        <v>475</v>
      </c>
      <c r="C7" s="29">
        <v>1951344063.5999999</v>
      </c>
      <c r="D7" s="94">
        <v>0.23612755303603059</v>
      </c>
    </row>
    <row r="8" spans="1:4" ht="18" customHeight="1" thickBot="1">
      <c r="A8" s="546"/>
      <c r="B8" s="533" t="s">
        <v>476</v>
      </c>
      <c r="C8" s="29">
        <v>5520501795.8000002</v>
      </c>
      <c r="D8" s="94">
        <v>0.66802293090659992</v>
      </c>
    </row>
    <row r="9" spans="1:4" ht="19.5" customHeight="1" thickBot="1">
      <c r="A9" s="546"/>
      <c r="B9" s="533" t="s">
        <v>477</v>
      </c>
      <c r="C9" s="29">
        <v>224680717.66999999</v>
      </c>
      <c r="D9" s="94">
        <v>2.7188084903858132E-2</v>
      </c>
    </row>
    <row r="10" spans="1:4" ht="28.5" customHeight="1" thickBot="1">
      <c r="A10" s="546"/>
      <c r="B10" s="533" t="s">
        <v>478</v>
      </c>
      <c r="C10" s="29">
        <v>1250200</v>
      </c>
      <c r="D10" s="94">
        <v>1.5128375990291733E-4</v>
      </c>
    </row>
    <row r="11" spans="1:4" ht="30.75" customHeight="1" thickBot="1">
      <c r="A11" s="546"/>
      <c r="B11" s="533" t="s">
        <v>479</v>
      </c>
      <c r="C11" s="29">
        <v>65170653.299999997</v>
      </c>
      <c r="D11" s="94">
        <v>7.8861473896604285E-3</v>
      </c>
    </row>
    <row r="12" spans="1:4" ht="21.75" customHeight="1" thickBot="1">
      <c r="A12" s="546"/>
      <c r="B12" s="7" t="s">
        <v>480</v>
      </c>
      <c r="C12" s="29">
        <v>63389978.759999998</v>
      </c>
      <c r="D12" s="94">
        <v>7.6706721540384494E-3</v>
      </c>
    </row>
    <row r="13" spans="1:4" ht="21.75" customHeight="1" thickBot="1">
      <c r="A13" s="547">
        <v>170</v>
      </c>
      <c r="B13" s="533" t="s">
        <v>22</v>
      </c>
      <c r="C13" s="548">
        <v>7826337409.1999998</v>
      </c>
      <c r="D13" s="94">
        <v>0.94704667215856098</v>
      </c>
    </row>
    <row r="14" spans="1:4" s="537" customFormat="1" ht="23.25" customHeight="1" thickBot="1">
      <c r="A14" s="546">
        <v>179</v>
      </c>
      <c r="B14" s="7" t="s">
        <v>481</v>
      </c>
      <c r="C14" s="29">
        <v>-448292057.69999999</v>
      </c>
      <c r="D14" s="94">
        <v>-5.4246766936067482E-2</v>
      </c>
    </row>
    <row r="15" spans="1:4" s="537" customFormat="1" ht="27.75" customHeight="1" thickBot="1">
      <c r="A15" s="534">
        <v>17</v>
      </c>
      <c r="B15" s="534" t="s">
        <v>482</v>
      </c>
      <c r="C15" s="84">
        <v>7378045351.5</v>
      </c>
      <c r="D15" s="545">
        <v>0.89279990522249353</v>
      </c>
    </row>
    <row r="16" spans="1:4" ht="24.75" customHeight="1" thickBot="1">
      <c r="A16" s="549">
        <v>18</v>
      </c>
      <c r="B16" s="550" t="s">
        <v>429</v>
      </c>
      <c r="C16" s="29"/>
      <c r="D16" s="94"/>
    </row>
    <row r="17" spans="1:4" ht="16.5" customHeight="1" thickBot="1">
      <c r="A17" s="546">
        <v>180</v>
      </c>
      <c r="B17" s="533" t="s">
        <v>483</v>
      </c>
      <c r="C17" s="29">
        <v>64072819.350000001</v>
      </c>
      <c r="D17" s="94">
        <v>7.7533010869048121E-3</v>
      </c>
    </row>
    <row r="18" spans="1:4" ht="22.5" customHeight="1" thickBot="1">
      <c r="A18" s="546"/>
      <c r="B18" s="533" t="s">
        <v>484</v>
      </c>
      <c r="C18" s="29">
        <v>577312410.63</v>
      </c>
      <c r="D18" s="94">
        <v>6.9859216220383408E-2</v>
      </c>
    </row>
    <row r="19" spans="1:4" ht="18.75" customHeight="1" thickBot="1">
      <c r="A19" s="546"/>
      <c r="B19" s="7" t="s">
        <v>485</v>
      </c>
      <c r="C19" s="29">
        <v>665714096.63</v>
      </c>
      <c r="D19" s="94">
        <v>8.0556496207455155E-2</v>
      </c>
    </row>
    <row r="20" spans="1:4" ht="18.75" customHeight="1" thickBot="1">
      <c r="A20" s="546">
        <v>180</v>
      </c>
      <c r="B20" s="7" t="s">
        <v>22</v>
      </c>
      <c r="C20" s="29">
        <v>1307099326.5999999</v>
      </c>
      <c r="D20" s="94">
        <v>0.1581690135135333</v>
      </c>
    </row>
    <row r="21" spans="1:4" ht="21" customHeight="1" thickBot="1">
      <c r="A21" s="546">
        <v>189</v>
      </c>
      <c r="B21" s="7" t="s">
        <v>486</v>
      </c>
      <c r="C21" s="29">
        <v>-421204115</v>
      </c>
      <c r="D21" s="94">
        <v>-5.0968918736026866E-2</v>
      </c>
    </row>
    <row r="22" spans="1:4" ht="30.75" customHeight="1" thickBot="1">
      <c r="A22" s="534">
        <v>18</v>
      </c>
      <c r="B22" s="534" t="s">
        <v>487</v>
      </c>
      <c r="C22" s="84">
        <v>885895211.63</v>
      </c>
      <c r="D22" s="545">
        <v>0.10720009478113667</v>
      </c>
    </row>
    <row r="23" spans="1:4" ht="39" customHeight="1" thickBot="1">
      <c r="A23" s="512" t="s">
        <v>174</v>
      </c>
      <c r="B23" s="551" t="s">
        <v>175</v>
      </c>
      <c r="C23" s="33">
        <v>8263940563.1000004</v>
      </c>
      <c r="D23" s="97">
        <v>1</v>
      </c>
    </row>
    <row r="24" spans="1:4" ht="19.5" customHeight="1">
      <c r="A24" s="9" t="s">
        <v>379</v>
      </c>
      <c r="B24" s="98"/>
      <c r="C24" s="111"/>
      <c r="D24" s="527"/>
    </row>
    <row r="25" spans="1:4" ht="14.25" customHeight="1">
      <c r="A25" s="37"/>
      <c r="B25" s="99"/>
      <c r="C25" s="112"/>
      <c r="D25" s="528"/>
    </row>
    <row r="26" spans="1:4" ht="14.25" customHeight="1">
      <c r="A26" s="37" t="s">
        <v>176</v>
      </c>
      <c r="B26" s="99"/>
      <c r="C26" s="112"/>
      <c r="D26" s="528"/>
    </row>
    <row r="28" spans="1:4">
      <c r="A28" s="3" t="s">
        <v>177</v>
      </c>
    </row>
    <row r="31" spans="1:4">
      <c r="A31" s="118" t="s">
        <v>256</v>
      </c>
    </row>
  </sheetData>
  <phoneticPr fontId="0" type="noConversion"/>
  <pageMargins left="0.78740157480314965" right="0.83" top="0.92" bottom="0.49" header="0.53" footer="0.4921259845"/>
  <pageSetup paperSize="9" scale="82" orientation="portrait" horizontalDpi="1200" verticalDpi="1200"/>
  <headerFooter alignWithMargins="0">
    <oddHeader>&amp;L&amp;"Arial,Bold"Gesamtgeschäft der vom BAG anerkannten Krankenversicherer</oddHead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38CFA-25B5-404E-951D-C752CD95916E}">
  <sheetPr>
    <pageSetUpPr fitToPage="1"/>
  </sheetPr>
  <dimension ref="A1:D27"/>
  <sheetViews>
    <sheetView zoomScale="75" workbookViewId="0"/>
  </sheetViews>
  <sheetFormatPr baseColWidth="10" defaultColWidth="11.3984375" defaultRowHeight="13"/>
  <cols>
    <col min="1" max="1" width="10.59765625" style="3" customWidth="1"/>
    <col min="2" max="2" width="60.796875" style="100" customWidth="1"/>
    <col min="3" max="3" width="16.796875" style="42" customWidth="1"/>
    <col min="4" max="4" width="16.19921875" style="529" customWidth="1"/>
    <col min="5" max="16384" width="11.3984375" style="3"/>
  </cols>
  <sheetData>
    <row r="1" spans="1:4" s="1" customFormat="1" ht="14" customHeight="1">
      <c r="B1" s="90"/>
      <c r="C1" s="101"/>
      <c r="D1" s="521"/>
    </row>
    <row r="2" spans="1:4" s="1" customFormat="1" ht="28" customHeight="1">
      <c r="A2" s="76" t="s">
        <v>178</v>
      </c>
      <c r="B2" s="90"/>
      <c r="C2" s="101"/>
      <c r="D2" s="321">
        <v>2003</v>
      </c>
    </row>
    <row r="3" spans="1:4" ht="27.75" customHeight="1">
      <c r="A3" s="2"/>
      <c r="B3" s="91"/>
      <c r="C3" s="322" t="s">
        <v>671</v>
      </c>
      <c r="D3" s="522" t="s">
        <v>671</v>
      </c>
    </row>
    <row r="4" spans="1:4" ht="27.75" customHeight="1">
      <c r="A4" s="405"/>
      <c r="B4" s="390"/>
      <c r="C4" s="104" t="s">
        <v>1925</v>
      </c>
      <c r="D4" s="523" t="s">
        <v>1925</v>
      </c>
    </row>
    <row r="5" spans="1:4" ht="33" customHeight="1" thickBot="1">
      <c r="A5" s="542"/>
      <c r="B5" s="542" t="s">
        <v>179</v>
      </c>
      <c r="C5" s="544"/>
      <c r="D5" s="545"/>
    </row>
    <row r="6" spans="1:4" ht="21.75" customHeight="1" thickBot="1">
      <c r="A6" s="546">
        <v>800</v>
      </c>
      <c r="B6" s="7" t="s">
        <v>180</v>
      </c>
      <c r="C6" s="29" t="s">
        <v>1013</v>
      </c>
      <c r="D6" s="461">
        <v>595118871.70000005</v>
      </c>
    </row>
    <row r="7" spans="1:4" ht="23.25" customHeight="1" thickBot="1">
      <c r="A7" s="546">
        <v>800</v>
      </c>
      <c r="B7" s="533" t="s">
        <v>181</v>
      </c>
      <c r="C7" s="29">
        <v>95045249.579999998</v>
      </c>
      <c r="D7" s="461" t="s">
        <v>1013</v>
      </c>
    </row>
    <row r="8" spans="1:4" ht="46.5" customHeight="1" thickBot="1">
      <c r="A8" s="546"/>
      <c r="B8" s="7"/>
      <c r="C8" s="552" t="s">
        <v>182</v>
      </c>
      <c r="D8" s="553" t="s">
        <v>183</v>
      </c>
    </row>
    <row r="9" spans="1:4" ht="26.25" customHeight="1" thickBot="1">
      <c r="A9" s="546"/>
      <c r="B9" s="549" t="s">
        <v>184</v>
      </c>
      <c r="C9" s="29"/>
      <c r="D9" s="461"/>
    </row>
    <row r="10" spans="1:4" ht="21.75" customHeight="1" thickBot="1">
      <c r="A10" s="546">
        <v>280</v>
      </c>
      <c r="B10" s="533" t="s">
        <v>185</v>
      </c>
      <c r="C10" s="29">
        <v>17430019.100000001</v>
      </c>
      <c r="D10" s="86">
        <v>15045668.699999999</v>
      </c>
    </row>
    <row r="11" spans="1:4" ht="24" customHeight="1" thickBot="1">
      <c r="A11" s="546">
        <v>281</v>
      </c>
      <c r="B11" s="533" t="s">
        <v>186</v>
      </c>
      <c r="C11" s="29">
        <v>7500000</v>
      </c>
      <c r="D11" s="86">
        <v>100000</v>
      </c>
    </row>
    <row r="12" spans="1:4" ht="21.75" customHeight="1" thickBot="1">
      <c r="A12" s="546">
        <v>282</v>
      </c>
      <c r="B12" s="7" t="s">
        <v>187</v>
      </c>
      <c r="C12" s="29">
        <v>0</v>
      </c>
      <c r="D12" s="86">
        <v>325762.45</v>
      </c>
    </row>
    <row r="13" spans="1:4" ht="28.5" customHeight="1" thickBot="1">
      <c r="A13" s="547"/>
      <c r="B13" s="550" t="s">
        <v>188</v>
      </c>
      <c r="C13" s="29"/>
      <c r="D13" s="86"/>
    </row>
    <row r="14" spans="1:4" s="537" customFormat="1" ht="24.75" customHeight="1" thickBot="1">
      <c r="A14" s="546">
        <v>290</v>
      </c>
      <c r="B14" s="533" t="s">
        <v>189</v>
      </c>
      <c r="C14" s="29">
        <v>511678532.42000002</v>
      </c>
      <c r="D14" s="86">
        <v>104772612.45</v>
      </c>
    </row>
    <row r="15" spans="1:4" s="537" customFormat="1" ht="30.75" customHeight="1" thickBot="1">
      <c r="A15" s="546">
        <v>290.5</v>
      </c>
      <c r="B15" s="533" t="s">
        <v>464</v>
      </c>
      <c r="C15" s="29">
        <v>6241814.46</v>
      </c>
      <c r="D15" s="86">
        <v>271651.96999999997</v>
      </c>
    </row>
    <row r="16" spans="1:4" ht="25.5" customHeight="1" thickBot="1">
      <c r="A16" s="546">
        <v>291</v>
      </c>
      <c r="B16" s="533" t="s">
        <v>190</v>
      </c>
      <c r="C16" s="29">
        <v>30977958.84</v>
      </c>
      <c r="D16" s="86">
        <v>6779513.0300000003</v>
      </c>
    </row>
    <row r="17" spans="1:4" ht="24" customHeight="1" thickBot="1">
      <c r="A17" s="546">
        <v>292</v>
      </c>
      <c r="B17" s="533" t="s">
        <v>191</v>
      </c>
      <c r="C17" s="29">
        <v>3021261.62</v>
      </c>
      <c r="D17" s="86">
        <v>0</v>
      </c>
    </row>
    <row r="18" spans="1:4" ht="22.5" customHeight="1" thickBot="1">
      <c r="A18" s="546">
        <v>293</v>
      </c>
      <c r="B18" s="533" t="s">
        <v>192</v>
      </c>
      <c r="C18" s="29">
        <v>58914760.829999998</v>
      </c>
      <c r="D18" s="86">
        <v>8395516.5899999999</v>
      </c>
    </row>
    <row r="19" spans="1:4" ht="13.5" customHeight="1" thickBot="1">
      <c r="A19" s="546"/>
      <c r="B19" s="7"/>
      <c r="C19" s="29"/>
      <c r="D19" s="86"/>
    </row>
    <row r="20" spans="1:4" s="35" customFormat="1" ht="33" customHeight="1" thickBot="1">
      <c r="A20" s="554"/>
      <c r="B20" s="534" t="s">
        <v>193</v>
      </c>
      <c r="C20" s="84">
        <v>730809596.85000002</v>
      </c>
      <c r="D20" s="555">
        <v>730809596.88999999</v>
      </c>
    </row>
    <row r="21" spans="1:4" ht="2.25" customHeight="1" thickBot="1">
      <c r="A21" s="512"/>
      <c r="B21" s="551"/>
      <c r="C21" s="33"/>
      <c r="D21" s="97"/>
    </row>
    <row r="22" spans="1:4" ht="19.5" customHeight="1">
      <c r="A22" s="9" t="s">
        <v>379</v>
      </c>
      <c r="B22" s="98"/>
      <c r="C22" s="111"/>
      <c r="D22" s="527"/>
    </row>
    <row r="23" spans="1:4" ht="14.25" customHeight="1">
      <c r="A23" s="37"/>
      <c r="B23" s="99"/>
      <c r="C23" s="112"/>
      <c r="D23" s="528"/>
    </row>
    <row r="24" spans="1:4">
      <c r="A24" s="3" t="s">
        <v>194</v>
      </c>
    </row>
    <row r="27" spans="1:4">
      <c r="A27" s="118" t="s">
        <v>256</v>
      </c>
    </row>
  </sheetData>
  <phoneticPr fontId="0" type="noConversion"/>
  <pageMargins left="0.78740157480314965" right="0.78740157480314965" top="1.05" bottom="0.49" header="0.56000000000000005" footer="0.4921259845"/>
  <pageSetup paperSize="9" scale="83" orientation="portrait" horizontalDpi="1200" verticalDpi="1200"/>
  <headerFooter alignWithMargins="0">
    <oddHeader>&amp;L&amp;"Arial,Bold"Gesamtgeschäft der vom BAG anerkannten Krankenversicherer</oddHead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77D2E-C60A-144C-91E6-FC99182584D5}">
  <sheetPr>
    <pageSetUpPr fitToPage="1"/>
  </sheetPr>
  <dimension ref="A1:B26"/>
  <sheetViews>
    <sheetView workbookViewId="0">
      <selection activeCell="B4" sqref="B4"/>
    </sheetView>
  </sheetViews>
  <sheetFormatPr baseColWidth="10" defaultColWidth="11.3984375" defaultRowHeight="13"/>
  <cols>
    <col min="1" max="1" width="5.59765625" style="366" customWidth="1"/>
    <col min="2" max="8" width="11.3984375" style="366"/>
    <col min="9" max="9" width="10.796875" style="366" customWidth="1"/>
    <col min="10" max="10" width="7.59765625" style="366" customWidth="1"/>
    <col min="11" max="16384" width="11.3984375" style="366"/>
  </cols>
  <sheetData>
    <row r="1" spans="1:2" ht="16">
      <c r="A1" s="365" t="s">
        <v>1676</v>
      </c>
    </row>
    <row r="2" spans="1:2" ht="16">
      <c r="A2" s="367"/>
    </row>
    <row r="3" spans="1:2">
      <c r="A3" s="368">
        <v>9.01</v>
      </c>
      <c r="B3" s="369" t="s">
        <v>2133</v>
      </c>
    </row>
    <row r="4" spans="1:2">
      <c r="A4" s="368">
        <v>9.02</v>
      </c>
      <c r="B4" s="369" t="s">
        <v>1678</v>
      </c>
    </row>
    <row r="5" spans="1:2">
      <c r="A5" s="368">
        <v>9.0299999999999994</v>
      </c>
      <c r="B5" s="369" t="s">
        <v>1679</v>
      </c>
    </row>
    <row r="6" spans="1:2">
      <c r="A6" s="368">
        <v>9.0399999999999991</v>
      </c>
      <c r="B6" s="369" t="s">
        <v>1680</v>
      </c>
    </row>
    <row r="7" spans="1:2">
      <c r="A7" s="368">
        <v>9.0500000000000007</v>
      </c>
      <c r="B7" s="369" t="s">
        <v>1681</v>
      </c>
    </row>
    <row r="8" spans="1:2">
      <c r="A8" s="368">
        <v>9.06</v>
      </c>
      <c r="B8" s="369" t="s">
        <v>1682</v>
      </c>
    </row>
    <row r="9" spans="1:2">
      <c r="A9" s="368">
        <v>9.07</v>
      </c>
      <c r="B9" s="370" t="s">
        <v>1683</v>
      </c>
    </row>
    <row r="10" spans="1:2">
      <c r="A10" s="368">
        <v>9.08</v>
      </c>
      <c r="B10" s="369" t="s">
        <v>1684</v>
      </c>
    </row>
    <row r="11" spans="1:2">
      <c r="A11" s="368">
        <v>9.09</v>
      </c>
      <c r="B11" s="369" t="s">
        <v>1685</v>
      </c>
    </row>
    <row r="12" spans="1:2">
      <c r="A12" s="368">
        <v>9.1</v>
      </c>
      <c r="B12" s="369" t="s">
        <v>1686</v>
      </c>
    </row>
    <row r="13" spans="1:2">
      <c r="A13" s="368">
        <v>9.11</v>
      </c>
      <c r="B13" s="369" t="s">
        <v>1687</v>
      </c>
    </row>
    <row r="14" spans="1:2">
      <c r="A14" s="368">
        <v>9.1199999999999992</v>
      </c>
      <c r="B14" s="369" t="s">
        <v>1688</v>
      </c>
    </row>
    <row r="15" spans="1:2">
      <c r="A15" s="368">
        <v>9.1300000000000008</v>
      </c>
      <c r="B15" s="369" t="s">
        <v>1689</v>
      </c>
    </row>
    <row r="16" spans="1:2">
      <c r="A16" s="368">
        <v>9.14</v>
      </c>
      <c r="B16" s="369" t="s">
        <v>1690</v>
      </c>
    </row>
    <row r="17" spans="1:2">
      <c r="A17" s="368">
        <v>9.15</v>
      </c>
      <c r="B17" s="369" t="s">
        <v>2132</v>
      </c>
    </row>
    <row r="18" spans="1:2">
      <c r="A18" s="368">
        <v>9.16</v>
      </c>
      <c r="B18" s="369" t="s">
        <v>1691</v>
      </c>
    </row>
    <row r="19" spans="1:2">
      <c r="A19" s="368">
        <v>9.17</v>
      </c>
      <c r="B19" s="369" t="s">
        <v>1692</v>
      </c>
    </row>
    <row r="20" spans="1:2">
      <c r="A20" s="368">
        <v>9.18</v>
      </c>
      <c r="B20" s="369" t="s">
        <v>1693</v>
      </c>
    </row>
    <row r="21" spans="1:2">
      <c r="A21" s="368">
        <v>9.19</v>
      </c>
      <c r="B21" s="369" t="s">
        <v>1677</v>
      </c>
    </row>
    <row r="22" spans="1:2">
      <c r="A22" s="368">
        <v>9.1999999999999993</v>
      </c>
      <c r="B22" s="369" t="s">
        <v>1362</v>
      </c>
    </row>
    <row r="25" spans="1:2">
      <c r="A25" s="371" t="s">
        <v>256</v>
      </c>
    </row>
    <row r="26" spans="1:2">
      <c r="B26" s="370"/>
    </row>
  </sheetData>
  <phoneticPr fontId="21" type="noConversion"/>
  <pageMargins left="0.46" right="0.3" top="0.78" bottom="0.984251969" header="0.34" footer="0.4921259845"/>
  <pageSetup paperSize="9" orientation="portrait"/>
  <headerFooter alignWithMargins="0"/>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ADDB3-B9A2-FC45-8EBE-9BB015BA772D}">
  <sheetPr>
    <pageSetUpPr fitToPage="1"/>
  </sheetPr>
  <dimension ref="A1:J38"/>
  <sheetViews>
    <sheetView topLeftCell="A15" zoomScale="75" workbookViewId="0">
      <selection activeCell="A29" sqref="A1:G29"/>
    </sheetView>
  </sheetViews>
  <sheetFormatPr baseColWidth="10" defaultColWidth="11.3984375" defaultRowHeight="13"/>
  <cols>
    <col min="1" max="1" width="15.796875" style="3" customWidth="1"/>
    <col min="2" max="7" width="15.796875" style="21" customWidth="1"/>
    <col min="8" max="16384" width="11.3984375" style="3"/>
  </cols>
  <sheetData>
    <row r="1" spans="1:8" s="1" customFormat="1" ht="14" customHeight="1">
      <c r="A1" s="372"/>
      <c r="B1" s="373"/>
      <c r="C1" s="373"/>
      <c r="D1" s="373"/>
      <c r="E1" s="373"/>
      <c r="F1" s="373"/>
      <c r="G1" s="373"/>
    </row>
    <row r="2" spans="1:8" s="1" customFormat="1" ht="38.25" customHeight="1">
      <c r="A2" s="1492" t="s">
        <v>1899</v>
      </c>
      <c r="B2" s="1474"/>
      <c r="C2" s="1474"/>
      <c r="D2" s="1474"/>
      <c r="E2" s="1474"/>
      <c r="F2" s="1474"/>
      <c r="G2" s="321">
        <v>2003</v>
      </c>
    </row>
    <row r="3" spans="1:8" ht="27" customHeight="1">
      <c r="A3" s="2" t="s">
        <v>1591</v>
      </c>
      <c r="B3" s="69" t="s">
        <v>1894</v>
      </c>
      <c r="C3" s="16" t="s">
        <v>1884</v>
      </c>
      <c r="D3" s="69" t="s">
        <v>1849</v>
      </c>
      <c r="E3" s="16" t="s">
        <v>1180</v>
      </c>
      <c r="F3" s="69" t="s">
        <v>1849</v>
      </c>
      <c r="G3" s="16" t="s">
        <v>1205</v>
      </c>
    </row>
    <row r="4" spans="1:8" ht="15" customHeight="1">
      <c r="A4" s="77"/>
      <c r="B4" s="470"/>
      <c r="C4" s="471" t="s">
        <v>1404</v>
      </c>
      <c r="D4" s="70" t="s">
        <v>1900</v>
      </c>
      <c r="E4" s="17" t="s">
        <v>1885</v>
      </c>
      <c r="F4" s="70" t="s">
        <v>1886</v>
      </c>
      <c r="G4" s="17"/>
    </row>
    <row r="5" spans="1:8" ht="15" customHeight="1">
      <c r="A5" s="77"/>
      <c r="B5" s="70"/>
      <c r="C5" s="17" t="s">
        <v>1895</v>
      </c>
      <c r="D5" s="70" t="s">
        <v>1901</v>
      </c>
      <c r="E5" s="471" t="s">
        <v>1908</v>
      </c>
      <c r="F5" s="470" t="s">
        <v>1888</v>
      </c>
      <c r="G5" s="17"/>
    </row>
    <row r="6" spans="1:8" ht="25.5" customHeight="1">
      <c r="A6" s="405"/>
      <c r="B6" s="391"/>
      <c r="C6" s="18"/>
      <c r="D6" s="73" t="s">
        <v>1909</v>
      </c>
      <c r="E6" s="18"/>
      <c r="F6" s="73" t="s">
        <v>1910</v>
      </c>
      <c r="G6" s="392"/>
    </row>
    <row r="7" spans="1:8" ht="20.25" customHeight="1" thickBot="1">
      <c r="A7" s="379">
        <v>1995</v>
      </c>
      <c r="B7" s="446">
        <v>5829.2259104001059</v>
      </c>
      <c r="C7" s="445">
        <v>2754.3731066618379</v>
      </c>
      <c r="D7" s="446">
        <v>3319.4</v>
      </c>
      <c r="E7" s="445">
        <v>23895.794723496565</v>
      </c>
      <c r="F7" s="446">
        <v>362.09251568412327</v>
      </c>
      <c r="G7" s="445">
        <v>36160.886256242629</v>
      </c>
    </row>
    <row r="8" spans="1:8" ht="18" customHeight="1" thickBot="1">
      <c r="A8" s="380">
        <v>1996</v>
      </c>
      <c r="B8" s="473">
        <v>6108.1158740877472</v>
      </c>
      <c r="C8" s="88">
        <v>2881.6227466771279</v>
      </c>
      <c r="D8" s="473">
        <v>2760.27</v>
      </c>
      <c r="E8" s="88">
        <v>25779.589166335027</v>
      </c>
      <c r="F8" s="473">
        <v>378.69191084150691</v>
      </c>
      <c r="G8" s="88">
        <v>37908.289697941407</v>
      </c>
    </row>
    <row r="9" spans="1:8" ht="18" customHeight="1" thickBot="1">
      <c r="A9" s="380">
        <v>1997</v>
      </c>
      <c r="B9" s="473">
        <v>6057.9558227212619</v>
      </c>
      <c r="C9" s="88">
        <v>3011.3899942252165</v>
      </c>
      <c r="D9" s="473">
        <v>3024.94</v>
      </c>
      <c r="E9" s="88">
        <v>26188.70940181617</v>
      </c>
      <c r="F9" s="473">
        <v>386.63132230196129</v>
      </c>
      <c r="G9" s="88">
        <v>38669.626541064608</v>
      </c>
    </row>
    <row r="10" spans="1:8" ht="18" customHeight="1" thickBot="1">
      <c r="A10" s="380">
        <v>1998</v>
      </c>
      <c r="B10" s="473">
        <v>6131.7435544855471</v>
      </c>
      <c r="C10" s="88">
        <v>3176.3677925723964</v>
      </c>
      <c r="D10" s="473">
        <v>3270.2</v>
      </c>
      <c r="E10" s="88">
        <v>27318.880597474119</v>
      </c>
      <c r="F10" s="473">
        <v>395.20236445468498</v>
      </c>
      <c r="G10" s="88">
        <v>40292.394308986753</v>
      </c>
    </row>
    <row r="11" spans="1:8" ht="18" customHeight="1" thickBot="1">
      <c r="A11" s="380">
        <v>1999</v>
      </c>
      <c r="B11" s="473">
        <v>6416.6639279999999</v>
      </c>
      <c r="C11" s="88">
        <v>3314.4716839527723</v>
      </c>
      <c r="D11" s="473">
        <v>3620.5</v>
      </c>
      <c r="E11" s="88">
        <v>27825.139583369215</v>
      </c>
      <c r="F11" s="473">
        <v>408.78423901554766</v>
      </c>
      <c r="G11" s="88">
        <v>41585.559434337534</v>
      </c>
    </row>
    <row r="12" spans="1:8" ht="18" customHeight="1" thickBot="1">
      <c r="A12" s="380">
        <v>2000</v>
      </c>
      <c r="B12" s="473">
        <v>6599.5077579999997</v>
      </c>
      <c r="C12" s="88">
        <v>3458.985264289614</v>
      </c>
      <c r="D12" s="473">
        <v>3725.7</v>
      </c>
      <c r="E12" s="88">
        <v>29137.399971696475</v>
      </c>
      <c r="F12" s="473">
        <v>443.72611837314082</v>
      </c>
      <c r="G12" s="88">
        <v>43365.319112359233</v>
      </c>
    </row>
    <row r="13" spans="1:8" ht="18" customHeight="1" thickBot="1">
      <c r="A13" s="380">
        <v>2001</v>
      </c>
      <c r="B13" s="473">
        <v>7802.4641409999995</v>
      </c>
      <c r="C13" s="88">
        <v>3661.4400591827011</v>
      </c>
      <c r="D13" s="473">
        <v>3837.6</v>
      </c>
      <c r="E13" s="88">
        <v>30364.520158769472</v>
      </c>
      <c r="F13" s="473">
        <v>463.46745935715603</v>
      </c>
      <c r="G13" s="88">
        <v>46129.491818309332</v>
      </c>
    </row>
    <row r="14" spans="1:8" ht="30" customHeight="1" thickBot="1">
      <c r="A14" s="1447" t="s">
        <v>1898</v>
      </c>
      <c r="B14" s="1455">
        <v>8576.483334999999</v>
      </c>
      <c r="C14" s="1456" t="s">
        <v>1013</v>
      </c>
      <c r="D14" s="1455" t="s">
        <v>1013</v>
      </c>
      <c r="E14" s="1456" t="s">
        <v>1013</v>
      </c>
      <c r="F14" s="1455">
        <v>477.70596569061348</v>
      </c>
      <c r="G14" s="1456">
        <v>47959.060861776779</v>
      </c>
    </row>
    <row r="15" spans="1:8" ht="20" customHeight="1">
      <c r="A15" s="477" t="s">
        <v>1586</v>
      </c>
      <c r="B15" s="478"/>
      <c r="C15" s="478"/>
      <c r="D15" s="478"/>
      <c r="E15" s="478"/>
      <c r="F15" s="478"/>
      <c r="G15" s="478"/>
    </row>
    <row r="16" spans="1:8" ht="12.75" customHeight="1">
      <c r="A16" s="883"/>
      <c r="B16" s="385"/>
      <c r="C16" s="385"/>
      <c r="D16" s="385"/>
      <c r="E16" s="385"/>
      <c r="F16" s="385"/>
      <c r="G16" s="385"/>
      <c r="H16" s="38"/>
    </row>
    <row r="17" spans="1:10" ht="12.75" customHeight="1">
      <c r="A17" s="883" t="s">
        <v>1889</v>
      </c>
      <c r="B17" s="385"/>
      <c r="C17" s="385"/>
      <c r="D17" s="385"/>
      <c r="E17" s="385"/>
      <c r="F17" s="385"/>
      <c r="G17" s="385"/>
      <c r="H17" s="38"/>
    </row>
    <row r="18" spans="1:10" ht="12.75" customHeight="1">
      <c r="A18" s="883" t="s">
        <v>1902</v>
      </c>
      <c r="B18" s="385"/>
      <c r="C18" s="385"/>
      <c r="D18" s="385"/>
      <c r="E18" s="385"/>
      <c r="F18" s="385"/>
      <c r="G18" s="385"/>
      <c r="H18" s="38"/>
    </row>
    <row r="19" spans="1:10" ht="12.75" customHeight="1">
      <c r="A19" s="883" t="s">
        <v>1903</v>
      </c>
      <c r="B19" s="385"/>
      <c r="C19" s="385"/>
      <c r="D19" s="385"/>
      <c r="E19" s="385"/>
      <c r="F19" s="385"/>
      <c r="G19" s="385"/>
      <c r="H19" s="38"/>
    </row>
    <row r="20" spans="1:10" ht="12.75" customHeight="1">
      <c r="A20" s="883" t="s">
        <v>1904</v>
      </c>
      <c r="B20" s="385"/>
      <c r="C20" s="385"/>
      <c r="D20" s="385"/>
      <c r="E20" s="385"/>
      <c r="F20" s="385"/>
      <c r="G20" s="385"/>
      <c r="H20" s="38"/>
    </row>
    <row r="21" spans="1:10" ht="12.75" customHeight="1">
      <c r="A21" s="883" t="s">
        <v>1905</v>
      </c>
      <c r="B21" s="385"/>
      <c r="C21" s="385"/>
      <c r="D21" s="385"/>
      <c r="E21" s="385"/>
      <c r="F21" s="385"/>
      <c r="G21" s="385"/>
      <c r="H21" s="38"/>
    </row>
    <row r="22" spans="1:10" ht="12.75" customHeight="1">
      <c r="A22" s="883" t="s">
        <v>1906</v>
      </c>
      <c r="B22" s="385"/>
      <c r="C22" s="385"/>
      <c r="D22" s="385"/>
      <c r="E22" s="385"/>
      <c r="F22" s="385"/>
      <c r="G22" s="385"/>
      <c r="H22" s="38"/>
    </row>
    <row r="23" spans="1:10" ht="12.75" customHeight="1">
      <c r="A23" s="883" t="s">
        <v>1907</v>
      </c>
      <c r="B23" s="385"/>
      <c r="C23" s="385"/>
      <c r="D23" s="385"/>
      <c r="E23" s="385"/>
      <c r="F23" s="385"/>
      <c r="G23" s="385"/>
      <c r="H23" s="38"/>
    </row>
    <row r="24" spans="1:10" ht="12.75" customHeight="1">
      <c r="A24" s="883" t="s">
        <v>1878</v>
      </c>
      <c r="B24" s="385"/>
      <c r="C24" s="385"/>
      <c r="D24" s="385"/>
      <c r="E24" s="385"/>
      <c r="F24" s="385"/>
      <c r="G24" s="385"/>
      <c r="H24" s="38"/>
    </row>
    <row r="25" spans="1:10" ht="12.75" customHeight="1">
      <c r="A25" s="883"/>
      <c r="B25" s="385"/>
      <c r="C25" s="385"/>
      <c r="D25" s="385"/>
      <c r="E25" s="385"/>
      <c r="F25" s="385"/>
      <c r="G25" s="385"/>
      <c r="H25" s="38"/>
    </row>
    <row r="26" spans="1:10" ht="12.75" customHeight="1">
      <c r="A26" s="883" t="s">
        <v>1198</v>
      </c>
      <c r="B26" s="385"/>
      <c r="C26" s="385"/>
      <c r="D26" s="385"/>
      <c r="E26" s="385"/>
      <c r="F26" s="385"/>
      <c r="G26" s="385"/>
      <c r="H26" s="38"/>
    </row>
    <row r="27" spans="1:10" ht="13.5" customHeight="1">
      <c r="A27" s="134"/>
      <c r="B27" s="494"/>
      <c r="C27" s="494"/>
      <c r="D27" s="494"/>
      <c r="E27" s="494"/>
      <c r="F27" s="494"/>
      <c r="G27" s="494"/>
      <c r="H27" s="38"/>
    </row>
    <row r="28" spans="1:10" ht="15.75" customHeight="1">
      <c r="A28" s="1033"/>
      <c r="B28" s="494"/>
      <c r="C28" s="494"/>
      <c r="D28" s="494"/>
      <c r="E28" s="494"/>
      <c r="F28" s="494"/>
      <c r="G28" s="494"/>
      <c r="H28" s="38"/>
    </row>
    <row r="29" spans="1:10" ht="13.5" customHeight="1">
      <c r="A29" s="38" t="s">
        <v>256</v>
      </c>
      <c r="B29" s="494"/>
      <c r="C29" s="494"/>
      <c r="D29" s="494"/>
      <c r="E29" s="494"/>
      <c r="F29" s="494"/>
      <c r="G29" s="494"/>
      <c r="H29" s="38"/>
    </row>
    <row r="30" spans="1:10" ht="31" customHeight="1">
      <c r="A30" s="355"/>
      <c r="B30" s="482"/>
      <c r="C30" s="482"/>
      <c r="D30" s="482"/>
      <c r="E30" s="482"/>
      <c r="F30" s="482"/>
      <c r="G30" s="482"/>
    </row>
    <row r="31" spans="1:10" ht="31" customHeight="1">
      <c r="A31" s="355"/>
      <c r="B31" s="482"/>
      <c r="C31" s="482"/>
      <c r="D31" s="482"/>
      <c r="E31" s="482"/>
      <c r="F31" s="482"/>
      <c r="G31" s="482"/>
      <c r="J31" s="1"/>
    </row>
    <row r="32" spans="1:10" ht="31" customHeight="1">
      <c r="A32" s="355"/>
      <c r="B32" s="482"/>
      <c r="C32" s="482"/>
      <c r="D32" s="482"/>
      <c r="E32" s="482"/>
      <c r="F32" s="482"/>
      <c r="G32" s="482"/>
    </row>
    <row r="33" spans="1:7" ht="31" customHeight="1">
      <c r="A33" s="355"/>
      <c r="B33" s="482"/>
      <c r="C33" s="482"/>
      <c r="D33" s="482"/>
      <c r="E33" s="482"/>
      <c r="F33" s="482"/>
      <c r="G33" s="482"/>
    </row>
    <row r="34" spans="1:7" ht="31" customHeight="1">
      <c r="A34" s="355"/>
      <c r="B34" s="482"/>
      <c r="C34" s="482"/>
      <c r="D34" s="482"/>
      <c r="E34" s="482"/>
      <c r="F34" s="482"/>
      <c r="G34" s="482"/>
    </row>
    <row r="35" spans="1:7" ht="31" customHeight="1">
      <c r="A35" s="355"/>
      <c r="B35" s="482"/>
      <c r="C35" s="482"/>
      <c r="D35" s="482"/>
      <c r="E35" s="482"/>
      <c r="F35" s="482"/>
      <c r="G35" s="482"/>
    </row>
    <row r="36" spans="1:7" ht="31" customHeight="1">
      <c r="A36" s="355"/>
      <c r="B36" s="482"/>
      <c r="C36" s="482"/>
      <c r="D36" s="482"/>
      <c r="E36" s="482"/>
      <c r="F36" s="482"/>
      <c r="G36" s="482"/>
    </row>
    <row r="37" spans="1:7">
      <c r="A37" s="355"/>
      <c r="B37" s="482"/>
      <c r="C37" s="482"/>
      <c r="D37" s="482"/>
      <c r="E37" s="482"/>
      <c r="F37" s="482"/>
      <c r="G37" s="482"/>
    </row>
    <row r="38" spans="1:7">
      <c r="A38" s="355"/>
      <c r="B38" s="482"/>
      <c r="C38" s="482"/>
      <c r="D38" s="482"/>
      <c r="E38" s="482"/>
      <c r="F38" s="482"/>
      <c r="G38" s="482"/>
    </row>
  </sheetData>
  <mergeCells count="1">
    <mergeCell ref="A2:F2"/>
  </mergeCells>
  <phoneticPr fontId="0" type="noConversion"/>
  <pageMargins left="0.56000000000000005" right="0.51" top="1.02" bottom="0.49" header="0.68" footer="0.4921259845"/>
  <pageSetup paperSize="9" scale="84" orientation="portrait" horizontalDpi="4294967292" verticalDpi="4294967292"/>
  <headerFooter alignWithMargins="0">
    <oddHeader>&amp;L&amp;"Arial,Bold"Zusatzinformationen zum Gesundheitswesen</oddHead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308C4-C6D5-FF43-B8EA-6FFD1394E3D1}">
  <sheetPr>
    <pageSetUpPr fitToPage="1"/>
  </sheetPr>
  <dimension ref="A1:J38"/>
  <sheetViews>
    <sheetView topLeftCell="A16" zoomScale="75" workbookViewId="0">
      <selection activeCell="A29" sqref="A1:G29"/>
    </sheetView>
  </sheetViews>
  <sheetFormatPr baseColWidth="10" defaultColWidth="11.3984375" defaultRowHeight="13"/>
  <cols>
    <col min="1" max="1" width="14.19921875" style="3" customWidth="1"/>
    <col min="2" max="7" width="14.19921875" style="21" customWidth="1"/>
    <col min="8" max="16384" width="11.3984375" style="3"/>
  </cols>
  <sheetData>
    <row r="1" spans="1:7" s="1" customFormat="1" ht="14" customHeight="1">
      <c r="A1" s="372"/>
      <c r="B1" s="373"/>
      <c r="C1" s="373"/>
      <c r="D1" s="373"/>
      <c r="E1" s="373"/>
      <c r="F1" s="373"/>
      <c r="G1" s="373"/>
    </row>
    <row r="2" spans="1:7" s="1" customFormat="1" ht="38.25" customHeight="1">
      <c r="A2" s="1492" t="s">
        <v>1883</v>
      </c>
      <c r="B2" s="1474"/>
      <c r="C2" s="1474"/>
      <c r="D2" s="1474"/>
      <c r="E2" s="1474"/>
      <c r="F2" s="1474"/>
      <c r="G2" s="321">
        <v>2003</v>
      </c>
    </row>
    <row r="3" spans="1:7" ht="27" customHeight="1">
      <c r="A3" s="2" t="s">
        <v>1591</v>
      </c>
      <c r="B3" s="69" t="s">
        <v>1894</v>
      </c>
      <c r="C3" s="16" t="s">
        <v>1884</v>
      </c>
      <c r="D3" s="69" t="s">
        <v>572</v>
      </c>
      <c r="E3" s="16" t="s">
        <v>1180</v>
      </c>
      <c r="F3" s="69" t="s">
        <v>1849</v>
      </c>
      <c r="G3" s="16" t="s">
        <v>1205</v>
      </c>
    </row>
    <row r="4" spans="1:7" ht="15" customHeight="1">
      <c r="A4" s="77"/>
      <c r="B4" s="470"/>
      <c r="C4" s="471" t="s">
        <v>1404</v>
      </c>
      <c r="D4" s="70" t="s">
        <v>1404</v>
      </c>
      <c r="E4" s="17" t="s">
        <v>1885</v>
      </c>
      <c r="F4" s="70" t="s">
        <v>1886</v>
      </c>
      <c r="G4" s="17"/>
    </row>
    <row r="5" spans="1:7" ht="15" customHeight="1">
      <c r="A5" s="77"/>
      <c r="B5" s="70"/>
      <c r="C5" s="17" t="s">
        <v>1895</v>
      </c>
      <c r="D5" s="70" t="s">
        <v>1887</v>
      </c>
      <c r="E5" s="471" t="s">
        <v>1896</v>
      </c>
      <c r="F5" s="470" t="s">
        <v>1888</v>
      </c>
      <c r="G5" s="17"/>
    </row>
    <row r="6" spans="1:7" ht="25.5" customHeight="1">
      <c r="A6" s="405"/>
      <c r="B6" s="391"/>
      <c r="C6" s="18"/>
      <c r="D6" s="73" t="s">
        <v>1771</v>
      </c>
      <c r="E6" s="18"/>
      <c r="F6" s="73" t="s">
        <v>1897</v>
      </c>
      <c r="G6" s="392"/>
    </row>
    <row r="7" spans="1:7" ht="20.25" customHeight="1" thickBot="1">
      <c r="A7" s="958">
        <v>1985</v>
      </c>
      <c r="B7" s="976">
        <v>3435.9883913800195</v>
      </c>
      <c r="C7" s="961">
        <v>6102.1255417141483</v>
      </c>
      <c r="D7" s="976">
        <v>2100.8188973029673</v>
      </c>
      <c r="E7" s="961">
        <v>7138.7107602051492</v>
      </c>
      <c r="F7" s="976">
        <v>188.29267522168962</v>
      </c>
      <c r="G7" s="961">
        <v>18965.936265823973</v>
      </c>
    </row>
    <row r="8" spans="1:7" ht="18" customHeight="1" thickBot="1">
      <c r="A8" s="380">
        <v>1990</v>
      </c>
      <c r="B8" s="473">
        <v>5180.7982379554232</v>
      </c>
      <c r="C8" s="88">
        <v>9019.9460054249939</v>
      </c>
      <c r="D8" s="473">
        <v>2971.7209607619516</v>
      </c>
      <c r="E8" s="88">
        <v>9670.1627745426231</v>
      </c>
      <c r="F8" s="473">
        <v>269.16424351651347</v>
      </c>
      <c r="G8" s="88">
        <v>27111.792222201504</v>
      </c>
    </row>
    <row r="9" spans="1:7" ht="20.25" customHeight="1" thickBot="1">
      <c r="A9" s="379">
        <v>1995</v>
      </c>
      <c r="B9" s="446">
        <v>5829.2</v>
      </c>
      <c r="C9" s="445">
        <v>13614.3</v>
      </c>
      <c r="D9" s="446">
        <v>4426</v>
      </c>
      <c r="E9" s="445">
        <v>11929.3</v>
      </c>
      <c r="F9" s="446">
        <v>362.1</v>
      </c>
      <c r="G9" s="445">
        <v>36160.9</v>
      </c>
    </row>
    <row r="10" spans="1:7" ht="18" customHeight="1" thickBot="1">
      <c r="A10" s="380">
        <v>1996</v>
      </c>
      <c r="B10" s="473">
        <v>6108.1</v>
      </c>
      <c r="C10" s="88">
        <v>14621.3</v>
      </c>
      <c r="D10" s="473">
        <v>4896.5</v>
      </c>
      <c r="E10" s="88">
        <v>11903.7</v>
      </c>
      <c r="F10" s="473">
        <v>378.7</v>
      </c>
      <c r="G10" s="88">
        <v>37908.300000000003</v>
      </c>
    </row>
    <row r="11" spans="1:7" ht="18" customHeight="1" thickBot="1">
      <c r="A11" s="380">
        <v>1997</v>
      </c>
      <c r="B11" s="473">
        <v>6058</v>
      </c>
      <c r="C11" s="88">
        <v>15271.7</v>
      </c>
      <c r="D11" s="473">
        <v>4463.3999999999996</v>
      </c>
      <c r="E11" s="88">
        <v>12489.9</v>
      </c>
      <c r="F11" s="473">
        <v>386.6</v>
      </c>
      <c r="G11" s="88">
        <v>38669.599999999999</v>
      </c>
    </row>
    <row r="12" spans="1:7" ht="18" customHeight="1" thickBot="1">
      <c r="A12" s="380">
        <v>1998</v>
      </c>
      <c r="B12" s="473">
        <v>6131.7</v>
      </c>
      <c r="C12" s="88">
        <v>15975.1</v>
      </c>
      <c r="D12" s="473">
        <v>4590.2</v>
      </c>
      <c r="E12" s="88">
        <v>13200.2</v>
      </c>
      <c r="F12" s="473">
        <v>395.2</v>
      </c>
      <c r="G12" s="88">
        <v>40292.400000000001</v>
      </c>
    </row>
    <row r="13" spans="1:7" ht="18" customHeight="1" thickBot="1">
      <c r="A13" s="380">
        <v>1999</v>
      </c>
      <c r="B13" s="473">
        <v>6416.6639269999996</v>
      </c>
      <c r="C13" s="88">
        <v>16596.671683952769</v>
      </c>
      <c r="D13" s="473">
        <v>4331.8999999999996</v>
      </c>
      <c r="E13" s="88">
        <v>13831.539584369208</v>
      </c>
      <c r="F13" s="473">
        <v>408.8</v>
      </c>
      <c r="G13" s="88">
        <v>41585.575195321981</v>
      </c>
    </row>
    <row r="14" spans="1:7" ht="18" customHeight="1" thickBot="1">
      <c r="A14" s="380">
        <v>2000</v>
      </c>
      <c r="B14" s="473">
        <v>6599.5077570000003</v>
      </c>
      <c r="C14" s="88">
        <v>17518.085264289613</v>
      </c>
      <c r="D14" s="473">
        <v>4546.7</v>
      </c>
      <c r="E14" s="88">
        <v>14257.299972696481</v>
      </c>
      <c r="F14" s="473">
        <v>443.72611837314082</v>
      </c>
      <c r="G14" s="88">
        <v>43365.319112359233</v>
      </c>
    </row>
    <row r="15" spans="1:7" ht="18" customHeight="1" thickBot="1">
      <c r="A15" s="380">
        <v>2001</v>
      </c>
      <c r="B15" s="473">
        <v>7802.4641389999997</v>
      </c>
      <c r="C15" s="88">
        <v>18548.1400591827</v>
      </c>
      <c r="D15" s="473">
        <v>4699.8999999999996</v>
      </c>
      <c r="E15" s="88">
        <v>14615.520160769476</v>
      </c>
      <c r="F15" s="473">
        <v>463.46745935715603</v>
      </c>
      <c r="G15" s="88">
        <v>46129.491818309332</v>
      </c>
    </row>
    <row r="16" spans="1:7" ht="30" customHeight="1" thickBot="1">
      <c r="A16" s="1447" t="s">
        <v>1898</v>
      </c>
      <c r="B16" s="1455">
        <v>8576.483334999999</v>
      </c>
      <c r="C16" s="1456">
        <v>19184.999399986154</v>
      </c>
      <c r="D16" s="1455">
        <v>4615.5</v>
      </c>
      <c r="E16" s="1456">
        <v>15104.372161100018</v>
      </c>
      <c r="F16" s="1455">
        <v>477.70596569061348</v>
      </c>
      <c r="G16" s="1456">
        <v>47959.060861776779</v>
      </c>
    </row>
    <row r="17" spans="1:10" ht="20" customHeight="1">
      <c r="A17" s="477" t="s">
        <v>1586</v>
      </c>
      <c r="B17" s="478"/>
      <c r="C17" s="478"/>
      <c r="D17" s="478"/>
      <c r="E17" s="478"/>
      <c r="F17" s="478"/>
      <c r="G17" s="478"/>
    </row>
    <row r="18" spans="1:10" ht="12.75" customHeight="1">
      <c r="A18" s="883"/>
      <c r="B18" s="385"/>
      <c r="C18" s="385"/>
      <c r="D18" s="385"/>
      <c r="E18" s="385"/>
      <c r="F18" s="385"/>
      <c r="G18" s="385"/>
      <c r="H18" s="38"/>
    </row>
    <row r="19" spans="1:10" ht="12.75" customHeight="1">
      <c r="A19" s="883" t="s">
        <v>1889</v>
      </c>
      <c r="B19" s="385"/>
      <c r="C19" s="385"/>
      <c r="D19" s="385"/>
      <c r="E19" s="385"/>
      <c r="F19" s="385"/>
      <c r="G19" s="385"/>
      <c r="H19" s="38"/>
    </row>
    <row r="20" spans="1:10" ht="12.75" customHeight="1">
      <c r="A20" s="883" t="s">
        <v>1890</v>
      </c>
      <c r="B20" s="385"/>
      <c r="C20" s="385"/>
      <c r="D20" s="385"/>
      <c r="E20" s="385"/>
      <c r="F20" s="385"/>
      <c r="G20" s="385"/>
      <c r="H20" s="38"/>
    </row>
    <row r="21" spans="1:10" ht="12.75" customHeight="1">
      <c r="A21" s="883" t="s">
        <v>1891</v>
      </c>
      <c r="B21" s="385"/>
      <c r="C21" s="385"/>
      <c r="D21" s="385"/>
      <c r="E21" s="385"/>
      <c r="F21" s="385"/>
      <c r="G21" s="385"/>
      <c r="H21" s="38"/>
    </row>
    <row r="22" spans="1:10" ht="12.75" customHeight="1">
      <c r="A22" s="883" t="s">
        <v>1892</v>
      </c>
      <c r="B22" s="385"/>
      <c r="C22" s="385"/>
      <c r="D22" s="385"/>
      <c r="E22" s="385"/>
      <c r="F22" s="385"/>
      <c r="G22" s="385"/>
      <c r="H22" s="38"/>
    </row>
    <row r="23" spans="1:10" ht="12.75" customHeight="1">
      <c r="A23" s="883" t="s">
        <v>1893</v>
      </c>
      <c r="B23" s="385"/>
      <c r="C23" s="385"/>
      <c r="D23" s="385"/>
      <c r="E23" s="385"/>
      <c r="F23" s="385"/>
      <c r="G23" s="385"/>
      <c r="H23" s="38"/>
    </row>
    <row r="24" spans="1:10" ht="12.75" customHeight="1">
      <c r="A24" s="883" t="s">
        <v>1878</v>
      </c>
      <c r="B24" s="385"/>
      <c r="C24" s="385"/>
      <c r="D24" s="385"/>
      <c r="E24" s="385"/>
      <c r="F24" s="385"/>
      <c r="G24" s="385"/>
      <c r="H24" s="38"/>
    </row>
    <row r="25" spans="1:10" ht="12.75" customHeight="1">
      <c r="A25" s="883"/>
      <c r="B25" s="385"/>
      <c r="C25" s="385"/>
      <c r="D25" s="385"/>
      <c r="E25" s="385"/>
      <c r="F25" s="385"/>
      <c r="G25" s="385"/>
      <c r="H25" s="38"/>
    </row>
    <row r="26" spans="1:10" ht="12.75" customHeight="1">
      <c r="A26" s="883" t="s">
        <v>1198</v>
      </c>
      <c r="B26" s="385"/>
      <c r="C26" s="385"/>
      <c r="D26" s="385"/>
      <c r="E26" s="385"/>
      <c r="F26" s="385"/>
      <c r="G26" s="385"/>
      <c r="H26" s="38"/>
    </row>
    <row r="27" spans="1:10" ht="13.5" customHeight="1">
      <c r="A27" s="134"/>
      <c r="B27" s="494"/>
      <c r="C27" s="494"/>
      <c r="D27" s="494"/>
      <c r="E27" s="494"/>
      <c r="F27" s="494"/>
      <c r="G27" s="494"/>
      <c r="H27" s="38"/>
    </row>
    <row r="28" spans="1:10" ht="15.75" customHeight="1">
      <c r="A28" s="1033"/>
      <c r="B28" s="494"/>
      <c r="C28" s="494"/>
      <c r="D28" s="494"/>
      <c r="E28" s="494"/>
      <c r="F28" s="494"/>
      <c r="G28" s="494"/>
      <c r="H28" s="38"/>
    </row>
    <row r="29" spans="1:10" ht="13.5" customHeight="1">
      <c r="A29" s="38" t="s">
        <v>256</v>
      </c>
      <c r="B29" s="494"/>
      <c r="C29" s="494"/>
      <c r="D29" s="494"/>
      <c r="E29" s="494"/>
      <c r="F29" s="494"/>
      <c r="G29" s="494"/>
      <c r="H29" s="38"/>
    </row>
    <row r="30" spans="1:10" ht="31" customHeight="1">
      <c r="A30" s="355"/>
      <c r="B30" s="482"/>
      <c r="C30" s="482"/>
      <c r="D30" s="482"/>
      <c r="E30" s="482"/>
      <c r="F30" s="482"/>
      <c r="G30" s="482"/>
    </row>
    <row r="31" spans="1:10" ht="31" customHeight="1">
      <c r="A31" s="355"/>
      <c r="B31" s="482"/>
      <c r="C31" s="482"/>
      <c r="D31" s="482"/>
      <c r="E31" s="482"/>
      <c r="F31" s="482"/>
      <c r="G31" s="482"/>
      <c r="J31" s="1"/>
    </row>
    <row r="32" spans="1:10" ht="31" customHeight="1">
      <c r="A32" s="355"/>
      <c r="B32" s="482"/>
      <c r="C32" s="482"/>
      <c r="D32" s="482"/>
      <c r="E32" s="482"/>
      <c r="F32" s="482"/>
      <c r="G32" s="482"/>
    </row>
    <row r="33" spans="1:7" ht="31" customHeight="1">
      <c r="A33" s="355"/>
      <c r="B33" s="482"/>
      <c r="C33" s="482"/>
      <c r="D33" s="482"/>
      <c r="E33" s="482"/>
      <c r="F33" s="482"/>
      <c r="G33" s="482"/>
    </row>
    <row r="34" spans="1:7" ht="31" customHeight="1">
      <c r="A34" s="355"/>
      <c r="B34" s="482"/>
      <c r="C34" s="482"/>
      <c r="D34" s="482"/>
      <c r="E34" s="482"/>
      <c r="F34" s="482"/>
      <c r="G34" s="482"/>
    </row>
    <row r="35" spans="1:7" ht="31" customHeight="1">
      <c r="A35" s="355"/>
      <c r="B35" s="482"/>
      <c r="C35" s="482"/>
      <c r="D35" s="482"/>
      <c r="E35" s="482"/>
      <c r="F35" s="482"/>
      <c r="G35" s="482"/>
    </row>
    <row r="36" spans="1:7" ht="31" customHeight="1">
      <c r="A36" s="355"/>
      <c r="B36" s="482"/>
      <c r="C36" s="482"/>
      <c r="D36" s="482"/>
      <c r="E36" s="482"/>
      <c r="F36" s="482"/>
      <c r="G36" s="482"/>
    </row>
    <row r="37" spans="1:7">
      <c r="A37" s="355"/>
      <c r="B37" s="482"/>
      <c r="C37" s="482"/>
      <c r="D37" s="482"/>
      <c r="E37" s="482"/>
      <c r="F37" s="482"/>
      <c r="G37" s="482"/>
    </row>
    <row r="38" spans="1:7">
      <c r="A38" s="355"/>
      <c r="B38" s="482"/>
      <c r="C38" s="482"/>
      <c r="D38" s="482"/>
      <c r="E38" s="482"/>
      <c r="F38" s="482"/>
      <c r="G38" s="482"/>
    </row>
  </sheetData>
  <mergeCells count="1">
    <mergeCell ref="A2:F2"/>
  </mergeCells>
  <phoneticPr fontId="0" type="noConversion"/>
  <pageMargins left="0.56000000000000005" right="0.51" top="1.02" bottom="0.49" header="0.68" footer="0.4921259845"/>
  <pageSetup paperSize="9" scale="93" orientation="portrait" horizontalDpi="4294967292" verticalDpi="4294967292"/>
  <headerFooter alignWithMargins="0">
    <oddHeader>&amp;L&amp;"Arial,Bold"Zusatzinformationen zum Gesundheitswesen</oddHead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79C23-F4DD-7E49-A4B9-8BD5840BB837}">
  <sheetPr>
    <pageSetUpPr fitToPage="1"/>
  </sheetPr>
  <dimension ref="A1:L37"/>
  <sheetViews>
    <sheetView zoomScale="75" workbookViewId="0">
      <selection sqref="A1:I33"/>
    </sheetView>
  </sheetViews>
  <sheetFormatPr baseColWidth="10" defaultColWidth="11.3984375" defaultRowHeight="13"/>
  <cols>
    <col min="1" max="1" width="10.19921875" style="3" customWidth="1"/>
    <col min="2" max="9" width="13.19921875" style="21" customWidth="1"/>
    <col min="10" max="10" width="8.796875" style="3" customWidth="1"/>
    <col min="11" max="16384" width="11.3984375" style="3"/>
  </cols>
  <sheetData>
    <row r="1" spans="1:9" s="1" customFormat="1" ht="14" customHeight="1">
      <c r="A1" s="372"/>
      <c r="B1" s="373"/>
      <c r="C1" s="373"/>
      <c r="D1" s="373"/>
      <c r="E1" s="373"/>
      <c r="F1" s="373"/>
      <c r="G1" s="373"/>
      <c r="H1" s="373"/>
      <c r="I1" s="373"/>
    </row>
    <row r="2" spans="1:9" s="1" customFormat="1" ht="39" customHeight="1">
      <c r="A2" s="1492" t="s">
        <v>1201</v>
      </c>
      <c r="B2" s="1474"/>
      <c r="C2" s="1474"/>
      <c r="D2" s="1474"/>
      <c r="E2" s="1474"/>
      <c r="F2" s="1474"/>
      <c r="G2" s="1474"/>
      <c r="H2" s="1474"/>
      <c r="I2" s="321">
        <v>2003</v>
      </c>
    </row>
    <row r="3" spans="1:9" ht="27" customHeight="1">
      <c r="A3" s="2" t="s">
        <v>1591</v>
      </c>
      <c r="B3" s="69" t="s">
        <v>1762</v>
      </c>
      <c r="C3" s="16" t="s">
        <v>1202</v>
      </c>
      <c r="D3" s="69" t="s">
        <v>242</v>
      </c>
      <c r="E3" s="16" t="s">
        <v>1203</v>
      </c>
      <c r="F3" s="69" t="s">
        <v>1178</v>
      </c>
      <c r="G3" s="16" t="s">
        <v>1392</v>
      </c>
      <c r="H3" s="69" t="s">
        <v>1204</v>
      </c>
      <c r="I3" s="16" t="s">
        <v>1205</v>
      </c>
    </row>
    <row r="4" spans="1:9" ht="15" customHeight="1">
      <c r="A4" s="77"/>
      <c r="B4" s="470" t="s">
        <v>1206</v>
      </c>
      <c r="C4" s="471" t="s">
        <v>1207</v>
      </c>
      <c r="D4" s="70" t="s">
        <v>1208</v>
      </c>
      <c r="E4" s="17" t="s">
        <v>1879</v>
      </c>
      <c r="F4" s="70"/>
      <c r="G4" s="17" t="s">
        <v>1209</v>
      </c>
      <c r="H4" s="70" t="s">
        <v>1210</v>
      </c>
      <c r="I4" s="17"/>
    </row>
    <row r="5" spans="1:9" ht="15.75" customHeight="1">
      <c r="A5" s="77"/>
      <c r="B5" s="70"/>
      <c r="C5" s="17" t="s">
        <v>1211</v>
      </c>
      <c r="D5" s="70" t="s">
        <v>1880</v>
      </c>
      <c r="E5" s="471"/>
      <c r="F5" s="470"/>
      <c r="G5" s="471"/>
      <c r="H5" s="470" t="s">
        <v>1212</v>
      </c>
      <c r="I5" s="17"/>
    </row>
    <row r="6" spans="1:9" ht="23.25" customHeight="1">
      <c r="A6" s="405"/>
      <c r="B6" s="391"/>
      <c r="C6" s="18" t="s">
        <v>1881</v>
      </c>
      <c r="D6" s="73"/>
      <c r="E6" s="18"/>
      <c r="F6" s="73"/>
      <c r="G6" s="18"/>
      <c r="H6" s="73" t="s">
        <v>1450</v>
      </c>
      <c r="I6" s="18"/>
    </row>
    <row r="7" spans="1:9" ht="18" customHeight="1" thickBot="1">
      <c r="A7" s="1452">
        <v>1985</v>
      </c>
      <c r="B7" s="976">
        <v>7299.9336735962033</v>
      </c>
      <c r="C7" s="961">
        <v>2027.7480382356046</v>
      </c>
      <c r="D7" s="976">
        <v>6134.7934947972271</v>
      </c>
      <c r="E7" s="961">
        <v>2041.406403371913</v>
      </c>
      <c r="F7" s="976">
        <v>511.81730457264518</v>
      </c>
      <c r="G7" s="961">
        <v>741.56902161234996</v>
      </c>
      <c r="H7" s="976">
        <v>208.66832963802727</v>
      </c>
      <c r="I7" s="961">
        <v>18965.93626582397</v>
      </c>
    </row>
    <row r="8" spans="1:9" ht="18" customHeight="1" thickBot="1">
      <c r="A8" s="1453">
        <v>1990</v>
      </c>
      <c r="B8" s="473">
        <v>10107.064923425092</v>
      </c>
      <c r="C8" s="88">
        <v>3577.700897343158</v>
      </c>
      <c r="D8" s="473">
        <v>8426.3225474891533</v>
      </c>
      <c r="E8" s="88">
        <v>2688.3539300507928</v>
      </c>
      <c r="F8" s="473">
        <v>849.15590773237579</v>
      </c>
      <c r="G8" s="88">
        <v>1164.9027893421194</v>
      </c>
      <c r="H8" s="473">
        <v>298.29122681881296</v>
      </c>
      <c r="I8" s="88">
        <v>27111.792222201504</v>
      </c>
    </row>
    <row r="9" spans="1:9" ht="18.75" customHeight="1" thickBot="1">
      <c r="A9" s="1454">
        <v>1995</v>
      </c>
      <c r="B9" s="446">
        <v>12612</v>
      </c>
      <c r="C9" s="445">
        <v>6027.7</v>
      </c>
      <c r="D9" s="446">
        <v>11275.1</v>
      </c>
      <c r="E9" s="445">
        <v>3400.9</v>
      </c>
      <c r="F9" s="446">
        <v>861.5</v>
      </c>
      <c r="G9" s="445">
        <v>1584.5</v>
      </c>
      <c r="H9" s="446">
        <v>399.2</v>
      </c>
      <c r="I9" s="445">
        <v>36160.9</v>
      </c>
    </row>
    <row r="10" spans="1:9" ht="18" customHeight="1" thickBot="1">
      <c r="A10" s="1453">
        <v>1996</v>
      </c>
      <c r="B10" s="473">
        <v>13184</v>
      </c>
      <c r="C10" s="88">
        <v>6423.1</v>
      </c>
      <c r="D10" s="473">
        <v>11678.6</v>
      </c>
      <c r="E10" s="88">
        <v>3544.7</v>
      </c>
      <c r="F10" s="473">
        <v>869.1</v>
      </c>
      <c r="G10" s="88">
        <v>1796.9</v>
      </c>
      <c r="H10" s="473">
        <v>412</v>
      </c>
      <c r="I10" s="88">
        <v>37908.400000000001</v>
      </c>
    </row>
    <row r="11" spans="1:9" ht="18" customHeight="1" thickBot="1">
      <c r="A11" s="1453">
        <v>1997</v>
      </c>
      <c r="B11" s="473">
        <v>13300.5</v>
      </c>
      <c r="C11" s="88">
        <v>6678.2</v>
      </c>
      <c r="D11" s="473">
        <v>11898.8</v>
      </c>
      <c r="E11" s="88">
        <v>3699.7</v>
      </c>
      <c r="F11" s="473">
        <v>820.1</v>
      </c>
      <c r="G11" s="88">
        <v>1853.8</v>
      </c>
      <c r="H11" s="473">
        <v>418.5</v>
      </c>
      <c r="I11" s="88">
        <v>38669.599999999999</v>
      </c>
    </row>
    <row r="12" spans="1:9" ht="18" customHeight="1" thickBot="1">
      <c r="A12" s="1453">
        <v>1998</v>
      </c>
      <c r="B12" s="473">
        <v>13726.9</v>
      </c>
      <c r="C12" s="88">
        <v>6995</v>
      </c>
      <c r="D12" s="473">
        <v>12534.7</v>
      </c>
      <c r="E12" s="88">
        <v>3814.8</v>
      </c>
      <c r="F12" s="473">
        <v>825.8</v>
      </c>
      <c r="G12" s="88">
        <v>1952.6</v>
      </c>
      <c r="H12" s="473">
        <v>442.5</v>
      </c>
      <c r="I12" s="88">
        <v>40292.300000000003</v>
      </c>
    </row>
    <row r="13" spans="1:9" ht="18" customHeight="1" thickBot="1">
      <c r="A13" s="1453">
        <v>1999</v>
      </c>
      <c r="B13" s="473">
        <v>14269.859986000003</v>
      </c>
      <c r="C13" s="88">
        <v>7117.1</v>
      </c>
      <c r="D13" s="473">
        <v>12923.16416135502</v>
      </c>
      <c r="E13" s="88">
        <v>3985</v>
      </c>
      <c r="F13" s="473">
        <v>869.4</v>
      </c>
      <c r="G13" s="88">
        <v>1951.2</v>
      </c>
      <c r="H13" s="473">
        <v>469.9</v>
      </c>
      <c r="I13" s="88">
        <v>41585.624147355018</v>
      </c>
    </row>
    <row r="14" spans="1:9" ht="18" customHeight="1" thickBot="1">
      <c r="A14" s="1453">
        <v>2000</v>
      </c>
      <c r="B14" s="473">
        <v>14895.513251</v>
      </c>
      <c r="C14" s="88">
        <v>7563.9</v>
      </c>
      <c r="D14" s="473">
        <v>13440.733995653636</v>
      </c>
      <c r="E14" s="88">
        <v>4130.4973544495606</v>
      </c>
      <c r="F14" s="473">
        <v>886.60889900000006</v>
      </c>
      <c r="G14" s="88">
        <v>1968</v>
      </c>
      <c r="H14" s="473">
        <v>480.06561225603991</v>
      </c>
      <c r="I14" s="88">
        <v>43365.319112359233</v>
      </c>
    </row>
    <row r="15" spans="1:9" ht="18" customHeight="1" thickBot="1">
      <c r="A15" s="1453">
        <v>2001</v>
      </c>
      <c r="B15" s="473">
        <v>16132.139821000001</v>
      </c>
      <c r="C15" s="88">
        <v>8103.4</v>
      </c>
      <c r="D15" s="473">
        <v>14118.389210237772</v>
      </c>
      <c r="E15" s="88">
        <v>4333.6230316924066</v>
      </c>
      <c r="F15" s="473">
        <v>926.76387199999999</v>
      </c>
      <c r="G15" s="88">
        <v>2014.6</v>
      </c>
      <c r="H15" s="473">
        <v>500.57588337914626</v>
      </c>
      <c r="I15" s="88">
        <v>46129.491818309325</v>
      </c>
    </row>
    <row r="16" spans="1:9" s="35" customFormat="1" ht="30" customHeight="1" thickBot="1">
      <c r="A16" s="1447" t="s">
        <v>1882</v>
      </c>
      <c r="B16" s="1455">
        <v>17050.442939247685</v>
      </c>
      <c r="C16" s="1456">
        <v>8660.4935274329982</v>
      </c>
      <c r="D16" s="1455">
        <v>14367.836276398548</v>
      </c>
      <c r="E16" s="1456">
        <v>4415.9295005981339</v>
      </c>
      <c r="F16" s="1455">
        <v>954.06106100000011</v>
      </c>
      <c r="G16" s="1456">
        <v>2000.8014692328545</v>
      </c>
      <c r="H16" s="1455">
        <v>509.49608786656427</v>
      </c>
      <c r="I16" s="1456">
        <v>47959.060861776787</v>
      </c>
    </row>
    <row r="17" spans="1:12" ht="20" customHeight="1">
      <c r="A17" s="1013" t="s">
        <v>1586</v>
      </c>
      <c r="B17" s="491"/>
      <c r="C17" s="491"/>
      <c r="D17" s="491"/>
      <c r="E17" s="491"/>
      <c r="F17" s="491"/>
      <c r="G17" s="491"/>
      <c r="H17" s="491"/>
      <c r="I17" s="491"/>
    </row>
    <row r="18" spans="1:12" ht="12.75" customHeight="1">
      <c r="A18" s="883"/>
      <c r="B18" s="385"/>
      <c r="C18" s="385"/>
      <c r="D18" s="385"/>
      <c r="E18" s="385"/>
      <c r="F18" s="385"/>
      <c r="G18" s="385"/>
      <c r="H18" s="385"/>
      <c r="I18" s="385"/>
    </row>
    <row r="19" spans="1:12" ht="12.75" customHeight="1">
      <c r="A19" s="883" t="s">
        <v>1451</v>
      </c>
      <c r="B19" s="385"/>
      <c r="C19" s="385"/>
      <c r="D19" s="385"/>
      <c r="E19" s="385"/>
      <c r="F19" s="385"/>
      <c r="G19" s="385"/>
      <c r="H19" s="385"/>
      <c r="I19" s="385"/>
    </row>
    <row r="20" spans="1:12" ht="12.75" customHeight="1">
      <c r="A20" s="883" t="s">
        <v>1452</v>
      </c>
      <c r="B20" s="385"/>
      <c r="C20" s="385"/>
      <c r="D20" s="385"/>
      <c r="E20" s="385"/>
      <c r="F20" s="385"/>
      <c r="G20" s="385"/>
      <c r="H20" s="385"/>
      <c r="I20" s="385"/>
    </row>
    <row r="21" spans="1:12" ht="12.75" customHeight="1">
      <c r="A21" s="883" t="s">
        <v>1453</v>
      </c>
      <c r="B21" s="385"/>
      <c r="C21" s="385"/>
      <c r="D21" s="385"/>
      <c r="E21" s="385"/>
      <c r="F21" s="385"/>
      <c r="G21" s="385"/>
      <c r="H21" s="385"/>
      <c r="I21" s="385"/>
    </row>
    <row r="22" spans="1:12" ht="12.75" customHeight="1">
      <c r="A22" s="883" t="s">
        <v>1454</v>
      </c>
      <c r="B22" s="385"/>
      <c r="C22" s="385"/>
      <c r="D22" s="385"/>
      <c r="E22" s="385"/>
      <c r="F22" s="385"/>
      <c r="G22" s="385"/>
      <c r="H22" s="38"/>
      <c r="I22" s="38"/>
    </row>
    <row r="23" spans="1:12" ht="12.75" customHeight="1">
      <c r="A23" s="883" t="s">
        <v>1878</v>
      </c>
      <c r="B23" s="385"/>
      <c r="C23" s="385"/>
      <c r="D23" s="385"/>
      <c r="E23" s="385"/>
      <c r="F23" s="385"/>
      <c r="G23" s="385"/>
      <c r="H23" s="38"/>
      <c r="I23" s="38"/>
    </row>
    <row r="24" spans="1:12" ht="12.75" customHeight="1">
      <c r="A24" s="883"/>
      <c r="B24" s="385"/>
      <c r="C24" s="385"/>
      <c r="D24" s="385"/>
      <c r="E24" s="385"/>
      <c r="F24" s="385"/>
      <c r="G24" s="385"/>
      <c r="H24" s="385"/>
      <c r="I24" s="385"/>
    </row>
    <row r="25" spans="1:12" ht="12.75" customHeight="1">
      <c r="A25" s="883" t="s">
        <v>1198</v>
      </c>
      <c r="B25" s="385"/>
      <c r="C25" s="385"/>
      <c r="D25" s="385"/>
      <c r="E25" s="385"/>
      <c r="F25" s="385"/>
      <c r="G25" s="385"/>
      <c r="H25" s="385"/>
      <c r="I25" s="385"/>
    </row>
    <row r="26" spans="1:12" ht="15" customHeight="1">
      <c r="A26" s="134"/>
      <c r="B26" s="494"/>
      <c r="C26" s="494"/>
      <c r="D26" s="494"/>
      <c r="E26" s="494"/>
      <c r="F26" s="494"/>
      <c r="G26" s="494"/>
      <c r="H26" s="494"/>
      <c r="I26" s="494"/>
    </row>
    <row r="27" spans="1:12" ht="15" customHeight="1">
      <c r="A27" s="1033"/>
      <c r="B27" s="494"/>
      <c r="C27" s="494"/>
      <c r="D27" s="494"/>
      <c r="E27" s="494"/>
      <c r="F27" s="494"/>
      <c r="G27" s="494"/>
      <c r="H27" s="494"/>
      <c r="I27" s="494"/>
    </row>
    <row r="28" spans="1:12" ht="18" customHeight="1">
      <c r="A28" s="38" t="s">
        <v>256</v>
      </c>
      <c r="B28" s="494"/>
      <c r="C28" s="494"/>
      <c r="D28" s="494"/>
      <c r="E28" s="494"/>
      <c r="F28" s="494"/>
      <c r="G28" s="494"/>
      <c r="H28" s="494"/>
      <c r="I28" s="494"/>
    </row>
    <row r="29" spans="1:12" ht="31" customHeight="1">
      <c r="A29" s="38"/>
      <c r="B29" s="494"/>
      <c r="C29" s="494"/>
      <c r="D29" s="494"/>
      <c r="E29" s="494"/>
      <c r="F29" s="494"/>
      <c r="G29" s="494"/>
      <c r="H29" s="494"/>
      <c r="I29" s="494"/>
    </row>
    <row r="30" spans="1:12" ht="31" customHeight="1">
      <c r="A30" s="355"/>
      <c r="B30" s="482"/>
      <c r="C30" s="482"/>
      <c r="D30" s="482"/>
      <c r="E30" s="482"/>
      <c r="F30" s="482"/>
      <c r="G30" s="482"/>
      <c r="H30" s="482"/>
      <c r="I30" s="482"/>
      <c r="L30" s="10"/>
    </row>
    <row r="31" spans="1:12" ht="31" customHeight="1">
      <c r="A31" s="355"/>
      <c r="B31" s="482"/>
      <c r="C31" s="482"/>
      <c r="D31" s="482"/>
      <c r="E31" s="482"/>
      <c r="F31" s="482"/>
      <c r="G31" s="482"/>
      <c r="H31" s="482"/>
      <c r="I31" s="482"/>
    </row>
    <row r="32" spans="1:12" ht="31" customHeight="1">
      <c r="A32" s="355"/>
      <c r="B32" s="482"/>
      <c r="C32" s="482"/>
      <c r="D32" s="482"/>
      <c r="E32" s="482"/>
      <c r="F32" s="482"/>
      <c r="G32" s="482"/>
      <c r="H32" s="482"/>
      <c r="I32" s="482"/>
    </row>
    <row r="33" spans="1:9" ht="31" customHeight="1">
      <c r="A33" s="355"/>
      <c r="B33" s="482"/>
      <c r="C33" s="482"/>
      <c r="D33" s="482"/>
      <c r="E33" s="482"/>
      <c r="F33" s="482"/>
      <c r="G33" s="482"/>
      <c r="H33" s="482"/>
      <c r="I33" s="482"/>
    </row>
    <row r="34" spans="1:9" ht="31" customHeight="1">
      <c r="A34" s="355"/>
      <c r="B34" s="482"/>
      <c r="C34" s="482"/>
      <c r="D34" s="482"/>
      <c r="E34" s="482"/>
      <c r="F34" s="482"/>
      <c r="G34" s="482"/>
      <c r="H34" s="482"/>
      <c r="I34" s="482"/>
    </row>
    <row r="35" spans="1:9" ht="31" customHeight="1">
      <c r="A35" s="355"/>
      <c r="B35" s="482"/>
      <c r="C35" s="482"/>
      <c r="D35" s="482"/>
      <c r="E35" s="482"/>
      <c r="F35" s="482"/>
      <c r="G35" s="482"/>
      <c r="H35" s="482"/>
      <c r="I35" s="482"/>
    </row>
    <row r="36" spans="1:9">
      <c r="A36" s="355"/>
      <c r="B36" s="482"/>
      <c r="C36" s="482"/>
      <c r="D36" s="482"/>
      <c r="E36" s="482"/>
      <c r="F36" s="482"/>
      <c r="G36" s="482"/>
      <c r="H36" s="482"/>
      <c r="I36" s="482"/>
    </row>
    <row r="37" spans="1:9">
      <c r="A37" s="355"/>
      <c r="B37" s="482"/>
      <c r="C37" s="482"/>
      <c r="D37" s="482"/>
      <c r="E37" s="482"/>
      <c r="F37" s="482"/>
      <c r="G37" s="482"/>
      <c r="H37" s="482"/>
      <c r="I37" s="482"/>
    </row>
  </sheetData>
  <mergeCells count="1">
    <mergeCell ref="A2:H2"/>
  </mergeCells>
  <phoneticPr fontId="0" type="noConversion"/>
  <pageMargins left="0.59" right="0.51" top="0.97" bottom="0.49" header="0.56999999999999995" footer="0.4921259845"/>
  <pageSetup paperSize="9" scale="79" orientation="portrait" horizontalDpi="4294967292" verticalDpi="4294967292"/>
  <headerFooter alignWithMargins="0">
    <oddHeader>&amp;L&amp;"Arial,Bold"Zusatzinformationen zum Gesundheitswesen</oddHead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1D20-C7FF-8245-8D7B-CFFCC1684844}">
  <sheetPr>
    <pageSetUpPr fitToPage="1"/>
  </sheetPr>
  <dimension ref="A1:K35"/>
  <sheetViews>
    <sheetView zoomScale="75" workbookViewId="0">
      <selection sqref="A1:H34"/>
    </sheetView>
  </sheetViews>
  <sheetFormatPr baseColWidth="10" defaultColWidth="11.3984375" defaultRowHeight="13"/>
  <cols>
    <col min="1" max="1" width="10.59765625" style="3" customWidth="1"/>
    <col min="2" max="8" width="13.59765625" style="21" customWidth="1"/>
    <col min="9" max="9" width="8.796875" style="3" customWidth="1"/>
    <col min="10" max="16384" width="11.3984375" style="3"/>
  </cols>
  <sheetData>
    <row r="1" spans="1:10" s="1" customFormat="1" ht="14" customHeight="1">
      <c r="A1" s="372"/>
      <c r="B1" s="373"/>
      <c r="C1" s="373"/>
      <c r="D1" s="373"/>
      <c r="E1" s="373"/>
      <c r="F1" s="373"/>
      <c r="G1" s="373"/>
      <c r="H1" s="373"/>
    </row>
    <row r="2" spans="1:10" s="1" customFormat="1" ht="36" customHeight="1">
      <c r="A2" s="1492" t="s">
        <v>1186</v>
      </c>
      <c r="B2" s="1474"/>
      <c r="C2" s="1474"/>
      <c r="D2" s="1474"/>
      <c r="E2" s="1474"/>
      <c r="F2" s="1474"/>
      <c r="G2" s="1474"/>
      <c r="H2" s="321">
        <v>2003</v>
      </c>
    </row>
    <row r="3" spans="1:10" ht="27" customHeight="1">
      <c r="A3" s="2" t="s">
        <v>1591</v>
      </c>
      <c r="B3" s="69" t="s">
        <v>1187</v>
      </c>
      <c r="C3" s="16" t="s">
        <v>242</v>
      </c>
      <c r="D3" s="69" t="s">
        <v>1849</v>
      </c>
      <c r="E3" s="16" t="s">
        <v>1188</v>
      </c>
      <c r="F3" s="69" t="s">
        <v>1189</v>
      </c>
      <c r="G3" s="16" t="s">
        <v>1190</v>
      </c>
      <c r="H3" s="69" t="s">
        <v>22</v>
      </c>
    </row>
    <row r="4" spans="1:10" ht="15" customHeight="1">
      <c r="A4" s="77"/>
      <c r="B4" s="470" t="s">
        <v>1191</v>
      </c>
      <c r="C4" s="471" t="s">
        <v>243</v>
      </c>
      <c r="D4" s="70" t="s">
        <v>338</v>
      </c>
      <c r="E4" s="17" t="s">
        <v>1192</v>
      </c>
      <c r="F4" s="70"/>
      <c r="G4" s="17"/>
      <c r="H4" s="70"/>
    </row>
    <row r="5" spans="1:10" ht="15" customHeight="1">
      <c r="A5" s="77"/>
      <c r="B5" s="70" t="s">
        <v>1193</v>
      </c>
      <c r="C5" s="17"/>
      <c r="D5" s="70"/>
      <c r="E5" s="471" t="s">
        <v>1194</v>
      </c>
      <c r="F5" s="470"/>
      <c r="G5" s="471"/>
      <c r="H5" s="470"/>
      <c r="J5" s="1446"/>
    </row>
    <row r="6" spans="1:10" ht="21.75" customHeight="1">
      <c r="A6" s="77"/>
      <c r="B6" s="73" t="s">
        <v>1199</v>
      </c>
      <c r="C6" s="18"/>
      <c r="D6" s="73"/>
      <c r="E6" s="18"/>
      <c r="F6" s="73"/>
      <c r="G6" s="18"/>
      <c r="H6" s="73"/>
    </row>
    <row r="7" spans="1:10" ht="21.75" customHeight="1" thickBot="1">
      <c r="A7" s="379">
        <v>1985</v>
      </c>
      <c r="B7" s="976">
        <v>8854.5344747703402</v>
      </c>
      <c r="C7" s="961">
        <v>5520.0891168410189</v>
      </c>
      <c r="D7" s="976">
        <v>637.43077765586133</v>
      </c>
      <c r="E7" s="961">
        <v>2546.2425108226048</v>
      </c>
      <c r="F7" s="976">
        <v>326.84213978337408</v>
      </c>
      <c r="G7" s="961">
        <v>1080.7972459507669</v>
      </c>
      <c r="H7" s="976">
        <v>18965.936265823966</v>
      </c>
    </row>
    <row r="8" spans="1:10" ht="18" customHeight="1" thickBot="1">
      <c r="A8" s="380">
        <v>1990</v>
      </c>
      <c r="B8" s="473">
        <v>12978.517449756022</v>
      </c>
      <c r="C8" s="88">
        <v>7673.2207895727088</v>
      </c>
      <c r="D8" s="473">
        <v>886.0630673697367</v>
      </c>
      <c r="E8" s="88">
        <v>3312.4643102958607</v>
      </c>
      <c r="F8" s="473">
        <v>596.4400170742515</v>
      </c>
      <c r="G8" s="88">
        <v>1665.1897563885004</v>
      </c>
      <c r="H8" s="473">
        <v>27111.895390457081</v>
      </c>
    </row>
    <row r="9" spans="1:10" ht="18" customHeight="1" thickBot="1">
      <c r="A9" s="379">
        <v>1995</v>
      </c>
      <c r="B9" s="976">
        <v>17333.90554142966</v>
      </c>
      <c r="C9" s="961">
        <v>10477.991507875635</v>
      </c>
      <c r="D9" s="976">
        <v>1295.152</v>
      </c>
      <c r="E9" s="961">
        <v>4304.3963117647054</v>
      </c>
      <c r="F9" s="976">
        <v>937.9318370004562</v>
      </c>
      <c r="G9" s="961">
        <v>1811.509058172177</v>
      </c>
      <c r="H9" s="976">
        <v>36160.886256242629</v>
      </c>
    </row>
    <row r="10" spans="1:10" ht="18" customHeight="1" thickBot="1">
      <c r="A10" s="380">
        <v>1996</v>
      </c>
      <c r="B10" s="473">
        <v>18184.040445464139</v>
      </c>
      <c r="C10" s="88">
        <v>10932.716294797674</v>
      </c>
      <c r="D10" s="473">
        <v>1268.9714576684796</v>
      </c>
      <c r="E10" s="88">
        <v>4540.3470588235296</v>
      </c>
      <c r="F10" s="473">
        <v>966.86547804090924</v>
      </c>
      <c r="G10" s="88">
        <v>2015.3489631466664</v>
      </c>
      <c r="H10" s="473">
        <v>37908.2896979414</v>
      </c>
    </row>
    <row r="11" spans="1:10" ht="18" customHeight="1" thickBot="1">
      <c r="A11" s="380">
        <v>1997</v>
      </c>
      <c r="B11" s="473">
        <v>18483.938030623332</v>
      </c>
      <c r="C11" s="88">
        <v>11172.859777209607</v>
      </c>
      <c r="D11" s="473">
        <v>1237.2489177234406</v>
      </c>
      <c r="E11" s="88">
        <v>4778.8981705882352</v>
      </c>
      <c r="F11" s="473">
        <v>938.77448458000003</v>
      </c>
      <c r="G11" s="88">
        <v>2057.9071603399998</v>
      </c>
      <c r="H11" s="473">
        <v>38669.626541064616</v>
      </c>
    </row>
    <row r="12" spans="1:10" ht="18" customHeight="1" thickBot="1">
      <c r="A12" s="380">
        <v>1998</v>
      </c>
      <c r="B12" s="473">
        <v>19029.318450073679</v>
      </c>
      <c r="C12" s="88">
        <v>11874.35810787395</v>
      </c>
      <c r="D12" s="473">
        <v>1356.5677703307178</v>
      </c>
      <c r="E12" s="88">
        <v>4913.3724305941168</v>
      </c>
      <c r="F12" s="473">
        <v>983.21470195428628</v>
      </c>
      <c r="G12" s="88">
        <v>2135.5628481599997</v>
      </c>
      <c r="H12" s="473">
        <v>40292.394308986753</v>
      </c>
    </row>
    <row r="13" spans="1:10" ht="18" customHeight="1" thickBot="1">
      <c r="A13" s="380">
        <v>1999</v>
      </c>
      <c r="B13" s="473">
        <v>19459.674308298851</v>
      </c>
      <c r="C13" s="88">
        <v>12357.690062899601</v>
      </c>
      <c r="D13" s="473">
        <v>1393.9774232153918</v>
      </c>
      <c r="E13" s="88">
        <v>5198.8475422014762</v>
      </c>
      <c r="F13" s="473">
        <v>1015.086034722207</v>
      </c>
      <c r="G13" s="88">
        <v>2160.2840630000001</v>
      </c>
      <c r="H13" s="473">
        <v>41585.55943433752</v>
      </c>
    </row>
    <row r="14" spans="1:10" ht="18" customHeight="1" thickBot="1">
      <c r="A14" s="380">
        <v>2000</v>
      </c>
      <c r="B14" s="473">
        <v>20309.111119965513</v>
      </c>
      <c r="C14" s="88">
        <v>12926.336575347925</v>
      </c>
      <c r="D14" s="473">
        <v>1430.1583748696057</v>
      </c>
      <c r="E14" s="88">
        <v>5475.438530920148</v>
      </c>
      <c r="F14" s="473">
        <v>1014.11623525604</v>
      </c>
      <c r="G14" s="88">
        <v>2210.1582759999997</v>
      </c>
      <c r="H14" s="473">
        <v>43365.319112359233</v>
      </c>
    </row>
    <row r="15" spans="1:10" ht="18" customHeight="1" thickBot="1">
      <c r="A15" s="380">
        <v>2001</v>
      </c>
      <c r="B15" s="473">
        <v>21805.054371000002</v>
      </c>
      <c r="C15" s="88">
        <v>13690.949264204983</v>
      </c>
      <c r="D15" s="473">
        <v>1471.1430430916139</v>
      </c>
      <c r="E15" s="88">
        <v>5829.5053846335832</v>
      </c>
      <c r="F15" s="473">
        <v>1062.7870063791461</v>
      </c>
      <c r="G15" s="88">
        <v>2270.0527489999999</v>
      </c>
      <c r="H15" s="473">
        <v>46129.491818309332</v>
      </c>
    </row>
    <row r="16" spans="1:10" s="1451" customFormat="1" ht="30" customHeight="1" thickBot="1">
      <c r="A16" s="1447" t="s">
        <v>1200</v>
      </c>
      <c r="B16" s="1448">
        <v>23079.290004862498</v>
      </c>
      <c r="C16" s="1449">
        <v>14114.452550727681</v>
      </c>
      <c r="D16" s="1448">
        <v>1513.3360698419892</v>
      </c>
      <c r="E16" s="1449">
        <v>5899.2236182451925</v>
      </c>
      <c r="F16" s="1448">
        <v>1035.6854749842114</v>
      </c>
      <c r="G16" s="1449">
        <v>2317.0731431152071</v>
      </c>
      <c r="H16" s="1448">
        <v>47959.060861776779</v>
      </c>
    </row>
    <row r="17" spans="1:11" ht="20" customHeight="1">
      <c r="A17" s="477" t="s">
        <v>1586</v>
      </c>
      <c r="B17" s="478"/>
      <c r="C17" s="478"/>
      <c r="D17" s="478"/>
      <c r="E17" s="478"/>
      <c r="F17" s="478"/>
      <c r="G17" s="478"/>
      <c r="H17" s="478"/>
    </row>
    <row r="18" spans="1:11" ht="12.75" customHeight="1">
      <c r="A18" s="479"/>
      <c r="B18" s="480"/>
      <c r="C18" s="480"/>
      <c r="D18" s="480"/>
      <c r="E18" s="480"/>
      <c r="F18" s="480"/>
      <c r="G18" s="480"/>
      <c r="H18" s="480"/>
    </row>
    <row r="19" spans="1:11" ht="12.75" customHeight="1">
      <c r="A19" s="479" t="s">
        <v>1195</v>
      </c>
      <c r="B19" s="480"/>
      <c r="C19" s="480"/>
      <c r="D19" s="480"/>
      <c r="E19" s="480"/>
      <c r="F19" s="480"/>
      <c r="G19" s="480"/>
      <c r="H19" s="480"/>
    </row>
    <row r="20" spans="1:11" ht="12.75" customHeight="1">
      <c r="A20" s="883" t="s">
        <v>1196</v>
      </c>
      <c r="B20" s="385"/>
      <c r="C20" s="385"/>
      <c r="D20" s="385"/>
      <c r="E20" s="385"/>
      <c r="F20" s="385"/>
      <c r="G20" s="385"/>
      <c r="H20" s="38"/>
    </row>
    <row r="21" spans="1:11" ht="12.75" customHeight="1">
      <c r="A21" s="883" t="s">
        <v>1197</v>
      </c>
      <c r="B21" s="385"/>
      <c r="C21" s="385"/>
      <c r="D21" s="385"/>
      <c r="E21" s="385"/>
      <c r="F21" s="385"/>
      <c r="G21" s="385"/>
      <c r="H21" s="38"/>
    </row>
    <row r="22" spans="1:11" ht="12.75" customHeight="1">
      <c r="A22" s="479"/>
      <c r="B22" s="480"/>
      <c r="C22" s="480"/>
      <c r="D22" s="480"/>
      <c r="E22" s="480"/>
      <c r="F22" s="480"/>
      <c r="G22" s="480"/>
      <c r="H22" s="480"/>
    </row>
    <row r="23" spans="1:11" ht="12.75" customHeight="1">
      <c r="A23" s="479" t="s">
        <v>1198</v>
      </c>
      <c r="B23" s="480"/>
      <c r="C23" s="480"/>
      <c r="D23" s="480"/>
      <c r="E23" s="480"/>
      <c r="F23" s="480"/>
      <c r="G23" s="480"/>
      <c r="H23" s="480"/>
    </row>
    <row r="24" spans="1:11" ht="14.25" customHeight="1">
      <c r="A24" s="372"/>
      <c r="B24" s="482"/>
      <c r="C24" s="482"/>
      <c r="D24" s="482"/>
      <c r="E24" s="482"/>
      <c r="F24" s="482"/>
      <c r="G24" s="482"/>
      <c r="H24" s="482"/>
    </row>
    <row r="25" spans="1:11" ht="14.25" customHeight="1">
      <c r="A25" s="10"/>
      <c r="B25" s="482"/>
      <c r="C25" s="482"/>
      <c r="D25" s="482"/>
      <c r="E25" s="482"/>
      <c r="F25" s="482"/>
      <c r="G25" s="482"/>
      <c r="H25" s="482"/>
    </row>
    <row r="26" spans="1:11" ht="14.25" customHeight="1">
      <c r="A26" s="355" t="s">
        <v>256</v>
      </c>
      <c r="B26" s="482"/>
      <c r="C26" s="482"/>
      <c r="D26" s="482"/>
      <c r="E26" s="482"/>
      <c r="F26" s="482"/>
      <c r="G26" s="482"/>
      <c r="H26" s="482"/>
    </row>
    <row r="27" spans="1:11" ht="18" customHeight="1">
      <c r="A27" s="355"/>
      <c r="B27" s="482"/>
      <c r="C27" s="482"/>
      <c r="D27" s="482"/>
      <c r="E27" s="482"/>
      <c r="F27" s="482"/>
      <c r="G27" s="482"/>
      <c r="H27" s="482"/>
    </row>
    <row r="28" spans="1:11" ht="18" customHeight="1">
      <c r="A28" s="355"/>
      <c r="B28" s="482"/>
      <c r="C28" s="482"/>
      <c r="D28" s="482"/>
      <c r="E28" s="482"/>
      <c r="F28" s="482"/>
      <c r="G28" s="482"/>
      <c r="H28" s="482"/>
      <c r="K28" s="10"/>
    </row>
    <row r="29" spans="1:11" ht="31" customHeight="1">
      <c r="A29" s="355"/>
      <c r="B29" s="482"/>
      <c r="C29" s="482"/>
      <c r="D29" s="482"/>
      <c r="E29" s="482"/>
      <c r="F29" s="482"/>
      <c r="G29" s="482"/>
      <c r="H29" s="482"/>
    </row>
    <row r="30" spans="1:11" ht="31" customHeight="1">
      <c r="A30" s="355"/>
      <c r="B30" s="482"/>
      <c r="C30" s="482"/>
      <c r="D30" s="482"/>
      <c r="E30" s="482"/>
      <c r="F30" s="482"/>
      <c r="G30" s="482"/>
      <c r="H30" s="482"/>
    </row>
    <row r="31" spans="1:11" ht="31" customHeight="1">
      <c r="A31" s="355"/>
      <c r="B31" s="482"/>
      <c r="C31" s="482"/>
      <c r="D31" s="482"/>
      <c r="E31" s="482"/>
      <c r="F31" s="482"/>
      <c r="G31" s="482"/>
      <c r="H31" s="482"/>
    </row>
    <row r="32" spans="1:11" ht="31" customHeight="1">
      <c r="A32" s="355"/>
      <c r="B32" s="482"/>
      <c r="C32" s="482"/>
      <c r="D32" s="482"/>
      <c r="E32" s="482"/>
      <c r="F32" s="482"/>
      <c r="G32" s="482"/>
      <c r="H32" s="482"/>
    </row>
    <row r="33" spans="1:8" ht="31" customHeight="1">
      <c r="A33" s="355"/>
      <c r="B33" s="482"/>
      <c r="C33" s="482"/>
      <c r="D33" s="482"/>
      <c r="E33" s="482"/>
      <c r="F33" s="482"/>
      <c r="G33" s="482"/>
      <c r="H33" s="482"/>
    </row>
    <row r="34" spans="1:8">
      <c r="A34" s="355"/>
      <c r="B34" s="482"/>
      <c r="C34" s="482"/>
      <c r="D34" s="482"/>
      <c r="E34" s="482"/>
      <c r="F34" s="482"/>
      <c r="G34" s="482"/>
      <c r="H34" s="482"/>
    </row>
    <row r="35" spans="1:8">
      <c r="A35" s="355"/>
      <c r="B35" s="482"/>
      <c r="C35" s="482"/>
      <c r="D35" s="482"/>
      <c r="E35" s="482"/>
      <c r="F35" s="482"/>
      <c r="G35" s="482"/>
      <c r="H35" s="482"/>
    </row>
  </sheetData>
  <mergeCells count="1">
    <mergeCell ref="A2:G2"/>
  </mergeCells>
  <phoneticPr fontId="0" type="noConversion"/>
  <pageMargins left="0.59" right="0.51" top="1.05" bottom="0.49" header="0.6" footer="0.4921259845"/>
  <pageSetup paperSize="9" scale="88" orientation="portrait" horizontalDpi="4294967292" verticalDpi="4294967292"/>
  <headerFooter alignWithMargins="0">
    <oddHeader>&amp;L&amp;"Arial,Bold"Zusatzinformationen zum Gesundheitswesen</oddHeader>
  </headerFooter>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CC68D-9BA3-794A-ABD7-7601BA221F41}">
  <sheetPr>
    <pageSetUpPr fitToPage="1"/>
  </sheetPr>
  <dimension ref="A1:H35"/>
  <sheetViews>
    <sheetView zoomScale="75" workbookViewId="0"/>
  </sheetViews>
  <sheetFormatPr baseColWidth="10" defaultColWidth="11.3984375" defaultRowHeight="13"/>
  <cols>
    <col min="1" max="1" width="11.796875" style="3" customWidth="1"/>
    <col min="2" max="5" width="16.19921875" style="21" customWidth="1"/>
    <col min="6" max="6" width="16.19921875" style="3" customWidth="1"/>
    <col min="7" max="7" width="17.59765625" style="3" customWidth="1"/>
    <col min="8" max="16384" width="11.3984375" style="3"/>
  </cols>
  <sheetData>
    <row r="1" spans="1:7" s="1" customFormat="1" ht="14" customHeight="1">
      <c r="A1" s="372"/>
      <c r="B1" s="373"/>
      <c r="C1" s="373"/>
      <c r="D1" s="373"/>
      <c r="E1" s="373"/>
    </row>
    <row r="2" spans="1:7" s="1" customFormat="1" ht="18.75" customHeight="1">
      <c r="A2" s="374" t="s">
        <v>1176</v>
      </c>
      <c r="B2" s="373"/>
      <c r="C2" s="373"/>
      <c r="D2" s="373"/>
      <c r="E2" s="373"/>
      <c r="F2" s="321">
        <v>2003</v>
      </c>
    </row>
    <row r="3" spans="1:7" s="1" customFormat="1" ht="27" customHeight="1">
      <c r="A3" s="374" t="s">
        <v>1177</v>
      </c>
      <c r="B3" s="373"/>
      <c r="C3" s="373"/>
      <c r="D3" s="373"/>
      <c r="E3" s="373"/>
    </row>
    <row r="4" spans="1:7" ht="27" customHeight="1">
      <c r="A4" s="2" t="s">
        <v>1591</v>
      </c>
      <c r="B4" s="69" t="s">
        <v>1178</v>
      </c>
      <c r="C4" s="16" t="s">
        <v>1179</v>
      </c>
      <c r="D4" s="69" t="s">
        <v>1180</v>
      </c>
      <c r="E4" s="16" t="s">
        <v>22</v>
      </c>
      <c r="F4" s="69" t="s">
        <v>24</v>
      </c>
    </row>
    <row r="5" spans="1:7" ht="15" customHeight="1">
      <c r="A5" s="77"/>
      <c r="B5" s="470"/>
      <c r="C5" s="471" t="s">
        <v>1181</v>
      </c>
      <c r="D5" s="70" t="s">
        <v>1545</v>
      </c>
      <c r="E5" s="17"/>
      <c r="F5" s="70" t="s">
        <v>25</v>
      </c>
    </row>
    <row r="6" spans="1:7" ht="15" customHeight="1">
      <c r="A6" s="77"/>
      <c r="B6" s="70"/>
      <c r="C6" s="17"/>
      <c r="D6" s="70"/>
      <c r="E6" s="471"/>
      <c r="F6" s="70" t="s">
        <v>26</v>
      </c>
      <c r="G6" s="1446"/>
    </row>
    <row r="7" spans="1:7" ht="21.75" customHeight="1">
      <c r="A7" s="77"/>
      <c r="B7" s="73"/>
      <c r="C7" s="18"/>
      <c r="D7" s="73"/>
      <c r="E7" s="18"/>
      <c r="F7" s="73"/>
    </row>
    <row r="8" spans="1:7" ht="20.25" customHeight="1" thickBot="1">
      <c r="A8" s="379">
        <v>1985</v>
      </c>
      <c r="B8" s="976">
        <v>5548.1769378191284</v>
      </c>
      <c r="C8" s="961">
        <v>1122.561383884914</v>
      </c>
      <c r="D8" s="976">
        <v>12295.197944119924</v>
      </c>
      <c r="E8" s="961">
        <v>18965.936265823966</v>
      </c>
      <c r="F8" s="927" t="s">
        <v>258</v>
      </c>
    </row>
    <row r="9" spans="1:7" ht="18" customHeight="1" thickBot="1">
      <c r="A9" s="380">
        <v>1990</v>
      </c>
      <c r="B9" s="473">
        <v>7885.8354862329179</v>
      </c>
      <c r="C9" s="88">
        <v>1517.4728398313198</v>
      </c>
      <c r="D9" s="473">
        <v>17708.483896137255</v>
      </c>
      <c r="E9" s="88">
        <v>27111.792222201493</v>
      </c>
      <c r="F9" s="381" t="s">
        <v>258</v>
      </c>
    </row>
    <row r="10" spans="1:7" ht="20.25" customHeight="1" thickBot="1">
      <c r="A10" s="379">
        <v>1995</v>
      </c>
      <c r="B10" s="976">
        <v>9640.2217637310241</v>
      </c>
      <c r="C10" s="961">
        <v>2262.7772533309189</v>
      </c>
      <c r="D10" s="976">
        <v>24257.887239180687</v>
      </c>
      <c r="E10" s="961">
        <v>36160.886256242629</v>
      </c>
      <c r="F10" s="927" t="s">
        <v>258</v>
      </c>
    </row>
    <row r="11" spans="1:7" ht="18" customHeight="1" thickBot="1">
      <c r="A11" s="380">
        <v>1996</v>
      </c>
      <c r="B11" s="473">
        <v>9402.673347426311</v>
      </c>
      <c r="C11" s="88">
        <v>2347.3352733385641</v>
      </c>
      <c r="D11" s="473">
        <v>26158.281077176533</v>
      </c>
      <c r="E11" s="88">
        <v>37908.289697941407</v>
      </c>
      <c r="F11" s="381">
        <v>4.8323025860493536E-2</v>
      </c>
    </row>
    <row r="12" spans="1:7" ht="18" customHeight="1" thickBot="1">
      <c r="A12" s="380">
        <v>1997</v>
      </c>
      <c r="B12" s="473">
        <v>9654.0910198338697</v>
      </c>
      <c r="C12" s="88">
        <v>2440.1947971126083</v>
      </c>
      <c r="D12" s="473">
        <v>26575.34072411813</v>
      </c>
      <c r="E12" s="88">
        <v>38669.626541064608</v>
      </c>
      <c r="F12" s="381">
        <v>2.0083650546876167E-2</v>
      </c>
    </row>
    <row r="13" spans="1:7" ht="18" customHeight="1" thickBot="1">
      <c r="A13" s="380">
        <v>1998</v>
      </c>
      <c r="B13" s="473">
        <v>9984.746050771746</v>
      </c>
      <c r="C13" s="88">
        <v>2593.5652962861982</v>
      </c>
      <c r="D13" s="473">
        <v>27714.082961928805</v>
      </c>
      <c r="E13" s="88">
        <v>40292.394308986753</v>
      </c>
      <c r="F13" s="381">
        <v>4.1964919578389825E-2</v>
      </c>
    </row>
    <row r="14" spans="1:7" ht="18" customHeight="1" thickBot="1">
      <c r="A14" s="380">
        <v>1999</v>
      </c>
      <c r="B14" s="473">
        <v>10656.904469976387</v>
      </c>
      <c r="C14" s="88">
        <v>2694.7311419763864</v>
      </c>
      <c r="D14" s="473">
        <v>28233.923822384764</v>
      </c>
      <c r="E14" s="88">
        <v>41585.559434337541</v>
      </c>
      <c r="F14" s="381">
        <v>3.2094521746064676E-2</v>
      </c>
    </row>
    <row r="15" spans="1:7" ht="18" customHeight="1" thickBot="1">
      <c r="A15" s="380">
        <v>2000</v>
      </c>
      <c r="B15" s="473">
        <v>10991.927290144806</v>
      </c>
      <c r="C15" s="88">
        <v>2792.2657321448069</v>
      </c>
      <c r="D15" s="473">
        <v>29581.126090069618</v>
      </c>
      <c r="E15" s="88">
        <v>43365.319112359226</v>
      </c>
      <c r="F15" s="381">
        <v>4.2797540834622561E-2</v>
      </c>
    </row>
    <row r="16" spans="1:7" ht="18" customHeight="1" thickBot="1">
      <c r="A16" s="380">
        <v>2001</v>
      </c>
      <c r="B16" s="473">
        <v>12353.64977059135</v>
      </c>
      <c r="C16" s="88">
        <v>2947.8544295913507</v>
      </c>
      <c r="D16" s="473">
        <v>30827.987618126626</v>
      </c>
      <c r="E16" s="88">
        <v>46129.491818309325</v>
      </c>
      <c r="F16" s="381">
        <v>6.3741551141089217E-2</v>
      </c>
    </row>
    <row r="17" spans="1:8" s="1451" customFormat="1" ht="30" customHeight="1" thickBot="1">
      <c r="A17" s="1447" t="s">
        <v>1185</v>
      </c>
      <c r="B17" s="1448" t="s">
        <v>1013</v>
      </c>
      <c r="C17" s="1449" t="s">
        <v>1013</v>
      </c>
      <c r="D17" s="1448" t="s">
        <v>1013</v>
      </c>
      <c r="E17" s="1449">
        <v>47959.060861776779</v>
      </c>
      <c r="F17" s="1450">
        <v>3.9661591128590697E-2</v>
      </c>
    </row>
    <row r="18" spans="1:8" ht="20" customHeight="1">
      <c r="A18" s="477" t="s">
        <v>1586</v>
      </c>
      <c r="B18" s="478"/>
      <c r="C18" s="478"/>
      <c r="D18" s="478"/>
      <c r="E18" s="478"/>
      <c r="F18" s="478"/>
    </row>
    <row r="19" spans="1:8" ht="10.5" customHeight="1">
      <c r="A19" s="479"/>
      <c r="B19" s="480"/>
      <c r="C19" s="480"/>
      <c r="D19" s="480"/>
      <c r="E19" s="480"/>
    </row>
    <row r="20" spans="1:8" ht="12.75" customHeight="1">
      <c r="A20" s="479" t="s">
        <v>1182</v>
      </c>
      <c r="B20" s="480"/>
      <c r="C20" s="480"/>
      <c r="D20" s="480"/>
      <c r="E20" s="480"/>
      <c r="F20" s="480"/>
      <c r="G20" s="480"/>
    </row>
    <row r="21" spans="1:8" ht="12.75" customHeight="1">
      <c r="A21" s="479" t="s">
        <v>1183</v>
      </c>
      <c r="B21" s="480"/>
      <c r="C21" s="480"/>
      <c r="D21" s="480"/>
      <c r="E21" s="480"/>
      <c r="F21" s="480"/>
      <c r="G21" s="480"/>
    </row>
    <row r="22" spans="1:8" ht="12.75" customHeight="1">
      <c r="A22" s="479"/>
      <c r="B22" s="480"/>
      <c r="C22" s="480"/>
      <c r="D22" s="480"/>
      <c r="E22" s="480"/>
      <c r="F22" s="480"/>
      <c r="G22" s="480"/>
    </row>
    <row r="23" spans="1:8" ht="12.75" customHeight="1">
      <c r="A23" s="479" t="s">
        <v>1184</v>
      </c>
      <c r="B23" s="480"/>
      <c r="C23" s="480"/>
      <c r="D23" s="480"/>
      <c r="E23" s="480"/>
    </row>
    <row r="24" spans="1:8" ht="15.75" customHeight="1">
      <c r="A24" s="372"/>
      <c r="B24" s="482"/>
      <c r="C24" s="482"/>
      <c r="D24" s="482"/>
      <c r="E24" s="482"/>
    </row>
    <row r="25" spans="1:8" ht="12" customHeight="1">
      <c r="A25" s="10"/>
      <c r="B25" s="482"/>
      <c r="C25" s="482"/>
      <c r="D25" s="482"/>
      <c r="E25" s="482"/>
    </row>
    <row r="26" spans="1:8" ht="15.75" customHeight="1">
      <c r="A26" s="355" t="s">
        <v>256</v>
      </c>
      <c r="B26" s="482"/>
      <c r="C26" s="482"/>
      <c r="D26" s="482"/>
      <c r="E26" s="482"/>
    </row>
    <row r="27" spans="1:8" ht="31" customHeight="1">
      <c r="A27" s="355"/>
      <c r="B27" s="482"/>
      <c r="C27" s="482"/>
      <c r="D27" s="482"/>
      <c r="E27" s="482"/>
    </row>
    <row r="28" spans="1:8" ht="31" customHeight="1">
      <c r="A28" s="355"/>
      <c r="B28" s="482"/>
      <c r="C28" s="482"/>
      <c r="D28" s="482"/>
      <c r="E28" s="482"/>
      <c r="H28" s="10"/>
    </row>
    <row r="29" spans="1:8" ht="31" customHeight="1">
      <c r="A29" s="355"/>
      <c r="B29" s="482"/>
      <c r="C29" s="482"/>
      <c r="D29" s="482"/>
      <c r="E29" s="482"/>
    </row>
    <row r="30" spans="1:8" ht="31" customHeight="1">
      <c r="A30" s="355"/>
      <c r="B30" s="482"/>
      <c r="C30" s="482"/>
      <c r="D30" s="482"/>
      <c r="E30" s="482"/>
    </row>
    <row r="31" spans="1:8" ht="31" customHeight="1">
      <c r="A31" s="355"/>
      <c r="B31" s="482"/>
      <c r="C31" s="482"/>
      <c r="D31" s="482"/>
      <c r="E31" s="482"/>
    </row>
    <row r="32" spans="1:8" ht="31" customHeight="1">
      <c r="A32" s="355"/>
      <c r="B32" s="482"/>
      <c r="C32" s="482"/>
      <c r="D32" s="482"/>
      <c r="E32" s="482"/>
    </row>
    <row r="33" spans="1:5" ht="31" customHeight="1">
      <c r="A33" s="355"/>
      <c r="B33" s="482"/>
      <c r="C33" s="482"/>
      <c r="D33" s="482"/>
      <c r="E33" s="482"/>
    </row>
    <row r="34" spans="1:5">
      <c r="A34" s="355"/>
      <c r="B34" s="482"/>
      <c r="C34" s="482"/>
      <c r="D34" s="482"/>
      <c r="E34" s="482"/>
    </row>
    <row r="35" spans="1:5">
      <c r="A35" s="355"/>
      <c r="B35" s="482"/>
      <c r="C35" s="482"/>
      <c r="D35" s="482"/>
      <c r="E35" s="482"/>
    </row>
  </sheetData>
  <phoneticPr fontId="0" type="noConversion"/>
  <pageMargins left="0.59" right="0.61" top="0.98" bottom="0.49" header="0.55000000000000004" footer="0.4921259845"/>
  <pageSetup paperSize="9" scale="99" orientation="portrait" horizontalDpi="4294967292" verticalDpi="4294967292"/>
  <headerFooter alignWithMargins="0">
    <oddHeader>&amp;L&amp;"Arial,Bold"Zusatzinformationen zum Gesundheitswesen</oddHead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2F942-9B07-F548-BDA1-F31828B1164D}">
  <dimension ref="A1:AF124"/>
  <sheetViews>
    <sheetView topLeftCell="A66" workbookViewId="0">
      <selection activeCell="A77" sqref="A1:P77"/>
    </sheetView>
  </sheetViews>
  <sheetFormatPr baseColWidth="10" defaultColWidth="10.19921875" defaultRowHeight="13"/>
  <cols>
    <col min="1" max="1" width="3.796875" style="1299" customWidth="1"/>
    <col min="2" max="2" width="45" style="1299" customWidth="1"/>
    <col min="3" max="3" width="10.796875" style="1299" customWidth="1"/>
    <col min="4" max="4" width="11" style="1299" customWidth="1"/>
    <col min="5" max="6" width="10.3984375" style="1299" customWidth="1"/>
    <col min="7" max="9" width="10.796875" style="1299" customWidth="1"/>
    <col min="10" max="10" width="4.19921875" style="1299" customWidth="1"/>
    <col min="11" max="12" width="10.3984375" style="1299" bestFit="1" customWidth="1"/>
    <col min="13" max="13" width="4.19921875" style="1299" customWidth="1"/>
    <col min="14" max="14" width="11" style="1299" customWidth="1"/>
    <col min="15" max="15" width="10.3984375" style="1299" customWidth="1"/>
    <col min="16" max="16" width="11.19921875" style="1299" customWidth="1"/>
    <col min="17" max="17" width="19.59765625" style="1299" customWidth="1"/>
    <col min="18" max="18" width="18" style="1299" customWidth="1"/>
    <col min="19" max="16384" width="10.19921875" style="1299"/>
  </cols>
  <sheetData>
    <row r="1" spans="1:32" ht="16">
      <c r="A1" s="1298" t="s">
        <v>1152</v>
      </c>
      <c r="Q1" s="1300"/>
      <c r="R1" s="1301"/>
      <c r="W1" s="1301"/>
      <c r="AC1" s="1301"/>
    </row>
    <row r="2" spans="1:32" ht="14" thickBot="1">
      <c r="A2" s="1302"/>
      <c r="B2" s="1302"/>
      <c r="C2" s="1302"/>
      <c r="D2" s="1302"/>
      <c r="E2" s="1302"/>
      <c r="F2" s="1302"/>
      <c r="G2" s="1302"/>
      <c r="H2" s="1302"/>
      <c r="I2" s="1302"/>
      <c r="J2" s="1302"/>
      <c r="K2" s="1302"/>
      <c r="L2" s="1302"/>
      <c r="M2" s="1302"/>
      <c r="N2" s="1302"/>
      <c r="O2" s="1302"/>
      <c r="P2" s="1302"/>
    </row>
    <row r="3" spans="1:32" s="1309" customFormat="1" ht="10.5" customHeight="1">
      <c r="A3" s="1303"/>
      <c r="B3" s="1303"/>
      <c r="C3" s="1304"/>
      <c r="D3" s="1303"/>
      <c r="E3" s="1304"/>
      <c r="F3" s="1303"/>
      <c r="G3" s="1304"/>
      <c r="H3" s="1303"/>
      <c r="I3" s="1304"/>
      <c r="J3" s="1305"/>
      <c r="K3" s="1306"/>
      <c r="L3" s="1307"/>
      <c r="M3" s="1308"/>
      <c r="N3" s="1304"/>
      <c r="O3" s="1303"/>
      <c r="P3" s="1304"/>
      <c r="R3" s="1299"/>
      <c r="S3" s="1310"/>
      <c r="T3" s="1310"/>
      <c r="U3" s="1310"/>
      <c r="V3" s="1310"/>
      <c r="W3" s="1311"/>
      <c r="X3" s="1311"/>
      <c r="Y3" s="1311"/>
      <c r="Z3" s="1311"/>
      <c r="AC3" s="1312"/>
      <c r="AD3" s="1312"/>
      <c r="AE3" s="1312"/>
      <c r="AF3" s="1312"/>
    </row>
    <row r="4" spans="1:32" ht="13.5" customHeight="1">
      <c r="A4" s="1313" t="s">
        <v>1121</v>
      </c>
      <c r="B4" s="1314"/>
      <c r="C4" s="1315">
        <v>1996</v>
      </c>
      <c r="D4" s="1316">
        <v>1997</v>
      </c>
      <c r="E4" s="1315">
        <v>1998</v>
      </c>
      <c r="F4" s="1316">
        <v>1999</v>
      </c>
      <c r="G4" s="1315">
        <v>2000</v>
      </c>
      <c r="H4" s="1316">
        <v>2001</v>
      </c>
      <c r="I4" s="1317" t="s">
        <v>1172</v>
      </c>
      <c r="J4" s="1318"/>
      <c r="K4" s="1306" t="s">
        <v>24</v>
      </c>
      <c r="L4" s="1307" t="s">
        <v>1153</v>
      </c>
      <c r="M4" s="1308"/>
      <c r="N4" s="1317" t="s">
        <v>922</v>
      </c>
      <c r="O4" s="1319" t="s">
        <v>922</v>
      </c>
      <c r="P4" s="1317" t="s">
        <v>922</v>
      </c>
      <c r="S4" s="1310"/>
      <c r="T4" s="1310"/>
      <c r="U4" s="1310"/>
      <c r="V4" s="1310"/>
      <c r="W4" s="1320"/>
      <c r="X4" s="1320"/>
      <c r="Y4" s="1320"/>
      <c r="Z4" s="1320"/>
      <c r="AC4" s="1312"/>
      <c r="AD4" s="1312"/>
      <c r="AE4" s="1312"/>
      <c r="AF4" s="1312"/>
    </row>
    <row r="5" spans="1:32" ht="12" customHeight="1">
      <c r="A5" s="1313" t="s">
        <v>1122</v>
      </c>
      <c r="B5" s="1321"/>
      <c r="C5" s="1322"/>
      <c r="D5" s="1323"/>
      <c r="E5" s="1322"/>
      <c r="F5" s="1323"/>
      <c r="G5" s="1322"/>
      <c r="H5" s="1323"/>
      <c r="I5" s="1322"/>
      <c r="J5" s="1324"/>
      <c r="K5" s="1306" t="s">
        <v>923</v>
      </c>
      <c r="L5" s="1307" t="s">
        <v>924</v>
      </c>
      <c r="M5" s="1308"/>
      <c r="N5" s="1317">
        <v>2003</v>
      </c>
      <c r="O5" s="1319">
        <v>2004</v>
      </c>
      <c r="P5" s="1317">
        <v>2005</v>
      </c>
      <c r="S5" s="1310"/>
      <c r="T5" s="1310"/>
      <c r="U5" s="1310"/>
      <c r="V5" s="1310"/>
      <c r="W5" s="1320"/>
      <c r="X5" s="1320"/>
      <c r="Y5" s="1320"/>
      <c r="Z5" s="1320"/>
      <c r="AC5" s="1312"/>
      <c r="AD5" s="1312"/>
      <c r="AE5" s="1312"/>
      <c r="AF5" s="1312"/>
    </row>
    <row r="6" spans="1:32" ht="14.25" customHeight="1">
      <c r="A6" s="1325"/>
      <c r="B6" s="1325"/>
      <c r="C6" s="1326"/>
      <c r="D6" s="1327"/>
      <c r="E6" s="1326"/>
      <c r="F6" s="1327"/>
      <c r="G6" s="1326"/>
      <c r="H6" s="1327"/>
      <c r="I6" s="1326"/>
      <c r="J6" s="1328"/>
      <c r="K6" s="1329"/>
      <c r="L6" s="1330" t="s">
        <v>1458</v>
      </c>
      <c r="M6" s="1331"/>
      <c r="N6" s="1326"/>
      <c r="O6" s="1327"/>
      <c r="P6" s="1326"/>
      <c r="S6" s="1310"/>
      <c r="T6" s="1310"/>
      <c r="U6" s="1310"/>
      <c r="V6" s="1310"/>
      <c r="W6" s="1332"/>
      <c r="X6" s="1332"/>
      <c r="Y6" s="1332"/>
      <c r="Z6" s="1332"/>
      <c r="AC6" s="1332"/>
      <c r="AD6" s="1332"/>
      <c r="AE6" s="1332"/>
      <c r="AF6" s="1332"/>
    </row>
    <row r="7" spans="1:32">
      <c r="A7" s="1333"/>
      <c r="B7" s="1334"/>
      <c r="C7" s="1335"/>
      <c r="D7" s="1334"/>
      <c r="E7" s="1335"/>
      <c r="F7" s="1334"/>
      <c r="G7" s="1335"/>
      <c r="H7" s="1334"/>
      <c r="I7" s="1335"/>
      <c r="J7" s="1336"/>
      <c r="K7" s="1335"/>
      <c r="L7" s="1337" t="s">
        <v>925</v>
      </c>
      <c r="M7" s="1338"/>
      <c r="N7" s="1335"/>
      <c r="O7" s="1334"/>
      <c r="P7" s="1335"/>
      <c r="S7" s="1310"/>
      <c r="T7" s="1310"/>
      <c r="U7" s="1310"/>
      <c r="V7" s="1310"/>
      <c r="W7" s="1320"/>
      <c r="X7" s="1320"/>
      <c r="Y7" s="1320"/>
      <c r="Z7" s="1320"/>
      <c r="AC7" s="1312"/>
      <c r="AD7" s="1312"/>
      <c r="AE7" s="1312"/>
      <c r="AF7" s="1312"/>
    </row>
    <row r="8" spans="1:32" ht="18" customHeight="1" thickBot="1">
      <c r="A8" s="1339" t="s">
        <v>1137</v>
      </c>
      <c r="B8" s="1340"/>
      <c r="C8" s="1341">
        <v>6108.1158740877472</v>
      </c>
      <c r="D8" s="1342">
        <v>6057.9558227212619</v>
      </c>
      <c r="E8" s="1341">
        <v>6131.7435544855471</v>
      </c>
      <c r="F8" s="1342">
        <v>6416.6639279999999</v>
      </c>
      <c r="G8" s="1341">
        <v>6599.5077579999997</v>
      </c>
      <c r="H8" s="1342">
        <v>7802.4641389999997</v>
      </c>
      <c r="I8" s="1343">
        <v>8576.483334999999</v>
      </c>
      <c r="J8" s="1344"/>
      <c r="K8" s="1345">
        <v>9.9201890865620923E-2</v>
      </c>
      <c r="L8" s="1346">
        <v>5.8198147232656039E-2</v>
      </c>
      <c r="M8" s="1347"/>
      <c r="N8" s="1343">
        <v>9076.3374244628139</v>
      </c>
      <c r="O8" s="1348">
        <v>9605.5366772197031</v>
      </c>
      <c r="P8" s="1343">
        <v>10165.814375721347</v>
      </c>
      <c r="S8" s="1310"/>
      <c r="T8" s="1310"/>
      <c r="U8" s="1310"/>
      <c r="V8" s="1310"/>
      <c r="AC8" s="1312"/>
      <c r="AD8" s="1312"/>
      <c r="AE8" s="1312"/>
      <c r="AF8" s="1312"/>
    </row>
    <row r="9" spans="1:32" ht="14" thickBot="1">
      <c r="A9" s="1349"/>
      <c r="B9" s="1350" t="s">
        <v>1123</v>
      </c>
      <c r="C9" s="1351">
        <v>129.23078991</v>
      </c>
      <c r="D9" s="1352">
        <v>117.49672023999999</v>
      </c>
      <c r="E9" s="1351">
        <v>116.89201141000001</v>
      </c>
      <c r="F9" s="1352">
        <v>126.03114400000001</v>
      </c>
      <c r="G9" s="1351">
        <v>145.00575000000003</v>
      </c>
      <c r="H9" s="1352">
        <v>164.3904</v>
      </c>
      <c r="I9" s="1353">
        <v>177.72408200000001</v>
      </c>
      <c r="J9" s="1354"/>
      <c r="K9" s="1355">
        <v>8.1109857996574108E-2</v>
      </c>
      <c r="L9" s="1356">
        <v>5.4540782863452986E-2</v>
      </c>
      <c r="M9" s="1357"/>
      <c r="N9" s="1353">
        <v>187.41729256596852</v>
      </c>
      <c r="O9" s="1358">
        <v>197.63917842466526</v>
      </c>
      <c r="P9" s="1353">
        <v>208.41857394043618</v>
      </c>
      <c r="S9" s="1310"/>
      <c r="T9" s="1310"/>
      <c r="U9" s="1310"/>
      <c r="V9" s="1310"/>
      <c r="W9" s="1320"/>
      <c r="X9" s="1320"/>
      <c r="Y9" s="1320"/>
      <c r="Z9" s="1320"/>
      <c r="AC9" s="1312"/>
      <c r="AD9" s="1312"/>
      <c r="AE9" s="1312"/>
      <c r="AF9" s="1312"/>
    </row>
    <row r="10" spans="1:32" ht="14" thickBot="1">
      <c r="A10" s="1359"/>
      <c r="B10" s="1350" t="s">
        <v>1124</v>
      </c>
      <c r="C10" s="1351">
        <v>4895.0076659724309</v>
      </c>
      <c r="D10" s="1352">
        <v>4830.7426606407189</v>
      </c>
      <c r="E10" s="1351">
        <v>4825.5195288525429</v>
      </c>
      <c r="F10" s="1352">
        <v>5091.7478220000003</v>
      </c>
      <c r="G10" s="1351">
        <v>5233.1441749999994</v>
      </c>
      <c r="H10" s="1352">
        <v>6202.5944609999997</v>
      </c>
      <c r="I10" s="1353">
        <v>6968.3599750000003</v>
      </c>
      <c r="J10" s="1354"/>
      <c r="K10" s="1360">
        <v>0.12345890398201886</v>
      </c>
      <c r="L10" s="1361">
        <v>6.062745981841533E-2</v>
      </c>
      <c r="M10" s="1362"/>
      <c r="N10" s="1353">
        <v>7390.8339393845663</v>
      </c>
      <c r="O10" s="1358">
        <v>7838.9214270691846</v>
      </c>
      <c r="P10" s="1353">
        <v>8314.1753209085364</v>
      </c>
      <c r="S10" s="1310"/>
      <c r="T10" s="1310"/>
      <c r="U10" s="1310"/>
      <c r="V10" s="1310"/>
      <c r="W10" s="1320"/>
      <c r="X10" s="1320"/>
      <c r="Y10" s="1320"/>
      <c r="Z10" s="1320"/>
      <c r="AC10" s="1312"/>
      <c r="AD10" s="1312"/>
      <c r="AE10" s="1312"/>
      <c r="AF10" s="1312"/>
    </row>
    <row r="11" spans="1:32" ht="14" thickBot="1">
      <c r="A11" s="1359"/>
      <c r="B11" s="1350" t="s">
        <v>1125</v>
      </c>
      <c r="C11" s="1351">
        <v>1083.8774182053171</v>
      </c>
      <c r="D11" s="1352">
        <v>1109.716441840543</v>
      </c>
      <c r="E11" s="1351">
        <v>1189.3320142230043</v>
      </c>
      <c r="F11" s="1352">
        <v>1198.8849619999999</v>
      </c>
      <c r="G11" s="1351">
        <v>1221.3578329999998</v>
      </c>
      <c r="H11" s="1352">
        <v>1435.4792780000002</v>
      </c>
      <c r="I11" s="1353">
        <v>1430.3992779999996</v>
      </c>
      <c r="J11" s="1354"/>
      <c r="K11" s="1360">
        <v>-3.5388877275041031E-3</v>
      </c>
      <c r="L11" s="1361">
        <v>4.7320294097827009E-2</v>
      </c>
      <c r="M11" s="1362"/>
      <c r="N11" s="1353">
        <v>1498.086192512279</v>
      </c>
      <c r="O11" s="1358">
        <v>1568.9760717258539</v>
      </c>
      <c r="P11" s="1353">
        <v>1643.2204808723745</v>
      </c>
      <c r="S11" s="1310"/>
      <c r="T11" s="1310"/>
      <c r="U11" s="1310"/>
      <c r="V11" s="1310"/>
      <c r="W11" s="1320"/>
      <c r="X11" s="1320"/>
      <c r="Y11" s="1320"/>
      <c r="Z11" s="1320"/>
      <c r="AC11" s="1312"/>
      <c r="AD11" s="1312"/>
      <c r="AE11" s="1312"/>
      <c r="AF11" s="1312"/>
    </row>
    <row r="12" spans="1:32" s="1373" customFormat="1" ht="14" thickBot="1">
      <c r="A12" s="1359"/>
      <c r="B12" s="1363"/>
      <c r="C12" s="1364"/>
      <c r="D12" s="1365"/>
      <c r="E12" s="1364"/>
      <c r="F12" s="1365"/>
      <c r="G12" s="1364"/>
      <c r="H12" s="1365"/>
      <c r="I12" s="1366"/>
      <c r="J12" s="1367"/>
      <c r="K12" s="1368"/>
      <c r="L12" s="1369"/>
      <c r="M12" s="1370"/>
      <c r="N12" s="1366"/>
      <c r="O12" s="1371"/>
      <c r="P12" s="1366"/>
      <c r="Q12" s="1372"/>
    </row>
    <row r="13" spans="1:32" s="1373" customFormat="1" ht="16" thickBot="1">
      <c r="A13" s="1349" t="s">
        <v>1138</v>
      </c>
      <c r="B13" s="1359"/>
      <c r="C13" s="1374">
        <v>2881.6</v>
      </c>
      <c r="D13" s="1375">
        <v>3011.4</v>
      </c>
      <c r="E13" s="1374">
        <v>3176.3677925723964</v>
      </c>
      <c r="F13" s="1375">
        <v>3314.4716839527723</v>
      </c>
      <c r="G13" s="1374">
        <v>3458.985264289614</v>
      </c>
      <c r="H13" s="1375">
        <v>3661.4400591827007</v>
      </c>
      <c r="I13" s="1376">
        <v>3701.6993999861515</v>
      </c>
      <c r="J13" s="1377"/>
      <c r="K13" s="1378">
        <v>1.0995493618005003E-2</v>
      </c>
      <c r="L13" s="1379">
        <v>4.26244589788356E-2</v>
      </c>
      <c r="M13" s="1380"/>
      <c r="N13" s="1376">
        <v>3859.6782112318188</v>
      </c>
      <c r="O13" s="1381">
        <v>4024.4572254831191</v>
      </c>
      <c r="P13" s="1376">
        <v>4196.3315074930561</v>
      </c>
    </row>
    <row r="14" spans="1:32" ht="14" thickBot="1">
      <c r="A14" s="1359" t="s">
        <v>1126</v>
      </c>
      <c r="B14" s="1359"/>
      <c r="C14" s="1382">
        <v>1132.4000000000001</v>
      </c>
      <c r="D14" s="1383">
        <v>1151.5</v>
      </c>
      <c r="E14" s="1382">
        <v>1283.9227999999998</v>
      </c>
      <c r="F14" s="1383">
        <v>1378.5406000000003</v>
      </c>
      <c r="G14" s="1382">
        <v>1422.4462000000001</v>
      </c>
      <c r="H14" s="1383">
        <v>1475.3187999999998</v>
      </c>
      <c r="I14" s="1384">
        <v>1413.5950692328543</v>
      </c>
      <c r="J14" s="1385"/>
      <c r="K14" s="1355">
        <v>-4.1837554545597566E-2</v>
      </c>
      <c r="L14" s="1356">
        <v>3.7657892007875171E-2</v>
      </c>
      <c r="M14" s="1357"/>
      <c r="N14" s="1384">
        <v>1466.82807969289</v>
      </c>
      <c r="O14" s="1386">
        <v>1522.0657331120838</v>
      </c>
      <c r="P14" s="1384">
        <v>1579.3835201185059</v>
      </c>
    </row>
    <row r="15" spans="1:32" ht="15" customHeight="1" thickBot="1">
      <c r="A15" s="1359" t="s">
        <v>1139</v>
      </c>
      <c r="B15" s="1359"/>
      <c r="C15" s="1382">
        <v>1712.7</v>
      </c>
      <c r="D15" s="1383">
        <v>1822.7</v>
      </c>
      <c r="E15" s="1382">
        <v>1857.0449925723965</v>
      </c>
      <c r="F15" s="1383">
        <v>1894.8310839527724</v>
      </c>
      <c r="G15" s="1382">
        <v>1993.5390642896139</v>
      </c>
      <c r="H15" s="1383">
        <v>2140.9212591827013</v>
      </c>
      <c r="I15" s="1384">
        <v>2241.2043307532972</v>
      </c>
      <c r="J15" s="1385"/>
      <c r="K15" s="1355">
        <v>4.6841083547780382E-2</v>
      </c>
      <c r="L15" s="1356">
        <v>4.5843478253302594E-2</v>
      </c>
      <c r="M15" s="1357"/>
      <c r="N15" s="1384">
        <v>2343.9489327513934</v>
      </c>
      <c r="O15" s="1386">
        <v>2451.4037046768335</v>
      </c>
      <c r="P15" s="1384">
        <v>2563.7845771022512</v>
      </c>
    </row>
    <row r="16" spans="1:32" ht="14" thickBot="1">
      <c r="A16" s="1359" t="s">
        <v>1127</v>
      </c>
      <c r="B16" s="1359"/>
      <c r="C16" s="1382">
        <v>36.5</v>
      </c>
      <c r="D16" s="1383">
        <v>37.200000000000003</v>
      </c>
      <c r="E16" s="1382">
        <v>35.4</v>
      </c>
      <c r="F16" s="1383">
        <v>41.1</v>
      </c>
      <c r="G16" s="1382">
        <v>43</v>
      </c>
      <c r="H16" s="1383">
        <v>45.2</v>
      </c>
      <c r="I16" s="1384">
        <v>46.9</v>
      </c>
      <c r="J16" s="1385"/>
      <c r="K16" s="1355">
        <v>3.7610619469026441E-2</v>
      </c>
      <c r="L16" s="1356">
        <v>4.2669483742764136E-2</v>
      </c>
      <c r="M16" s="1357"/>
      <c r="N16" s="1384">
        <v>48.901198787535634</v>
      </c>
      <c r="O16" s="1386">
        <v>50.987787694202062</v>
      </c>
      <c r="P16" s="1384">
        <v>53.163410272299323</v>
      </c>
    </row>
    <row r="17" spans="1:16" ht="14" thickBot="1">
      <c r="A17" s="1359"/>
      <c r="B17" s="1359"/>
      <c r="C17" s="1364"/>
      <c r="D17" s="1365"/>
      <c r="E17" s="1364"/>
      <c r="F17" s="1365"/>
      <c r="G17" s="1364"/>
      <c r="H17" s="1365"/>
      <c r="I17" s="1364"/>
      <c r="J17" s="1367"/>
      <c r="K17" s="1368"/>
      <c r="L17" s="1369"/>
      <c r="M17" s="1370"/>
      <c r="N17" s="1366"/>
      <c r="O17" s="1371"/>
      <c r="P17" s="1366"/>
    </row>
    <row r="18" spans="1:16" ht="16" thickBot="1">
      <c r="A18" s="1349" t="s">
        <v>1140</v>
      </c>
      <c r="B18" s="1359"/>
      <c r="C18" s="1374">
        <v>623.1</v>
      </c>
      <c r="D18" s="1375">
        <v>-213.6</v>
      </c>
      <c r="E18" s="1374">
        <v>-306.39999999999998</v>
      </c>
      <c r="F18" s="1375">
        <v>-200.29999999999927</v>
      </c>
      <c r="G18" s="1374">
        <v>98.828987000000325</v>
      </c>
      <c r="H18" s="1375">
        <v>454.38000000000136</v>
      </c>
      <c r="I18" s="1374">
        <v>-588.16000000000054</v>
      </c>
      <c r="J18" s="1377"/>
      <c r="K18" s="1378">
        <v>-2.2944231700338897</v>
      </c>
      <c r="L18" s="1379" t="s">
        <v>1013</v>
      </c>
      <c r="M18" s="1380"/>
      <c r="N18" s="1376">
        <v>-1286.4784276195583</v>
      </c>
      <c r="O18" s="1381">
        <v>-1627.0070539606072</v>
      </c>
      <c r="P18" s="1376">
        <v>-1386.2045043216422</v>
      </c>
    </row>
    <row r="19" spans="1:16" ht="14" thickBot="1">
      <c r="A19" s="1359"/>
      <c r="B19" s="1387" t="s">
        <v>928</v>
      </c>
      <c r="C19" s="1382">
        <v>704.5</v>
      </c>
      <c r="D19" s="1383">
        <v>335.5</v>
      </c>
      <c r="E19" s="1382">
        <v>194.5</v>
      </c>
      <c r="F19" s="1383">
        <v>332.70000000000073</v>
      </c>
      <c r="G19" s="1382">
        <v>712.41100000000006</v>
      </c>
      <c r="H19" s="1383">
        <v>931.98000000000138</v>
      </c>
      <c r="I19" s="1382">
        <v>187.13999999999942</v>
      </c>
      <c r="J19" s="1385"/>
      <c r="K19" s="1355">
        <v>-0.7992016996072886</v>
      </c>
      <c r="L19" s="1356" t="s">
        <v>1013</v>
      </c>
      <c r="M19" s="1357"/>
      <c r="N19" s="1384">
        <v>-488.20274287718348</v>
      </c>
      <c r="O19" s="1386">
        <v>-768.21144122067926</v>
      </c>
      <c r="P19" s="1384">
        <v>-441.96868909278783</v>
      </c>
    </row>
    <row r="20" spans="1:16" ht="16.5" customHeight="1" thickBot="1">
      <c r="A20" s="1359"/>
      <c r="B20" s="1387" t="s">
        <v>1141</v>
      </c>
      <c r="C20" s="1382">
        <v>37.699999999999818</v>
      </c>
      <c r="D20" s="1383">
        <v>-518.29999999999995</v>
      </c>
      <c r="E20" s="1382">
        <v>-415.1</v>
      </c>
      <c r="F20" s="1383">
        <v>-351.5</v>
      </c>
      <c r="G20" s="1382">
        <v>-271.25196099999994</v>
      </c>
      <c r="H20" s="1383">
        <v>-111.1</v>
      </c>
      <c r="I20" s="1382">
        <v>-217.5</v>
      </c>
      <c r="J20" s="1385"/>
      <c r="K20" s="1355">
        <v>-0.9576957695769579</v>
      </c>
      <c r="L20" s="1356" t="s">
        <v>1013</v>
      </c>
      <c r="M20" s="1357"/>
      <c r="N20" s="1384">
        <v>-224.60583114237488</v>
      </c>
      <c r="O20" s="1386">
        <v>-258.79561273992795</v>
      </c>
      <c r="P20" s="1384">
        <v>-282.23581522885434</v>
      </c>
    </row>
    <row r="21" spans="1:16" ht="14" thickBot="1">
      <c r="A21" s="1359"/>
      <c r="B21" s="1387" t="s">
        <v>1142</v>
      </c>
      <c r="C21" s="1382">
        <v>-119.1</v>
      </c>
      <c r="D21" s="1383">
        <v>-30.8</v>
      </c>
      <c r="E21" s="1382">
        <v>-85.8</v>
      </c>
      <c r="F21" s="1383">
        <v>-181.5</v>
      </c>
      <c r="G21" s="1382">
        <v>-342.3300519999998</v>
      </c>
      <c r="H21" s="1383">
        <v>-366.5</v>
      </c>
      <c r="I21" s="1382">
        <v>-557.79999999999995</v>
      </c>
      <c r="J21" s="1385"/>
      <c r="K21" s="1355">
        <v>-0.52196452933151427</v>
      </c>
      <c r="L21" s="1356" t="s">
        <v>1013</v>
      </c>
      <c r="M21" s="1357"/>
      <c r="N21" s="1384">
        <v>-573.6698535999999</v>
      </c>
      <c r="O21" s="1386">
        <v>-600</v>
      </c>
      <c r="P21" s="1384">
        <v>-662</v>
      </c>
    </row>
    <row r="22" spans="1:16" ht="14" thickBot="1">
      <c r="A22" s="1359"/>
      <c r="B22" s="1387"/>
      <c r="C22" s="1364"/>
      <c r="D22" s="1365"/>
      <c r="E22" s="1382"/>
      <c r="F22" s="1383"/>
      <c r="G22" s="1382"/>
      <c r="H22" s="1383"/>
      <c r="I22" s="1382"/>
      <c r="J22" s="1385"/>
      <c r="K22" s="1355"/>
      <c r="L22" s="1356"/>
      <c r="M22" s="1357"/>
      <c r="N22" s="1366"/>
      <c r="O22" s="1386"/>
      <c r="P22" s="1384"/>
    </row>
    <row r="23" spans="1:16" s="1373" customFormat="1" ht="14" thickBot="1">
      <c r="A23" s="1349" t="s">
        <v>1128</v>
      </c>
      <c r="B23" s="1359"/>
      <c r="C23" s="1374">
        <v>2760.27</v>
      </c>
      <c r="D23" s="1375">
        <v>3024.94</v>
      </c>
      <c r="E23" s="1374">
        <v>3270.2</v>
      </c>
      <c r="F23" s="1375">
        <v>3620.5</v>
      </c>
      <c r="G23" s="1374">
        <v>3725.7</v>
      </c>
      <c r="H23" s="1375">
        <v>3837.6</v>
      </c>
      <c r="I23" s="1376">
        <v>4062.6</v>
      </c>
      <c r="J23" s="1377"/>
      <c r="K23" s="1378">
        <v>5.8630393996247809E-2</v>
      </c>
      <c r="L23" s="1379">
        <v>6.6535747569296255E-2</v>
      </c>
      <c r="M23" s="1380"/>
      <c r="N23" s="1376">
        <v>4203.779786802409</v>
      </c>
      <c r="O23" s="1381">
        <v>4297.4680653228652</v>
      </c>
      <c r="P23" s="1376">
        <v>4394.4258508043467</v>
      </c>
    </row>
    <row r="24" spans="1:16" s="1373" customFormat="1" ht="16" thickBot="1">
      <c r="A24" s="1359" t="s">
        <v>1143</v>
      </c>
      <c r="B24" s="1359"/>
      <c r="C24" s="1388">
        <v>1815.57</v>
      </c>
      <c r="D24" s="1389">
        <v>2087.14</v>
      </c>
      <c r="E24" s="1388">
        <v>2263.1999999999998</v>
      </c>
      <c r="F24" s="1389">
        <v>2476.6</v>
      </c>
      <c r="G24" s="1388">
        <v>2532.8000000000002</v>
      </c>
      <c r="H24" s="1389">
        <v>2671.6</v>
      </c>
      <c r="I24" s="1388">
        <v>2848.4</v>
      </c>
      <c r="J24" s="1390"/>
      <c r="K24" s="1391">
        <v>6.6177571492738396E-2</v>
      </c>
      <c r="L24" s="1392">
        <v>7.7948460292212252E-2</v>
      </c>
      <c r="M24" s="1393"/>
      <c r="N24" s="1388">
        <v>2961.058</v>
      </c>
      <c r="O24" s="1389">
        <v>3025.3</v>
      </c>
      <c r="P24" s="1394">
        <v>3091.8566000000001</v>
      </c>
    </row>
    <row r="25" spans="1:16" ht="14" thickBot="1">
      <c r="A25" s="1387"/>
      <c r="B25" s="1387" t="s">
        <v>1123</v>
      </c>
      <c r="C25" s="1382">
        <v>1364.8</v>
      </c>
      <c r="D25" s="1383">
        <v>1526.3</v>
      </c>
      <c r="E25" s="1382">
        <v>1601.2</v>
      </c>
      <c r="F25" s="1383">
        <v>1699.6</v>
      </c>
      <c r="G25" s="1382">
        <v>1740.4</v>
      </c>
      <c r="H25" s="1383">
        <v>1819.6</v>
      </c>
      <c r="I25" s="1382">
        <v>1915.4</v>
      </c>
      <c r="J25" s="1385"/>
      <c r="K25" s="1355">
        <v>5.26489338316114E-2</v>
      </c>
      <c r="L25" s="1356">
        <v>5.8112256181228616E-2</v>
      </c>
      <c r="M25" s="1357"/>
      <c r="N25" s="1384">
        <v>1974.039</v>
      </c>
      <c r="O25" s="1386" t="s">
        <v>1013</v>
      </c>
      <c r="P25" s="1384" t="s">
        <v>1013</v>
      </c>
    </row>
    <row r="26" spans="1:16" ht="14" thickBot="1">
      <c r="A26" s="1387"/>
      <c r="B26" s="1387" t="s">
        <v>1129</v>
      </c>
      <c r="C26" s="1382">
        <v>450.77</v>
      </c>
      <c r="D26" s="1383">
        <v>560.84</v>
      </c>
      <c r="E26" s="1382">
        <v>662</v>
      </c>
      <c r="F26" s="1383">
        <v>777</v>
      </c>
      <c r="G26" s="1382">
        <v>792.4</v>
      </c>
      <c r="H26" s="1383">
        <v>852</v>
      </c>
      <c r="I26" s="1382">
        <v>933</v>
      </c>
      <c r="J26" s="1385"/>
      <c r="K26" s="1355">
        <v>9.5070422535211252E-2</v>
      </c>
      <c r="L26" s="1356">
        <v>0.12889731426400708</v>
      </c>
      <c r="M26" s="1357"/>
      <c r="N26" s="1384">
        <v>987.01900000000001</v>
      </c>
      <c r="O26" s="1386" t="s">
        <v>1013</v>
      </c>
      <c r="P26" s="1384" t="s">
        <v>1013</v>
      </c>
    </row>
    <row r="27" spans="1:16" s="1373" customFormat="1" ht="16" thickBot="1">
      <c r="A27" s="1359" t="s">
        <v>1144</v>
      </c>
      <c r="B27" s="1359"/>
      <c r="C27" s="1395">
        <v>293</v>
      </c>
      <c r="D27" s="1396">
        <v>237.5</v>
      </c>
      <c r="E27" s="1395">
        <v>264.39999999999998</v>
      </c>
      <c r="F27" s="1396">
        <v>277.10000000000002</v>
      </c>
      <c r="G27" s="1395">
        <v>317</v>
      </c>
      <c r="H27" s="1396">
        <v>315</v>
      </c>
      <c r="I27" s="1397">
        <v>343.8</v>
      </c>
      <c r="J27" s="1398"/>
      <c r="K27" s="1399">
        <v>9.1428571428571415E-2</v>
      </c>
      <c r="L27" s="1400">
        <v>2.7006144602713222E-2</v>
      </c>
      <c r="M27" s="1401"/>
      <c r="N27" s="1397">
        <v>353.08726686872239</v>
      </c>
      <c r="O27" s="1402">
        <v>362.62616940928365</v>
      </c>
      <c r="P27" s="1397">
        <v>372.42354739662187</v>
      </c>
    </row>
    <row r="28" spans="1:16" s="1373" customFormat="1" ht="11.25" customHeight="1" thickBot="1">
      <c r="A28" s="1387"/>
      <c r="B28" s="1387" t="s">
        <v>1123</v>
      </c>
      <c r="C28" s="1382">
        <v>64</v>
      </c>
      <c r="D28" s="1383">
        <v>51.5</v>
      </c>
      <c r="E28" s="1382">
        <v>56.6</v>
      </c>
      <c r="F28" s="1383">
        <v>59.3</v>
      </c>
      <c r="G28" s="1382">
        <v>69.099999999999994</v>
      </c>
      <c r="H28" s="1383">
        <v>68.67</v>
      </c>
      <c r="I28" s="1384">
        <v>76.323599999999999</v>
      </c>
      <c r="J28" s="1385"/>
      <c r="K28" s="1355">
        <v>0.11145478374836171</v>
      </c>
      <c r="L28" s="1356">
        <v>2.9784803816896854E-2</v>
      </c>
      <c r="M28" s="1357"/>
      <c r="N28" s="1384">
        <v>78.596883452599315</v>
      </c>
      <c r="O28" s="1386">
        <v>80.937876206854497</v>
      </c>
      <c r="P28" s="1384">
        <v>83.348594971031943</v>
      </c>
    </row>
    <row r="29" spans="1:16" ht="14" thickBot="1">
      <c r="A29" s="1387"/>
      <c r="B29" s="1387" t="s">
        <v>1124</v>
      </c>
      <c r="C29" s="1382">
        <v>229</v>
      </c>
      <c r="D29" s="1383">
        <v>186</v>
      </c>
      <c r="E29" s="1382">
        <v>207.8</v>
      </c>
      <c r="F29" s="1383">
        <v>217.8</v>
      </c>
      <c r="G29" s="1382">
        <v>247.9</v>
      </c>
      <c r="H29" s="1383">
        <v>246.33</v>
      </c>
      <c r="I29" s="1384">
        <v>267.47640000000001</v>
      </c>
      <c r="J29" s="1385"/>
      <c r="K29" s="1355">
        <v>8.5845816587504453E-2</v>
      </c>
      <c r="L29" s="1356">
        <v>2.6222812241091242E-2</v>
      </c>
      <c r="M29" s="1357"/>
      <c r="N29" s="1384">
        <v>274.49038341612305</v>
      </c>
      <c r="O29" s="1386">
        <v>281.68829320242918</v>
      </c>
      <c r="P29" s="1384">
        <v>289.07495242558991</v>
      </c>
    </row>
    <row r="30" spans="1:16" ht="16" thickBot="1">
      <c r="A30" s="1359" t="s">
        <v>1145</v>
      </c>
      <c r="B30" s="1359"/>
      <c r="C30" s="1395">
        <v>203.5</v>
      </c>
      <c r="D30" s="1396">
        <v>228.6</v>
      </c>
      <c r="E30" s="1395">
        <v>266.2</v>
      </c>
      <c r="F30" s="1396">
        <v>375.1</v>
      </c>
      <c r="G30" s="1395">
        <v>378.5</v>
      </c>
      <c r="H30" s="1396">
        <v>314.89999999999998</v>
      </c>
      <c r="I30" s="1397">
        <v>319.7</v>
      </c>
      <c r="J30" s="1398"/>
      <c r="K30" s="1399">
        <v>1.5242934264846131E-2</v>
      </c>
      <c r="L30" s="1400">
        <v>7.8192658735602105E-2</v>
      </c>
      <c r="M30" s="1401"/>
      <c r="N30" s="1397">
        <v>319.7</v>
      </c>
      <c r="O30" s="1402">
        <v>319.7</v>
      </c>
      <c r="P30" s="1397">
        <v>319.7</v>
      </c>
    </row>
    <row r="31" spans="1:16" ht="14" thickBot="1">
      <c r="A31" s="1359"/>
      <c r="B31" s="1387" t="s">
        <v>1123</v>
      </c>
      <c r="C31" s="1382">
        <v>83.9</v>
      </c>
      <c r="D31" s="1383">
        <v>87.4</v>
      </c>
      <c r="E31" s="1382">
        <v>113.3</v>
      </c>
      <c r="F31" s="1383">
        <v>190.8</v>
      </c>
      <c r="G31" s="1382">
        <v>201.7</v>
      </c>
      <c r="H31" s="1383">
        <v>138.5</v>
      </c>
      <c r="I31" s="1384">
        <v>137.4</v>
      </c>
      <c r="J31" s="1385"/>
      <c r="K31" s="1355">
        <v>-7.9422382671480163E-3</v>
      </c>
      <c r="L31" s="1356">
        <v>8.5685727622946573E-2</v>
      </c>
      <c r="M31" s="1357"/>
      <c r="N31" s="1384">
        <v>137.4</v>
      </c>
      <c r="O31" s="1386">
        <v>137.4</v>
      </c>
      <c r="P31" s="1384">
        <v>137.4</v>
      </c>
    </row>
    <row r="32" spans="1:16" ht="14" thickBot="1">
      <c r="A32" s="1359"/>
      <c r="B32" s="1387" t="s">
        <v>1130</v>
      </c>
      <c r="C32" s="1382">
        <v>119.6</v>
      </c>
      <c r="D32" s="1383">
        <v>141.19999999999999</v>
      </c>
      <c r="E32" s="1382">
        <v>152.9</v>
      </c>
      <c r="F32" s="1383">
        <v>184.3</v>
      </c>
      <c r="G32" s="1382">
        <v>176.8</v>
      </c>
      <c r="H32" s="1383">
        <v>176.4</v>
      </c>
      <c r="I32" s="1384">
        <v>182.3</v>
      </c>
      <c r="J32" s="1385"/>
      <c r="K32" s="1355">
        <v>3.3446712018140534E-2</v>
      </c>
      <c r="L32" s="1356">
        <v>7.2776492036955354E-2</v>
      </c>
      <c r="M32" s="1357"/>
      <c r="N32" s="1384">
        <v>182.3</v>
      </c>
      <c r="O32" s="1386">
        <v>182.3</v>
      </c>
      <c r="P32" s="1384">
        <v>182.3</v>
      </c>
    </row>
    <row r="33" spans="1:22" ht="16" thickBot="1">
      <c r="A33" s="1359" t="s">
        <v>1146</v>
      </c>
      <c r="B33" s="1359"/>
      <c r="C33" s="1395">
        <v>448.2</v>
      </c>
      <c r="D33" s="1396">
        <v>471.7</v>
      </c>
      <c r="E33" s="1395">
        <v>476.4</v>
      </c>
      <c r="F33" s="1396">
        <v>491.7</v>
      </c>
      <c r="G33" s="1395">
        <v>497.4</v>
      </c>
      <c r="H33" s="1396">
        <v>536.1</v>
      </c>
      <c r="I33" s="1397">
        <v>550.70000000000005</v>
      </c>
      <c r="J33" s="1398"/>
      <c r="K33" s="1399">
        <v>2.7233725051296398E-2</v>
      </c>
      <c r="L33" s="1400">
        <v>3.4921010882387193E-2</v>
      </c>
      <c r="M33" s="1401"/>
      <c r="N33" s="1397">
        <v>569.93451993368637</v>
      </c>
      <c r="O33" s="1402">
        <v>589.84189591358165</v>
      </c>
      <c r="P33" s="1397">
        <v>610.44570340772475</v>
      </c>
    </row>
    <row r="34" spans="1:22" ht="14" thickBot="1">
      <c r="A34" s="1359"/>
      <c r="B34" s="1387" t="s">
        <v>1131</v>
      </c>
      <c r="C34" s="1382">
        <v>324.3</v>
      </c>
      <c r="D34" s="1383">
        <v>340.4</v>
      </c>
      <c r="E34" s="1382">
        <v>343.6</v>
      </c>
      <c r="F34" s="1383">
        <v>354.3</v>
      </c>
      <c r="G34" s="1382">
        <v>355.7</v>
      </c>
      <c r="H34" s="1383">
        <v>386.1</v>
      </c>
      <c r="I34" s="1384">
        <v>396.5</v>
      </c>
      <c r="J34" s="1385"/>
      <c r="K34" s="1355">
        <v>2.6936026936026813E-2</v>
      </c>
      <c r="L34" s="1356">
        <v>3.4068654923571806E-2</v>
      </c>
      <c r="M34" s="1357"/>
      <c r="N34" s="1384">
        <v>410.00822167719622</v>
      </c>
      <c r="O34" s="1386">
        <v>423.97665029734395</v>
      </c>
      <c r="P34" s="1384">
        <v>438.42096449197606</v>
      </c>
    </row>
    <row r="35" spans="1:22">
      <c r="A35" s="1403"/>
      <c r="B35" s="1404" t="s">
        <v>1132</v>
      </c>
      <c r="C35" s="1405">
        <v>123.9</v>
      </c>
      <c r="D35" s="1406">
        <v>131.30000000000001</v>
      </c>
      <c r="E35" s="1405">
        <v>132.80000000000001</v>
      </c>
      <c r="F35" s="1406">
        <v>137.4</v>
      </c>
      <c r="G35" s="1405">
        <v>141.69999999999999</v>
      </c>
      <c r="H35" s="1406">
        <v>150</v>
      </c>
      <c r="I35" s="1407">
        <v>154.19999999999999</v>
      </c>
      <c r="J35" s="1408"/>
      <c r="K35" s="1409">
        <v>2.8000000000000025E-2</v>
      </c>
      <c r="L35" s="1410">
        <v>3.7135526955189402E-2</v>
      </c>
      <c r="M35" s="1411"/>
      <c r="N35" s="1407">
        <v>159.92629825649018</v>
      </c>
      <c r="O35" s="1412">
        <v>165.86524561623773</v>
      </c>
      <c r="P35" s="1407">
        <v>172.02473891574863</v>
      </c>
      <c r="R35" s="1373"/>
      <c r="S35" s="1413"/>
      <c r="T35" s="1413"/>
      <c r="U35" s="1413"/>
      <c r="V35" s="1413"/>
    </row>
    <row r="36" spans="1:22" s="1373" customFormat="1" ht="14" thickBot="1">
      <c r="A36" s="1414"/>
      <c r="B36" s="1414"/>
      <c r="C36" s="1415"/>
      <c r="D36" s="1416"/>
      <c r="E36" s="1415"/>
      <c r="F36" s="1416"/>
      <c r="G36" s="1415"/>
      <c r="H36" s="1416"/>
      <c r="I36" s="1415"/>
      <c r="J36" s="1417"/>
      <c r="K36" s="1418"/>
      <c r="L36" s="1419"/>
      <c r="M36" s="1420"/>
      <c r="N36" s="1421"/>
      <c r="O36" s="1422"/>
      <c r="P36" s="1421"/>
    </row>
    <row r="37" spans="1:22" ht="13.5" customHeight="1" thickBot="1">
      <c r="A37" s="1349" t="s">
        <v>1545</v>
      </c>
      <c r="B37" s="1359"/>
      <c r="C37" s="1374">
        <v>25156.514125912257</v>
      </c>
      <c r="D37" s="1375">
        <v>26402.30417727874</v>
      </c>
      <c r="E37" s="1374">
        <v>27625.288652942058</v>
      </c>
      <c r="F37" s="1375">
        <v>28025.464388047221</v>
      </c>
      <c r="G37" s="1374">
        <v>29038.570984696478</v>
      </c>
      <c r="H37" s="1375">
        <v>29910.140160769479</v>
      </c>
      <c r="I37" s="1374">
        <v>31728.732161100019</v>
      </c>
      <c r="J37" s="1377"/>
      <c r="K37" s="1378">
        <v>6.0801854841049163E-2</v>
      </c>
      <c r="L37" s="1379">
        <v>3.9442275364400592E-2</v>
      </c>
      <c r="M37" s="1380"/>
      <c r="N37" s="1376">
        <v>33526.327709706275</v>
      </c>
      <c r="O37" s="1381">
        <v>35053.372511352427</v>
      </c>
      <c r="P37" s="1376">
        <v>36036.569994074584</v>
      </c>
    </row>
    <row r="38" spans="1:22" ht="16.5" customHeight="1" thickBot="1">
      <c r="A38" s="1350" t="s">
        <v>1133</v>
      </c>
      <c r="B38" s="1359"/>
      <c r="C38" s="1395">
        <v>14197.53</v>
      </c>
      <c r="D38" s="1396">
        <v>14850.16</v>
      </c>
      <c r="E38" s="1395">
        <v>15432.1</v>
      </c>
      <c r="F38" s="1396">
        <v>15337.8</v>
      </c>
      <c r="G38" s="1395">
        <v>15974.171012999999</v>
      </c>
      <c r="H38" s="1396">
        <v>16460.62</v>
      </c>
      <c r="I38" s="1395">
        <v>17838.560000000001</v>
      </c>
      <c r="J38" s="1398"/>
      <c r="K38" s="1399">
        <v>8.3711306135491936E-2</v>
      </c>
      <c r="L38" s="1400">
        <v>3.8782201310209041E-2</v>
      </c>
      <c r="M38" s="1401"/>
      <c r="N38" s="1395">
        <v>19087.455700999999</v>
      </c>
      <c r="O38" s="1402">
        <v>20242.484337490001</v>
      </c>
      <c r="P38" s="1397">
        <v>20968.377465310001</v>
      </c>
    </row>
    <row r="39" spans="1:22" ht="14" thickBot="1">
      <c r="A39" s="1359"/>
      <c r="B39" s="1387" t="s">
        <v>1147</v>
      </c>
      <c r="C39" s="1382">
        <v>9219.6299999999992</v>
      </c>
      <c r="D39" s="1383">
        <v>9837.66</v>
      </c>
      <c r="E39" s="1382">
        <v>10341</v>
      </c>
      <c r="F39" s="1383">
        <v>10472.9</v>
      </c>
      <c r="G39" s="1382">
        <v>10813.888999999999</v>
      </c>
      <c r="H39" s="1383">
        <v>11283.12</v>
      </c>
      <c r="I39" s="1382">
        <v>12447.76</v>
      </c>
      <c r="J39" s="1385"/>
      <c r="K39" s="1355">
        <v>0.10321967682697708</v>
      </c>
      <c r="L39" s="1356">
        <v>5.1307152164570047E-2</v>
      </c>
      <c r="M39" s="1357"/>
      <c r="N39" s="1382">
        <v>13798.649466999999</v>
      </c>
      <c r="O39" s="1386">
        <v>14912.484337490001</v>
      </c>
      <c r="P39" s="1384">
        <v>15578.377465310001</v>
      </c>
    </row>
    <row r="40" spans="1:22" ht="15" customHeight="1" thickBot="1">
      <c r="A40" s="1359"/>
      <c r="B40" s="1387" t="s">
        <v>1141</v>
      </c>
      <c r="C40" s="1382">
        <v>4337.5</v>
      </c>
      <c r="D40" s="1383">
        <v>4410.6000000000004</v>
      </c>
      <c r="E40" s="1382">
        <v>4453.3</v>
      </c>
      <c r="F40" s="1383">
        <v>3766.7</v>
      </c>
      <c r="G40" s="1382">
        <v>2917.3519609999998</v>
      </c>
      <c r="H40" s="1383">
        <v>1987</v>
      </c>
      <c r="I40" s="1382">
        <v>1958.4</v>
      </c>
      <c r="J40" s="1385"/>
      <c r="K40" s="1355">
        <v>-1.439355812783083E-2</v>
      </c>
      <c r="L40" s="1356">
        <v>-0.12412193124809556</v>
      </c>
      <c r="M40" s="1357"/>
      <c r="N40" s="1382">
        <v>1882.6076640000001</v>
      </c>
      <c r="O40" s="1386">
        <v>1850</v>
      </c>
      <c r="P40" s="1384">
        <v>1800</v>
      </c>
    </row>
    <row r="41" spans="1:22" ht="14" thickBot="1">
      <c r="A41" s="1359"/>
      <c r="B41" s="1387" t="s">
        <v>1142</v>
      </c>
      <c r="C41" s="1382">
        <v>640.4</v>
      </c>
      <c r="D41" s="1383">
        <v>601.9</v>
      </c>
      <c r="E41" s="1382">
        <v>637.79999999999995</v>
      </c>
      <c r="F41" s="1383">
        <v>1098.2</v>
      </c>
      <c r="G41" s="1382">
        <v>2242.9300519999997</v>
      </c>
      <c r="H41" s="1383">
        <v>3190.5</v>
      </c>
      <c r="I41" s="1382">
        <v>3432.4</v>
      </c>
      <c r="J41" s="1385"/>
      <c r="K41" s="1355">
        <v>7.5818837172856979E-2</v>
      </c>
      <c r="L41" s="1356">
        <v>0.32289211639788129</v>
      </c>
      <c r="M41" s="1357"/>
      <c r="N41" s="1382">
        <v>3406.1985699999996</v>
      </c>
      <c r="O41" s="1386">
        <v>3480</v>
      </c>
      <c r="P41" s="1384">
        <v>3590</v>
      </c>
    </row>
    <row r="42" spans="1:22" ht="15.75" customHeight="1" thickBot="1">
      <c r="A42" s="1359" t="s">
        <v>1148</v>
      </c>
      <c r="B42" s="1359"/>
      <c r="C42" s="1395">
        <v>1770.8</v>
      </c>
      <c r="D42" s="1396">
        <v>1884.4</v>
      </c>
      <c r="E42" s="1395">
        <v>2155</v>
      </c>
      <c r="F42" s="1396">
        <v>2249.6</v>
      </c>
      <c r="G42" s="1395">
        <v>2343.1</v>
      </c>
      <c r="H42" s="1396">
        <v>2428.3000000000002</v>
      </c>
      <c r="I42" s="1395">
        <v>2541</v>
      </c>
      <c r="J42" s="1398"/>
      <c r="K42" s="1399">
        <v>4.6411069472470645E-2</v>
      </c>
      <c r="L42" s="1400">
        <v>6.2035886567550769E-2</v>
      </c>
      <c r="M42" s="1401"/>
      <c r="N42" s="1395">
        <v>2627.54512613</v>
      </c>
      <c r="O42" s="1402">
        <v>2938.5132207125735</v>
      </c>
      <c r="P42" s="1397">
        <v>3217.2303627795313</v>
      </c>
      <c r="R42" s="1320"/>
      <c r="S42" s="1320"/>
      <c r="T42" s="1320"/>
      <c r="U42" s="1320"/>
    </row>
    <row r="43" spans="1:22" ht="13.5" customHeight="1" thickBot="1">
      <c r="A43" s="1359"/>
      <c r="B43" s="1387" t="s">
        <v>928</v>
      </c>
      <c r="C43" s="1351">
        <v>1678.5</v>
      </c>
      <c r="D43" s="1352">
        <v>1778</v>
      </c>
      <c r="E43" s="1351">
        <v>2097.1999999999998</v>
      </c>
      <c r="F43" s="1352">
        <v>2189.9</v>
      </c>
      <c r="G43" s="1351">
        <v>2288</v>
      </c>
      <c r="H43" s="1352">
        <v>2400.1999999999998</v>
      </c>
      <c r="I43" s="1351">
        <v>2502.83</v>
      </c>
      <c r="J43" s="1354"/>
      <c r="K43" s="1360">
        <v>4.2758936755270538E-2</v>
      </c>
      <c r="L43" s="1361">
        <v>6.8853870909348913E-2</v>
      </c>
      <c r="M43" s="1362"/>
      <c r="N43" s="1351">
        <v>2588.499652</v>
      </c>
      <c r="O43" s="1358">
        <v>2901.0408075299997</v>
      </c>
      <c r="P43" s="1353">
        <v>3181.4874455899994</v>
      </c>
    </row>
    <row r="44" spans="1:22" ht="13.5" customHeight="1" thickBot="1">
      <c r="A44" s="1359"/>
      <c r="B44" s="1387" t="s">
        <v>929</v>
      </c>
      <c r="C44" s="1351">
        <v>92.3</v>
      </c>
      <c r="D44" s="1352">
        <v>106.4</v>
      </c>
      <c r="E44" s="1351">
        <v>57.8</v>
      </c>
      <c r="F44" s="1352">
        <v>59.7</v>
      </c>
      <c r="G44" s="1351">
        <v>55.1</v>
      </c>
      <c r="H44" s="1352">
        <v>28.1</v>
      </c>
      <c r="I44" s="1351">
        <v>38.17</v>
      </c>
      <c r="J44" s="1354"/>
      <c r="K44" s="1360">
        <v>0.35836298932384336</v>
      </c>
      <c r="L44" s="1361">
        <v>-0.13684906929854379</v>
      </c>
      <c r="M44" s="1362"/>
      <c r="N44" s="1351">
        <v>39.045474130000002</v>
      </c>
      <c r="O44" s="1358">
        <v>37.472413182573824</v>
      </c>
      <c r="P44" s="1353">
        <v>35.742917189531958</v>
      </c>
    </row>
    <row r="45" spans="1:22" ht="16.5" customHeight="1" thickBot="1">
      <c r="A45" s="1359" t="s">
        <v>1149</v>
      </c>
      <c r="B45" s="1359"/>
      <c r="C45" s="1395">
        <v>9188.1841259122575</v>
      </c>
      <c r="D45" s="1396">
        <v>9667.7441772787388</v>
      </c>
      <c r="E45" s="1395">
        <v>10038.188652942059</v>
      </c>
      <c r="F45" s="1396">
        <v>10438.064388047225</v>
      </c>
      <c r="G45" s="1395">
        <v>10721.29997169648</v>
      </c>
      <c r="H45" s="1396">
        <v>11021.220160769482</v>
      </c>
      <c r="I45" s="1397">
        <v>11349.172161100018</v>
      </c>
      <c r="J45" s="1398"/>
      <c r="K45" s="1399">
        <v>2.9756414947402554E-2</v>
      </c>
      <c r="L45" s="1400">
        <v>3.5831424822627689E-2</v>
      </c>
      <c r="M45" s="1401"/>
      <c r="N45" s="1397">
        <v>11811.326882576273</v>
      </c>
      <c r="O45" s="1402">
        <v>11872.374953149856</v>
      </c>
      <c r="P45" s="1397">
        <v>11850.962165985053</v>
      </c>
      <c r="Q45" s="1300"/>
    </row>
    <row r="46" spans="1:22" ht="12.75" customHeight="1" thickBot="1">
      <c r="A46" s="1359"/>
      <c r="B46" s="1359"/>
      <c r="C46" s="1364"/>
      <c r="D46" s="1365"/>
      <c r="E46" s="1364"/>
      <c r="F46" s="1365"/>
      <c r="G46" s="1364"/>
      <c r="H46" s="1365"/>
      <c r="I46" s="1364"/>
      <c r="J46" s="1367"/>
      <c r="K46" s="1368"/>
      <c r="L46" s="1369"/>
      <c r="M46" s="1370"/>
      <c r="N46" s="1366"/>
      <c r="O46" s="1371"/>
      <c r="P46" s="1366"/>
    </row>
    <row r="47" spans="1:22" ht="16.5" customHeight="1" thickBot="1">
      <c r="A47" s="1349" t="s">
        <v>1150</v>
      </c>
      <c r="B47" s="1359"/>
      <c r="C47" s="1374">
        <v>378.7</v>
      </c>
      <c r="D47" s="1375">
        <v>386.6</v>
      </c>
      <c r="E47" s="1374">
        <v>395.2</v>
      </c>
      <c r="F47" s="1375">
        <v>408.8</v>
      </c>
      <c r="G47" s="1374">
        <v>443.72611837314082</v>
      </c>
      <c r="H47" s="1375">
        <v>463.46745935715603</v>
      </c>
      <c r="I47" s="1376">
        <v>477.70596569061348</v>
      </c>
      <c r="J47" s="1377"/>
      <c r="K47" s="1378">
        <v>3.072169587311846E-2</v>
      </c>
      <c r="L47" s="1379">
        <v>3.9467447506362996E-2</v>
      </c>
      <c r="M47" s="1380"/>
      <c r="N47" s="1376">
        <v>496.55980081498421</v>
      </c>
      <c r="O47" s="1381">
        <v>516.15774868741971</v>
      </c>
      <c r="P47" s="1376">
        <v>536.52917753874294</v>
      </c>
    </row>
    <row r="48" spans="1:22" ht="12.75" customHeight="1" thickBot="1">
      <c r="A48" s="1349"/>
      <c r="B48" s="1387"/>
      <c r="C48" s="1423"/>
      <c r="D48" s="1424"/>
      <c r="E48" s="1364"/>
      <c r="F48" s="1365"/>
      <c r="G48" s="1364"/>
      <c r="H48" s="1365"/>
      <c r="I48" s="1366"/>
      <c r="J48" s="1367"/>
      <c r="K48" s="1368"/>
      <c r="L48" s="1369"/>
      <c r="M48" s="1370"/>
      <c r="N48" s="1425"/>
      <c r="O48" s="1371"/>
      <c r="P48" s="1366"/>
    </row>
    <row r="49" spans="1:30" ht="15" customHeight="1" thickBot="1">
      <c r="A49" s="1426" t="s">
        <v>1151</v>
      </c>
      <c r="B49" s="1427"/>
      <c r="C49" s="1428">
        <v>37908.300000000003</v>
      </c>
      <c r="D49" s="1429">
        <v>38669.599999999999</v>
      </c>
      <c r="E49" s="1428">
        <v>40292.400000000001</v>
      </c>
      <c r="F49" s="1429">
        <v>41585.599999999999</v>
      </c>
      <c r="G49" s="1428">
        <v>43365.319112359233</v>
      </c>
      <c r="H49" s="1429">
        <v>46129.491818309332</v>
      </c>
      <c r="I49" s="1430">
        <v>47959.060861776779</v>
      </c>
      <c r="J49" s="1431"/>
      <c r="K49" s="1432">
        <v>3.9661591128590468E-2</v>
      </c>
      <c r="L49" s="1433">
        <v>3.9974586849133242E-2</v>
      </c>
      <c r="M49" s="1434"/>
      <c r="N49" s="1430">
        <v>49876.204505398739</v>
      </c>
      <c r="O49" s="1435">
        <v>51869.985174104928</v>
      </c>
      <c r="P49" s="1430">
        <v>53943.466401310441</v>
      </c>
    </row>
    <row r="50" spans="1:30" ht="14.25" customHeight="1">
      <c r="A50" s="1436" t="s">
        <v>2138</v>
      </c>
      <c r="B50" s="1436"/>
      <c r="C50" s="1437"/>
      <c r="D50" s="1437"/>
      <c r="E50" s="1437"/>
      <c r="F50" s="1437"/>
      <c r="G50" s="1437"/>
      <c r="H50" s="1437"/>
      <c r="I50" s="1437"/>
      <c r="J50" s="1437"/>
      <c r="N50" s="1437"/>
      <c r="O50" s="1437"/>
      <c r="P50" s="1437"/>
    </row>
    <row r="51" spans="1:30">
      <c r="A51" s="1438"/>
      <c r="B51" s="1439"/>
      <c r="D51" s="1439"/>
      <c r="N51" s="1439"/>
      <c r="S51" s="1320"/>
      <c r="T51" s="1320"/>
      <c r="U51" s="1320"/>
      <c r="V51" s="1320"/>
      <c r="Y51" s="1320"/>
      <c r="Z51" s="1320"/>
      <c r="AA51" s="1320"/>
      <c r="AB51" s="1320"/>
      <c r="AC51" s="1310"/>
      <c r="AD51" s="1440"/>
    </row>
    <row r="52" spans="1:30">
      <c r="A52" s="1441" t="s">
        <v>1173</v>
      </c>
      <c r="B52" s="1439"/>
      <c r="D52" s="1439"/>
      <c r="N52" s="1439"/>
      <c r="S52" s="1320"/>
      <c r="T52" s="1320"/>
      <c r="U52" s="1320"/>
      <c r="V52" s="1320"/>
      <c r="Y52" s="1320"/>
      <c r="Z52" s="1320"/>
      <c r="AA52" s="1320"/>
      <c r="AB52" s="1320"/>
      <c r="AC52" s="1310"/>
      <c r="AD52" s="1440"/>
    </row>
    <row r="53" spans="1:30">
      <c r="A53" s="1438"/>
      <c r="B53" s="1439"/>
      <c r="D53" s="1439"/>
      <c r="N53" s="1439"/>
      <c r="S53" s="1320"/>
      <c r="T53" s="1320"/>
      <c r="U53" s="1320"/>
      <c r="V53" s="1320"/>
      <c r="Y53" s="1320"/>
      <c r="Z53" s="1320"/>
      <c r="AA53" s="1320"/>
      <c r="AB53" s="1320"/>
      <c r="AC53" s="1310"/>
      <c r="AD53" s="1440"/>
    </row>
    <row r="54" spans="1:30">
      <c r="A54" s="1439" t="s">
        <v>1154</v>
      </c>
      <c r="B54" s="1439"/>
      <c r="S54" s="1320"/>
      <c r="T54" s="1320"/>
      <c r="U54" s="1320"/>
      <c r="V54" s="1320"/>
    </row>
    <row r="55" spans="1:30">
      <c r="A55" s="1439" t="s">
        <v>1155</v>
      </c>
      <c r="B55" s="1439"/>
    </row>
    <row r="56" spans="1:30">
      <c r="A56" s="1439" t="s">
        <v>1156</v>
      </c>
      <c r="B56" s="1439"/>
    </row>
    <row r="57" spans="1:30">
      <c r="A57" s="1439" t="s">
        <v>1157</v>
      </c>
    </row>
    <row r="58" spans="1:30">
      <c r="A58" s="1439" t="s">
        <v>1156</v>
      </c>
    </row>
    <row r="59" spans="1:30">
      <c r="A59" s="1439" t="s">
        <v>1158</v>
      </c>
      <c r="B59" s="1439"/>
      <c r="C59" s="1439"/>
      <c r="D59" s="1439"/>
      <c r="E59" s="1439"/>
      <c r="F59" s="1439"/>
      <c r="N59" s="1439"/>
      <c r="O59" s="1439"/>
      <c r="P59" s="1439"/>
    </row>
    <row r="60" spans="1:30">
      <c r="A60" s="1442" t="s">
        <v>1159</v>
      </c>
      <c r="B60" s="1439"/>
      <c r="C60" s="1443"/>
      <c r="D60" s="1443"/>
      <c r="E60" s="1443"/>
      <c r="F60" s="1443"/>
      <c r="N60" s="1443"/>
      <c r="O60" s="1443"/>
      <c r="P60" s="1443"/>
    </row>
    <row r="61" spans="1:30" s="1443" customFormat="1">
      <c r="A61" s="1442" t="s">
        <v>1160</v>
      </c>
      <c r="B61" s="1439"/>
      <c r="C61" s="1436"/>
      <c r="D61" s="1436"/>
      <c r="N61" s="1436"/>
    </row>
    <row r="62" spans="1:30" s="1443" customFormat="1">
      <c r="A62" s="1442" t="s">
        <v>1161</v>
      </c>
      <c r="C62" s="1436"/>
      <c r="D62" s="1436"/>
      <c r="N62" s="1436"/>
    </row>
    <row r="63" spans="1:30">
      <c r="A63" s="1439" t="s">
        <v>1162</v>
      </c>
      <c r="B63" s="1439"/>
    </row>
    <row r="64" spans="1:30">
      <c r="A64" s="1439" t="s">
        <v>1163</v>
      </c>
      <c r="B64" s="1439"/>
    </row>
    <row r="65" spans="1:16" s="1443" customFormat="1">
      <c r="A65" s="1439" t="s">
        <v>1164</v>
      </c>
    </row>
    <row r="66" spans="1:16" s="1443" customFormat="1">
      <c r="A66" s="1438" t="s">
        <v>1165</v>
      </c>
      <c r="B66" s="1444"/>
    </row>
    <row r="67" spans="1:16" s="1443" customFormat="1">
      <c r="A67" s="1438" t="s">
        <v>1166</v>
      </c>
      <c r="B67" s="1444"/>
      <c r="C67" s="1299"/>
      <c r="D67" s="1299"/>
      <c r="E67" s="1299"/>
      <c r="F67" s="1299"/>
      <c r="N67" s="1299"/>
      <c r="O67" s="1299"/>
      <c r="P67" s="1299"/>
    </row>
    <row r="68" spans="1:16" s="1443" customFormat="1">
      <c r="A68" s="1438" t="s">
        <v>1167</v>
      </c>
      <c r="B68" s="1437"/>
      <c r="C68" s="1299"/>
      <c r="D68" s="1299"/>
      <c r="E68" s="1299"/>
      <c r="F68" s="1299"/>
      <c r="N68" s="1299"/>
      <c r="O68" s="1299"/>
      <c r="P68" s="1299"/>
    </row>
    <row r="69" spans="1:16">
      <c r="A69" s="1438" t="s">
        <v>1168</v>
      </c>
      <c r="B69" s="1437"/>
    </row>
    <row r="70" spans="1:16" ht="15.75" customHeight="1">
      <c r="A70" s="1442" t="s">
        <v>1174</v>
      </c>
    </row>
    <row r="71" spans="1:16">
      <c r="A71" s="1442" t="s">
        <v>1169</v>
      </c>
      <c r="B71" s="1437"/>
    </row>
    <row r="72" spans="1:16">
      <c r="A72" s="1439" t="s">
        <v>1170</v>
      </c>
      <c r="B72" s="1437"/>
    </row>
    <row r="73" spans="1:16">
      <c r="A73" s="1442" t="s">
        <v>1171</v>
      </c>
      <c r="B73" s="1437"/>
    </row>
    <row r="74" spans="1:16">
      <c r="A74" s="1445" t="s">
        <v>1175</v>
      </c>
      <c r="B74" s="1437"/>
    </row>
    <row r="75" spans="1:16">
      <c r="B75" s="1437"/>
    </row>
    <row r="76" spans="1:16">
      <c r="A76" s="1437"/>
      <c r="B76" s="1437"/>
      <c r="E76" s="1320"/>
      <c r="O76" s="1320"/>
    </row>
    <row r="77" spans="1:16">
      <c r="A77" s="1437" t="s">
        <v>256</v>
      </c>
      <c r="B77" s="1437"/>
    </row>
    <row r="78" spans="1:16">
      <c r="A78" s="1437"/>
      <c r="B78" s="1437"/>
    </row>
    <row r="79" spans="1:16">
      <c r="A79" s="1437"/>
      <c r="B79" s="1437"/>
    </row>
    <row r="80" spans="1:16">
      <c r="A80" s="1437"/>
      <c r="B80" s="1437"/>
    </row>
    <row r="81" spans="1:2">
      <c r="A81" s="1437"/>
      <c r="B81" s="1437"/>
    </row>
    <row r="82" spans="1:2">
      <c r="A82" s="1437"/>
    </row>
    <row r="83" spans="1:2">
      <c r="A83" s="1437"/>
    </row>
    <row r="86" spans="1:2">
      <c r="B86" s="1437"/>
    </row>
    <row r="87" spans="1:2">
      <c r="B87" s="1437"/>
    </row>
    <row r="88" spans="1:2" ht="16">
      <c r="A88" s="1298"/>
      <c r="B88" s="1437"/>
    </row>
    <row r="89" spans="1:2">
      <c r="A89" s="1437"/>
      <c r="B89" s="1437"/>
    </row>
    <row r="90" spans="1:2">
      <c r="A90" s="1437"/>
      <c r="B90" s="1437"/>
    </row>
    <row r="91" spans="1:2">
      <c r="A91" s="1437"/>
      <c r="B91" s="1437"/>
    </row>
    <row r="92" spans="1:2">
      <c r="A92" s="1437"/>
      <c r="B92" s="1437"/>
    </row>
    <row r="93" spans="1:2">
      <c r="A93" s="1437"/>
      <c r="B93" s="1437"/>
    </row>
    <row r="94" spans="1:2">
      <c r="A94" s="1437"/>
      <c r="B94" s="1437"/>
    </row>
    <row r="95" spans="1:2">
      <c r="A95" s="1437"/>
      <c r="B95" s="1437"/>
    </row>
    <row r="96" spans="1:2">
      <c r="A96" s="1437"/>
      <c r="B96" s="1437"/>
    </row>
    <row r="97" spans="1:2">
      <c r="A97" s="1437"/>
      <c r="B97" s="1437"/>
    </row>
    <row r="98" spans="1:2">
      <c r="B98" s="1437"/>
    </row>
    <row r="99" spans="1:2">
      <c r="A99" s="1437"/>
      <c r="B99" s="1437"/>
    </row>
    <row r="100" spans="1:2">
      <c r="A100" s="1437"/>
      <c r="B100" s="1437"/>
    </row>
    <row r="101" spans="1:2">
      <c r="A101" s="1437"/>
      <c r="B101" s="1437"/>
    </row>
    <row r="102" spans="1:2">
      <c r="A102" s="1437"/>
      <c r="B102" s="1437"/>
    </row>
    <row r="103" spans="1:2">
      <c r="A103" s="1437"/>
      <c r="B103" s="1437"/>
    </row>
    <row r="104" spans="1:2">
      <c r="A104" s="1437"/>
      <c r="B104" s="1437"/>
    </row>
    <row r="105" spans="1:2">
      <c r="A105" s="1437"/>
    </row>
    <row r="109" spans="1:2">
      <c r="B109" s="1437"/>
    </row>
    <row r="110" spans="1:2">
      <c r="B110" s="1437"/>
    </row>
    <row r="111" spans="1:2">
      <c r="B111" s="1437"/>
    </row>
    <row r="112" spans="1:2">
      <c r="A112" s="1437"/>
      <c r="B112" s="1437"/>
    </row>
    <row r="113" spans="1:2">
      <c r="A113" s="1437"/>
      <c r="B113" s="1437"/>
    </row>
    <row r="114" spans="1:2">
      <c r="A114" s="1437"/>
      <c r="B114" s="1437"/>
    </row>
    <row r="115" spans="1:2">
      <c r="A115" s="1437"/>
      <c r="B115" s="1437"/>
    </row>
    <row r="116" spans="1:2">
      <c r="A116" s="1437"/>
      <c r="B116" s="1437"/>
    </row>
    <row r="117" spans="1:2">
      <c r="A117" s="1437"/>
      <c r="B117" s="1437"/>
    </row>
    <row r="118" spans="1:2" ht="16">
      <c r="A118" s="1298"/>
      <c r="B118" s="1437"/>
    </row>
    <row r="119" spans="1:2">
      <c r="A119" s="1437"/>
      <c r="B119" s="1437"/>
    </row>
    <row r="120" spans="1:2">
      <c r="B120" s="1437"/>
    </row>
    <row r="121" spans="1:2">
      <c r="A121" s="1437"/>
      <c r="B121" s="1437"/>
    </row>
    <row r="122" spans="1:2">
      <c r="A122" s="1437"/>
      <c r="B122" s="1437"/>
    </row>
    <row r="123" spans="1:2">
      <c r="A123" s="1437"/>
      <c r="B123" s="1437"/>
    </row>
    <row r="124" spans="1:2">
      <c r="A124" s="1437"/>
      <c r="B124" s="1437"/>
    </row>
  </sheetData>
  <phoneticPr fontId="68" type="noConversion"/>
  <pageMargins left="0.47244094488188981" right="0.35433070866141736" top="0.59055118110236227" bottom="0.35433070866141736" header="0.23622047244094491" footer="0.19685039370078741"/>
  <pageSetup paperSize="9" scale="72" orientation="landscape" cellComments="asDisplayed"/>
  <headerFooter alignWithMargins="0">
    <oddHeader>&amp;L&amp;"Helvetica,Normal"Zusatzinformationen zum Gesundheitswesen</oddHeader>
    <oddFooter xml:space="preserve">&amp;R&amp;8&amp;P/&amp;N&amp;10 </oddFooter>
  </headerFooter>
  <rowBreaks count="1" manualBreakCount="1">
    <brk id="35" max="16383" man="1"/>
  </rowBreaks>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10477-F6C9-3F46-9787-D330EC20509A}">
  <sheetPr>
    <pageSetUpPr fitToPage="1"/>
  </sheetPr>
  <dimension ref="A1:Y124"/>
  <sheetViews>
    <sheetView topLeftCell="A46" workbookViewId="0">
      <selection activeCell="A57" sqref="A1:L57"/>
    </sheetView>
  </sheetViews>
  <sheetFormatPr baseColWidth="10" defaultColWidth="10.19921875" defaultRowHeight="13"/>
  <cols>
    <col min="1" max="1" width="3.796875" style="1219" customWidth="1"/>
    <col min="2" max="2" width="45" style="1219" customWidth="1"/>
    <col min="3" max="3" width="10.796875" style="1219" customWidth="1"/>
    <col min="4" max="4" width="11" style="1219" customWidth="1"/>
    <col min="5" max="6" width="10.3984375" style="1219" customWidth="1"/>
    <col min="7" max="7" width="10.796875" style="1219" customWidth="1"/>
    <col min="8" max="8" width="10.3984375" style="1219" customWidth="1"/>
    <col min="9" max="9" width="10.796875" style="1216" customWidth="1"/>
    <col min="10" max="10" width="19.59765625" style="1219" customWidth="1"/>
    <col min="11" max="11" width="18" style="1219" customWidth="1"/>
    <col min="12" max="16384" width="10.19921875" style="1219"/>
  </cols>
  <sheetData>
    <row r="1" spans="1:25" ht="16">
      <c r="A1" s="1214" t="s">
        <v>1120</v>
      </c>
      <c r="B1" s="1215"/>
      <c r="C1" s="1215"/>
      <c r="D1" s="1215"/>
      <c r="E1" s="1215"/>
      <c r="F1" s="1215"/>
      <c r="G1" s="1215"/>
      <c r="H1" s="1215"/>
      <c r="J1" s="1217"/>
      <c r="K1" s="1218"/>
      <c r="P1" s="1218"/>
      <c r="V1" s="1218"/>
    </row>
    <row r="2" spans="1:25" ht="14" thickBot="1">
      <c r="A2" s="1220"/>
      <c r="B2" s="1220"/>
      <c r="C2" s="1220"/>
      <c r="D2" s="1220"/>
      <c r="E2" s="1220"/>
      <c r="F2" s="1220"/>
      <c r="G2" s="1220"/>
      <c r="H2" s="1220"/>
      <c r="I2" s="1221"/>
    </row>
    <row r="3" spans="1:25" s="1225" customFormat="1" ht="10.5" customHeight="1">
      <c r="A3" s="1222"/>
      <c r="B3" s="1222"/>
      <c r="C3" s="1223"/>
      <c r="D3" s="1222"/>
      <c r="E3" s="1223"/>
      <c r="F3" s="1222"/>
      <c r="G3" s="1223"/>
      <c r="H3" s="1222"/>
      <c r="I3" s="1224"/>
      <c r="K3" s="1219"/>
      <c r="L3" s="1226"/>
      <c r="M3" s="1226"/>
      <c r="N3" s="1226"/>
      <c r="O3" s="1226"/>
      <c r="P3" s="1227"/>
      <c r="Q3" s="1227"/>
      <c r="R3" s="1227"/>
      <c r="S3" s="1227"/>
      <c r="V3" s="1228"/>
      <c r="W3" s="1228"/>
      <c r="X3" s="1228"/>
      <c r="Y3" s="1228"/>
    </row>
    <row r="4" spans="1:25" ht="14.25" customHeight="1">
      <c r="A4" s="1229" t="s">
        <v>1121</v>
      </c>
      <c r="B4" s="1230"/>
      <c r="C4" s="1231">
        <v>1996</v>
      </c>
      <c r="D4" s="1232">
        <v>1997</v>
      </c>
      <c r="E4" s="1231">
        <v>1998</v>
      </c>
      <c r="F4" s="1232">
        <v>1999</v>
      </c>
      <c r="G4" s="1231">
        <v>2000</v>
      </c>
      <c r="H4" s="1232">
        <v>2001</v>
      </c>
      <c r="I4" s="1233" t="s">
        <v>1136</v>
      </c>
      <c r="L4" s="1226"/>
      <c r="M4" s="1226"/>
      <c r="N4" s="1226"/>
      <c r="O4" s="1226"/>
      <c r="P4" s="1234"/>
      <c r="Q4" s="1234"/>
      <c r="R4" s="1234"/>
      <c r="S4" s="1234"/>
      <c r="V4" s="1228"/>
      <c r="W4" s="1228"/>
      <c r="X4" s="1228"/>
      <c r="Y4" s="1228"/>
    </row>
    <row r="5" spans="1:25" ht="10.5" customHeight="1">
      <c r="A5" s="1229" t="s">
        <v>1122</v>
      </c>
      <c r="B5" s="1235"/>
      <c r="C5" s="1231"/>
      <c r="D5" s="1232"/>
      <c r="E5" s="1231"/>
      <c r="F5" s="1232"/>
      <c r="G5" s="1231"/>
      <c r="H5" s="1232"/>
      <c r="I5" s="1233"/>
      <c r="L5" s="1226"/>
      <c r="M5" s="1226"/>
      <c r="N5" s="1226"/>
      <c r="O5" s="1226"/>
      <c r="P5" s="1234"/>
      <c r="Q5" s="1234"/>
      <c r="R5" s="1234"/>
      <c r="S5" s="1234"/>
      <c r="V5" s="1228"/>
      <c r="W5" s="1228"/>
      <c r="X5" s="1228"/>
      <c r="Y5" s="1228"/>
    </row>
    <row r="6" spans="1:25" ht="14.25" customHeight="1">
      <c r="A6" s="1236"/>
      <c r="B6" s="1236"/>
      <c r="C6" s="1237"/>
      <c r="D6" s="1238"/>
      <c r="E6" s="1237"/>
      <c r="F6" s="1238"/>
      <c r="G6" s="1237"/>
      <c r="H6" s="1238"/>
      <c r="I6" s="1239"/>
      <c r="L6" s="1226"/>
      <c r="M6" s="1226"/>
      <c r="N6" s="1226"/>
      <c r="O6" s="1226"/>
      <c r="P6" s="1240"/>
      <c r="Q6" s="1240"/>
      <c r="R6" s="1240"/>
      <c r="S6" s="1240"/>
      <c r="V6" s="1240"/>
      <c r="W6" s="1240"/>
      <c r="X6" s="1240"/>
      <c r="Y6" s="1240"/>
    </row>
    <row r="7" spans="1:25">
      <c r="A7" s="1241"/>
      <c r="B7" s="1242"/>
      <c r="C7" s="1243"/>
      <c r="D7" s="1242"/>
      <c r="E7" s="1243"/>
      <c r="F7" s="1242"/>
      <c r="G7" s="1243"/>
      <c r="H7" s="1242"/>
      <c r="I7" s="1244"/>
      <c r="L7" s="1226"/>
      <c r="M7" s="1226"/>
      <c r="N7" s="1226"/>
      <c r="O7" s="1226"/>
      <c r="P7" s="1234"/>
      <c r="Q7" s="1234"/>
      <c r="R7" s="1234"/>
      <c r="S7" s="1234"/>
      <c r="V7" s="1228"/>
      <c r="W7" s="1228"/>
      <c r="X7" s="1228"/>
      <c r="Y7" s="1228"/>
    </row>
    <row r="8" spans="1:25" ht="18" customHeight="1" thickBot="1">
      <c r="A8" s="1245" t="s">
        <v>1137</v>
      </c>
      <c r="B8" s="1246"/>
      <c r="C8" s="1247">
        <v>0.16112872046722609</v>
      </c>
      <c r="D8" s="1248">
        <v>0.15665938677207061</v>
      </c>
      <c r="E8" s="1247">
        <v>0.15218114469442245</v>
      </c>
      <c r="F8" s="1248">
        <v>0.15430014062560118</v>
      </c>
      <c r="G8" s="1247">
        <v>0.15218400078875755</v>
      </c>
      <c r="H8" s="1248">
        <v>0.16914264240611276</v>
      </c>
      <c r="I8" s="1249">
        <v>0.17882925939101174</v>
      </c>
      <c r="L8" s="1226"/>
      <c r="M8" s="1226"/>
      <c r="N8" s="1226"/>
      <c r="O8" s="1226"/>
      <c r="V8" s="1228"/>
      <c r="W8" s="1228"/>
      <c r="X8" s="1228"/>
      <c r="Y8" s="1228"/>
    </row>
    <row r="9" spans="1:25" ht="14" thickBot="1">
      <c r="A9" s="1250"/>
      <c r="B9" s="1251" t="s">
        <v>1123</v>
      </c>
      <c r="C9" s="1252">
        <v>3.4090368048685904E-3</v>
      </c>
      <c r="D9" s="1253">
        <v>3.0384777768583072E-3</v>
      </c>
      <c r="E9" s="1252">
        <v>2.9010932932761516E-3</v>
      </c>
      <c r="F9" s="1253">
        <v>3.0306438767265594E-3</v>
      </c>
      <c r="G9" s="1252">
        <v>3.3438183545771026E-3</v>
      </c>
      <c r="H9" s="1253">
        <v>3.563672468959468E-3</v>
      </c>
      <c r="I9" s="1254">
        <v>3.7057456673770181E-3</v>
      </c>
      <c r="L9" s="1226"/>
      <c r="M9" s="1226"/>
      <c r="N9" s="1226"/>
      <c r="O9" s="1226"/>
      <c r="P9" s="1234"/>
      <c r="Q9" s="1234"/>
      <c r="R9" s="1234"/>
      <c r="S9" s="1234"/>
      <c r="V9" s="1228"/>
      <c r="W9" s="1228"/>
      <c r="X9" s="1228"/>
      <c r="Y9" s="1228"/>
    </row>
    <row r="10" spans="1:25" ht="14" thickBot="1">
      <c r="A10" s="1255"/>
      <c r="B10" s="1251" t="s">
        <v>1124</v>
      </c>
      <c r="C10" s="1252">
        <v>0.1291275964886959</v>
      </c>
      <c r="D10" s="1253">
        <v>0.12492352288724784</v>
      </c>
      <c r="E10" s="1252">
        <v>0.11976252416963355</v>
      </c>
      <c r="F10" s="1253">
        <v>0.122440167317533</v>
      </c>
      <c r="G10" s="1252">
        <v>0.1206757907497685</v>
      </c>
      <c r="H10" s="1253">
        <v>0.13446049840371574</v>
      </c>
      <c r="I10" s="1254">
        <v>0.14529809070039071</v>
      </c>
      <c r="L10" s="1226"/>
      <c r="M10" s="1226"/>
      <c r="N10" s="1226"/>
      <c r="O10" s="1226"/>
      <c r="P10" s="1234"/>
      <c r="Q10" s="1234"/>
      <c r="R10" s="1234"/>
      <c r="S10" s="1234"/>
      <c r="V10" s="1228"/>
      <c r="W10" s="1228"/>
      <c r="X10" s="1228"/>
      <c r="Y10" s="1228"/>
    </row>
    <row r="11" spans="1:25" ht="14" thickBot="1">
      <c r="A11" s="1255"/>
      <c r="B11" s="1251" t="s">
        <v>1125</v>
      </c>
      <c r="C11" s="1252">
        <v>2.8592087173661625E-2</v>
      </c>
      <c r="D11" s="1253">
        <v>2.8697386107964473E-2</v>
      </c>
      <c r="E11" s="1252">
        <v>2.9517527231512748E-2</v>
      </c>
      <c r="F11" s="1253">
        <v>2.8829329431341616E-2</v>
      </c>
      <c r="G11" s="1252">
        <v>2.8164391684411923E-2</v>
      </c>
      <c r="H11" s="1253">
        <v>3.111847153343757E-2</v>
      </c>
      <c r="I11" s="1254">
        <v>2.9825423023244046E-2</v>
      </c>
      <c r="L11" s="1226"/>
      <c r="M11" s="1226"/>
      <c r="N11" s="1226"/>
      <c r="O11" s="1226"/>
      <c r="P11" s="1234"/>
      <c r="Q11" s="1234"/>
      <c r="R11" s="1234"/>
      <c r="S11" s="1234"/>
      <c r="V11" s="1228"/>
      <c r="W11" s="1228"/>
      <c r="X11" s="1228"/>
      <c r="Y11" s="1228"/>
    </row>
    <row r="12" spans="1:25" s="1261" customFormat="1" ht="14" thickBot="1">
      <c r="A12" s="1255"/>
      <c r="B12" s="1256"/>
      <c r="C12" s="1257"/>
      <c r="D12" s="1258"/>
      <c r="E12" s="1257"/>
      <c r="F12" s="1258"/>
      <c r="G12" s="1257"/>
      <c r="H12" s="1258"/>
      <c r="I12" s="1259"/>
      <c r="J12" s="1260"/>
    </row>
    <row r="13" spans="1:25" s="1261" customFormat="1" ht="16" thickBot="1">
      <c r="A13" s="1250" t="s">
        <v>1138</v>
      </c>
      <c r="B13" s="1255"/>
      <c r="C13" s="1262">
        <v>7.6015015181371895E-2</v>
      </c>
      <c r="D13" s="1263">
        <v>7.7875126714525095E-2</v>
      </c>
      <c r="E13" s="1262">
        <v>7.883292612434098E-2</v>
      </c>
      <c r="F13" s="1263">
        <v>7.9702389383651373E-2</v>
      </c>
      <c r="G13" s="1262">
        <v>7.976386050169279E-2</v>
      </c>
      <c r="H13" s="1263">
        <v>7.9373084654911205E-2</v>
      </c>
      <c r="I13" s="1264">
        <v>7.7184568118521979E-2</v>
      </c>
    </row>
    <row r="14" spans="1:25" ht="14" thickBot="1">
      <c r="A14" s="1255" t="s">
        <v>1126</v>
      </c>
      <c r="B14" s="1255"/>
      <c r="C14" s="1265">
        <v>2.9872086060308691E-2</v>
      </c>
      <c r="D14" s="1266">
        <v>2.9777913399673131E-2</v>
      </c>
      <c r="E14" s="1265">
        <v>3.1865135856886155E-2</v>
      </c>
      <c r="F14" s="1266">
        <v>3.3149470008849227E-2</v>
      </c>
      <c r="G14" s="1265">
        <v>3.2801469679364106E-2</v>
      </c>
      <c r="H14" s="1266">
        <v>3.1982116902801616E-2</v>
      </c>
      <c r="I14" s="1267">
        <v>2.9475036496377373E-2</v>
      </c>
    </row>
    <row r="15" spans="1:25" ht="15" customHeight="1" thickBot="1">
      <c r="A15" s="1255" t="s">
        <v>1139</v>
      </c>
      <c r="B15" s="1255"/>
      <c r="C15" s="1265">
        <v>4.5180079296618415E-2</v>
      </c>
      <c r="D15" s="1266">
        <v>4.7135217328340612E-2</v>
      </c>
      <c r="E15" s="1265">
        <v>4.6089212669694443E-2</v>
      </c>
      <c r="F15" s="1266">
        <v>4.5564596493804885E-2</v>
      </c>
      <c r="G15" s="1265">
        <v>4.5970815045183189E-2</v>
      </c>
      <c r="H15" s="1266">
        <v>4.6411117374003774E-2</v>
      </c>
      <c r="I15" s="1267">
        <v>4.6731614224321268E-2</v>
      </c>
    </row>
    <row r="16" spans="1:25" ht="14" thickBot="1">
      <c r="A16" s="1255" t="s">
        <v>1127</v>
      </c>
      <c r="B16" s="1255"/>
      <c r="C16" s="1265">
        <v>9.628498244447785E-4</v>
      </c>
      <c r="D16" s="1266">
        <v>9.6199598651136825E-4</v>
      </c>
      <c r="E16" s="1265">
        <v>8.7857759776037165E-4</v>
      </c>
      <c r="F16" s="1266">
        <v>9.8832288099726844E-4</v>
      </c>
      <c r="G16" s="1265">
        <v>9.9157577714549506E-4</v>
      </c>
      <c r="H16" s="1266">
        <v>9.7985037810582594E-4</v>
      </c>
      <c r="I16" s="1267">
        <v>9.7791739782334135E-4</v>
      </c>
    </row>
    <row r="17" spans="1:9" ht="14" thickBot="1">
      <c r="A17" s="1255"/>
      <c r="B17" s="1255"/>
      <c r="C17" s="1257"/>
      <c r="D17" s="1258"/>
      <c r="E17" s="1257"/>
      <c r="F17" s="1258"/>
      <c r="G17" s="1257"/>
      <c r="H17" s="1258"/>
      <c r="I17" s="1259"/>
    </row>
    <row r="18" spans="1:9" ht="16" thickBot="1">
      <c r="A18" s="1250" t="s">
        <v>1140</v>
      </c>
      <c r="B18" s="1255"/>
      <c r="C18" s="1262">
        <v>1.6437033578398392E-2</v>
      </c>
      <c r="D18" s="1263">
        <v>-5.5237188902910808E-3</v>
      </c>
      <c r="E18" s="1262">
        <v>-7.6044117501067208E-3</v>
      </c>
      <c r="F18" s="1263">
        <v>-4.8165711207725581E-3</v>
      </c>
      <c r="G18" s="1262">
        <v>2.2789867346285431E-3</v>
      </c>
      <c r="H18" s="1263">
        <v>9.8500976726488155E-3</v>
      </c>
      <c r="I18" s="1264">
        <v>-1.2263793106690339E-2</v>
      </c>
    </row>
    <row r="19" spans="1:9" ht="14" thickBot="1">
      <c r="A19" s="1255"/>
      <c r="B19" s="1268" t="s">
        <v>928</v>
      </c>
      <c r="C19" s="1265">
        <v>1.8584320584146479E-2</v>
      </c>
      <c r="D19" s="1266">
        <v>8.676065953617312E-3</v>
      </c>
      <c r="E19" s="1265">
        <v>4.8272130724404602E-3</v>
      </c>
      <c r="F19" s="1266">
        <v>8.000365511138488E-3</v>
      </c>
      <c r="G19" s="1265">
        <v>1.6428127697023242E-2</v>
      </c>
      <c r="H19" s="1266">
        <v>2.0203560959890905E-2</v>
      </c>
      <c r="I19" s="1267">
        <v>3.9020780773701392E-3</v>
      </c>
    </row>
    <row r="20" spans="1:9" ht="14" thickBot="1">
      <c r="A20" s="1255"/>
      <c r="B20" s="1268" t="s">
        <v>1141</v>
      </c>
      <c r="C20" s="1265">
        <v>9.945051611388487E-4</v>
      </c>
      <c r="D20" s="1266">
        <v>-1.3403293543248443E-2</v>
      </c>
      <c r="E20" s="1265">
        <v>-1.0302190983907635E-2</v>
      </c>
      <c r="F20" s="1266">
        <v>-8.4524450771420873E-3</v>
      </c>
      <c r="G20" s="1265">
        <v>-6.2550435821119646E-3</v>
      </c>
      <c r="H20" s="1266">
        <v>-2.4084375444149834E-3</v>
      </c>
      <c r="I20" s="1267">
        <v>-4.5351179963022759E-3</v>
      </c>
    </row>
    <row r="21" spans="1:9" ht="14" thickBot="1">
      <c r="A21" s="1255"/>
      <c r="B21" s="1268" t="s">
        <v>1142</v>
      </c>
      <c r="C21" s="1265">
        <v>-3.1417921668869348E-3</v>
      </c>
      <c r="D21" s="1266">
        <v>-7.9649130065995004E-4</v>
      </c>
      <c r="E21" s="1265">
        <v>-2.129433838639545E-3</v>
      </c>
      <c r="F21" s="1266">
        <v>-4.3644915547689589E-3</v>
      </c>
      <c r="G21" s="1265">
        <v>-7.8940973802827333E-3</v>
      </c>
      <c r="H21" s="1266">
        <v>-7.945025742827105E-3</v>
      </c>
      <c r="I21" s="1267">
        <v>-1.1630753187758204E-2</v>
      </c>
    </row>
    <row r="22" spans="1:9" ht="14" thickBot="1">
      <c r="A22" s="1255"/>
      <c r="B22" s="1268"/>
      <c r="C22" s="1265"/>
      <c r="D22" s="1266"/>
      <c r="E22" s="1265"/>
      <c r="F22" s="1266"/>
      <c r="G22" s="1265"/>
      <c r="H22" s="1266"/>
      <c r="I22" s="1267"/>
    </row>
    <row r="23" spans="1:9" s="1261" customFormat="1" ht="14" thickBot="1">
      <c r="A23" s="1250" t="s">
        <v>1128</v>
      </c>
      <c r="B23" s="1255"/>
      <c r="C23" s="1262">
        <v>7.281439684712844E-2</v>
      </c>
      <c r="D23" s="1263">
        <v>7.8225272565529511E-2</v>
      </c>
      <c r="E23" s="1262">
        <v>8.116170791514031E-2</v>
      </c>
      <c r="F23" s="1263">
        <v>8.7061386633834795E-2</v>
      </c>
      <c r="G23" s="1262">
        <v>8.5914276114208626E-2</v>
      </c>
      <c r="H23" s="1263">
        <v>8.3191898473869846E-2</v>
      </c>
      <c r="I23" s="1264">
        <v>8.4709748835759199E-2</v>
      </c>
    </row>
    <row r="24" spans="1:9" s="1261" customFormat="1" ht="16" thickBot="1">
      <c r="A24" s="1255" t="s">
        <v>1143</v>
      </c>
      <c r="B24" s="1255"/>
      <c r="C24" s="1269">
        <v>4.7893733034717986E-2</v>
      </c>
      <c r="D24" s="1270">
        <v>5.3973664066863894E-2</v>
      </c>
      <c r="E24" s="1269">
        <v>5.6169401673764774E-2</v>
      </c>
      <c r="F24" s="1270">
        <v>5.9554268785348773E-2</v>
      </c>
      <c r="G24" s="1269">
        <v>5.8406119264049074E-2</v>
      </c>
      <c r="H24" s="1270">
        <v>5.7915227215653189E-2</v>
      </c>
      <c r="I24" s="1271">
        <v>5.9392322301919091E-2</v>
      </c>
    </row>
    <row r="25" spans="1:9" ht="14" thickBot="1">
      <c r="A25" s="1268"/>
      <c r="B25" s="1268" t="s">
        <v>1123</v>
      </c>
      <c r="C25" s="1265">
        <v>3.6002669600061196E-2</v>
      </c>
      <c r="D25" s="1266">
        <v>3.9470281564846804E-2</v>
      </c>
      <c r="E25" s="1265">
        <v>3.9739504224121668E-2</v>
      </c>
      <c r="F25" s="1266">
        <v>4.0869916509561004E-2</v>
      </c>
      <c r="G25" s="1265">
        <v>4.0133453082419064E-2</v>
      </c>
      <c r="H25" s="1266">
        <v>3.9445481150472583E-2</v>
      </c>
      <c r="I25" s="1267">
        <v>3.9938229931574157E-2</v>
      </c>
    </row>
    <row r="26" spans="1:9" ht="14" thickBot="1">
      <c r="A26" s="1268"/>
      <c r="B26" s="1268" t="s">
        <v>1129</v>
      </c>
      <c r="C26" s="1265">
        <v>1.1891063434656788E-2</v>
      </c>
      <c r="D26" s="1266">
        <v>1.450338250201709E-2</v>
      </c>
      <c r="E26" s="1265">
        <v>1.642989744964311E-2</v>
      </c>
      <c r="F26" s="1266">
        <v>1.8684352275787772E-2</v>
      </c>
      <c r="G26" s="1265">
        <v>1.8272666181630006E-2</v>
      </c>
      <c r="H26" s="1266">
        <v>1.8469746065180613E-2</v>
      </c>
      <c r="I26" s="1267">
        <v>1.9454092370344934E-2</v>
      </c>
    </row>
    <row r="27" spans="1:9" s="1261" customFormat="1" ht="16" thickBot="1">
      <c r="A27" s="1255" t="s">
        <v>1144</v>
      </c>
      <c r="B27" s="1255"/>
      <c r="C27" s="1272">
        <v>7.7291780428032902E-3</v>
      </c>
      <c r="D27" s="1273">
        <v>6.1417754515174713E-3</v>
      </c>
      <c r="E27" s="1272">
        <v>6.562031549374076E-3</v>
      </c>
      <c r="F27" s="1273">
        <v>6.6633642414682011E-3</v>
      </c>
      <c r="G27" s="1272">
        <v>7.3099888687237664E-3</v>
      </c>
      <c r="H27" s="1273">
        <v>6.8286032987463531E-3</v>
      </c>
      <c r="I27" s="1274">
        <v>7.1686141017412528E-3</v>
      </c>
    </row>
    <row r="28" spans="1:9" s="1261" customFormat="1" ht="11.25" customHeight="1" thickBot="1">
      <c r="A28" s="1268"/>
      <c r="B28" s="1268" t="s">
        <v>1123</v>
      </c>
      <c r="C28" s="1265">
        <v>1.6882846236839953E-3</v>
      </c>
      <c r="D28" s="1266">
        <v>1.3317955189606305E-3</v>
      </c>
      <c r="E28" s="1265">
        <v>1.404731413368278E-3</v>
      </c>
      <c r="F28" s="1266">
        <v>1.4259743757454504E-3</v>
      </c>
      <c r="G28" s="1265">
        <v>1.5934392139710166E-3</v>
      </c>
      <c r="H28" s="1266">
        <v>1.488635519126705E-3</v>
      </c>
      <c r="I28" s="1267">
        <v>1.591432330586558E-3</v>
      </c>
    </row>
    <row r="29" spans="1:9" ht="14" thickBot="1">
      <c r="A29" s="1268"/>
      <c r="B29" s="1268" t="s">
        <v>1124</v>
      </c>
      <c r="C29" s="1265">
        <v>6.0408934191192951E-3</v>
      </c>
      <c r="D29" s="1266">
        <v>4.8099799325568406E-3</v>
      </c>
      <c r="E29" s="1265">
        <v>5.1573001360057978E-3</v>
      </c>
      <c r="F29" s="1266">
        <v>5.2373898657227507E-3</v>
      </c>
      <c r="G29" s="1265">
        <v>5.7165496547527499E-3</v>
      </c>
      <c r="H29" s="1266">
        <v>5.3399677796196485E-3</v>
      </c>
      <c r="I29" s="1267">
        <v>5.5771817711546944E-3</v>
      </c>
    </row>
    <row r="30" spans="1:9" ht="16" thickBot="1">
      <c r="A30" s="1255" t="s">
        <v>1145</v>
      </c>
      <c r="B30" s="1255"/>
      <c r="C30" s="1272">
        <v>5.3682175143702033E-3</v>
      </c>
      <c r="D30" s="1273">
        <v>5.9116204977553424E-3</v>
      </c>
      <c r="E30" s="1272">
        <v>6.6067049865483314E-3</v>
      </c>
      <c r="F30" s="1273">
        <v>9.0199492131891809E-3</v>
      </c>
      <c r="G30" s="1272">
        <v>8.7281728290597646E-3</v>
      </c>
      <c r="H30" s="1273">
        <v>6.8264354881753218E-3</v>
      </c>
      <c r="I30" s="1274">
        <v>6.6661021766337356E-3</v>
      </c>
    </row>
    <row r="31" spans="1:9" ht="14" thickBot="1">
      <c r="A31" s="1255"/>
      <c r="B31" s="1268" t="s">
        <v>1123</v>
      </c>
      <c r="C31" s="1265">
        <v>2.2132356238607374E-3</v>
      </c>
      <c r="D31" s="1266">
        <v>2.2601733661584294E-3</v>
      </c>
      <c r="E31" s="1265">
        <v>2.8119446843573475E-3</v>
      </c>
      <c r="F31" s="1266">
        <v>4.5881266592281951E-3</v>
      </c>
      <c r="G31" s="1265">
        <v>4.6511821918661942E-3</v>
      </c>
      <c r="H31" s="1266">
        <v>3.0024176408773645E-3</v>
      </c>
      <c r="I31" s="1267">
        <v>2.8649435066295755E-3</v>
      </c>
    </row>
    <row r="32" spans="1:9" ht="14" thickBot="1">
      <c r="A32" s="1255"/>
      <c r="B32" s="1268" t="s">
        <v>1130</v>
      </c>
      <c r="C32" s="1265">
        <v>3.1549818905094659E-3</v>
      </c>
      <c r="D32" s="1266">
        <v>3.651447131596913E-3</v>
      </c>
      <c r="E32" s="1265">
        <v>3.7947603021909839E-3</v>
      </c>
      <c r="F32" s="1266">
        <v>4.4318225539609866E-3</v>
      </c>
      <c r="G32" s="1265">
        <v>4.0769906371935713E-3</v>
      </c>
      <c r="H32" s="1266">
        <v>3.8240178472979578E-3</v>
      </c>
      <c r="I32" s="1267">
        <v>3.8011586700041605E-3</v>
      </c>
    </row>
    <row r="33" spans="1:15" ht="16" thickBot="1">
      <c r="A33" s="1255" t="s">
        <v>1146</v>
      </c>
      <c r="B33" s="1255"/>
      <c r="C33" s="1272">
        <v>1.182326825523698E-2</v>
      </c>
      <c r="D33" s="1273">
        <v>1.2198212549392805E-2</v>
      </c>
      <c r="E33" s="1272">
        <v>1.1823569705453138E-2</v>
      </c>
      <c r="F33" s="1273">
        <v>1.1823804393828635E-2</v>
      </c>
      <c r="G33" s="1272">
        <v>1.1469995152376029E-2</v>
      </c>
      <c r="H33" s="1273">
        <v>1.1621632471294984E-2</v>
      </c>
      <c r="I33" s="1274">
        <v>1.148271025546512E-2</v>
      </c>
    </row>
    <row r="34" spans="1:15" ht="14" thickBot="1">
      <c r="A34" s="1255"/>
      <c r="B34" s="1268" t="s">
        <v>1131</v>
      </c>
      <c r="C34" s="1265">
        <v>8.554854741573744E-3</v>
      </c>
      <c r="D34" s="1266">
        <v>8.8027804787223028E-3</v>
      </c>
      <c r="E34" s="1265">
        <v>8.527662785041348E-3</v>
      </c>
      <c r="F34" s="1266">
        <v>8.5197760763341158E-3</v>
      </c>
      <c r="G34" s="1265">
        <v>8.2024070681547111E-3</v>
      </c>
      <c r="H34" s="1266">
        <v>8.3699166147491021E-3</v>
      </c>
      <c r="I34" s="1267">
        <v>8.267467979465988E-3</v>
      </c>
    </row>
    <row r="35" spans="1:15" ht="14" thickBot="1">
      <c r="A35" s="1255"/>
      <c r="B35" s="1268" t="s">
        <v>1132</v>
      </c>
      <c r="C35" s="1265">
        <v>3.2684135136632347E-3</v>
      </c>
      <c r="D35" s="1266">
        <v>3.3954320706705014E-3</v>
      </c>
      <c r="E35" s="1265">
        <v>3.2959069204117901E-3</v>
      </c>
      <c r="F35" s="1266">
        <v>3.3040283174945177E-3</v>
      </c>
      <c r="G35" s="1265">
        <v>3.2675880842213175E-3</v>
      </c>
      <c r="H35" s="1266">
        <v>3.2517158565458825E-3</v>
      </c>
      <c r="I35" s="1267">
        <v>3.2152422759991303E-3</v>
      </c>
      <c r="K35" s="1261"/>
      <c r="L35" s="1275"/>
      <c r="M35" s="1275"/>
      <c r="N35" s="1275"/>
      <c r="O35" s="1275"/>
    </row>
    <row r="36" spans="1:15" s="1261" customFormat="1" ht="14" thickBot="1">
      <c r="A36" s="1255"/>
      <c r="B36" s="1255"/>
      <c r="C36" s="1257"/>
      <c r="D36" s="1258"/>
      <c r="E36" s="1257"/>
      <c r="F36" s="1258"/>
      <c r="G36" s="1257"/>
      <c r="H36" s="1258"/>
      <c r="I36" s="1259"/>
    </row>
    <row r="37" spans="1:15" ht="13.5" customHeight="1" thickBot="1">
      <c r="A37" s="1250" t="s">
        <v>1545</v>
      </c>
      <c r="B37" s="1255"/>
      <c r="C37" s="1262">
        <v>0.66361493725417009</v>
      </c>
      <c r="D37" s="1263">
        <v>0.68276641540845373</v>
      </c>
      <c r="E37" s="1262">
        <v>0.68562033169883296</v>
      </c>
      <c r="F37" s="1263">
        <v>0.67392232859564905</v>
      </c>
      <c r="G37" s="1262">
        <v>0.66962659514755896</v>
      </c>
      <c r="H37" s="1263">
        <v>0.64839518021522613</v>
      </c>
      <c r="I37" s="1264">
        <v>0.66157951367199763</v>
      </c>
    </row>
    <row r="38" spans="1:15" ht="15.75" customHeight="1" thickBot="1">
      <c r="A38" s="1251" t="s">
        <v>1133</v>
      </c>
      <c r="B38" s="1255"/>
      <c r="C38" s="1272">
        <v>0.37452299364519115</v>
      </c>
      <c r="D38" s="1273">
        <v>0.38402672900676499</v>
      </c>
      <c r="E38" s="1272">
        <v>0.38300274989824379</v>
      </c>
      <c r="F38" s="1273">
        <v>0.368824785502674</v>
      </c>
      <c r="G38" s="1272">
        <v>0.3683628148016399</v>
      </c>
      <c r="H38" s="1273">
        <v>0.35683506041717516</v>
      </c>
      <c r="I38" s="1274">
        <v>0.37195390567410541</v>
      </c>
    </row>
    <row r="39" spans="1:15" ht="16.5" customHeight="1" thickBot="1">
      <c r="A39" s="1255"/>
      <c r="B39" s="1268" t="s">
        <v>1147</v>
      </c>
      <c r="C39" s="1265">
        <v>0.24320874320399491</v>
      </c>
      <c r="D39" s="1266">
        <v>0.25440294184579104</v>
      </c>
      <c r="E39" s="1265">
        <v>0.25664889656610179</v>
      </c>
      <c r="F39" s="1266">
        <v>0.25183957908506793</v>
      </c>
      <c r="G39" s="1265">
        <v>0.24936721835209583</v>
      </c>
      <c r="H39" s="1266">
        <v>0.24459666810206648</v>
      </c>
      <c r="I39" s="1267">
        <v>0.259549702940927</v>
      </c>
    </row>
    <row r="40" spans="1:15" ht="15" customHeight="1" thickBot="1">
      <c r="A40" s="1255"/>
      <c r="B40" s="1268" t="s">
        <v>1141</v>
      </c>
      <c r="C40" s="1265">
        <v>0.11442085242545827</v>
      </c>
      <c r="D40" s="1266">
        <v>0.11405858865879141</v>
      </c>
      <c r="E40" s="1265">
        <v>0.1105245654267306</v>
      </c>
      <c r="F40" s="1266">
        <v>9.0577026663075683E-2</v>
      </c>
      <c r="G40" s="1265">
        <v>6.7273849719430442E-2</v>
      </c>
      <c r="H40" s="1266">
        <v>4.3074396046377784E-2</v>
      </c>
      <c r="I40" s="1267">
        <v>4.0834827972222425E-2</v>
      </c>
    </row>
    <row r="41" spans="1:15" ht="14" thickBot="1">
      <c r="A41" s="1255"/>
      <c r="B41" s="1268" t="s">
        <v>1142</v>
      </c>
      <c r="C41" s="1265">
        <v>1.6893398015737977E-2</v>
      </c>
      <c r="D41" s="1266">
        <v>1.5565198502182593E-2</v>
      </c>
      <c r="E41" s="1265">
        <v>1.5829287905411441E-2</v>
      </c>
      <c r="F41" s="1266">
        <v>2.6408179754530418E-2</v>
      </c>
      <c r="G41" s="1265">
        <v>5.1721746730113614E-2</v>
      </c>
      <c r="H41" s="1266">
        <v>6.9163996268730918E-2</v>
      </c>
      <c r="I41" s="1267">
        <v>7.1569374760956012E-2</v>
      </c>
    </row>
    <row r="42" spans="1:15" ht="15" customHeight="1" thickBot="1">
      <c r="A42" s="1255" t="s">
        <v>1148</v>
      </c>
      <c r="B42" s="1255"/>
      <c r="C42" s="1272">
        <v>4.6712725181556544E-2</v>
      </c>
      <c r="D42" s="1273">
        <v>4.8730785940376942E-2</v>
      </c>
      <c r="E42" s="1272">
        <v>5.3484031728067823E-2</v>
      </c>
      <c r="F42" s="1273">
        <v>5.4095648493709361E-2</v>
      </c>
      <c r="G42" s="1272">
        <v>5.4031655893711852E-2</v>
      </c>
      <c r="H42" s="1273">
        <v>5.2640944096335768E-2</v>
      </c>
      <c r="I42" s="1274">
        <v>5.298268886714521E-2</v>
      </c>
      <c r="K42" s="1234"/>
      <c r="L42" s="1234"/>
      <c r="M42" s="1234"/>
      <c r="N42" s="1234"/>
    </row>
    <row r="43" spans="1:15" ht="13.5" customHeight="1" thickBot="1">
      <c r="A43" s="1255"/>
      <c r="B43" s="1268" t="s">
        <v>928</v>
      </c>
      <c r="C43" s="1252">
        <v>4.4277902200837278E-2</v>
      </c>
      <c r="D43" s="1253">
        <v>4.5979270538097111E-2</v>
      </c>
      <c r="E43" s="1252">
        <v>5.2049518023250037E-2</v>
      </c>
      <c r="F43" s="1253">
        <v>5.2660055403793628E-2</v>
      </c>
      <c r="G43" s="1252">
        <v>5.2761055304857973E-2</v>
      </c>
      <c r="H43" s="1253">
        <v>5.2031789325876175E-2</v>
      </c>
      <c r="I43" s="1254">
        <v>5.218680172269069E-2</v>
      </c>
    </row>
    <row r="44" spans="1:15" ht="13.5" customHeight="1" thickBot="1">
      <c r="A44" s="1255"/>
      <c r="B44" s="1268" t="s">
        <v>929</v>
      </c>
      <c r="C44" s="1252">
        <v>2.4348229807192616E-3</v>
      </c>
      <c r="D44" s="1253">
        <v>2.7515154022798275E-3</v>
      </c>
      <c r="E44" s="1252">
        <v>1.4345137048177819E-3</v>
      </c>
      <c r="F44" s="1253">
        <v>1.4355930899157402E-3</v>
      </c>
      <c r="G44" s="1252">
        <v>1.2706005888538786E-3</v>
      </c>
      <c r="H44" s="1253">
        <v>6.0915477045959531E-4</v>
      </c>
      <c r="I44" s="1254">
        <v>7.9588714445451899E-4</v>
      </c>
    </row>
    <row r="45" spans="1:15" ht="15.75" customHeight="1" thickBot="1">
      <c r="A45" s="1255" t="s">
        <v>1149</v>
      </c>
      <c r="B45" s="1255"/>
      <c r="C45" s="1272">
        <v>0.24237921842742241</v>
      </c>
      <c r="D45" s="1273">
        <v>0.25000890046131169</v>
      </c>
      <c r="E45" s="1272">
        <v>0.24913355007252133</v>
      </c>
      <c r="F45" s="1273">
        <v>0.25100189459926575</v>
      </c>
      <c r="G45" s="1272">
        <v>0.24723212445220727</v>
      </c>
      <c r="H45" s="1273">
        <v>0.23891917570171523</v>
      </c>
      <c r="I45" s="1274">
        <v>0.23664291913074703</v>
      </c>
      <c r="J45" s="1217"/>
    </row>
    <row r="46" spans="1:15" ht="12.75" customHeight="1" thickBot="1">
      <c r="A46" s="1255"/>
      <c r="B46" s="1255"/>
      <c r="C46" s="1257"/>
      <c r="D46" s="1258"/>
      <c r="E46" s="1257"/>
      <c r="F46" s="1258"/>
      <c r="G46" s="1257"/>
      <c r="H46" s="1258"/>
      <c r="I46" s="1259"/>
    </row>
    <row r="47" spans="1:15" ht="17.25" customHeight="1" thickBot="1">
      <c r="A47" s="1250" t="s">
        <v>1150</v>
      </c>
      <c r="B47" s="1255"/>
      <c r="C47" s="1262">
        <v>9.9898966717051393E-3</v>
      </c>
      <c r="D47" s="1263">
        <v>9.9975174297122302E-3</v>
      </c>
      <c r="E47" s="1262">
        <v>9.8083013173700245E-3</v>
      </c>
      <c r="F47" s="1263">
        <v>9.8303258820360909E-3</v>
      </c>
      <c r="G47" s="1262">
        <v>1.0232280713153514E-2</v>
      </c>
      <c r="H47" s="1263">
        <v>1.0047096577231324E-2</v>
      </c>
      <c r="I47" s="1264">
        <v>9.96070308939981E-3</v>
      </c>
    </row>
    <row r="48" spans="1:15" ht="12.75" customHeight="1" thickBot="1">
      <c r="A48" s="1250"/>
      <c r="B48" s="1268"/>
      <c r="C48" s="1257"/>
      <c r="D48" s="1258"/>
      <c r="E48" s="1257"/>
      <c r="F48" s="1258"/>
      <c r="G48" s="1257"/>
      <c r="H48" s="1258"/>
      <c r="I48" s="1259"/>
    </row>
    <row r="49" spans="1:23" ht="18" customHeight="1" thickBot="1">
      <c r="A49" s="1276" t="s">
        <v>1151</v>
      </c>
      <c r="B49" s="1277"/>
      <c r="C49" s="1278">
        <v>1</v>
      </c>
      <c r="D49" s="1279">
        <v>1</v>
      </c>
      <c r="E49" s="1278">
        <v>1</v>
      </c>
      <c r="F49" s="1279">
        <v>1</v>
      </c>
      <c r="G49" s="1278">
        <v>1</v>
      </c>
      <c r="H49" s="1279">
        <v>1</v>
      </c>
      <c r="I49" s="1280">
        <v>1</v>
      </c>
    </row>
    <row r="50" spans="1:23" ht="15" customHeight="1">
      <c r="A50" s="1281" t="s">
        <v>2138</v>
      </c>
      <c r="B50" s="1281"/>
      <c r="C50" s="1282"/>
      <c r="D50" s="1282"/>
      <c r="E50" s="1282"/>
      <c r="F50" s="1282"/>
      <c r="G50" s="1282"/>
      <c r="H50" s="1282"/>
    </row>
    <row r="51" spans="1:23" ht="11.25" customHeight="1">
      <c r="A51" s="1283"/>
      <c r="B51" s="1284"/>
      <c r="C51" s="1215"/>
      <c r="D51" s="1215"/>
      <c r="E51" s="1215"/>
      <c r="F51" s="1215"/>
      <c r="G51" s="1215"/>
      <c r="H51" s="1215"/>
      <c r="L51" s="1234"/>
      <c r="M51" s="1234"/>
      <c r="N51" s="1234"/>
      <c r="O51" s="1234"/>
      <c r="R51" s="1234"/>
      <c r="S51" s="1234"/>
      <c r="T51" s="1234"/>
      <c r="U51" s="1234"/>
      <c r="V51" s="1226"/>
      <c r="W51" s="1285"/>
    </row>
    <row r="52" spans="1:23">
      <c r="A52" s="1286" t="s">
        <v>1134</v>
      </c>
      <c r="B52" s="1284"/>
      <c r="C52" s="1215"/>
      <c r="D52" s="1215"/>
      <c r="E52" s="1215"/>
      <c r="F52" s="1215"/>
      <c r="G52" s="1215"/>
      <c r="H52" s="1215"/>
      <c r="L52" s="1234"/>
      <c r="M52" s="1234"/>
      <c r="N52" s="1234"/>
      <c r="O52" s="1234"/>
    </row>
    <row r="53" spans="1:23" ht="9" customHeight="1">
      <c r="A53" s="1286"/>
      <c r="B53" s="1284"/>
      <c r="C53" s="1215"/>
      <c r="D53" s="1215"/>
      <c r="E53" s="1215"/>
      <c r="F53" s="1215"/>
      <c r="G53" s="1215"/>
      <c r="H53" s="1215"/>
    </row>
    <row r="54" spans="1:23">
      <c r="A54" s="1287" t="s">
        <v>1135</v>
      </c>
      <c r="B54" s="1215"/>
      <c r="C54" s="1215"/>
      <c r="D54" s="1215"/>
      <c r="E54" s="1215"/>
      <c r="F54" s="1215"/>
      <c r="G54" s="1215"/>
      <c r="H54" s="1215"/>
    </row>
    <row r="55" spans="1:23">
      <c r="A55" s="1284"/>
      <c r="B55" s="1284"/>
      <c r="C55" s="1215"/>
      <c r="D55" s="1215"/>
      <c r="E55" s="1215"/>
      <c r="F55" s="1215"/>
      <c r="G55" s="1215"/>
      <c r="H55" s="1215"/>
    </row>
    <row r="56" spans="1:23">
      <c r="A56" s="1288"/>
      <c r="B56" s="1284"/>
      <c r="C56" s="1284"/>
      <c r="D56" s="1284"/>
      <c r="E56" s="1284"/>
      <c r="F56" s="1284"/>
      <c r="G56" s="1215"/>
      <c r="H56" s="1284"/>
    </row>
    <row r="57" spans="1:23">
      <c r="A57" s="1289" t="s">
        <v>256</v>
      </c>
      <c r="B57" s="1284"/>
      <c r="C57" s="1283"/>
      <c r="D57" s="1283"/>
      <c r="E57" s="1283"/>
      <c r="F57" s="1283"/>
      <c r="G57" s="1215"/>
      <c r="H57" s="1283"/>
    </row>
    <row r="58" spans="1:23" s="1283" customFormat="1">
      <c r="A58" s="1288"/>
      <c r="C58" s="1281"/>
      <c r="D58" s="1281"/>
      <c r="I58" s="1216"/>
    </row>
    <row r="59" spans="1:23" s="1283" customFormat="1">
      <c r="A59" s="1284"/>
      <c r="B59" s="1284"/>
      <c r="C59" s="1281"/>
      <c r="D59" s="1281"/>
      <c r="I59" s="1216"/>
    </row>
    <row r="60" spans="1:23" s="1283" customFormat="1">
      <c r="A60" s="1284"/>
      <c r="I60" s="1216"/>
    </row>
    <row r="61" spans="1:23" s="1283" customFormat="1">
      <c r="A61" s="1290"/>
      <c r="B61" s="1291"/>
      <c r="I61" s="1216"/>
    </row>
    <row r="62" spans="1:23" s="1283" customFormat="1">
      <c r="A62" s="1290"/>
      <c r="B62" s="1291"/>
      <c r="C62" s="1219"/>
      <c r="D62" s="1219"/>
      <c r="E62" s="1219"/>
      <c r="F62" s="1219"/>
      <c r="H62" s="1219"/>
      <c r="I62" s="1216"/>
    </row>
    <row r="63" spans="1:23" s="1283" customFormat="1">
      <c r="A63" s="1290"/>
      <c r="B63" s="1292"/>
      <c r="C63" s="1219"/>
      <c r="D63" s="1219"/>
      <c r="E63" s="1219"/>
      <c r="F63" s="1219"/>
      <c r="H63" s="1219"/>
      <c r="I63" s="1216"/>
    </row>
    <row r="64" spans="1:23">
      <c r="A64" s="1290"/>
      <c r="B64" s="1292"/>
    </row>
    <row r="66" spans="1:5">
      <c r="A66" s="1292"/>
      <c r="B66" s="1292"/>
    </row>
    <row r="67" spans="1:5">
      <c r="A67" s="1292"/>
      <c r="B67" s="1292"/>
    </row>
    <row r="68" spans="1:5">
      <c r="A68" s="1292"/>
      <c r="B68" s="1293"/>
    </row>
    <row r="69" spans="1:5">
      <c r="A69" s="1292"/>
      <c r="B69" s="1294"/>
    </row>
    <row r="70" spans="1:5">
      <c r="A70" s="1292"/>
      <c r="B70" s="1295"/>
    </row>
    <row r="71" spans="1:5">
      <c r="A71" s="1292"/>
      <c r="B71" s="1296"/>
    </row>
    <row r="72" spans="1:5">
      <c r="A72" s="1292"/>
      <c r="B72" s="1297"/>
    </row>
    <row r="73" spans="1:5">
      <c r="A73" s="1292"/>
      <c r="B73" s="1292"/>
    </row>
    <row r="74" spans="1:5">
      <c r="A74" s="1292"/>
      <c r="B74" s="1292"/>
    </row>
    <row r="75" spans="1:5">
      <c r="B75" s="1292"/>
    </row>
    <row r="76" spans="1:5">
      <c r="A76" s="1292"/>
      <c r="B76" s="1292"/>
      <c r="E76" s="1234"/>
    </row>
    <row r="77" spans="1:5">
      <c r="A77" s="1292"/>
      <c r="B77" s="1292"/>
    </row>
    <row r="78" spans="1:5">
      <c r="A78" s="1292"/>
      <c r="B78" s="1292"/>
    </row>
    <row r="79" spans="1:5">
      <c r="A79" s="1292"/>
      <c r="B79" s="1292"/>
    </row>
    <row r="80" spans="1:5">
      <c r="A80" s="1292"/>
      <c r="B80" s="1292"/>
    </row>
    <row r="81" spans="1:2">
      <c r="A81" s="1292"/>
      <c r="B81" s="1292"/>
    </row>
    <row r="82" spans="1:2">
      <c r="A82" s="1292"/>
    </row>
    <row r="83" spans="1:2">
      <c r="A83" s="1292"/>
    </row>
    <row r="86" spans="1:2">
      <c r="B86" s="1292"/>
    </row>
    <row r="87" spans="1:2">
      <c r="B87" s="1292"/>
    </row>
    <row r="88" spans="1:2" ht="16">
      <c r="A88" s="1214"/>
      <c r="B88" s="1292"/>
    </row>
    <row r="89" spans="1:2">
      <c r="A89" s="1292"/>
      <c r="B89" s="1292"/>
    </row>
    <row r="90" spans="1:2">
      <c r="A90" s="1292"/>
      <c r="B90" s="1292"/>
    </row>
    <row r="91" spans="1:2">
      <c r="A91" s="1292"/>
      <c r="B91" s="1292"/>
    </row>
    <row r="92" spans="1:2">
      <c r="A92" s="1292"/>
      <c r="B92" s="1292"/>
    </row>
    <row r="93" spans="1:2">
      <c r="A93" s="1292"/>
      <c r="B93" s="1292"/>
    </row>
    <row r="94" spans="1:2">
      <c r="A94" s="1292"/>
      <c r="B94" s="1292"/>
    </row>
    <row r="95" spans="1:2">
      <c r="A95" s="1292"/>
      <c r="B95" s="1292"/>
    </row>
    <row r="96" spans="1:2">
      <c r="A96" s="1292"/>
      <c r="B96" s="1292"/>
    </row>
    <row r="97" spans="1:2">
      <c r="A97" s="1292"/>
      <c r="B97" s="1292"/>
    </row>
    <row r="98" spans="1:2">
      <c r="B98" s="1292"/>
    </row>
    <row r="99" spans="1:2">
      <c r="A99" s="1292"/>
      <c r="B99" s="1292"/>
    </row>
    <row r="100" spans="1:2">
      <c r="A100" s="1292"/>
      <c r="B100" s="1292"/>
    </row>
    <row r="101" spans="1:2">
      <c r="A101" s="1292"/>
      <c r="B101" s="1292"/>
    </row>
    <row r="102" spans="1:2">
      <c r="A102" s="1292"/>
      <c r="B102" s="1292"/>
    </row>
    <row r="103" spans="1:2">
      <c r="A103" s="1292"/>
      <c r="B103" s="1292"/>
    </row>
    <row r="104" spans="1:2">
      <c r="A104" s="1292"/>
      <c r="B104" s="1292"/>
    </row>
    <row r="105" spans="1:2">
      <c r="A105" s="1292"/>
    </row>
    <row r="109" spans="1:2">
      <c r="B109" s="1292"/>
    </row>
    <row r="110" spans="1:2">
      <c r="B110" s="1292"/>
    </row>
    <row r="111" spans="1:2">
      <c r="B111" s="1292"/>
    </row>
    <row r="112" spans="1:2">
      <c r="A112" s="1292"/>
      <c r="B112" s="1292"/>
    </row>
    <row r="113" spans="1:2">
      <c r="A113" s="1292"/>
      <c r="B113" s="1292"/>
    </row>
    <row r="114" spans="1:2">
      <c r="A114" s="1292"/>
      <c r="B114" s="1292"/>
    </row>
    <row r="115" spans="1:2">
      <c r="A115" s="1292"/>
      <c r="B115" s="1292"/>
    </row>
    <row r="116" spans="1:2">
      <c r="A116" s="1292"/>
      <c r="B116" s="1292"/>
    </row>
    <row r="117" spans="1:2">
      <c r="A117" s="1292"/>
      <c r="B117" s="1292"/>
    </row>
    <row r="118" spans="1:2" ht="16">
      <c r="A118" s="1214"/>
      <c r="B118" s="1292"/>
    </row>
    <row r="119" spans="1:2">
      <c r="A119" s="1292"/>
      <c r="B119" s="1292"/>
    </row>
    <row r="120" spans="1:2">
      <c r="B120" s="1292"/>
    </row>
    <row r="121" spans="1:2">
      <c r="A121" s="1292"/>
      <c r="B121" s="1292"/>
    </row>
    <row r="122" spans="1:2">
      <c r="A122" s="1292"/>
      <c r="B122" s="1292"/>
    </row>
    <row r="123" spans="1:2">
      <c r="A123" s="1292"/>
      <c r="B123" s="1292"/>
    </row>
    <row r="124" spans="1:2">
      <c r="A124" s="1292"/>
      <c r="B124" s="1292"/>
    </row>
  </sheetData>
  <phoneticPr fontId="68" type="noConversion"/>
  <pageMargins left="0.46" right="0.47" top="0.73" bottom="0.35433070866141736" header="0.39" footer="0.19685039370078741"/>
  <pageSetup paperSize="9" scale="77" orientation="portrait" cellComments="asDisplayed"/>
  <headerFooter alignWithMargins="0">
    <oddHeader>&amp;L&amp;"Helvetica,Normal"Zusatzinformationen zum Gesundheitswesen</oddHeader>
    <oddFooter xml:space="preserve">&amp;R </oddFooter>
  </headerFooter>
  <drawing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37B5B-424C-5C42-86A6-1EAC70097C2A}">
  <dimension ref="A1:Q87"/>
  <sheetViews>
    <sheetView topLeftCell="A73" workbookViewId="0">
      <selection activeCell="A84" sqref="A1:Q84"/>
    </sheetView>
  </sheetViews>
  <sheetFormatPr baseColWidth="10" defaultColWidth="10.19921875" defaultRowHeight="13"/>
  <cols>
    <col min="1" max="1" width="3.796875" style="1041" customWidth="1"/>
    <col min="2" max="2" width="3" style="1041" customWidth="1"/>
    <col min="3" max="3" width="49.3984375" style="1041" customWidth="1"/>
    <col min="4" max="10" width="10.19921875" style="1041" customWidth="1"/>
    <col min="11" max="11" width="3.3984375" style="1041" customWidth="1"/>
    <col min="12" max="12" width="10.19921875" style="1041" customWidth="1"/>
    <col min="13" max="13" width="10.796875" style="1041" customWidth="1"/>
    <col min="14" max="14" width="3.19921875" style="1041" customWidth="1"/>
    <col min="15" max="15" width="10.19921875" style="1041" customWidth="1"/>
    <col min="16" max="17" width="10.796875" style="1041" customWidth="1"/>
    <col min="18" max="16384" width="10.19921875" style="1041"/>
  </cols>
  <sheetData>
    <row r="1" spans="1:17" ht="16">
      <c r="B1" s="1042" t="s">
        <v>920</v>
      </c>
    </row>
    <row r="2" spans="1:17" ht="14.25" customHeight="1" thickBot="1">
      <c r="B2" s="1043"/>
      <c r="C2" s="1043"/>
      <c r="D2" s="1043"/>
      <c r="E2" s="1043"/>
      <c r="F2" s="1043"/>
      <c r="G2" s="1043"/>
      <c r="H2" s="1043"/>
      <c r="I2" s="1043"/>
      <c r="J2" s="1043"/>
      <c r="K2" s="1043"/>
      <c r="L2" s="1043"/>
      <c r="M2" s="1043"/>
      <c r="N2" s="1043"/>
      <c r="O2" s="1043"/>
      <c r="P2" s="1044"/>
      <c r="Q2" s="1044"/>
    </row>
    <row r="3" spans="1:17" ht="13.5" customHeight="1">
      <c r="B3" s="1045"/>
      <c r="C3" s="1045"/>
      <c r="D3" s="1046"/>
      <c r="E3" s="1045"/>
      <c r="F3" s="1046"/>
      <c r="G3" s="1045"/>
      <c r="H3" s="1046"/>
      <c r="I3" s="1047"/>
      <c r="J3" s="1048"/>
      <c r="K3" s="1049"/>
      <c r="L3" s="1048" t="s">
        <v>24</v>
      </c>
      <c r="M3" s="1050" t="s">
        <v>921</v>
      </c>
      <c r="N3" s="1051"/>
      <c r="O3" s="1052" t="s">
        <v>922</v>
      </c>
      <c r="P3" s="1053" t="s">
        <v>922</v>
      </c>
      <c r="Q3" s="1052" t="s">
        <v>922</v>
      </c>
    </row>
    <row r="4" spans="1:17" ht="15">
      <c r="B4" s="1054" t="s">
        <v>1114</v>
      </c>
      <c r="C4" s="1055"/>
      <c r="D4" s="1056">
        <v>1996</v>
      </c>
      <c r="E4" s="1057">
        <v>1997</v>
      </c>
      <c r="F4" s="1056">
        <v>1998</v>
      </c>
      <c r="G4" s="1057">
        <v>1999</v>
      </c>
      <c r="H4" s="1056">
        <v>2000</v>
      </c>
      <c r="I4" s="1057">
        <v>2001</v>
      </c>
      <c r="J4" s="1056">
        <v>2002</v>
      </c>
      <c r="K4" s="1058"/>
      <c r="L4" s="1048" t="s">
        <v>923</v>
      </c>
      <c r="M4" s="1059" t="s">
        <v>924</v>
      </c>
      <c r="N4" s="1060"/>
      <c r="O4" s="1061">
        <v>2003</v>
      </c>
      <c r="P4" s="1062">
        <v>2004</v>
      </c>
      <c r="Q4" s="1061">
        <v>2005</v>
      </c>
    </row>
    <row r="5" spans="1:17" ht="9.75" customHeight="1">
      <c r="B5" s="1054"/>
      <c r="C5" s="1055"/>
      <c r="D5" s="1063"/>
      <c r="E5" s="1064"/>
      <c r="F5" s="1063"/>
      <c r="G5" s="1064"/>
      <c r="H5" s="1063"/>
      <c r="I5" s="1065"/>
      <c r="J5" s="1066"/>
      <c r="K5" s="1067"/>
      <c r="L5" s="1066"/>
      <c r="M5" s="1059" t="s">
        <v>1458</v>
      </c>
      <c r="N5" s="1060"/>
      <c r="O5" s="1063"/>
      <c r="P5" s="1064"/>
      <c r="Q5" s="1063"/>
    </row>
    <row r="6" spans="1:17" ht="9.75" customHeight="1">
      <c r="B6" s="1068"/>
      <c r="C6" s="1069"/>
      <c r="D6" s="1070"/>
      <c r="E6" s="1071"/>
      <c r="F6" s="1070"/>
      <c r="G6" s="1071"/>
      <c r="H6" s="1070"/>
      <c r="I6" s="1072"/>
      <c r="J6" s="1073"/>
      <c r="K6" s="1074"/>
      <c r="L6" s="1073"/>
      <c r="M6" s="1075" t="s">
        <v>925</v>
      </c>
      <c r="N6" s="1076"/>
      <c r="O6" s="1070"/>
      <c r="P6" s="1071"/>
      <c r="Q6" s="1070"/>
    </row>
    <row r="7" spans="1:17" ht="17.25" customHeight="1" thickBot="1">
      <c r="A7" s="1493" t="s">
        <v>926</v>
      </c>
      <c r="B7" s="1077" t="s">
        <v>927</v>
      </c>
      <c r="C7" s="1078"/>
      <c r="D7" s="1079">
        <v>15102.8</v>
      </c>
      <c r="E7" s="1080">
        <v>15124.7</v>
      </c>
      <c r="F7" s="1079">
        <v>15686.5</v>
      </c>
      <c r="G7" s="1080">
        <v>15981.6</v>
      </c>
      <c r="H7" s="1079">
        <v>16973.123118</v>
      </c>
      <c r="I7" s="1080">
        <v>17916.27</v>
      </c>
      <c r="J7" s="1079">
        <v>18410.55</v>
      </c>
      <c r="K7" s="1081"/>
      <c r="L7" s="1082">
        <v>2.7588331723064963E-2</v>
      </c>
      <c r="M7" s="1083">
        <v>3.3558069161962134E-2</v>
      </c>
      <c r="N7" s="1084"/>
      <c r="O7" s="1079">
        <v>19050.633227000002</v>
      </c>
      <c r="P7" s="1085">
        <v>19882.033861129999</v>
      </c>
      <c r="Q7" s="1086">
        <v>20859.83372852</v>
      </c>
    </row>
    <row r="8" spans="1:17" ht="14" thickBot="1">
      <c r="A8" s="1494"/>
      <c r="B8" s="1087"/>
      <c r="C8" s="1088" t="s">
        <v>928</v>
      </c>
      <c r="D8" s="1089">
        <v>10780.5</v>
      </c>
      <c r="E8" s="1090">
        <v>11360.5</v>
      </c>
      <c r="F8" s="1089">
        <v>11926.9</v>
      </c>
      <c r="G8" s="1090">
        <v>12430.6</v>
      </c>
      <c r="H8" s="1089">
        <v>13190.308999999999</v>
      </c>
      <c r="I8" s="1090">
        <v>13986.27</v>
      </c>
      <c r="J8" s="1089">
        <v>14592.75</v>
      </c>
      <c r="K8" s="1091"/>
      <c r="L8" s="1092">
        <v>4.3362526248956978E-2</v>
      </c>
      <c r="M8" s="1093">
        <v>5.1759329504216023E-2</v>
      </c>
      <c r="N8" s="1094"/>
      <c r="O8" s="1089">
        <v>15335.619704000001</v>
      </c>
      <c r="P8" s="1095">
        <v>16182.033861129999</v>
      </c>
      <c r="Q8" s="1096">
        <v>17179.83372852</v>
      </c>
    </row>
    <row r="9" spans="1:17" ht="14" thickBot="1">
      <c r="A9" s="1494"/>
      <c r="B9" s="1087"/>
      <c r="C9" s="1088" t="s">
        <v>929</v>
      </c>
      <c r="D9" s="1089">
        <v>3809.6</v>
      </c>
      <c r="E9" s="1090">
        <v>3288.3</v>
      </c>
      <c r="F9" s="1089">
        <v>3299.5</v>
      </c>
      <c r="G9" s="1090">
        <v>2787.1</v>
      </c>
      <c r="H9" s="1089">
        <v>2199.056302</v>
      </c>
      <c r="I9" s="1090">
        <v>1576.7</v>
      </c>
      <c r="J9" s="1089">
        <v>1422.3</v>
      </c>
      <c r="K9" s="1091"/>
      <c r="L9" s="1092">
        <v>-9.7926048075093641E-2</v>
      </c>
      <c r="M9" s="1093">
        <v>-0.15143462781283568</v>
      </c>
      <c r="N9" s="1094"/>
      <c r="O9" s="1089">
        <v>1354.5729260000001</v>
      </c>
      <c r="P9" s="1095">
        <v>1300</v>
      </c>
      <c r="Q9" s="1096">
        <v>1240</v>
      </c>
    </row>
    <row r="10" spans="1:17" ht="14" thickBot="1">
      <c r="A10" s="1494"/>
      <c r="B10" s="1087"/>
      <c r="C10" s="1088" t="s">
        <v>930</v>
      </c>
      <c r="D10" s="1089">
        <v>512.70000000000005</v>
      </c>
      <c r="E10" s="1090">
        <v>475.9</v>
      </c>
      <c r="F10" s="1089">
        <v>460.1</v>
      </c>
      <c r="G10" s="1090">
        <v>763.9</v>
      </c>
      <c r="H10" s="1089">
        <v>1583.757816</v>
      </c>
      <c r="I10" s="1090">
        <v>2353.3000000000002</v>
      </c>
      <c r="J10" s="1089">
        <v>2395.5</v>
      </c>
      <c r="K10" s="1091"/>
      <c r="L10" s="1092">
        <v>1.7932265329537067E-2</v>
      </c>
      <c r="M10" s="1093">
        <v>0.29297107565388836</v>
      </c>
      <c r="N10" s="1094"/>
      <c r="O10" s="1089">
        <v>2360.4405969999998</v>
      </c>
      <c r="P10" s="1095">
        <v>2400</v>
      </c>
      <c r="Q10" s="1096">
        <v>2440</v>
      </c>
    </row>
    <row r="11" spans="1:17" ht="14" thickBot="1">
      <c r="A11" s="1494"/>
      <c r="B11" s="1087"/>
      <c r="C11" s="1087"/>
      <c r="D11" s="1097"/>
      <c r="E11" s="1098"/>
      <c r="F11" s="1097"/>
      <c r="G11" s="1098"/>
      <c r="H11" s="1097"/>
      <c r="I11" s="1098"/>
      <c r="J11" s="1097"/>
      <c r="K11" s="1099"/>
      <c r="L11" s="1100"/>
      <c r="M11" s="1101"/>
      <c r="N11" s="1102"/>
      <c r="O11" s="1103"/>
      <c r="P11" s="1104"/>
      <c r="Q11" s="1103"/>
    </row>
    <row r="12" spans="1:17" ht="14" thickBot="1">
      <c r="A12" s="1494"/>
      <c r="B12" s="1105" t="s">
        <v>1115</v>
      </c>
      <c r="C12" s="1087"/>
      <c r="D12" s="1106">
        <v>72.599999999999739</v>
      </c>
      <c r="E12" s="1107">
        <v>80.999999999998636</v>
      </c>
      <c r="F12" s="1106">
        <v>106.80000000000098</v>
      </c>
      <c r="G12" s="1107">
        <v>50.400000000001</v>
      </c>
      <c r="H12" s="1106">
        <v>32.676882000000205</v>
      </c>
      <c r="I12" s="1107">
        <v>42.130000000000337</v>
      </c>
      <c r="J12" s="1106">
        <v>72.150000000000091</v>
      </c>
      <c r="K12" s="1108"/>
      <c r="L12" s="1109">
        <v>0.71255637313077425</v>
      </c>
      <c r="M12" s="1110">
        <v>-1.035736023273115E-3</v>
      </c>
      <c r="N12" s="1111"/>
      <c r="O12" s="1112">
        <v>72.236621860297873</v>
      </c>
      <c r="P12" s="1113">
        <v>72.91355731940439</v>
      </c>
      <c r="Q12" s="1112">
        <v>73.822472977192092</v>
      </c>
    </row>
    <row r="13" spans="1:17" ht="14" thickBot="1">
      <c r="A13" s="1494"/>
      <c r="B13" s="1105"/>
      <c r="C13" s="1088" t="s">
        <v>928</v>
      </c>
      <c r="D13" s="1114">
        <v>20.5</v>
      </c>
      <c r="E13" s="1115">
        <v>18.599999999998545</v>
      </c>
      <c r="F13" s="1114">
        <v>22.800000000001091</v>
      </c>
      <c r="G13" s="1115">
        <v>20.800000000001091</v>
      </c>
      <c r="H13" s="1114">
        <v>19.591000000000349</v>
      </c>
      <c r="I13" s="1115">
        <v>30.430000000000291</v>
      </c>
      <c r="J13" s="1114">
        <v>35.75</v>
      </c>
      <c r="K13" s="1116"/>
      <c r="L13" s="1117">
        <v>0.17482747288858547</v>
      </c>
      <c r="M13" s="1118">
        <v>9.7118902089187609E-2</v>
      </c>
      <c r="N13" s="1119"/>
      <c r="O13" s="1120">
        <v>37.569916870914312</v>
      </c>
      <c r="P13" s="1121">
        <v>39.643501775566619</v>
      </c>
      <c r="Q13" s="1120">
        <v>42.087958458454523</v>
      </c>
    </row>
    <row r="14" spans="1:17" ht="14" thickBot="1">
      <c r="A14" s="1494"/>
      <c r="B14" s="1105"/>
      <c r="C14" s="1088" t="s">
        <v>929</v>
      </c>
      <c r="D14" s="1114">
        <v>134.19999999999999</v>
      </c>
      <c r="E14" s="1115">
        <v>62.400000000000091</v>
      </c>
      <c r="F14" s="1114">
        <v>84.099999999999909</v>
      </c>
      <c r="G14" s="1115">
        <v>29.599999999999909</v>
      </c>
      <c r="H14" s="1114">
        <v>13.043697999999949</v>
      </c>
      <c r="I14" s="1115">
        <v>11.7</v>
      </c>
      <c r="J14" s="1114">
        <v>36.400000000000091</v>
      </c>
      <c r="K14" s="1116"/>
      <c r="L14" s="1117">
        <v>2.1111111111111067</v>
      </c>
      <c r="M14" s="1118">
        <v>-0.19544054184676163</v>
      </c>
      <c r="N14" s="1119"/>
      <c r="O14" s="1120">
        <v>34.666704989383561</v>
      </c>
      <c r="P14" s="1121">
        <v>33.270055543837771</v>
      </c>
      <c r="Q14" s="1120">
        <v>31.734514518737569</v>
      </c>
    </row>
    <row r="15" spans="1:17" ht="14" thickBot="1">
      <c r="A15" s="1494"/>
      <c r="B15" s="1105"/>
      <c r="C15" s="1088" t="s">
        <v>931</v>
      </c>
      <c r="D15" s="1114">
        <v>-82.10000000000008</v>
      </c>
      <c r="E15" s="1115">
        <v>0</v>
      </c>
      <c r="F15" s="1114">
        <v>-0.10000000000002274</v>
      </c>
      <c r="G15" s="1115">
        <v>0</v>
      </c>
      <c r="H15" s="1114">
        <v>4.2183999999906518E-2</v>
      </c>
      <c r="I15" s="1115">
        <v>0</v>
      </c>
      <c r="J15" s="1114">
        <v>0</v>
      </c>
      <c r="K15" s="1116"/>
      <c r="L15" s="1092" t="s">
        <v>1013</v>
      </c>
      <c r="M15" s="1093">
        <v>-1</v>
      </c>
      <c r="N15" s="1094"/>
      <c r="O15" s="1120">
        <v>0</v>
      </c>
      <c r="P15" s="1121">
        <v>0</v>
      </c>
      <c r="Q15" s="1120">
        <v>0</v>
      </c>
    </row>
    <row r="16" spans="1:17" ht="14" thickBot="1">
      <c r="A16" s="1122"/>
      <c r="B16" s="1087"/>
      <c r="C16" s="1087"/>
      <c r="D16" s="1097"/>
      <c r="E16" s="1098"/>
      <c r="F16" s="1097"/>
      <c r="G16" s="1098"/>
      <c r="H16" s="1097"/>
      <c r="I16" s="1098"/>
      <c r="J16" s="1097"/>
      <c r="K16" s="1099"/>
      <c r="L16" s="1100"/>
      <c r="M16" s="1101"/>
      <c r="N16" s="1102"/>
      <c r="O16" s="1103"/>
      <c r="P16" s="1104"/>
      <c r="Q16" s="1103"/>
    </row>
    <row r="17" spans="1:17" ht="14" thickBot="1">
      <c r="A17" s="1122"/>
      <c r="B17" s="1105" t="s">
        <v>1116</v>
      </c>
      <c r="C17" s="1087"/>
      <c r="D17" s="1106">
        <v>15175.4</v>
      </c>
      <c r="E17" s="1107">
        <v>15205.7</v>
      </c>
      <c r="F17" s="1106">
        <v>15793.3</v>
      </c>
      <c r="G17" s="1107">
        <v>16032</v>
      </c>
      <c r="H17" s="1106">
        <v>17005.8</v>
      </c>
      <c r="I17" s="1107">
        <v>17958.400000000001</v>
      </c>
      <c r="J17" s="1106">
        <v>18482.7</v>
      </c>
      <c r="K17" s="1108"/>
      <c r="L17" s="1109">
        <v>2.9195251247327025E-2</v>
      </c>
      <c r="M17" s="1110">
        <v>3.3405759924192147E-2</v>
      </c>
      <c r="N17" s="1111"/>
      <c r="O17" s="1112">
        <v>19122.8698488603</v>
      </c>
      <c r="P17" s="1113">
        <v>19954.947418449407</v>
      </c>
      <c r="Q17" s="1112">
        <v>20933.65620149719</v>
      </c>
    </row>
    <row r="18" spans="1:17" ht="14" thickBot="1">
      <c r="A18" s="1122"/>
      <c r="B18" s="1087"/>
      <c r="C18" s="1088" t="s">
        <v>928</v>
      </c>
      <c r="D18" s="1089">
        <v>10801</v>
      </c>
      <c r="E18" s="1090">
        <v>11379.1</v>
      </c>
      <c r="F18" s="1089">
        <v>11949.7</v>
      </c>
      <c r="G18" s="1090">
        <v>12451.4</v>
      </c>
      <c r="H18" s="1089">
        <v>13209.9</v>
      </c>
      <c r="I18" s="1090">
        <v>14016.7</v>
      </c>
      <c r="J18" s="1089">
        <v>14628.5</v>
      </c>
      <c r="K18" s="1091"/>
      <c r="L18" s="1092">
        <v>4.3647934249859022E-2</v>
      </c>
      <c r="M18" s="1093">
        <v>5.1855232388584804E-2</v>
      </c>
      <c r="N18" s="1094"/>
      <c r="O18" s="1096">
        <v>15373.189620870915</v>
      </c>
      <c r="P18" s="1095">
        <v>16221.677362905566</v>
      </c>
      <c r="Q18" s="1096">
        <v>17221.921686978454</v>
      </c>
    </row>
    <row r="19" spans="1:17" ht="14" thickBot="1">
      <c r="A19" s="1122"/>
      <c r="B19" s="1087"/>
      <c r="C19" s="1088" t="s">
        <v>929</v>
      </c>
      <c r="D19" s="1089">
        <v>3943.8</v>
      </c>
      <c r="E19" s="1090">
        <v>3350.7</v>
      </c>
      <c r="F19" s="1089">
        <v>3383.6</v>
      </c>
      <c r="G19" s="1090">
        <v>2816.7</v>
      </c>
      <c r="H19" s="1089">
        <v>2212.1</v>
      </c>
      <c r="I19" s="1090">
        <v>1588.4</v>
      </c>
      <c r="J19" s="1089">
        <v>1458.7</v>
      </c>
      <c r="K19" s="1091"/>
      <c r="L19" s="1092">
        <v>-8.1654495089398149E-2</v>
      </c>
      <c r="M19" s="1093">
        <v>-0.15275597117604633</v>
      </c>
      <c r="N19" s="1094"/>
      <c r="O19" s="1096">
        <v>1389.2396309893836</v>
      </c>
      <c r="P19" s="1095">
        <v>1333.2700555438378</v>
      </c>
      <c r="Q19" s="1096">
        <v>1271.7345145187376</v>
      </c>
    </row>
    <row r="20" spans="1:17" ht="14" thickBot="1">
      <c r="A20" s="1122"/>
      <c r="B20" s="1087"/>
      <c r="C20" s="1088" t="s">
        <v>930</v>
      </c>
      <c r="D20" s="1089">
        <v>430.6</v>
      </c>
      <c r="E20" s="1090">
        <v>475.9</v>
      </c>
      <c r="F20" s="1089">
        <v>460</v>
      </c>
      <c r="G20" s="1090">
        <v>763.9</v>
      </c>
      <c r="H20" s="1089">
        <v>1583.8</v>
      </c>
      <c r="I20" s="1090">
        <v>2353.3000000000002</v>
      </c>
      <c r="J20" s="1089">
        <v>2395.5</v>
      </c>
      <c r="K20" s="1091"/>
      <c r="L20" s="1092">
        <v>1.7932265329537067E-2</v>
      </c>
      <c r="M20" s="1093">
        <v>0.33112965345972389</v>
      </c>
      <c r="N20" s="1094"/>
      <c r="O20" s="1096">
        <v>2360.4405969999998</v>
      </c>
      <c r="P20" s="1095">
        <v>2400</v>
      </c>
      <c r="Q20" s="1096">
        <v>2440</v>
      </c>
    </row>
    <row r="21" spans="1:17" ht="14" thickBot="1">
      <c r="A21" s="1122"/>
      <c r="B21" s="1087"/>
      <c r="C21" s="1087"/>
      <c r="D21" s="1097"/>
      <c r="E21" s="1098"/>
      <c r="F21" s="1097"/>
      <c r="G21" s="1098"/>
      <c r="H21" s="1097"/>
      <c r="I21" s="1098"/>
      <c r="J21" s="1097"/>
      <c r="K21" s="1099"/>
      <c r="L21" s="1100"/>
      <c r="M21" s="1101"/>
      <c r="N21" s="1102"/>
      <c r="O21" s="1103"/>
      <c r="P21" s="1104"/>
      <c r="Q21" s="1103"/>
    </row>
    <row r="22" spans="1:17" ht="14" thickBot="1">
      <c r="A22" s="1122"/>
      <c r="B22" s="1105" t="s">
        <v>932</v>
      </c>
      <c r="C22" s="1087"/>
      <c r="D22" s="1106">
        <v>1460.8</v>
      </c>
      <c r="E22" s="1107">
        <v>1518</v>
      </c>
      <c r="F22" s="1106">
        <v>1595.6</v>
      </c>
      <c r="G22" s="1107">
        <v>1582.1</v>
      </c>
      <c r="H22" s="1106">
        <v>1600</v>
      </c>
      <c r="I22" s="1107">
        <v>1628.2</v>
      </c>
      <c r="J22" s="1106">
        <v>1616.1</v>
      </c>
      <c r="K22" s="1108"/>
      <c r="L22" s="1109">
        <v>-7.4315194693527209E-3</v>
      </c>
      <c r="M22" s="1110">
        <v>1.6981169760880377E-2</v>
      </c>
      <c r="N22" s="1111"/>
      <c r="O22" s="1112">
        <v>1639.1654245201439</v>
      </c>
      <c r="P22" s="1113">
        <v>1685.8298650799884</v>
      </c>
      <c r="Q22" s="1112">
        <v>1740.3733594911669</v>
      </c>
    </row>
    <row r="23" spans="1:17" ht="14" thickBot="1">
      <c r="A23" s="1122"/>
      <c r="B23" s="1105"/>
      <c r="C23" s="1088" t="s">
        <v>928</v>
      </c>
      <c r="D23" s="1114">
        <v>938.7</v>
      </c>
      <c r="E23" s="1115">
        <v>881.2</v>
      </c>
      <c r="F23" s="1114">
        <v>849</v>
      </c>
      <c r="G23" s="1115">
        <v>830.8</v>
      </c>
      <c r="H23" s="1114">
        <v>849.2</v>
      </c>
      <c r="I23" s="1115">
        <v>870</v>
      </c>
      <c r="J23" s="1114">
        <v>854.8</v>
      </c>
      <c r="K23" s="1116"/>
      <c r="L23" s="1117">
        <v>-1.7471264367815986E-2</v>
      </c>
      <c r="M23" s="1118">
        <v>-1.5483612939914626E-2</v>
      </c>
      <c r="N23" s="1119"/>
      <c r="O23" s="1120">
        <v>898.31510325190254</v>
      </c>
      <c r="P23" s="1121">
        <v>947.89553336375423</v>
      </c>
      <c r="Q23" s="1120">
        <v>1006.3436892387588</v>
      </c>
    </row>
    <row r="24" spans="1:17" ht="14" thickBot="1">
      <c r="A24" s="1122"/>
      <c r="B24" s="1105"/>
      <c r="C24" s="1088" t="s">
        <v>929</v>
      </c>
      <c r="D24" s="1114">
        <v>431.4</v>
      </c>
      <c r="E24" s="1115">
        <v>541.6</v>
      </c>
      <c r="F24" s="1114">
        <v>654.6</v>
      </c>
      <c r="G24" s="1115">
        <v>598.5</v>
      </c>
      <c r="H24" s="1114">
        <v>434</v>
      </c>
      <c r="I24" s="1115">
        <v>287.5</v>
      </c>
      <c r="J24" s="1114">
        <v>282.2</v>
      </c>
      <c r="K24" s="1116"/>
      <c r="L24" s="1117">
        <v>-1.8434782608695688E-2</v>
      </c>
      <c r="M24" s="1118">
        <v>-6.8292743175008996E-2</v>
      </c>
      <c r="N24" s="1119"/>
      <c r="O24" s="1120">
        <v>268.76220186824162</v>
      </c>
      <c r="P24" s="1121">
        <v>257.93433171623428</v>
      </c>
      <c r="Q24" s="1120">
        <v>246.02967025240807</v>
      </c>
    </row>
    <row r="25" spans="1:17" ht="14" thickBot="1">
      <c r="A25" s="1122"/>
      <c r="B25" s="1105"/>
      <c r="C25" s="1088" t="s">
        <v>1117</v>
      </c>
      <c r="D25" s="1114">
        <v>90.7</v>
      </c>
      <c r="E25" s="1115">
        <v>95.2</v>
      </c>
      <c r="F25" s="1114">
        <v>92</v>
      </c>
      <c r="G25" s="1115">
        <v>152.80000000000001</v>
      </c>
      <c r="H25" s="1114">
        <v>316.8</v>
      </c>
      <c r="I25" s="1115">
        <v>470.7</v>
      </c>
      <c r="J25" s="1114">
        <v>479.1</v>
      </c>
      <c r="K25" s="1116"/>
      <c r="L25" s="1117">
        <v>1.7845761631612556E-2</v>
      </c>
      <c r="M25" s="1118">
        <v>0.3196835827094946</v>
      </c>
      <c r="N25" s="1119"/>
      <c r="O25" s="1120">
        <v>472.08811939999998</v>
      </c>
      <c r="P25" s="1121">
        <v>480</v>
      </c>
      <c r="Q25" s="1120">
        <v>488</v>
      </c>
    </row>
    <row r="26" spans="1:17" ht="14" thickBot="1">
      <c r="A26" s="1122"/>
      <c r="B26" s="1087"/>
      <c r="C26" s="1087"/>
      <c r="D26" s="1123"/>
      <c r="E26" s="1105"/>
      <c r="F26" s="1123"/>
      <c r="G26" s="1105"/>
      <c r="H26" s="1123"/>
      <c r="I26" s="1105"/>
      <c r="J26" s="1123"/>
      <c r="K26" s="1124"/>
      <c r="L26" s="1100"/>
      <c r="M26" s="1101"/>
      <c r="N26" s="1102"/>
      <c r="O26" s="1103"/>
      <c r="P26" s="1104"/>
      <c r="Q26" s="1103"/>
    </row>
    <row r="27" spans="1:17" ht="14" thickBot="1">
      <c r="A27" s="1122"/>
      <c r="B27" s="1125" t="s">
        <v>933</v>
      </c>
      <c r="C27" s="1105"/>
      <c r="D27" s="1106">
        <v>16636.2</v>
      </c>
      <c r="E27" s="1107">
        <v>16723.7</v>
      </c>
      <c r="F27" s="1106">
        <v>17388.900000000001</v>
      </c>
      <c r="G27" s="1107">
        <v>17614.099999999999</v>
      </c>
      <c r="H27" s="1106">
        <v>18605.8</v>
      </c>
      <c r="I27" s="1107">
        <v>19586.599999999999</v>
      </c>
      <c r="J27" s="1106">
        <v>20098.8</v>
      </c>
      <c r="K27" s="1108"/>
      <c r="L27" s="1109">
        <v>2.6150531485811479E-2</v>
      </c>
      <c r="M27" s="1110">
        <v>3.2014975375505905E-2</v>
      </c>
      <c r="N27" s="1111"/>
      <c r="O27" s="1112">
        <v>20762.035273380443</v>
      </c>
      <c r="P27" s="1113">
        <v>21640.777283529394</v>
      </c>
      <c r="Q27" s="1112">
        <v>22674.029560988358</v>
      </c>
    </row>
    <row r="28" spans="1:17" ht="14" thickBot="1">
      <c r="A28" s="1122"/>
      <c r="B28" s="1087"/>
      <c r="C28" s="1088" t="s">
        <v>928</v>
      </c>
      <c r="D28" s="1089">
        <v>11739.7</v>
      </c>
      <c r="E28" s="1090">
        <v>12260.3</v>
      </c>
      <c r="F28" s="1089">
        <v>12798.7</v>
      </c>
      <c r="G28" s="1090">
        <v>13282.2</v>
      </c>
      <c r="H28" s="1089">
        <v>14059.1</v>
      </c>
      <c r="I28" s="1090">
        <v>14886.7</v>
      </c>
      <c r="J28" s="1089">
        <v>15483.3</v>
      </c>
      <c r="K28" s="1091"/>
      <c r="L28" s="1092">
        <v>4.0076041029912579E-2</v>
      </c>
      <c r="M28" s="1093">
        <v>4.721154538165151E-2</v>
      </c>
      <c r="N28" s="1094"/>
      <c r="O28" s="1096">
        <v>16271.504724122817</v>
      </c>
      <c r="P28" s="1095">
        <v>17169.572896269321</v>
      </c>
      <c r="Q28" s="1096">
        <v>18228.265376217212</v>
      </c>
    </row>
    <row r="29" spans="1:17" ht="14" thickBot="1">
      <c r="A29" s="1122"/>
      <c r="B29" s="1087"/>
      <c r="C29" s="1088" t="s">
        <v>929</v>
      </c>
      <c r="D29" s="1089">
        <v>4375.2</v>
      </c>
      <c r="E29" s="1090">
        <v>3892.3</v>
      </c>
      <c r="F29" s="1089">
        <v>4038.2</v>
      </c>
      <c r="G29" s="1090">
        <v>3415.2</v>
      </c>
      <c r="H29" s="1089">
        <v>2646.1</v>
      </c>
      <c r="I29" s="1090">
        <v>1875.9</v>
      </c>
      <c r="J29" s="1089">
        <v>1740.9</v>
      </c>
      <c r="K29" s="1091"/>
      <c r="L29" s="1092">
        <v>-7.1965456580841192E-2</v>
      </c>
      <c r="M29" s="1093">
        <v>-0.14237785650704138</v>
      </c>
      <c r="N29" s="1094"/>
      <c r="O29" s="1096">
        <v>1658.0018328576252</v>
      </c>
      <c r="P29" s="1095">
        <v>1591.2043872600721</v>
      </c>
      <c r="Q29" s="1096">
        <v>1517.7641847711457</v>
      </c>
    </row>
    <row r="30" spans="1:17" ht="14" thickBot="1">
      <c r="A30" s="1122"/>
      <c r="B30" s="1087"/>
      <c r="C30" s="1088" t="s">
        <v>930</v>
      </c>
      <c r="D30" s="1089">
        <v>521.29999999999995</v>
      </c>
      <c r="E30" s="1090">
        <v>571.1</v>
      </c>
      <c r="F30" s="1089">
        <v>552</v>
      </c>
      <c r="G30" s="1090">
        <v>916.7</v>
      </c>
      <c r="H30" s="1089">
        <v>1900.6</v>
      </c>
      <c r="I30" s="1090">
        <v>2824</v>
      </c>
      <c r="J30" s="1089">
        <v>2874.6</v>
      </c>
      <c r="K30" s="1091"/>
      <c r="L30" s="1092">
        <v>1.7917847025495703E-2</v>
      </c>
      <c r="M30" s="1093">
        <v>0.32917332241584374</v>
      </c>
      <c r="N30" s="1094"/>
      <c r="O30" s="1096">
        <v>2832.5287163999997</v>
      </c>
      <c r="P30" s="1095">
        <v>2880</v>
      </c>
      <c r="Q30" s="1096">
        <v>2928</v>
      </c>
    </row>
    <row r="31" spans="1:17" ht="14" thickBot="1">
      <c r="A31" s="1122"/>
      <c r="B31" s="1087"/>
      <c r="C31" s="1088"/>
      <c r="D31" s="1126"/>
      <c r="E31" s="1127"/>
      <c r="F31" s="1126"/>
      <c r="G31" s="1127"/>
      <c r="H31" s="1126"/>
      <c r="I31" s="1127"/>
      <c r="J31" s="1126"/>
      <c r="K31" s="1128"/>
      <c r="L31" s="1129"/>
      <c r="M31" s="1130"/>
      <c r="N31" s="1131"/>
      <c r="O31" s="1132"/>
      <c r="P31" s="1133"/>
      <c r="Q31" s="1132"/>
    </row>
    <row r="32" spans="1:17" ht="14" thickBot="1">
      <c r="A32" s="1122"/>
      <c r="B32" s="1105" t="s">
        <v>934</v>
      </c>
      <c r="C32" s="1087"/>
      <c r="D32" s="1106">
        <v>1770.8</v>
      </c>
      <c r="E32" s="1107">
        <v>1884.4</v>
      </c>
      <c r="F32" s="1106">
        <v>2155</v>
      </c>
      <c r="G32" s="1107">
        <v>2249.6</v>
      </c>
      <c r="H32" s="1106">
        <v>2343.1</v>
      </c>
      <c r="I32" s="1107">
        <v>2428.2489999999998</v>
      </c>
      <c r="J32" s="1106">
        <v>2541</v>
      </c>
      <c r="K32" s="1108"/>
      <c r="L32" s="1109">
        <v>4.6433047022772511E-2</v>
      </c>
      <c r="M32" s="1110">
        <v>6.2035886567550769E-2</v>
      </c>
      <c r="N32" s="1111"/>
      <c r="O32" s="1106">
        <v>2627.54512613</v>
      </c>
      <c r="P32" s="1113">
        <v>2938.5132207125735</v>
      </c>
      <c r="Q32" s="1112">
        <v>3217.2303627795313</v>
      </c>
    </row>
    <row r="33" spans="1:17" ht="14" thickBot="1">
      <c r="A33" s="1122"/>
      <c r="B33" s="1087"/>
      <c r="C33" s="1088" t="s">
        <v>928</v>
      </c>
      <c r="D33" s="1089">
        <v>1678.5</v>
      </c>
      <c r="E33" s="1090">
        <v>1778</v>
      </c>
      <c r="F33" s="1089">
        <v>2097.1999999999998</v>
      </c>
      <c r="G33" s="1090">
        <v>2189.9</v>
      </c>
      <c r="H33" s="1089">
        <v>2288</v>
      </c>
      <c r="I33" s="1090">
        <v>2400.1889999999999</v>
      </c>
      <c r="J33" s="1089">
        <v>2502.83</v>
      </c>
      <c r="K33" s="1091"/>
      <c r="L33" s="1092">
        <v>4.2763715690722792E-2</v>
      </c>
      <c r="M33" s="1093">
        <v>6.8853870909348913E-2</v>
      </c>
      <c r="N33" s="1094"/>
      <c r="O33" s="1089">
        <v>2588.499652</v>
      </c>
      <c r="P33" s="1095">
        <v>2901.0408075299997</v>
      </c>
      <c r="Q33" s="1096">
        <v>3181.4874455899994</v>
      </c>
    </row>
    <row r="34" spans="1:17" ht="14" thickBot="1">
      <c r="A34" s="1122"/>
      <c r="B34" s="1087"/>
      <c r="C34" s="1088" t="s">
        <v>929</v>
      </c>
      <c r="D34" s="1089">
        <v>92.3</v>
      </c>
      <c r="E34" s="1090">
        <v>106.4</v>
      </c>
      <c r="F34" s="1089">
        <v>57.8</v>
      </c>
      <c r="G34" s="1090">
        <v>59.7</v>
      </c>
      <c r="H34" s="1089">
        <v>55.1</v>
      </c>
      <c r="I34" s="1090">
        <v>28.06</v>
      </c>
      <c r="J34" s="1089">
        <v>38.17</v>
      </c>
      <c r="K34" s="1091"/>
      <c r="L34" s="1092">
        <v>0.36029935851746275</v>
      </c>
      <c r="M34" s="1093">
        <v>-0.13684906929854379</v>
      </c>
      <c r="N34" s="1094"/>
      <c r="O34" s="1089">
        <v>39.045474130000002</v>
      </c>
      <c r="P34" s="1095">
        <v>37.472413182573824</v>
      </c>
      <c r="Q34" s="1096">
        <v>35.742917189531958</v>
      </c>
    </row>
    <row r="35" spans="1:17" ht="14" thickBot="1">
      <c r="A35" s="1122"/>
      <c r="B35" s="1087"/>
      <c r="C35" s="1088" t="s">
        <v>930</v>
      </c>
      <c r="D35" s="1089">
        <v>0</v>
      </c>
      <c r="E35" s="1090">
        <v>0</v>
      </c>
      <c r="F35" s="1089">
        <v>0</v>
      </c>
      <c r="G35" s="1090">
        <v>0</v>
      </c>
      <c r="H35" s="1089">
        <v>0</v>
      </c>
      <c r="I35" s="1090">
        <v>0</v>
      </c>
      <c r="J35" s="1089">
        <v>0</v>
      </c>
      <c r="K35" s="1091"/>
      <c r="L35" s="1092" t="s">
        <v>1013</v>
      </c>
      <c r="M35" s="1093" t="s">
        <v>1013</v>
      </c>
      <c r="N35" s="1094"/>
      <c r="O35" s="1089">
        <v>0</v>
      </c>
      <c r="P35" s="1095">
        <v>0</v>
      </c>
      <c r="Q35" s="1096">
        <v>0</v>
      </c>
    </row>
    <row r="36" spans="1:17" ht="14" thickBot="1">
      <c r="A36" s="1122"/>
      <c r="B36" s="1087"/>
      <c r="C36" s="1088"/>
      <c r="D36" s="1126"/>
      <c r="E36" s="1127"/>
      <c r="F36" s="1126"/>
      <c r="G36" s="1127"/>
      <c r="H36" s="1126"/>
      <c r="I36" s="1127"/>
      <c r="J36" s="1126"/>
      <c r="K36" s="1128"/>
      <c r="L36" s="1129"/>
      <c r="M36" s="1130"/>
      <c r="N36" s="1131"/>
      <c r="O36" s="1132"/>
      <c r="P36" s="1133"/>
      <c r="Q36" s="1132"/>
    </row>
    <row r="37" spans="1:17" ht="14" thickBot="1">
      <c r="A37" s="1122"/>
      <c r="B37" s="1125" t="s">
        <v>935</v>
      </c>
      <c r="C37" s="1087"/>
      <c r="D37" s="1134">
        <v>18407</v>
      </c>
      <c r="E37" s="1135">
        <v>18608.099999999999</v>
      </c>
      <c r="F37" s="1134">
        <v>19543.900000000001</v>
      </c>
      <c r="G37" s="1135">
        <v>19863.7</v>
      </c>
      <c r="H37" s="1134">
        <v>20948.900000000001</v>
      </c>
      <c r="I37" s="1135">
        <v>22014.849000000002</v>
      </c>
      <c r="J37" s="1134">
        <v>22639.8</v>
      </c>
      <c r="K37" s="1136"/>
      <c r="L37" s="1137">
        <v>2.8387703227035432E-2</v>
      </c>
      <c r="M37" s="1138">
        <v>3.5098300691131401E-2</v>
      </c>
      <c r="N37" s="1139"/>
      <c r="O37" s="1140">
        <v>23389.580399510443</v>
      </c>
      <c r="P37" s="1141">
        <v>24579.290504241966</v>
      </c>
      <c r="Q37" s="1140">
        <v>25017.129560988356</v>
      </c>
    </row>
    <row r="38" spans="1:17" ht="14" thickBot="1">
      <c r="A38" s="1122"/>
      <c r="B38" s="1087"/>
      <c r="C38" s="1088" t="s">
        <v>928</v>
      </c>
      <c r="D38" s="1142">
        <v>13418.2</v>
      </c>
      <c r="E38" s="1143">
        <v>14038.3</v>
      </c>
      <c r="F38" s="1142">
        <v>14895.9</v>
      </c>
      <c r="G38" s="1143">
        <v>15472.1</v>
      </c>
      <c r="H38" s="1142">
        <v>16347.1</v>
      </c>
      <c r="I38" s="1143">
        <v>17286.888999999999</v>
      </c>
      <c r="J38" s="1142">
        <v>17986.13</v>
      </c>
      <c r="K38" s="1144"/>
      <c r="L38" s="1145">
        <v>4.0449209802874142E-2</v>
      </c>
      <c r="M38" s="1146">
        <v>5.00433879311597E-2</v>
      </c>
      <c r="N38" s="1147"/>
      <c r="O38" s="1148">
        <v>18860.004376122815</v>
      </c>
      <c r="P38" s="1149">
        <v>20070.613703799321</v>
      </c>
      <c r="Q38" s="1148">
        <v>21409.752821807211</v>
      </c>
    </row>
    <row r="39" spans="1:17" ht="14" thickBot="1">
      <c r="A39" s="1122"/>
      <c r="B39" s="1087"/>
      <c r="C39" s="1088" t="s">
        <v>929</v>
      </c>
      <c r="D39" s="1142">
        <v>4467.5</v>
      </c>
      <c r="E39" s="1143">
        <v>3998.7</v>
      </c>
      <c r="F39" s="1142">
        <v>4096</v>
      </c>
      <c r="G39" s="1143">
        <v>3474.9</v>
      </c>
      <c r="H39" s="1142">
        <v>2701.2</v>
      </c>
      <c r="I39" s="1143">
        <v>1903.96</v>
      </c>
      <c r="J39" s="1142">
        <v>1779.07</v>
      </c>
      <c r="K39" s="1144"/>
      <c r="L39" s="1145">
        <v>-6.559486543834947E-2</v>
      </c>
      <c r="M39" s="1146">
        <v>-0.14226181238449009</v>
      </c>
      <c r="N39" s="1147"/>
      <c r="O39" s="1148">
        <v>1697.0473069876252</v>
      </c>
      <c r="P39" s="1149">
        <v>1628.6768004426458</v>
      </c>
      <c r="Q39" s="1148">
        <v>1553.5071019606776</v>
      </c>
    </row>
    <row r="40" spans="1:17">
      <c r="A40" s="1122"/>
      <c r="B40" s="1150"/>
      <c r="C40" s="1151" t="s">
        <v>930</v>
      </c>
      <c r="D40" s="1152">
        <v>521.29999999999995</v>
      </c>
      <c r="E40" s="1153">
        <v>571.1</v>
      </c>
      <c r="F40" s="1152">
        <v>552</v>
      </c>
      <c r="G40" s="1153">
        <v>916.7</v>
      </c>
      <c r="H40" s="1152">
        <v>1900.6</v>
      </c>
      <c r="I40" s="1153">
        <v>2824</v>
      </c>
      <c r="J40" s="1152">
        <v>2874.6</v>
      </c>
      <c r="K40" s="1154"/>
      <c r="L40" s="1155">
        <v>1.7917847025495703E-2</v>
      </c>
      <c r="M40" s="1156">
        <v>0.32917332241584374</v>
      </c>
      <c r="N40" s="1157"/>
      <c r="O40" s="1158">
        <v>2832.5287163999997</v>
      </c>
      <c r="P40" s="1159">
        <v>2880</v>
      </c>
      <c r="Q40" s="1158">
        <v>2928</v>
      </c>
    </row>
    <row r="41" spans="1:17">
      <c r="B41" s="1160"/>
      <c r="C41" s="1161"/>
      <c r="D41" s="1162"/>
      <c r="E41" s="1162"/>
      <c r="F41" s="1162"/>
      <c r="G41" s="1162"/>
      <c r="H41" s="1162"/>
      <c r="I41" s="1163"/>
      <c r="J41" s="1163"/>
      <c r="K41" s="1163"/>
      <c r="L41" s="1164"/>
      <c r="M41" s="1165"/>
      <c r="N41" s="1164"/>
      <c r="O41" s="1166"/>
      <c r="P41" s="1166"/>
      <c r="Q41" s="1166"/>
    </row>
    <row r="42" spans="1:17">
      <c r="B42" s="1167"/>
      <c r="C42" s="1168"/>
      <c r="D42" s="1169"/>
      <c r="E42" s="1169"/>
      <c r="F42" s="1169"/>
      <c r="G42" s="1169"/>
      <c r="H42" s="1169"/>
      <c r="I42" s="1170"/>
      <c r="J42" s="1170"/>
      <c r="K42" s="1170"/>
      <c r="L42" s="1171"/>
      <c r="M42" s="1172"/>
      <c r="N42" s="1171"/>
      <c r="O42" s="1173"/>
      <c r="P42" s="1173"/>
      <c r="Q42" s="1173"/>
    </row>
    <row r="43" spans="1:17" ht="13.5" customHeight="1" thickBot="1">
      <c r="A43" s="1495" t="s">
        <v>1545</v>
      </c>
      <c r="B43" s="1174" t="s">
        <v>936</v>
      </c>
      <c r="C43" s="1077"/>
      <c r="D43" s="1079">
        <v>16013.1</v>
      </c>
      <c r="E43" s="1080">
        <v>16937.3</v>
      </c>
      <c r="F43" s="1079">
        <v>17695.3</v>
      </c>
      <c r="G43" s="1080">
        <v>17814.400000000001</v>
      </c>
      <c r="H43" s="1079">
        <v>18506.971013000002</v>
      </c>
      <c r="I43" s="1080">
        <v>19132.22</v>
      </c>
      <c r="J43" s="1079">
        <v>20686.96</v>
      </c>
      <c r="K43" s="1081"/>
      <c r="L43" s="1082">
        <v>8.1262916692365073E-2</v>
      </c>
      <c r="M43" s="1083">
        <v>4.3606742921078467E-2</v>
      </c>
      <c r="N43" s="1084"/>
      <c r="O43" s="1079">
        <v>22048.513701</v>
      </c>
      <c r="P43" s="1085">
        <v>23267.78433749</v>
      </c>
      <c r="Q43" s="1086">
        <v>24060.23406531</v>
      </c>
    </row>
    <row r="44" spans="1:17" ht="14" thickBot="1">
      <c r="A44" s="1496"/>
      <c r="B44" s="1087"/>
      <c r="C44" s="1088" t="s">
        <v>928</v>
      </c>
      <c r="D44" s="1089">
        <v>11035.2</v>
      </c>
      <c r="E44" s="1090">
        <v>11924.8</v>
      </c>
      <c r="F44" s="1089">
        <v>12604.2</v>
      </c>
      <c r="G44" s="1090">
        <v>12949.5</v>
      </c>
      <c r="H44" s="1089">
        <v>13346.689</v>
      </c>
      <c r="I44" s="1090">
        <v>13954.72</v>
      </c>
      <c r="J44" s="1089">
        <v>15296.16</v>
      </c>
      <c r="K44" s="1091"/>
      <c r="L44" s="1092">
        <v>9.6128048430925261E-2</v>
      </c>
      <c r="M44" s="1093">
        <v>5.5926529790598201E-2</v>
      </c>
      <c r="N44" s="1094"/>
      <c r="O44" s="1089">
        <v>16759.707467</v>
      </c>
      <c r="P44" s="1095">
        <v>17937.78433749</v>
      </c>
      <c r="Q44" s="1096">
        <v>18670.23406531</v>
      </c>
    </row>
    <row r="45" spans="1:17" ht="14" thickBot="1">
      <c r="A45" s="1496"/>
      <c r="B45" s="1087"/>
      <c r="C45" s="1088" t="s">
        <v>929</v>
      </c>
      <c r="D45" s="1089">
        <v>4337.5</v>
      </c>
      <c r="E45" s="1090">
        <v>4410.6000000000004</v>
      </c>
      <c r="F45" s="1089">
        <v>4453.3</v>
      </c>
      <c r="G45" s="1090">
        <v>3766.7</v>
      </c>
      <c r="H45" s="1089">
        <v>2917.3519609999998</v>
      </c>
      <c r="I45" s="1090">
        <v>1987</v>
      </c>
      <c r="J45" s="1089">
        <v>1958.4</v>
      </c>
      <c r="K45" s="1091"/>
      <c r="L45" s="1092">
        <v>-1.439355812783083E-2</v>
      </c>
      <c r="M45" s="1093">
        <v>-0.12412193124809556</v>
      </c>
      <c r="N45" s="1094"/>
      <c r="O45" s="1089">
        <v>1882.6076640000001</v>
      </c>
      <c r="P45" s="1095">
        <v>1850</v>
      </c>
      <c r="Q45" s="1096">
        <v>1800</v>
      </c>
    </row>
    <row r="46" spans="1:17" ht="14" thickBot="1">
      <c r="A46" s="1496"/>
      <c r="B46" s="1087"/>
      <c r="C46" s="1088" t="s">
        <v>930</v>
      </c>
      <c r="D46" s="1089">
        <v>640.4</v>
      </c>
      <c r="E46" s="1090">
        <v>601.9</v>
      </c>
      <c r="F46" s="1089">
        <v>637.79999999999995</v>
      </c>
      <c r="G46" s="1090">
        <v>1098.2</v>
      </c>
      <c r="H46" s="1089">
        <v>2242.9300519999997</v>
      </c>
      <c r="I46" s="1090">
        <v>3190.5</v>
      </c>
      <c r="J46" s="1089">
        <v>3432.4</v>
      </c>
      <c r="K46" s="1091"/>
      <c r="L46" s="1092">
        <v>7.5818837172856979E-2</v>
      </c>
      <c r="M46" s="1093">
        <v>0.32289211639788129</v>
      </c>
      <c r="N46" s="1094"/>
      <c r="O46" s="1089">
        <v>3406.1985699999996</v>
      </c>
      <c r="P46" s="1095">
        <v>3480</v>
      </c>
      <c r="Q46" s="1096">
        <v>3590</v>
      </c>
    </row>
    <row r="47" spans="1:17" ht="14" thickBot="1">
      <c r="A47" s="1496"/>
      <c r="B47" s="1087"/>
      <c r="C47" s="1088"/>
      <c r="D47" s="1089"/>
      <c r="E47" s="1090"/>
      <c r="F47" s="1089"/>
      <c r="G47" s="1090"/>
      <c r="H47" s="1089"/>
      <c r="I47" s="1090"/>
      <c r="J47" s="1089"/>
      <c r="K47" s="1091"/>
      <c r="L47" s="1092"/>
      <c r="M47" s="1093"/>
      <c r="N47" s="1094"/>
      <c r="O47" s="1175"/>
      <c r="P47" s="1095"/>
      <c r="Q47" s="1096"/>
    </row>
    <row r="48" spans="1:17" ht="14" thickBot="1">
      <c r="A48" s="1496"/>
      <c r="B48" s="1125" t="s">
        <v>934</v>
      </c>
      <c r="C48" s="1087"/>
      <c r="D48" s="1106">
        <v>1770.8</v>
      </c>
      <c r="E48" s="1107">
        <v>1884.4</v>
      </c>
      <c r="F48" s="1106">
        <v>2155</v>
      </c>
      <c r="G48" s="1107">
        <v>2249.6</v>
      </c>
      <c r="H48" s="1106">
        <v>2343.1</v>
      </c>
      <c r="I48" s="1107">
        <v>2428.2489999999998</v>
      </c>
      <c r="J48" s="1106">
        <v>2541</v>
      </c>
      <c r="K48" s="1108"/>
      <c r="L48" s="1109">
        <v>4.6433047022772511E-2</v>
      </c>
      <c r="M48" s="1110">
        <v>6.2035886567550769E-2</v>
      </c>
      <c r="N48" s="1111"/>
      <c r="O48" s="1106">
        <v>2627.54512613</v>
      </c>
      <c r="P48" s="1113">
        <v>2938.5132207125735</v>
      </c>
      <c r="Q48" s="1112">
        <v>2343.1</v>
      </c>
    </row>
    <row r="49" spans="1:17" ht="14" thickBot="1">
      <c r="A49" s="1496"/>
      <c r="B49" s="1087"/>
      <c r="C49" s="1088" t="s">
        <v>928</v>
      </c>
      <c r="D49" s="1089">
        <v>1678.5</v>
      </c>
      <c r="E49" s="1090">
        <v>1778</v>
      </c>
      <c r="F49" s="1089">
        <v>2097.1999999999998</v>
      </c>
      <c r="G49" s="1090">
        <v>2189.9</v>
      </c>
      <c r="H49" s="1089">
        <v>2288</v>
      </c>
      <c r="I49" s="1090">
        <v>2400.1889999999999</v>
      </c>
      <c r="J49" s="1089">
        <v>2502.83</v>
      </c>
      <c r="K49" s="1091"/>
      <c r="L49" s="1092">
        <v>4.2763715690722792E-2</v>
      </c>
      <c r="M49" s="1093">
        <v>6.8853870909348913E-2</v>
      </c>
      <c r="N49" s="1094"/>
      <c r="O49" s="1089">
        <v>2588.499652</v>
      </c>
      <c r="P49" s="1095">
        <v>2901.0408075299997</v>
      </c>
      <c r="Q49" s="1096">
        <v>3181.4874455899994</v>
      </c>
    </row>
    <row r="50" spans="1:17" ht="14" thickBot="1">
      <c r="A50" s="1496"/>
      <c r="B50" s="1087"/>
      <c r="C50" s="1088" t="s">
        <v>929</v>
      </c>
      <c r="D50" s="1089">
        <v>92.3</v>
      </c>
      <c r="E50" s="1090">
        <v>106.4</v>
      </c>
      <c r="F50" s="1089">
        <v>57.8</v>
      </c>
      <c r="G50" s="1090">
        <v>59.7</v>
      </c>
      <c r="H50" s="1089">
        <v>55.1</v>
      </c>
      <c r="I50" s="1090">
        <v>28.06</v>
      </c>
      <c r="J50" s="1089">
        <v>38.17</v>
      </c>
      <c r="K50" s="1091"/>
      <c r="L50" s="1092">
        <v>0.36029935851746275</v>
      </c>
      <c r="M50" s="1093">
        <v>-0.13684906929854379</v>
      </c>
      <c r="N50" s="1094"/>
      <c r="O50" s="1089">
        <v>39.045474130000002</v>
      </c>
      <c r="P50" s="1095">
        <v>37.472413182573824</v>
      </c>
      <c r="Q50" s="1096">
        <v>35.742917189531958</v>
      </c>
    </row>
    <row r="51" spans="1:17" ht="14" thickBot="1">
      <c r="A51" s="1496"/>
      <c r="B51" s="1087"/>
      <c r="C51" s="1088" t="s">
        <v>930</v>
      </c>
      <c r="D51" s="1089">
        <v>0</v>
      </c>
      <c r="E51" s="1090">
        <v>0</v>
      </c>
      <c r="F51" s="1089">
        <v>0</v>
      </c>
      <c r="G51" s="1090">
        <v>0</v>
      </c>
      <c r="H51" s="1089">
        <v>0</v>
      </c>
      <c r="I51" s="1090">
        <v>0</v>
      </c>
      <c r="J51" s="1089">
        <v>0</v>
      </c>
      <c r="K51" s="1091"/>
      <c r="L51" s="1092" t="s">
        <v>1013</v>
      </c>
      <c r="M51" s="1093" t="s">
        <v>1013</v>
      </c>
      <c r="N51" s="1094"/>
      <c r="O51" s="1089">
        <v>0</v>
      </c>
      <c r="P51" s="1095">
        <v>0</v>
      </c>
      <c r="Q51" s="1096">
        <v>0</v>
      </c>
    </row>
    <row r="52" spans="1:17" ht="14" thickBot="1">
      <c r="A52" s="1176"/>
      <c r="B52" s="1087"/>
      <c r="C52" s="1087"/>
      <c r="D52" s="1097"/>
      <c r="E52" s="1098"/>
      <c r="F52" s="1097"/>
      <c r="G52" s="1098"/>
      <c r="H52" s="1097"/>
      <c r="I52" s="1098"/>
      <c r="J52" s="1097"/>
      <c r="K52" s="1099"/>
      <c r="L52" s="1100"/>
      <c r="M52" s="1101"/>
      <c r="N52" s="1102"/>
      <c r="O52" s="1177"/>
      <c r="P52" s="1104"/>
      <c r="Q52" s="1103"/>
    </row>
    <row r="53" spans="1:17" ht="14" thickBot="1">
      <c r="A53" s="1176"/>
      <c r="B53" s="1105" t="s">
        <v>1118</v>
      </c>
      <c r="C53" s="1087"/>
      <c r="D53" s="1134">
        <v>17783.900000000001</v>
      </c>
      <c r="E53" s="1135">
        <v>18821.7</v>
      </c>
      <c r="F53" s="1134">
        <v>19850.3</v>
      </c>
      <c r="G53" s="1135">
        <v>20064</v>
      </c>
      <c r="H53" s="1134">
        <v>20850.071013000001</v>
      </c>
      <c r="I53" s="1135">
        <v>21560.469000000001</v>
      </c>
      <c r="J53" s="1134">
        <v>23227.96</v>
      </c>
      <c r="K53" s="1136"/>
      <c r="L53" s="1137">
        <v>7.734020071641301E-2</v>
      </c>
      <c r="M53" s="1138">
        <v>4.5515984512979335E-2</v>
      </c>
      <c r="N53" s="1139"/>
      <c r="O53" s="1178">
        <v>24676.05882713</v>
      </c>
      <c r="P53" s="1141">
        <v>26206.297558202576</v>
      </c>
      <c r="Q53" s="1140">
        <v>26403.334065309999</v>
      </c>
    </row>
    <row r="54" spans="1:17" ht="14" thickBot="1">
      <c r="A54" s="1176"/>
      <c r="B54" s="1087"/>
      <c r="C54" s="1088" t="s">
        <v>928</v>
      </c>
      <c r="D54" s="1142">
        <v>12713.7</v>
      </c>
      <c r="E54" s="1143">
        <v>13702.8</v>
      </c>
      <c r="F54" s="1142">
        <v>14701.4</v>
      </c>
      <c r="G54" s="1143">
        <v>15139.4</v>
      </c>
      <c r="H54" s="1142">
        <v>15634.689</v>
      </c>
      <c r="I54" s="1143">
        <v>16354.909</v>
      </c>
      <c r="J54" s="1142">
        <v>17798.990000000002</v>
      </c>
      <c r="K54" s="1144"/>
      <c r="L54" s="1145">
        <v>8.8296486394390694E-2</v>
      </c>
      <c r="M54" s="1146">
        <v>5.767904466806284E-2</v>
      </c>
      <c r="N54" s="1147"/>
      <c r="O54" s="1179">
        <v>19348.207118999999</v>
      </c>
      <c r="P54" s="1149">
        <v>20838.82514502</v>
      </c>
      <c r="Q54" s="1148">
        <v>21851.721510899999</v>
      </c>
    </row>
    <row r="55" spans="1:17" ht="14" thickBot="1">
      <c r="A55" s="1176"/>
      <c r="B55" s="1087"/>
      <c r="C55" s="1088" t="s">
        <v>929</v>
      </c>
      <c r="D55" s="1142">
        <v>4429.8</v>
      </c>
      <c r="E55" s="1143">
        <v>4517</v>
      </c>
      <c r="F55" s="1142">
        <v>4511.1000000000004</v>
      </c>
      <c r="G55" s="1143">
        <v>3826.4</v>
      </c>
      <c r="H55" s="1142">
        <v>2972.4519609999998</v>
      </c>
      <c r="I55" s="1143">
        <v>2015.06</v>
      </c>
      <c r="J55" s="1142">
        <v>1996.57</v>
      </c>
      <c r="K55" s="1144"/>
      <c r="L55" s="1145">
        <v>-9.1759054320962319E-3</v>
      </c>
      <c r="M55" s="1146">
        <v>-0.12437785405154167</v>
      </c>
      <c r="N55" s="1147"/>
      <c r="O55" s="1179">
        <v>1921.6531381300001</v>
      </c>
      <c r="P55" s="1149">
        <v>1887.4724131825737</v>
      </c>
      <c r="Q55" s="1148">
        <v>1835.7429171895319</v>
      </c>
    </row>
    <row r="56" spans="1:17">
      <c r="A56" s="1176"/>
      <c r="B56" s="1150"/>
      <c r="C56" s="1151" t="s">
        <v>930</v>
      </c>
      <c r="D56" s="1152">
        <v>640.4</v>
      </c>
      <c r="E56" s="1153">
        <v>601.9</v>
      </c>
      <c r="F56" s="1152">
        <v>637.79999999999995</v>
      </c>
      <c r="G56" s="1153">
        <v>1098.2</v>
      </c>
      <c r="H56" s="1152">
        <v>2242.9300519999997</v>
      </c>
      <c r="I56" s="1153">
        <v>3190.5</v>
      </c>
      <c r="J56" s="1152">
        <v>3432.4</v>
      </c>
      <c r="K56" s="1154"/>
      <c r="L56" s="1155">
        <v>7.5818837172856979E-2</v>
      </c>
      <c r="M56" s="1156">
        <v>0.32289211639788129</v>
      </c>
      <c r="N56" s="1157"/>
      <c r="O56" s="1180">
        <v>3406.1985699999996</v>
      </c>
      <c r="P56" s="1159">
        <v>3480</v>
      </c>
      <c r="Q56" s="1158">
        <v>3590</v>
      </c>
    </row>
    <row r="57" spans="1:17">
      <c r="A57" s="1181"/>
      <c r="B57" s="1160"/>
      <c r="C57" s="1161"/>
      <c r="D57" s="1163"/>
      <c r="E57" s="1163"/>
      <c r="F57" s="1163"/>
      <c r="G57" s="1163"/>
      <c r="H57" s="1163"/>
      <c r="I57" s="1163"/>
      <c r="J57" s="1163"/>
      <c r="K57" s="1163"/>
      <c r="L57" s="1164"/>
      <c r="M57" s="1164"/>
      <c r="N57" s="1164"/>
      <c r="O57" s="1182"/>
      <c r="P57" s="1182"/>
      <c r="Q57" s="1182"/>
    </row>
    <row r="58" spans="1:17" ht="10.5" customHeight="1">
      <c r="B58" s="1167"/>
      <c r="C58" s="1167"/>
      <c r="D58" s="1183"/>
      <c r="E58" s="1183"/>
      <c r="F58" s="1183"/>
      <c r="G58" s="1183"/>
      <c r="H58" s="1183"/>
      <c r="I58" s="1184"/>
      <c r="J58" s="1184"/>
      <c r="K58" s="1184"/>
      <c r="L58" s="1185"/>
      <c r="M58" s="1186"/>
      <c r="N58" s="1185"/>
      <c r="O58" s="1187"/>
      <c r="P58" s="1187"/>
      <c r="Q58" s="1187"/>
    </row>
    <row r="59" spans="1:17" ht="14" thickBot="1">
      <c r="B59" s="1174" t="s">
        <v>1100</v>
      </c>
      <c r="C59" s="1078"/>
      <c r="D59" s="1188">
        <v>623.1</v>
      </c>
      <c r="E59" s="1189">
        <v>-213.60000000000218</v>
      </c>
      <c r="F59" s="1188">
        <v>-306.39999999999782</v>
      </c>
      <c r="G59" s="1189">
        <v>-200.29999999999927</v>
      </c>
      <c r="H59" s="1188">
        <v>98.828986999997142</v>
      </c>
      <c r="I59" s="1189">
        <v>454.38000000000102</v>
      </c>
      <c r="J59" s="1188">
        <v>-588.16000000000349</v>
      </c>
      <c r="K59" s="1190"/>
      <c r="L59" s="1191">
        <v>-2.2944231700338973</v>
      </c>
      <c r="M59" s="1192" t="s">
        <v>1013</v>
      </c>
      <c r="N59" s="1193"/>
      <c r="O59" s="1194">
        <v>-1286.4784276195569</v>
      </c>
      <c r="P59" s="1195">
        <v>-1627.0070539606058</v>
      </c>
      <c r="Q59" s="1194">
        <v>-1386.2045043216422</v>
      </c>
    </row>
    <row r="60" spans="1:17" ht="14" thickBot="1">
      <c r="B60" s="1087"/>
      <c r="C60" s="1088" t="s">
        <v>928</v>
      </c>
      <c r="D60" s="1106">
        <v>704.5</v>
      </c>
      <c r="E60" s="1107">
        <v>335.5</v>
      </c>
      <c r="F60" s="1106">
        <v>194.5</v>
      </c>
      <c r="G60" s="1107">
        <v>332.70000000000073</v>
      </c>
      <c r="H60" s="1106">
        <v>712.41100000000006</v>
      </c>
      <c r="I60" s="1107">
        <v>931.98000000000138</v>
      </c>
      <c r="J60" s="1106">
        <v>187.13999999999942</v>
      </c>
      <c r="K60" s="1108"/>
      <c r="L60" s="1109">
        <v>-0.7992016996072886</v>
      </c>
      <c r="M60" s="1110" t="s">
        <v>1013</v>
      </c>
      <c r="N60" s="1111"/>
      <c r="O60" s="1112">
        <v>-488.20274287718348</v>
      </c>
      <c r="P60" s="1113">
        <v>-768.21144122067926</v>
      </c>
      <c r="Q60" s="1112">
        <v>-441.96868909278783</v>
      </c>
    </row>
    <row r="61" spans="1:17" ht="14" thickBot="1">
      <c r="B61" s="1087"/>
      <c r="C61" s="1088" t="s">
        <v>929</v>
      </c>
      <c r="D61" s="1106">
        <v>37.699999999999818</v>
      </c>
      <c r="E61" s="1107">
        <v>-518.29999999999995</v>
      </c>
      <c r="F61" s="1106">
        <v>-415.1</v>
      </c>
      <c r="G61" s="1107">
        <v>-351.5</v>
      </c>
      <c r="H61" s="1106">
        <v>-271.25196099999994</v>
      </c>
      <c r="I61" s="1107">
        <v>-111.1</v>
      </c>
      <c r="J61" s="1106">
        <v>-217.5</v>
      </c>
      <c r="K61" s="1108"/>
      <c r="L61" s="1109">
        <v>-0.95769576957695923</v>
      </c>
      <c r="M61" s="1110" t="s">
        <v>1013</v>
      </c>
      <c r="N61" s="1111"/>
      <c r="O61" s="1112">
        <v>-224.60583114237488</v>
      </c>
      <c r="P61" s="1113">
        <v>-258.79561273992795</v>
      </c>
      <c r="Q61" s="1112">
        <v>-282.23581522885434</v>
      </c>
    </row>
    <row r="62" spans="1:17">
      <c r="B62" s="1150"/>
      <c r="C62" s="1151" t="s">
        <v>930</v>
      </c>
      <c r="D62" s="1196">
        <v>-119.1</v>
      </c>
      <c r="E62" s="1197">
        <v>-30.8</v>
      </c>
      <c r="F62" s="1196">
        <v>-85.8</v>
      </c>
      <c r="G62" s="1197">
        <v>-181.5</v>
      </c>
      <c r="H62" s="1196">
        <v>-342.3300519999998</v>
      </c>
      <c r="I62" s="1197">
        <v>-366.5</v>
      </c>
      <c r="J62" s="1196">
        <v>-557.79999999999995</v>
      </c>
      <c r="K62" s="1198"/>
      <c r="L62" s="1199">
        <v>-0.52196452933151471</v>
      </c>
      <c r="M62" s="1200" t="s">
        <v>1013</v>
      </c>
      <c r="N62" s="1201"/>
      <c r="O62" s="1202">
        <v>-573.6698535999999</v>
      </c>
      <c r="P62" s="1203">
        <v>-600</v>
      </c>
      <c r="Q62" s="1202">
        <v>-662</v>
      </c>
    </row>
    <row r="63" spans="1:17" ht="11.25" customHeight="1" thickBot="1">
      <c r="B63" s="1043"/>
      <c r="C63" s="1043"/>
      <c r="D63" s="1204"/>
      <c r="E63" s="1204"/>
      <c r="F63" s="1204"/>
      <c r="G63" s="1204"/>
      <c r="H63" s="1204"/>
      <c r="I63" s="1205"/>
      <c r="J63" s="1205"/>
      <c r="K63" s="1205"/>
      <c r="L63" s="1043"/>
      <c r="M63" s="1204"/>
      <c r="N63" s="1204"/>
      <c r="O63" s="1204"/>
      <c r="P63" s="1204"/>
      <c r="Q63" s="1204"/>
    </row>
    <row r="64" spans="1:17" ht="13.5" customHeight="1">
      <c r="B64" s="1206" t="s">
        <v>2138</v>
      </c>
    </row>
    <row r="65" spans="2:3" ht="9" customHeight="1"/>
    <row r="66" spans="2:3" ht="12" customHeight="1">
      <c r="B66" s="1207" t="s">
        <v>1119</v>
      </c>
    </row>
    <row r="67" spans="2:3" ht="12.75" customHeight="1"/>
    <row r="68" spans="2:3">
      <c r="B68" s="1208" t="s">
        <v>1101</v>
      </c>
      <c r="C68" s="1208"/>
    </row>
    <row r="69" spans="2:3">
      <c r="B69" s="1208" t="s">
        <v>1102</v>
      </c>
      <c r="C69" s="1208"/>
    </row>
    <row r="70" spans="2:3">
      <c r="B70" s="1208" t="s">
        <v>1103</v>
      </c>
      <c r="C70" s="1208"/>
    </row>
    <row r="71" spans="2:3">
      <c r="B71" s="1208" t="s">
        <v>1104</v>
      </c>
      <c r="C71" s="1208"/>
    </row>
    <row r="72" spans="2:3">
      <c r="B72" s="1208" t="s">
        <v>1105</v>
      </c>
      <c r="C72" s="1208"/>
    </row>
    <row r="73" spans="2:3">
      <c r="B73" s="1208"/>
      <c r="C73" s="1208" t="s">
        <v>1106</v>
      </c>
    </row>
    <row r="74" spans="2:3">
      <c r="B74" s="1208" t="s">
        <v>1107</v>
      </c>
      <c r="C74" s="1208"/>
    </row>
    <row r="75" spans="2:3">
      <c r="B75" s="1209" t="s">
        <v>1108</v>
      </c>
      <c r="C75" s="1208"/>
    </row>
    <row r="76" spans="2:3">
      <c r="B76" s="1209" t="s">
        <v>1109</v>
      </c>
      <c r="C76" s="1208"/>
    </row>
    <row r="77" spans="2:3" ht="13.5" customHeight="1">
      <c r="B77" s="1208" t="s">
        <v>1110</v>
      </c>
      <c r="C77" s="1208"/>
    </row>
    <row r="78" spans="2:3" ht="8.25" customHeight="1">
      <c r="B78" s="1208"/>
      <c r="C78" s="1208"/>
    </row>
    <row r="79" spans="2:3">
      <c r="B79" s="1209" t="s">
        <v>1111</v>
      </c>
      <c r="C79" s="1208"/>
    </row>
    <row r="80" spans="2:3" ht="14.25" customHeight="1">
      <c r="B80" s="1209" t="s">
        <v>1112</v>
      </c>
      <c r="C80" s="1208"/>
    </row>
    <row r="81" spans="2:3" ht="12.75" customHeight="1">
      <c r="B81" s="1208" t="s">
        <v>1113</v>
      </c>
      <c r="C81" s="1208"/>
    </row>
    <row r="82" spans="2:3" ht="12.75" customHeight="1">
      <c r="B82" s="1208"/>
      <c r="C82" s="1208"/>
    </row>
    <row r="84" spans="2:3">
      <c r="B84" s="1041" t="s">
        <v>256</v>
      </c>
      <c r="C84" s="1210"/>
    </row>
    <row r="85" spans="2:3">
      <c r="C85" s="1211"/>
    </row>
    <row r="86" spans="2:3">
      <c r="C86" s="1212"/>
    </row>
    <row r="87" spans="2:3">
      <c r="C87" s="1213"/>
    </row>
  </sheetData>
  <mergeCells count="2">
    <mergeCell ref="A7:A15"/>
    <mergeCell ref="A43:A51"/>
  </mergeCells>
  <phoneticPr fontId="68" type="noConversion"/>
  <pageMargins left="0.57999999999999996" right="0.46" top="0.65" bottom="0.33" header="0.41" footer="0.14000000000000001"/>
  <pageSetup paperSize="9" scale="67" orientation="landscape"/>
  <headerFooter alignWithMargins="0">
    <oddHeader>&amp;L&amp;"Helvetica,Bold"Zusatzinformationen zum Gesundheitswesen</oddHeader>
    <oddFooter>&amp;R&amp;8&amp;P/&amp;N</oddFooter>
  </headerFooter>
  <rowBreaks count="1" manualBreakCount="1">
    <brk id="41" max="16383" man="1"/>
  </rowBreaks>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10CC0-CFD8-5D4B-B16B-F8D135DD5575}">
  <sheetPr>
    <pageSetUpPr fitToPage="1"/>
  </sheetPr>
  <dimension ref="A1:U51"/>
  <sheetViews>
    <sheetView topLeftCell="A25" zoomScale="75" workbookViewId="0">
      <selection activeCell="A45" sqref="A45"/>
    </sheetView>
  </sheetViews>
  <sheetFormatPr baseColWidth="10" defaultColWidth="11.3984375" defaultRowHeight="13"/>
  <cols>
    <col min="1" max="1" width="8.19921875" style="3" customWidth="1"/>
    <col min="2" max="10" width="11" style="21" customWidth="1"/>
    <col min="11" max="11" width="11.3984375" style="3"/>
    <col min="12" max="12" width="8.796875" style="3" hidden="1" customWidth="1"/>
    <col min="13" max="21" width="9.796875" style="21" hidden="1" customWidth="1"/>
    <col min="22" max="16384" width="11.3984375" style="3"/>
  </cols>
  <sheetData>
    <row r="1" spans="1:21" s="1" customFormat="1" ht="14" customHeight="1">
      <c r="A1" s="372"/>
      <c r="B1" s="373"/>
      <c r="C1" s="373"/>
      <c r="D1" s="373"/>
      <c r="E1" s="373"/>
      <c r="F1" s="373"/>
      <c r="G1" s="373"/>
      <c r="H1" s="373"/>
      <c r="I1" s="373"/>
      <c r="J1" s="373"/>
      <c r="M1" s="23"/>
      <c r="N1" s="23"/>
      <c r="O1" s="23"/>
      <c r="P1" s="23"/>
      <c r="Q1" s="23"/>
      <c r="R1" s="23"/>
      <c r="S1" s="23"/>
      <c r="T1" s="23"/>
      <c r="U1" s="23"/>
    </row>
    <row r="2" spans="1:21" s="1" customFormat="1" ht="27" customHeight="1">
      <c r="A2" s="374" t="s">
        <v>911</v>
      </c>
      <c r="B2" s="373"/>
      <c r="C2" s="373"/>
      <c r="D2" s="373"/>
      <c r="E2" s="373"/>
      <c r="F2" s="373"/>
      <c r="G2" s="373"/>
      <c r="H2" s="373"/>
      <c r="I2" s="373"/>
      <c r="J2" s="321">
        <v>2003</v>
      </c>
      <c r="L2" s="59" t="s">
        <v>884</v>
      </c>
      <c r="M2" s="23"/>
      <c r="N2" s="23"/>
      <c r="O2" s="23"/>
      <c r="P2" s="23"/>
      <c r="Q2" s="23"/>
      <c r="R2" s="23"/>
      <c r="S2" s="23"/>
      <c r="T2" s="23"/>
      <c r="U2" s="23"/>
    </row>
    <row r="3" spans="1:21" ht="27" customHeight="1">
      <c r="A3" s="2" t="s">
        <v>70</v>
      </c>
      <c r="B3" s="69" t="s">
        <v>1484</v>
      </c>
      <c r="C3" s="16" t="s">
        <v>885</v>
      </c>
      <c r="D3" s="69" t="s">
        <v>885</v>
      </c>
      <c r="E3" s="16" t="s">
        <v>22</v>
      </c>
      <c r="F3" s="69" t="s">
        <v>886</v>
      </c>
      <c r="G3" s="16" t="s">
        <v>912</v>
      </c>
      <c r="H3" s="69" t="s">
        <v>1623</v>
      </c>
      <c r="I3" s="16" t="s">
        <v>887</v>
      </c>
      <c r="J3" s="69" t="s">
        <v>912</v>
      </c>
      <c r="L3" s="2" t="s">
        <v>70</v>
      </c>
      <c r="M3" s="69" t="s">
        <v>1484</v>
      </c>
      <c r="N3" s="16" t="s">
        <v>885</v>
      </c>
      <c r="O3" s="69" t="s">
        <v>885</v>
      </c>
      <c r="P3" s="16" t="s">
        <v>22</v>
      </c>
      <c r="Q3" s="69" t="s">
        <v>24</v>
      </c>
      <c r="R3" s="16" t="s">
        <v>888</v>
      </c>
      <c r="S3" s="69" t="s">
        <v>1623</v>
      </c>
      <c r="T3" s="16" t="s">
        <v>24</v>
      </c>
      <c r="U3" s="69" t="s">
        <v>887</v>
      </c>
    </row>
    <row r="4" spans="1:21" ht="15" customHeight="1">
      <c r="A4" s="77"/>
      <c r="B4" s="470" t="s">
        <v>867</v>
      </c>
      <c r="C4" s="17" t="s">
        <v>889</v>
      </c>
      <c r="D4" s="70" t="s">
        <v>890</v>
      </c>
      <c r="E4" s="471" t="s">
        <v>891</v>
      </c>
      <c r="F4" s="70" t="s">
        <v>913</v>
      </c>
      <c r="G4" s="17" t="s">
        <v>25</v>
      </c>
      <c r="H4" s="70" t="s">
        <v>868</v>
      </c>
      <c r="I4" s="17" t="s">
        <v>892</v>
      </c>
      <c r="J4" s="70" t="s">
        <v>25</v>
      </c>
      <c r="L4" s="77"/>
      <c r="M4" s="470" t="s">
        <v>867</v>
      </c>
      <c r="N4" s="17" t="s">
        <v>889</v>
      </c>
      <c r="O4" s="70" t="s">
        <v>890</v>
      </c>
      <c r="P4" s="471" t="s">
        <v>891</v>
      </c>
      <c r="Q4" s="70" t="s">
        <v>25</v>
      </c>
      <c r="R4" s="17" t="s">
        <v>914</v>
      </c>
      <c r="S4" s="70" t="s">
        <v>868</v>
      </c>
      <c r="T4" s="17" t="s">
        <v>25</v>
      </c>
      <c r="U4" s="70" t="s">
        <v>892</v>
      </c>
    </row>
    <row r="5" spans="1:21" ht="15" hidden="1" customHeight="1">
      <c r="A5" s="77"/>
      <c r="B5" s="470"/>
      <c r="C5" s="471" t="s">
        <v>870</v>
      </c>
      <c r="D5" s="470"/>
      <c r="E5" s="471"/>
      <c r="F5" s="70"/>
      <c r="G5" s="471"/>
      <c r="H5" s="70" t="s">
        <v>871</v>
      </c>
      <c r="I5" s="471"/>
      <c r="J5" s="70"/>
      <c r="L5" s="77"/>
      <c r="M5" s="470"/>
      <c r="N5" s="17" t="s">
        <v>870</v>
      </c>
      <c r="O5" s="70"/>
      <c r="P5" s="471"/>
      <c r="Q5" s="70"/>
      <c r="R5" s="17"/>
      <c r="S5" s="70" t="s">
        <v>871</v>
      </c>
      <c r="T5" s="17"/>
      <c r="U5" s="70"/>
    </row>
    <row r="6" spans="1:21" ht="15" customHeight="1">
      <c r="A6" s="77"/>
      <c r="B6" s="470" t="s">
        <v>872</v>
      </c>
      <c r="C6" s="471" t="s">
        <v>893</v>
      </c>
      <c r="D6" s="470" t="s">
        <v>894</v>
      </c>
      <c r="E6" s="471" t="s">
        <v>895</v>
      </c>
      <c r="F6" s="470"/>
      <c r="G6" s="471" t="s">
        <v>26</v>
      </c>
      <c r="H6" s="470" t="s">
        <v>915</v>
      </c>
      <c r="I6" s="471" t="s">
        <v>916</v>
      </c>
      <c r="J6" s="470" t="s">
        <v>26</v>
      </c>
      <c r="L6" s="77"/>
      <c r="M6" s="470" t="s">
        <v>872</v>
      </c>
      <c r="N6" s="471" t="s">
        <v>893</v>
      </c>
      <c r="O6" s="470" t="s">
        <v>896</v>
      </c>
      <c r="P6" s="471" t="s">
        <v>895</v>
      </c>
      <c r="Q6" s="470" t="s">
        <v>26</v>
      </c>
      <c r="R6" s="471"/>
      <c r="S6" s="70" t="s">
        <v>897</v>
      </c>
      <c r="T6" s="471" t="s">
        <v>26</v>
      </c>
      <c r="U6" s="70" t="s">
        <v>914</v>
      </c>
    </row>
    <row r="7" spans="1:21" ht="27" customHeight="1">
      <c r="A7" s="77"/>
      <c r="B7" s="470" t="s">
        <v>883</v>
      </c>
      <c r="C7" s="471" t="s">
        <v>917</v>
      </c>
      <c r="D7" s="470" t="s">
        <v>918</v>
      </c>
      <c r="E7" s="471" t="s">
        <v>919</v>
      </c>
      <c r="F7" s="470"/>
      <c r="G7" s="471"/>
      <c r="H7" s="470"/>
      <c r="I7" s="471"/>
      <c r="J7" s="470"/>
      <c r="L7" s="405"/>
      <c r="M7" s="73" t="s">
        <v>1405</v>
      </c>
      <c r="N7" s="18" t="s">
        <v>898</v>
      </c>
      <c r="O7" s="73" t="s">
        <v>899</v>
      </c>
      <c r="P7" s="18" t="s">
        <v>900</v>
      </c>
      <c r="Q7" s="73" t="s">
        <v>46</v>
      </c>
      <c r="R7" s="18"/>
      <c r="S7" s="73"/>
      <c r="T7" s="18" t="s">
        <v>46</v>
      </c>
      <c r="U7" s="73"/>
    </row>
    <row r="8" spans="1:21" ht="30" customHeight="1" thickBot="1">
      <c r="A8" s="379" t="s">
        <v>78</v>
      </c>
      <c r="B8" s="19">
        <v>1271011</v>
      </c>
      <c r="C8" s="86">
        <v>879</v>
      </c>
      <c r="D8" s="19">
        <v>2007</v>
      </c>
      <c r="E8" s="86">
        <v>2886</v>
      </c>
      <c r="F8" s="1029">
        <v>2.2706333776812317</v>
      </c>
      <c r="G8" s="300">
        <v>9.48174694083459E-3</v>
      </c>
      <c r="H8" s="19">
        <v>219</v>
      </c>
      <c r="I8" s="1027">
        <v>1.7230378021905397</v>
      </c>
      <c r="J8" s="301">
        <v>-2.2793081064409915E-2</v>
      </c>
      <c r="L8" s="379" t="s">
        <v>78</v>
      </c>
      <c r="M8" s="19">
        <v>1209530</v>
      </c>
      <c r="N8" s="86">
        <v>875</v>
      </c>
      <c r="O8" s="19">
        <v>1726</v>
      </c>
      <c r="P8" s="86">
        <v>2601</v>
      </c>
      <c r="Q8" s="446"/>
      <c r="R8" s="86">
        <f t="shared" ref="R8:R34" si="0">M8/P8</f>
        <v>465.02499038831218</v>
      </c>
      <c r="S8" s="19">
        <v>223</v>
      </c>
      <c r="T8" s="445"/>
      <c r="U8" s="19">
        <f t="shared" ref="U8:U34" si="1">M8/S8</f>
        <v>5423.9013452914796</v>
      </c>
    </row>
    <row r="9" spans="1:21" ht="18" customHeight="1" thickBot="1">
      <c r="A9" s="380" t="s">
        <v>79</v>
      </c>
      <c r="B9" s="29">
        <v>958646</v>
      </c>
      <c r="C9" s="116">
        <v>608</v>
      </c>
      <c r="D9" s="29">
        <v>1369</v>
      </c>
      <c r="E9" s="116">
        <v>1977</v>
      </c>
      <c r="F9" s="1029">
        <v>2.0622836792726411</v>
      </c>
      <c r="G9" s="300">
        <v>3.2849634637181158E-2</v>
      </c>
      <c r="H9" s="29">
        <v>175</v>
      </c>
      <c r="I9" s="1027">
        <v>1.8254913701199402</v>
      </c>
      <c r="J9" s="301">
        <v>5.6831293255303894E-3</v>
      </c>
      <c r="L9" s="380" t="s">
        <v>79</v>
      </c>
      <c r="M9" s="29">
        <v>949795</v>
      </c>
      <c r="N9" s="116">
        <v>581</v>
      </c>
      <c r="O9" s="29">
        <v>1249</v>
      </c>
      <c r="P9" s="116">
        <v>1830</v>
      </c>
      <c r="Q9" s="473"/>
      <c r="R9" s="116">
        <f t="shared" si="0"/>
        <v>519.01366120218574</v>
      </c>
      <c r="S9" s="29">
        <v>172</v>
      </c>
      <c r="T9" s="88"/>
      <c r="U9" s="29">
        <f t="shared" si="1"/>
        <v>5522.0639534883721</v>
      </c>
    </row>
    <row r="10" spans="1:21" ht="18" customHeight="1" thickBot="1">
      <c r="A10" s="380" t="s">
        <v>80</v>
      </c>
      <c r="B10" s="29">
        <v>352708</v>
      </c>
      <c r="C10" s="116">
        <v>201</v>
      </c>
      <c r="D10" s="29">
        <v>312</v>
      </c>
      <c r="E10" s="116">
        <v>513</v>
      </c>
      <c r="F10" s="1029">
        <v>1.4544609138437461</v>
      </c>
      <c r="G10" s="300">
        <v>-7.413740082145015E-3</v>
      </c>
      <c r="H10" s="29">
        <v>33</v>
      </c>
      <c r="I10" s="1027">
        <v>0.93561813171235131</v>
      </c>
      <c r="J10" s="301">
        <v>-3.5440080746680369E-3</v>
      </c>
      <c r="L10" s="380" t="s">
        <v>80</v>
      </c>
      <c r="M10" s="29">
        <v>343180</v>
      </c>
      <c r="N10" s="116">
        <v>203</v>
      </c>
      <c r="O10" s="29">
        <v>282</v>
      </c>
      <c r="P10" s="116">
        <v>485</v>
      </c>
      <c r="Q10" s="473"/>
      <c r="R10" s="116">
        <f t="shared" si="0"/>
        <v>707.58762886597935</v>
      </c>
      <c r="S10" s="29">
        <v>34</v>
      </c>
      <c r="T10" s="88"/>
      <c r="U10" s="29">
        <f t="shared" si="1"/>
        <v>10093.529411764706</v>
      </c>
    </row>
    <row r="11" spans="1:21" ht="18" customHeight="1" thickBot="1">
      <c r="A11" s="380" t="s">
        <v>81</v>
      </c>
      <c r="B11" s="29">
        <v>34740</v>
      </c>
      <c r="C11" s="116">
        <v>19</v>
      </c>
      <c r="D11" s="29">
        <v>25</v>
      </c>
      <c r="E11" s="116">
        <v>44</v>
      </c>
      <c r="F11" s="1029">
        <v>1.2665515256188831</v>
      </c>
      <c r="G11" s="300">
        <v>-3.7533422887481516E-2</v>
      </c>
      <c r="H11" s="29">
        <v>2</v>
      </c>
      <c r="I11" s="1027">
        <v>0.57570523891767422</v>
      </c>
      <c r="J11" s="301">
        <v>-1.5659182498560575E-2</v>
      </c>
      <c r="L11" s="380" t="s">
        <v>81</v>
      </c>
      <c r="M11" s="29">
        <v>34560</v>
      </c>
      <c r="N11" s="116">
        <v>21</v>
      </c>
      <c r="O11" s="29">
        <v>22</v>
      </c>
      <c r="P11" s="116">
        <v>43</v>
      </c>
      <c r="Q11" s="473"/>
      <c r="R11" s="116">
        <f t="shared" si="0"/>
        <v>803.72093023255809</v>
      </c>
      <c r="S11" s="29">
        <v>2</v>
      </c>
      <c r="T11" s="88"/>
      <c r="U11" s="29">
        <f t="shared" si="1"/>
        <v>17280</v>
      </c>
    </row>
    <row r="12" spans="1:21" ht="18" customHeight="1" thickBot="1">
      <c r="A12" s="380" t="s">
        <v>82</v>
      </c>
      <c r="B12" s="29">
        <v>133681</v>
      </c>
      <c r="C12" s="116">
        <v>71</v>
      </c>
      <c r="D12" s="29">
        <v>93</v>
      </c>
      <c r="E12" s="116">
        <v>164</v>
      </c>
      <c r="F12" s="1029">
        <v>1.2268011160897958</v>
      </c>
      <c r="G12" s="300">
        <v>2.5644555871198627E-2</v>
      </c>
      <c r="H12" s="29">
        <v>11</v>
      </c>
      <c r="I12" s="1027">
        <v>0.82285440713339975</v>
      </c>
      <c r="J12" s="301">
        <v>-1.1879025441162039E-2</v>
      </c>
      <c r="L12" s="380" t="s">
        <v>82</v>
      </c>
      <c r="M12" s="29">
        <v>126680</v>
      </c>
      <c r="N12" s="116">
        <v>65</v>
      </c>
      <c r="O12" s="29">
        <v>66</v>
      </c>
      <c r="P12" s="116">
        <v>131</v>
      </c>
      <c r="Q12" s="473"/>
      <c r="R12" s="116">
        <f t="shared" si="0"/>
        <v>967.02290076335873</v>
      </c>
      <c r="S12" s="29">
        <v>11</v>
      </c>
      <c r="T12" s="88"/>
      <c r="U12" s="29">
        <f t="shared" si="1"/>
        <v>11516.363636363636</v>
      </c>
    </row>
    <row r="13" spans="1:21" ht="18" customHeight="1" thickBot="1">
      <c r="A13" s="380" t="s">
        <v>83</v>
      </c>
      <c r="B13" s="29">
        <v>33015</v>
      </c>
      <c r="C13" s="116">
        <v>21</v>
      </c>
      <c r="D13" s="29">
        <v>15</v>
      </c>
      <c r="E13" s="116">
        <v>36</v>
      </c>
      <c r="F13" s="1029">
        <v>1.0904134484325305</v>
      </c>
      <c r="G13" s="300">
        <v>2.3368598688907616E-2</v>
      </c>
      <c r="H13" s="29">
        <v>3</v>
      </c>
      <c r="I13" s="1027">
        <v>0.90867787369377551</v>
      </c>
      <c r="J13" s="301">
        <v>0.49241253975465682</v>
      </c>
      <c r="L13" s="380" t="s">
        <v>83</v>
      </c>
      <c r="M13" s="29">
        <v>31952</v>
      </c>
      <c r="N13" s="116">
        <v>19</v>
      </c>
      <c r="O13" s="29">
        <v>13</v>
      </c>
      <c r="P13" s="116">
        <v>32</v>
      </c>
      <c r="Q13" s="473"/>
      <c r="R13" s="116">
        <f t="shared" si="0"/>
        <v>998.5</v>
      </c>
      <c r="S13" s="29">
        <v>2</v>
      </c>
      <c r="T13" s="88"/>
      <c r="U13" s="29">
        <f t="shared" si="1"/>
        <v>15976</v>
      </c>
    </row>
    <row r="14" spans="1:21" ht="18" customHeight="1" thickBot="1">
      <c r="A14" s="380" t="s">
        <v>84</v>
      </c>
      <c r="B14" s="29">
        <v>38385</v>
      </c>
      <c r="C14" s="116">
        <v>17</v>
      </c>
      <c r="D14" s="29">
        <v>30</v>
      </c>
      <c r="E14" s="116">
        <v>47</v>
      </c>
      <c r="F14" s="1029">
        <v>1.2244366288914941</v>
      </c>
      <c r="G14" s="300">
        <v>5.4852155790022117E-2</v>
      </c>
      <c r="H14" s="29">
        <v>2</v>
      </c>
      <c r="I14" s="1027">
        <v>0.52103686335808264</v>
      </c>
      <c r="J14" s="301">
        <v>-1.2478832877426127E-2</v>
      </c>
      <c r="L14" s="380" t="s">
        <v>84</v>
      </c>
      <c r="M14" s="29">
        <v>36549</v>
      </c>
      <c r="N14" s="116">
        <v>16</v>
      </c>
      <c r="O14" s="29">
        <v>20</v>
      </c>
      <c r="P14" s="116">
        <v>36</v>
      </c>
      <c r="Q14" s="473"/>
      <c r="R14" s="116">
        <f t="shared" si="0"/>
        <v>1015.25</v>
      </c>
      <c r="S14" s="29">
        <v>2</v>
      </c>
      <c r="T14" s="88"/>
      <c r="U14" s="29">
        <f t="shared" si="1"/>
        <v>18274.5</v>
      </c>
    </row>
    <row r="15" spans="1:21" ht="18" customHeight="1" thickBot="1">
      <c r="A15" s="380" t="s">
        <v>85</v>
      </c>
      <c r="B15" s="29">
        <v>38283</v>
      </c>
      <c r="C15" s="116">
        <v>27</v>
      </c>
      <c r="D15" s="29">
        <v>26</v>
      </c>
      <c r="E15" s="116">
        <v>53</v>
      </c>
      <c r="F15" s="1029">
        <v>1.3844265078494371</v>
      </c>
      <c r="G15" s="300">
        <v>9.8773171729836573E-2</v>
      </c>
      <c r="H15" s="29">
        <v>2</v>
      </c>
      <c r="I15" s="1027">
        <v>0.52242509730167441</v>
      </c>
      <c r="J15" s="301">
        <v>-4.8846746597706048E-3</v>
      </c>
      <c r="L15" s="380" t="s">
        <v>85</v>
      </c>
      <c r="M15" s="29">
        <v>38305</v>
      </c>
      <c r="N15" s="116">
        <v>25</v>
      </c>
      <c r="O15" s="29">
        <v>22</v>
      </c>
      <c r="P15" s="116">
        <v>47</v>
      </c>
      <c r="Q15" s="473"/>
      <c r="R15" s="116">
        <f t="shared" si="0"/>
        <v>815</v>
      </c>
      <c r="S15" s="29">
        <v>3</v>
      </c>
      <c r="T15" s="88"/>
      <c r="U15" s="29">
        <f t="shared" si="1"/>
        <v>12768.333333333334</v>
      </c>
    </row>
    <row r="16" spans="1:21" ht="18" customHeight="1" thickBot="1">
      <c r="A16" s="380" t="s">
        <v>86</v>
      </c>
      <c r="B16" s="29">
        <v>103156</v>
      </c>
      <c r="C16" s="116">
        <v>60</v>
      </c>
      <c r="D16" s="29">
        <v>119</v>
      </c>
      <c r="E16" s="116">
        <v>179</v>
      </c>
      <c r="F16" s="1029">
        <v>1.7352359533134281</v>
      </c>
      <c r="G16" s="300">
        <v>8.6821924599516542E-2</v>
      </c>
      <c r="H16" s="29">
        <v>12</v>
      </c>
      <c r="I16" s="1027">
        <v>1.1632866726123541</v>
      </c>
      <c r="J16" s="301">
        <v>-8.6453079279478207E-2</v>
      </c>
      <c r="L16" s="380" t="s">
        <v>86</v>
      </c>
      <c r="M16" s="29">
        <v>97049</v>
      </c>
      <c r="N16" s="116">
        <v>53</v>
      </c>
      <c r="O16" s="29">
        <v>102</v>
      </c>
      <c r="P16" s="116">
        <v>155</v>
      </c>
      <c r="Q16" s="473"/>
      <c r="R16" s="116">
        <f t="shared" si="0"/>
        <v>626.12258064516129</v>
      </c>
      <c r="S16" s="29">
        <v>14</v>
      </c>
      <c r="T16" s="88"/>
      <c r="U16" s="29">
        <f t="shared" si="1"/>
        <v>6932.0714285714284</v>
      </c>
    </row>
    <row r="17" spans="1:21" ht="18" customHeight="1" thickBot="1">
      <c r="A17" s="380" t="s">
        <v>87</v>
      </c>
      <c r="B17" s="29">
        <v>248511</v>
      </c>
      <c r="C17" s="116">
        <v>122</v>
      </c>
      <c r="D17" s="29">
        <v>252</v>
      </c>
      <c r="E17" s="116">
        <v>374</v>
      </c>
      <c r="F17" s="1029">
        <v>1.5049635629811156</v>
      </c>
      <c r="G17" s="300">
        <v>3.6388481206495182E-2</v>
      </c>
      <c r="H17" s="29">
        <v>67</v>
      </c>
      <c r="I17" s="1027">
        <v>2.6960577197790037</v>
      </c>
      <c r="J17" s="301">
        <v>-4.746717828196334E-2</v>
      </c>
      <c r="L17" s="380" t="s">
        <v>87</v>
      </c>
      <c r="M17" s="29">
        <v>235151</v>
      </c>
      <c r="N17" s="116">
        <v>112</v>
      </c>
      <c r="O17" s="29">
        <v>225</v>
      </c>
      <c r="P17" s="116">
        <v>337</v>
      </c>
      <c r="Q17" s="473"/>
      <c r="R17" s="116">
        <f t="shared" si="0"/>
        <v>697.77744807121667</v>
      </c>
      <c r="S17" s="29">
        <v>71</v>
      </c>
      <c r="T17" s="88"/>
      <c r="U17" s="29">
        <f t="shared" si="1"/>
        <v>3311.9859154929577</v>
      </c>
    </row>
    <row r="18" spans="1:21" ht="18" customHeight="1" thickBot="1">
      <c r="A18" s="380" t="s">
        <v>88</v>
      </c>
      <c r="B18" s="29">
        <v>245673</v>
      </c>
      <c r="C18" s="116">
        <v>154</v>
      </c>
      <c r="D18" s="29">
        <v>237</v>
      </c>
      <c r="E18" s="116">
        <v>391</v>
      </c>
      <c r="F18" s="1029">
        <v>1.5915464865898981</v>
      </c>
      <c r="G18" s="300">
        <v>1.8943891342561248E-2</v>
      </c>
      <c r="H18" s="29">
        <v>26</v>
      </c>
      <c r="I18" s="1027">
        <v>1.0583173568116968</v>
      </c>
      <c r="J18" s="301">
        <v>-4.5100601205668722E-3</v>
      </c>
      <c r="L18" s="380" t="s">
        <v>88</v>
      </c>
      <c r="M18" s="29">
        <v>241747</v>
      </c>
      <c r="N18" s="116">
        <v>158</v>
      </c>
      <c r="O18" s="29">
        <v>210</v>
      </c>
      <c r="P18" s="116">
        <v>368</v>
      </c>
      <c r="Q18" s="473"/>
      <c r="R18" s="116">
        <f t="shared" si="0"/>
        <v>656.92119565217388</v>
      </c>
      <c r="S18" s="29">
        <v>28</v>
      </c>
      <c r="T18" s="88"/>
      <c r="U18" s="29">
        <f t="shared" si="1"/>
        <v>8633.8214285714294</v>
      </c>
    </row>
    <row r="19" spans="1:21" ht="18" customHeight="1" thickBot="1">
      <c r="A19" s="380" t="s">
        <v>89</v>
      </c>
      <c r="B19" s="29">
        <v>190718</v>
      </c>
      <c r="C19" s="116">
        <v>126</v>
      </c>
      <c r="D19" s="29">
        <v>567</v>
      </c>
      <c r="E19" s="116">
        <v>693</v>
      </c>
      <c r="F19" s="1029">
        <v>3.6336370977044643</v>
      </c>
      <c r="G19" s="300">
        <v>2.9246576960163306E-2</v>
      </c>
      <c r="H19" s="29">
        <v>69</v>
      </c>
      <c r="I19" s="1027">
        <v>3.6179070669784705</v>
      </c>
      <c r="J19" s="301">
        <v>1.0276953407648559E-3</v>
      </c>
      <c r="L19" s="380" t="s">
        <v>89</v>
      </c>
      <c r="M19" s="29">
        <v>192347</v>
      </c>
      <c r="N19" s="116">
        <v>118</v>
      </c>
      <c r="O19" s="29">
        <v>556</v>
      </c>
      <c r="P19" s="116">
        <v>674</v>
      </c>
      <c r="Q19" s="473"/>
      <c r="R19" s="116">
        <f t="shared" si="0"/>
        <v>285.38130563798222</v>
      </c>
      <c r="S19" s="29">
        <v>70</v>
      </c>
      <c r="T19" s="88"/>
      <c r="U19" s="29">
        <f t="shared" si="1"/>
        <v>2747.8142857142857</v>
      </c>
    </row>
    <row r="20" spans="1:21" ht="18" customHeight="1" thickBot="1">
      <c r="A20" s="380" t="s">
        <v>90</v>
      </c>
      <c r="B20" s="29">
        <v>262913</v>
      </c>
      <c r="C20" s="116">
        <v>160</v>
      </c>
      <c r="D20" s="29">
        <v>347</v>
      </c>
      <c r="E20" s="116">
        <v>507</v>
      </c>
      <c r="F20" s="1029">
        <v>1.928394563981241</v>
      </c>
      <c r="G20" s="300">
        <v>5.9277403551745156E-3</v>
      </c>
      <c r="H20" s="29">
        <v>36</v>
      </c>
      <c r="I20" s="1027">
        <v>1.369274246613899</v>
      </c>
      <c r="J20" s="301">
        <v>-7.9608083282302067E-3</v>
      </c>
      <c r="L20" s="380" t="s">
        <v>90</v>
      </c>
      <c r="M20" s="29">
        <v>255485</v>
      </c>
      <c r="N20" s="116">
        <v>164</v>
      </c>
      <c r="O20" s="29">
        <v>306</v>
      </c>
      <c r="P20" s="116">
        <v>470</v>
      </c>
      <c r="Q20" s="473"/>
      <c r="R20" s="116">
        <f t="shared" si="0"/>
        <v>543.58510638297878</v>
      </c>
      <c r="S20" s="29">
        <v>36</v>
      </c>
      <c r="T20" s="88"/>
      <c r="U20" s="29">
        <f t="shared" si="1"/>
        <v>7096.8055555555557</v>
      </c>
    </row>
    <row r="21" spans="1:21" ht="18" customHeight="1" thickBot="1">
      <c r="A21" s="380" t="s">
        <v>91</v>
      </c>
      <c r="B21" s="29">
        <v>74175</v>
      </c>
      <c r="C21" s="116">
        <v>54</v>
      </c>
      <c r="D21" s="29">
        <v>85</v>
      </c>
      <c r="E21" s="116">
        <v>139</v>
      </c>
      <c r="F21" s="1029">
        <v>1.8739467475564542</v>
      </c>
      <c r="G21" s="300">
        <v>7.9781735341801774E-3</v>
      </c>
      <c r="H21" s="29">
        <v>13</v>
      </c>
      <c r="I21" s="1027">
        <v>1.7526120660599933</v>
      </c>
      <c r="J21" s="301">
        <v>-6.5251095382540258E-3</v>
      </c>
      <c r="L21" s="380" t="s">
        <v>91</v>
      </c>
      <c r="M21" s="29">
        <v>73115</v>
      </c>
      <c r="N21" s="116">
        <v>55</v>
      </c>
      <c r="O21" s="29">
        <v>81</v>
      </c>
      <c r="P21" s="116">
        <v>136</v>
      </c>
      <c r="Q21" s="473"/>
      <c r="R21" s="116">
        <f t="shared" si="0"/>
        <v>537.61029411764707</v>
      </c>
      <c r="S21" s="29">
        <v>14</v>
      </c>
      <c r="T21" s="88"/>
      <c r="U21" s="29">
        <f t="shared" si="1"/>
        <v>5222.5</v>
      </c>
    </row>
    <row r="22" spans="1:21" ht="18" customHeight="1" thickBot="1">
      <c r="A22" s="380" t="s">
        <v>92</v>
      </c>
      <c r="B22" s="29">
        <v>52701</v>
      </c>
      <c r="C22" s="116">
        <v>41</v>
      </c>
      <c r="D22" s="29">
        <v>47</v>
      </c>
      <c r="E22" s="116">
        <v>88</v>
      </c>
      <c r="F22" s="1029">
        <v>1.6697975370486329</v>
      </c>
      <c r="G22" s="300">
        <v>0.11679863879795715</v>
      </c>
      <c r="H22" s="29">
        <v>5</v>
      </c>
      <c r="I22" s="1027">
        <v>0.94874860059581412</v>
      </c>
      <c r="J22" s="301">
        <v>0.25322574524202568</v>
      </c>
      <c r="L22" s="380" t="s">
        <v>92</v>
      </c>
      <c r="M22" s="29">
        <v>53390</v>
      </c>
      <c r="N22" s="116">
        <v>44</v>
      </c>
      <c r="O22" s="29">
        <v>36</v>
      </c>
      <c r="P22" s="116">
        <v>80</v>
      </c>
      <c r="Q22" s="473"/>
      <c r="R22" s="116">
        <f t="shared" si="0"/>
        <v>667.375</v>
      </c>
      <c r="S22" s="29">
        <v>4</v>
      </c>
      <c r="T22" s="88"/>
      <c r="U22" s="29">
        <f t="shared" si="1"/>
        <v>13347.5</v>
      </c>
    </row>
    <row r="23" spans="1:21" ht="18" customHeight="1" thickBot="1">
      <c r="A23" s="380" t="s">
        <v>93</v>
      </c>
      <c r="B23" s="29">
        <v>14676</v>
      </c>
      <c r="C23" s="116">
        <v>8</v>
      </c>
      <c r="D23" s="29">
        <v>11</v>
      </c>
      <c r="E23" s="116">
        <v>19</v>
      </c>
      <c r="F23" s="1029">
        <v>1.2946306895611883</v>
      </c>
      <c r="G23" s="300">
        <v>0.19065566230580533</v>
      </c>
      <c r="H23" s="29">
        <v>1</v>
      </c>
      <c r="I23" s="1027">
        <v>0.68138457345325709</v>
      </c>
      <c r="J23" s="301">
        <v>2.6573998364678442E-3</v>
      </c>
      <c r="L23" s="380" t="s">
        <v>93</v>
      </c>
      <c r="M23" s="29">
        <v>14520</v>
      </c>
      <c r="N23" s="116">
        <v>8</v>
      </c>
      <c r="O23" s="29">
        <v>7</v>
      </c>
      <c r="P23" s="116">
        <v>15</v>
      </c>
      <c r="Q23" s="473"/>
      <c r="R23" s="116">
        <f t="shared" si="0"/>
        <v>968</v>
      </c>
      <c r="S23" s="29">
        <v>1</v>
      </c>
      <c r="T23" s="88"/>
      <c r="U23" s="29">
        <f t="shared" si="1"/>
        <v>14520</v>
      </c>
    </row>
    <row r="24" spans="1:21" ht="18" customHeight="1" thickBot="1">
      <c r="A24" s="380" t="s">
        <v>94</v>
      </c>
      <c r="B24" s="29">
        <v>457879</v>
      </c>
      <c r="C24" s="116">
        <v>289</v>
      </c>
      <c r="D24" s="29">
        <v>449</v>
      </c>
      <c r="E24" s="116">
        <v>738</v>
      </c>
      <c r="F24" s="1029">
        <v>1.6117795312735461</v>
      </c>
      <c r="G24" s="300">
        <v>3.9545289273109852E-2</v>
      </c>
      <c r="H24" s="29">
        <v>48</v>
      </c>
      <c r="I24" s="1027">
        <v>1.048311890259217</v>
      </c>
      <c r="J24" s="301">
        <v>1.562909424226322E-2</v>
      </c>
      <c r="L24" s="380" t="s">
        <v>94</v>
      </c>
      <c r="M24" s="29">
        <v>445797</v>
      </c>
      <c r="N24" s="116">
        <v>300</v>
      </c>
      <c r="O24" s="29">
        <v>370</v>
      </c>
      <c r="P24" s="116">
        <v>670</v>
      </c>
      <c r="Q24" s="473"/>
      <c r="R24" s="116">
        <f t="shared" si="0"/>
        <v>665.36865671641795</v>
      </c>
      <c r="S24" s="29">
        <v>49</v>
      </c>
      <c r="T24" s="88"/>
      <c r="U24" s="29">
        <f t="shared" si="1"/>
        <v>9097.8979591836742</v>
      </c>
    </row>
    <row r="25" spans="1:21" ht="18" customHeight="1" thickBot="1">
      <c r="A25" s="380" t="s">
        <v>95</v>
      </c>
      <c r="B25" s="29">
        <v>191196</v>
      </c>
      <c r="C25" s="116">
        <v>135</v>
      </c>
      <c r="D25" s="29">
        <v>193</v>
      </c>
      <c r="E25" s="116">
        <v>328</v>
      </c>
      <c r="F25" s="1029">
        <v>1.7155170610263815</v>
      </c>
      <c r="G25" s="300">
        <v>3.1379749260876721E-2</v>
      </c>
      <c r="H25" s="29">
        <v>36</v>
      </c>
      <c r="I25" s="1027">
        <v>1.8828845791752966</v>
      </c>
      <c r="J25" s="301">
        <v>-9.4981066549508775E-3</v>
      </c>
      <c r="L25" s="380" t="s">
        <v>95</v>
      </c>
      <c r="M25" s="29">
        <v>187572</v>
      </c>
      <c r="N25" s="116">
        <v>146</v>
      </c>
      <c r="O25" s="29">
        <v>178</v>
      </c>
      <c r="P25" s="116">
        <v>324</v>
      </c>
      <c r="Q25" s="473"/>
      <c r="R25" s="116">
        <f t="shared" si="0"/>
        <v>578.92592592592598</v>
      </c>
      <c r="S25" s="29">
        <v>36</v>
      </c>
      <c r="T25" s="88"/>
      <c r="U25" s="29">
        <f t="shared" si="1"/>
        <v>5210.333333333333</v>
      </c>
    </row>
    <row r="26" spans="1:21" ht="18" customHeight="1" thickBot="1">
      <c r="A26" s="380" t="s">
        <v>96</v>
      </c>
      <c r="B26" s="29">
        <v>558885</v>
      </c>
      <c r="C26" s="116">
        <v>273</v>
      </c>
      <c r="D26" s="29">
        <v>545</v>
      </c>
      <c r="E26" s="116">
        <v>818</v>
      </c>
      <c r="F26" s="1029">
        <v>1.4636284745520098</v>
      </c>
      <c r="G26" s="300">
        <v>4.0816457828312114E-2</v>
      </c>
      <c r="H26" s="29">
        <v>108</v>
      </c>
      <c r="I26" s="1027">
        <v>1.9324190128559542</v>
      </c>
      <c r="J26" s="301">
        <v>-8.8068207234045515E-3</v>
      </c>
      <c r="L26" s="380" t="s">
        <v>96</v>
      </c>
      <c r="M26" s="29">
        <v>536746</v>
      </c>
      <c r="N26" s="116">
        <v>281</v>
      </c>
      <c r="O26" s="29">
        <v>454</v>
      </c>
      <c r="P26" s="116">
        <v>735</v>
      </c>
      <c r="Q26" s="473"/>
      <c r="R26" s="116">
        <f t="shared" si="0"/>
        <v>730.26666666666665</v>
      </c>
      <c r="S26" s="29">
        <v>108</v>
      </c>
      <c r="T26" s="88"/>
      <c r="U26" s="29">
        <f t="shared" si="1"/>
        <v>4969.8703703703704</v>
      </c>
    </row>
    <row r="27" spans="1:21" ht="18" customHeight="1" thickBot="1">
      <c r="A27" s="380" t="s">
        <v>97</v>
      </c>
      <c r="B27" s="29">
        <v>231461</v>
      </c>
      <c r="C27" s="116">
        <v>138</v>
      </c>
      <c r="D27" s="29">
        <v>170</v>
      </c>
      <c r="E27" s="116">
        <v>308</v>
      </c>
      <c r="F27" s="1029">
        <v>1.3306777383662907</v>
      </c>
      <c r="G27" s="300">
        <v>5.7561888093159652E-2</v>
      </c>
      <c r="H27" s="29">
        <v>21</v>
      </c>
      <c r="I27" s="1027">
        <v>0.90728027615883455</v>
      </c>
      <c r="J27" s="301">
        <v>-5.2782895685155706E-2</v>
      </c>
      <c r="L27" s="380" t="s">
        <v>97</v>
      </c>
      <c r="M27" s="29">
        <v>226619</v>
      </c>
      <c r="N27" s="116">
        <v>144</v>
      </c>
      <c r="O27" s="29">
        <v>138</v>
      </c>
      <c r="P27" s="116">
        <v>282</v>
      </c>
      <c r="Q27" s="473"/>
      <c r="R27" s="116">
        <f t="shared" si="0"/>
        <v>803.61347517730496</v>
      </c>
      <c r="S27" s="29">
        <v>23</v>
      </c>
      <c r="T27" s="88"/>
      <c r="U27" s="29">
        <f t="shared" si="1"/>
        <v>9853</v>
      </c>
    </row>
    <row r="28" spans="1:21" ht="18" customHeight="1" thickBot="1">
      <c r="A28" s="380" t="s">
        <v>98</v>
      </c>
      <c r="B28" s="29">
        <v>316521</v>
      </c>
      <c r="C28" s="116">
        <v>178</v>
      </c>
      <c r="D28" s="29">
        <v>466</v>
      </c>
      <c r="E28" s="116">
        <v>644</v>
      </c>
      <c r="F28" s="1029">
        <v>2.0346201357887788</v>
      </c>
      <c r="G28" s="300">
        <v>5.6816172158899558E-2</v>
      </c>
      <c r="H28" s="29">
        <v>172</v>
      </c>
      <c r="I28" s="1027">
        <v>5.434078623535247</v>
      </c>
      <c r="J28" s="301">
        <v>-1.7816988026235436E-2</v>
      </c>
      <c r="L28" s="380" t="s">
        <v>98</v>
      </c>
      <c r="M28" s="29">
        <v>303836</v>
      </c>
      <c r="N28" s="116">
        <v>193</v>
      </c>
      <c r="O28" s="29">
        <v>384</v>
      </c>
      <c r="P28" s="116">
        <v>577</v>
      </c>
      <c r="Q28" s="473"/>
      <c r="R28" s="116">
        <f t="shared" si="0"/>
        <v>526.57885615251303</v>
      </c>
      <c r="S28" s="29">
        <v>171</v>
      </c>
      <c r="T28" s="88"/>
      <c r="U28" s="29">
        <f t="shared" si="1"/>
        <v>1776.8187134502923</v>
      </c>
    </row>
    <row r="29" spans="1:21" ht="18" customHeight="1" thickBot="1">
      <c r="A29" s="380" t="s">
        <v>99</v>
      </c>
      <c r="B29" s="29">
        <v>648526</v>
      </c>
      <c r="C29" s="116">
        <v>431</v>
      </c>
      <c r="D29" s="29">
        <v>1133</v>
      </c>
      <c r="E29" s="116">
        <v>1564</v>
      </c>
      <c r="F29" s="1029">
        <v>2.4116226643187781</v>
      </c>
      <c r="G29" s="300">
        <v>2.4000805006145765E-2</v>
      </c>
      <c r="H29" s="29">
        <v>242</v>
      </c>
      <c r="I29" s="1027">
        <v>3.7315389051479815</v>
      </c>
      <c r="J29" s="301">
        <v>1.1508408467362452E-2</v>
      </c>
      <c r="L29" s="380" t="s">
        <v>99</v>
      </c>
      <c r="M29" s="29">
        <v>623912</v>
      </c>
      <c r="N29" s="116">
        <v>474</v>
      </c>
      <c r="O29" s="29">
        <v>999</v>
      </c>
      <c r="P29" s="116">
        <v>1473</v>
      </c>
      <c r="Q29" s="473"/>
      <c r="R29" s="116">
        <f t="shared" si="0"/>
        <v>423.56551255940258</v>
      </c>
      <c r="S29" s="29">
        <v>234</v>
      </c>
      <c r="T29" s="88"/>
      <c r="U29" s="29">
        <f t="shared" si="1"/>
        <v>2666.2905982905982</v>
      </c>
    </row>
    <row r="30" spans="1:21" ht="18" customHeight="1" thickBot="1">
      <c r="A30" s="380" t="s">
        <v>100</v>
      </c>
      <c r="B30" s="29">
        <v>283590</v>
      </c>
      <c r="C30" s="116">
        <v>170</v>
      </c>
      <c r="D30" s="29">
        <v>324</v>
      </c>
      <c r="E30" s="116">
        <v>494</v>
      </c>
      <c r="F30" s="1029">
        <v>1.7419514087238619</v>
      </c>
      <c r="G30" s="300">
        <v>4.9782114872562344E-2</v>
      </c>
      <c r="H30" s="29">
        <v>107</v>
      </c>
      <c r="I30" s="1027">
        <v>3.7730526464261787</v>
      </c>
      <c r="J30" s="301">
        <v>-8.9578896453623713E-3</v>
      </c>
      <c r="L30" s="380" t="s">
        <v>100</v>
      </c>
      <c r="M30" s="29">
        <v>271444</v>
      </c>
      <c r="N30" s="116">
        <v>172</v>
      </c>
      <c r="O30" s="29">
        <v>274</v>
      </c>
      <c r="P30" s="116">
        <v>446</v>
      </c>
      <c r="Q30" s="473"/>
      <c r="R30" s="116">
        <f t="shared" si="0"/>
        <v>608.61883408071753</v>
      </c>
      <c r="S30" s="29">
        <v>105</v>
      </c>
      <c r="T30" s="88"/>
      <c r="U30" s="29">
        <f t="shared" si="1"/>
        <v>2585.1809523809525</v>
      </c>
    </row>
    <row r="31" spans="1:21" ht="18" customHeight="1" thickBot="1">
      <c r="A31" s="380" t="s">
        <v>101</v>
      </c>
      <c r="B31" s="29">
        <v>168171</v>
      </c>
      <c r="C31" s="116">
        <v>108</v>
      </c>
      <c r="D31" s="29">
        <v>242</v>
      </c>
      <c r="E31" s="116">
        <v>350</v>
      </c>
      <c r="F31" s="1029">
        <v>2.0812149538267599</v>
      </c>
      <c r="G31" s="300">
        <v>2.4336160001643403E-2</v>
      </c>
      <c r="H31" s="29">
        <v>55</v>
      </c>
      <c r="I31" s="1027">
        <v>3.2704806417277652</v>
      </c>
      <c r="J31" s="301">
        <v>-2.0039126841132626E-3</v>
      </c>
      <c r="L31" s="380" t="s">
        <v>101</v>
      </c>
      <c r="M31" s="29">
        <v>166096</v>
      </c>
      <c r="N31" s="116">
        <v>119</v>
      </c>
      <c r="O31" s="29">
        <v>198</v>
      </c>
      <c r="P31" s="116">
        <v>317</v>
      </c>
      <c r="Q31" s="473"/>
      <c r="R31" s="116">
        <f t="shared" si="0"/>
        <v>523.96214511041012</v>
      </c>
      <c r="S31" s="29">
        <v>54</v>
      </c>
      <c r="T31" s="88"/>
      <c r="U31" s="29">
        <f t="shared" si="1"/>
        <v>3075.8518518518517</v>
      </c>
    </row>
    <row r="32" spans="1:21" ht="18" customHeight="1" thickBot="1">
      <c r="A32" s="380" t="s">
        <v>102</v>
      </c>
      <c r="B32" s="29">
        <v>427914</v>
      </c>
      <c r="C32" s="116">
        <v>244</v>
      </c>
      <c r="D32" s="29">
        <v>1168</v>
      </c>
      <c r="E32" s="116">
        <v>1412</v>
      </c>
      <c r="F32" s="1029">
        <v>3.299728450109134</v>
      </c>
      <c r="G32" s="300">
        <v>-6.3704455778564872E-3</v>
      </c>
      <c r="H32" s="29">
        <v>169</v>
      </c>
      <c r="I32" s="1027">
        <v>3.9493917002014425</v>
      </c>
      <c r="J32" s="301">
        <v>-1.6774034762534473E-4</v>
      </c>
      <c r="L32" s="380" t="s">
        <v>102</v>
      </c>
      <c r="M32" s="29">
        <v>404080</v>
      </c>
      <c r="N32" s="116">
        <v>235</v>
      </c>
      <c r="O32" s="29">
        <v>1022</v>
      </c>
      <c r="P32" s="116">
        <v>1257</v>
      </c>
      <c r="Q32" s="473"/>
      <c r="R32" s="116">
        <f t="shared" si="0"/>
        <v>321.46380270485281</v>
      </c>
      <c r="S32" s="29">
        <v>170</v>
      </c>
      <c r="T32" s="88"/>
      <c r="U32" s="29">
        <f t="shared" si="1"/>
        <v>2376.9411764705883</v>
      </c>
    </row>
    <row r="33" spans="1:21" ht="18" customHeight="1" thickBot="1">
      <c r="A33" s="380" t="s">
        <v>103</v>
      </c>
      <c r="B33" s="29">
        <v>67916</v>
      </c>
      <c r="C33" s="116">
        <v>41</v>
      </c>
      <c r="D33" s="29">
        <v>72</v>
      </c>
      <c r="E33" s="116">
        <v>113</v>
      </c>
      <c r="F33" s="1029">
        <v>1.6638200129571823</v>
      </c>
      <c r="G33" s="300">
        <v>0.11334269065047731</v>
      </c>
      <c r="H33" s="29">
        <v>19</v>
      </c>
      <c r="I33" s="1027">
        <v>2.7975734731138466</v>
      </c>
      <c r="J33" s="301">
        <v>5.0395586705145767E-2</v>
      </c>
      <c r="L33" s="380" t="s">
        <v>103</v>
      </c>
      <c r="M33" s="29">
        <v>67281</v>
      </c>
      <c r="N33" s="116">
        <v>41</v>
      </c>
      <c r="O33" s="29">
        <v>60</v>
      </c>
      <c r="P33" s="116">
        <v>101</v>
      </c>
      <c r="Q33" s="473"/>
      <c r="R33" s="116">
        <f t="shared" si="0"/>
        <v>666.14851485148517</v>
      </c>
      <c r="S33" s="29">
        <v>17</v>
      </c>
      <c r="T33" s="88"/>
      <c r="U33" s="29">
        <f t="shared" si="1"/>
        <v>3957.705882352941</v>
      </c>
    </row>
    <row r="34" spans="1:21" ht="30" customHeight="1" thickBot="1">
      <c r="A34" s="474" t="s">
        <v>104</v>
      </c>
      <c r="B34" s="356">
        <v>7405051</v>
      </c>
      <c r="C34" s="357">
        <v>4575</v>
      </c>
      <c r="D34" s="356">
        <v>10304</v>
      </c>
      <c r="E34" s="357">
        <v>14879</v>
      </c>
      <c r="F34" s="1034">
        <v>2.0093041898023394</v>
      </c>
      <c r="G34" s="306">
        <v>2.4701904962793897E-2</v>
      </c>
      <c r="H34" s="356">
        <v>1653</v>
      </c>
      <c r="I34" s="1035">
        <v>2.2322601154266191</v>
      </c>
      <c r="J34" s="425">
        <v>-4.7248842033830174E-3</v>
      </c>
      <c r="L34" s="1036" t="s">
        <v>22</v>
      </c>
      <c r="M34" s="639">
        <f>SUM(M8:M33)</f>
        <v>7166738</v>
      </c>
      <c r="N34" s="1037">
        <f>SUM(N8:N33)</f>
        <v>4622</v>
      </c>
      <c r="O34" s="639">
        <f>SUM(O8:O33)</f>
        <v>9000</v>
      </c>
      <c r="P34" s="1037">
        <f>SUM(P8:P33)</f>
        <v>13622</v>
      </c>
      <c r="Q34" s="585"/>
      <c r="R34" s="1037">
        <f t="shared" si="0"/>
        <v>526.11496109235065</v>
      </c>
      <c r="S34" s="639">
        <f>SUM(S8:S33)</f>
        <v>1654</v>
      </c>
      <c r="T34" s="455"/>
      <c r="U34" s="639">
        <f t="shared" si="1"/>
        <v>4332.9733978234581</v>
      </c>
    </row>
    <row r="35" spans="1:21" ht="20" customHeight="1">
      <c r="A35" s="477" t="s">
        <v>327</v>
      </c>
      <c r="B35" s="478"/>
      <c r="C35" s="478"/>
      <c r="D35" s="478"/>
      <c r="E35" s="478"/>
      <c r="F35" s="478"/>
      <c r="G35" s="478"/>
      <c r="H35" s="478"/>
      <c r="I35" s="478"/>
      <c r="J35" s="478"/>
      <c r="L35" s="1038" t="s">
        <v>901</v>
      </c>
      <c r="M35" s="1039"/>
      <c r="N35" s="1039"/>
      <c r="O35" s="1039"/>
      <c r="P35" s="1039"/>
      <c r="Q35" s="1039"/>
      <c r="R35" s="1039"/>
      <c r="S35" s="1039"/>
      <c r="T35" s="1039"/>
      <c r="U35" s="1039"/>
    </row>
    <row r="36" spans="1:21" ht="10.5" customHeight="1">
      <c r="A36" s="479"/>
      <c r="B36" s="480"/>
      <c r="C36" s="480"/>
      <c r="D36" s="480"/>
      <c r="E36" s="480"/>
      <c r="F36" s="480"/>
      <c r="G36" s="480"/>
      <c r="H36" s="480"/>
      <c r="I36" s="480"/>
      <c r="J36" s="480"/>
      <c r="L36" s="209"/>
      <c r="M36" s="1040"/>
      <c r="N36" s="1040"/>
      <c r="O36" s="1040"/>
      <c r="P36" s="1040"/>
      <c r="Q36" s="1040"/>
      <c r="R36" s="1040"/>
      <c r="S36" s="1040"/>
      <c r="T36" s="1040"/>
      <c r="U36" s="1040"/>
    </row>
    <row r="37" spans="1:21" ht="12" customHeight="1">
      <c r="A37" s="479" t="s">
        <v>902</v>
      </c>
      <c r="B37" s="480"/>
      <c r="C37" s="480"/>
      <c r="D37" s="480"/>
      <c r="E37" s="480"/>
      <c r="F37" s="480"/>
      <c r="G37" s="480"/>
      <c r="H37" s="480"/>
      <c r="I37" s="480"/>
      <c r="J37" s="480"/>
      <c r="L37" s="3" t="s">
        <v>903</v>
      </c>
      <c r="M37" s="1040"/>
      <c r="N37" s="1040"/>
      <c r="O37" s="1040"/>
      <c r="P37" s="1040"/>
      <c r="Q37" s="1040"/>
      <c r="R37" s="1040"/>
      <c r="S37" s="1040"/>
      <c r="T37" s="1040"/>
      <c r="U37" s="1040"/>
    </row>
    <row r="38" spans="1:21" ht="12" customHeight="1">
      <c r="A38" s="479" t="s">
        <v>904</v>
      </c>
      <c r="B38" s="480"/>
      <c r="C38" s="480"/>
      <c r="D38" s="480"/>
      <c r="E38" s="480"/>
      <c r="F38" s="480"/>
      <c r="G38" s="480"/>
      <c r="H38" s="480"/>
      <c r="I38" s="480"/>
      <c r="J38" s="480"/>
      <c r="M38" s="1040"/>
      <c r="N38" s="1040"/>
      <c r="O38" s="1040"/>
      <c r="P38" s="1040"/>
      <c r="Q38" s="1040"/>
      <c r="R38" s="1040"/>
      <c r="S38" s="1040"/>
      <c r="T38" s="1040"/>
      <c r="U38" s="1040"/>
    </row>
    <row r="39" spans="1:21" ht="12" customHeight="1">
      <c r="A39" s="479" t="s">
        <v>905</v>
      </c>
      <c r="B39" s="480"/>
      <c r="C39" s="480"/>
      <c r="D39" s="480"/>
      <c r="E39" s="480"/>
      <c r="F39" s="480"/>
      <c r="G39" s="480"/>
      <c r="H39" s="480"/>
      <c r="I39" s="480"/>
      <c r="J39" s="480"/>
      <c r="M39" s="1040"/>
      <c r="N39" s="1040"/>
      <c r="O39" s="1040"/>
      <c r="P39" s="1040"/>
      <c r="Q39" s="1040"/>
      <c r="R39" s="1040"/>
      <c r="S39" s="1040"/>
      <c r="T39" s="1040"/>
      <c r="U39" s="1040"/>
    </row>
    <row r="40" spans="1:21" ht="12" customHeight="1">
      <c r="A40" s="479" t="s">
        <v>906</v>
      </c>
      <c r="B40" s="480"/>
      <c r="C40" s="480"/>
      <c r="D40" s="480"/>
      <c r="E40" s="480"/>
      <c r="F40" s="480"/>
      <c r="G40" s="480"/>
      <c r="H40" s="480"/>
      <c r="I40" s="480"/>
      <c r="J40" s="480"/>
      <c r="L40" s="3" t="s">
        <v>903</v>
      </c>
      <c r="M40" s="1040"/>
      <c r="N40" s="1040"/>
      <c r="O40" s="1040"/>
      <c r="P40" s="1040"/>
      <c r="Q40" s="1040"/>
      <c r="R40" s="1040"/>
      <c r="S40" s="1040"/>
      <c r="T40" s="1040"/>
      <c r="U40" s="1040"/>
    </row>
    <row r="41" spans="1:21" ht="12" customHeight="1">
      <c r="A41" s="479" t="s">
        <v>907</v>
      </c>
      <c r="B41" s="480"/>
      <c r="C41" s="480"/>
      <c r="D41" s="480"/>
      <c r="E41" s="480"/>
      <c r="F41" s="480"/>
      <c r="G41" s="480"/>
      <c r="H41" s="480"/>
      <c r="I41" s="480"/>
      <c r="J41" s="480"/>
      <c r="M41" s="1040"/>
      <c r="N41" s="1040"/>
      <c r="O41" s="1040"/>
      <c r="P41" s="1040"/>
      <c r="Q41" s="1040"/>
      <c r="R41" s="1040"/>
      <c r="S41" s="1040"/>
      <c r="T41" s="1040"/>
      <c r="U41" s="1040"/>
    </row>
    <row r="42" spans="1:21" ht="12" customHeight="1">
      <c r="A42" s="479" t="s">
        <v>908</v>
      </c>
      <c r="B42" s="480"/>
      <c r="C42" s="480"/>
      <c r="D42" s="480"/>
      <c r="E42" s="480"/>
      <c r="F42" s="480"/>
      <c r="G42" s="480"/>
      <c r="H42" s="480"/>
      <c r="I42" s="480"/>
      <c r="J42" s="480"/>
      <c r="M42" s="1040"/>
      <c r="N42" s="1040"/>
      <c r="O42" s="1040"/>
      <c r="P42" s="1040"/>
      <c r="Q42" s="1040"/>
      <c r="R42" s="1040"/>
      <c r="S42" s="1040"/>
      <c r="T42" s="1040"/>
      <c r="U42" s="1040"/>
    </row>
    <row r="43" spans="1:21" ht="12" customHeight="1">
      <c r="A43" s="479" t="s">
        <v>909</v>
      </c>
      <c r="B43" s="480"/>
      <c r="C43" s="480"/>
      <c r="D43" s="480"/>
      <c r="E43" s="480"/>
      <c r="F43" s="480"/>
      <c r="G43" s="480"/>
      <c r="H43" s="480"/>
      <c r="I43" s="480"/>
      <c r="J43" s="480"/>
      <c r="M43" s="1040"/>
      <c r="N43" s="1040"/>
      <c r="O43" s="1040"/>
      <c r="P43" s="1040"/>
      <c r="Q43" s="1040"/>
      <c r="R43" s="1040"/>
      <c r="S43" s="1040"/>
      <c r="T43" s="1040"/>
      <c r="U43" s="1040"/>
    </row>
    <row r="44" spans="1:21" ht="12" customHeight="1">
      <c r="A44" s="479" t="s">
        <v>910</v>
      </c>
      <c r="B44" s="480"/>
      <c r="C44" s="480"/>
      <c r="D44" s="480"/>
      <c r="E44" s="480"/>
      <c r="F44" s="480"/>
      <c r="G44" s="480"/>
      <c r="H44" s="480"/>
      <c r="I44" s="480"/>
      <c r="J44" s="480"/>
      <c r="M44" s="1040"/>
      <c r="N44" s="1040"/>
      <c r="O44" s="1040"/>
      <c r="P44" s="1040"/>
      <c r="Q44" s="1040"/>
      <c r="R44" s="1040"/>
      <c r="S44" s="1040"/>
      <c r="T44" s="1040"/>
      <c r="U44" s="1040"/>
    </row>
    <row r="45" spans="1:21" ht="12" customHeight="1">
      <c r="A45" s="479" t="s">
        <v>328</v>
      </c>
      <c r="B45" s="480"/>
      <c r="C45" s="480"/>
      <c r="D45" s="480"/>
      <c r="E45" s="480"/>
      <c r="F45" s="480"/>
      <c r="G45" s="480"/>
      <c r="H45" s="480"/>
      <c r="I45" s="480"/>
      <c r="J45" s="480"/>
      <c r="M45" s="1040"/>
      <c r="N45" s="1040"/>
      <c r="O45" s="1040"/>
      <c r="P45" s="1040"/>
      <c r="Q45" s="1040"/>
      <c r="R45" s="1040"/>
      <c r="S45" s="1040"/>
      <c r="T45" s="1040"/>
      <c r="U45" s="1040"/>
    </row>
    <row r="46" spans="1:21" ht="12" customHeight="1">
      <c r="A46" s="479"/>
      <c r="B46" s="480"/>
      <c r="C46" s="480"/>
      <c r="D46" s="480"/>
      <c r="E46" s="480"/>
      <c r="F46" s="480"/>
      <c r="G46" s="480"/>
      <c r="H46" s="480"/>
      <c r="I46" s="480"/>
      <c r="J46" s="480"/>
      <c r="M46" s="1040"/>
      <c r="N46" s="1040"/>
      <c r="O46" s="1040"/>
      <c r="P46" s="1040"/>
      <c r="Q46" s="1040"/>
      <c r="R46" s="1040"/>
      <c r="S46" s="1040"/>
      <c r="T46" s="1040"/>
      <c r="U46" s="1040"/>
    </row>
    <row r="47" spans="1:21" ht="12" customHeight="1">
      <c r="A47" s="479"/>
      <c r="B47" s="480"/>
      <c r="C47" s="480"/>
      <c r="D47" s="480"/>
      <c r="E47" s="480"/>
      <c r="F47" s="480"/>
      <c r="G47" s="480"/>
      <c r="H47" s="480"/>
      <c r="I47" s="480"/>
      <c r="J47" s="480"/>
      <c r="M47" s="1040"/>
      <c r="N47" s="1040"/>
      <c r="O47" s="1040"/>
      <c r="P47" s="1040"/>
      <c r="Q47" s="1040"/>
      <c r="R47" s="1040"/>
      <c r="S47" s="1040"/>
      <c r="T47" s="1040"/>
      <c r="U47" s="1040"/>
    </row>
    <row r="48" spans="1:21" ht="12" customHeight="1">
      <c r="A48" s="479" t="s">
        <v>256</v>
      </c>
      <c r="B48" s="480"/>
      <c r="C48" s="480"/>
      <c r="D48" s="480"/>
      <c r="E48" s="480"/>
      <c r="F48" s="480"/>
      <c r="G48" s="480"/>
      <c r="H48" s="480"/>
      <c r="I48" s="480"/>
      <c r="J48" s="480"/>
      <c r="M48" s="1040"/>
      <c r="N48" s="1040"/>
      <c r="O48" s="1040"/>
      <c r="P48" s="1040"/>
      <c r="Q48" s="1040"/>
      <c r="R48" s="1040"/>
      <c r="S48" s="1040"/>
      <c r="T48" s="1040"/>
      <c r="U48" s="1040"/>
    </row>
    <row r="49" spans="1:21" ht="12" customHeight="1">
      <c r="A49" s="479"/>
      <c r="B49" s="480"/>
      <c r="C49" s="480"/>
      <c r="D49" s="480"/>
      <c r="E49" s="480"/>
      <c r="F49" s="480"/>
      <c r="G49" s="480"/>
      <c r="H49" s="480"/>
      <c r="I49" s="480"/>
      <c r="J49" s="480"/>
      <c r="M49" s="1040"/>
      <c r="N49" s="1040"/>
      <c r="O49" s="1040"/>
      <c r="P49" s="1040"/>
      <c r="Q49" s="1040"/>
      <c r="R49" s="1040"/>
      <c r="S49" s="1040"/>
      <c r="T49" s="1040"/>
      <c r="U49" s="1040"/>
    </row>
    <row r="50" spans="1:21" ht="12" customHeight="1">
      <c r="A50" s="883"/>
      <c r="B50" s="385"/>
      <c r="C50" s="385"/>
      <c r="D50" s="385"/>
      <c r="E50" s="385"/>
      <c r="F50" s="385"/>
      <c r="G50" s="385"/>
      <c r="H50" s="385"/>
      <c r="I50" s="385"/>
      <c r="J50" s="385"/>
      <c r="M50" s="1040"/>
      <c r="N50" s="1040"/>
      <c r="O50" s="1040"/>
      <c r="P50" s="1040"/>
      <c r="Q50" s="1040"/>
      <c r="R50" s="1040"/>
      <c r="S50" s="1040"/>
      <c r="T50" s="1040"/>
      <c r="U50" s="1040"/>
    </row>
    <row r="51" spans="1:21">
      <c r="A51" s="118"/>
      <c r="B51" s="387"/>
      <c r="C51" s="387"/>
      <c r="D51" s="387"/>
      <c r="E51" s="387"/>
      <c r="F51" s="387"/>
      <c r="G51" s="387"/>
      <c r="H51" s="387"/>
      <c r="I51" s="387"/>
      <c r="J51" s="387"/>
    </row>
  </sheetData>
  <phoneticPr fontId="0" type="noConversion"/>
  <pageMargins left="0.48" right="0.47" top="1" bottom="0.49" header="0.48" footer="0.4921259845"/>
  <pageSetup paperSize="9" scale="88" orientation="portrait" horizontalDpi="4294967292" verticalDpi="4294967292"/>
  <headerFooter alignWithMargins="0">
    <oddHeader>&amp;L&amp;"Arial,Bold"Zusatzinformationen zum Gesundheitswesen</oddHeader>
  </headerFooter>
  <drawing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4FAF2-F4AC-564C-B704-FBAEBC2D49A5}">
  <sheetPr>
    <pageSetUpPr fitToPage="1"/>
  </sheetPr>
  <dimension ref="A1:N47"/>
  <sheetViews>
    <sheetView topLeftCell="A25" zoomScale="75" workbookViewId="0">
      <selection activeCell="J44" sqref="J44"/>
    </sheetView>
  </sheetViews>
  <sheetFormatPr baseColWidth="10" defaultColWidth="11.3984375" defaultRowHeight="13"/>
  <cols>
    <col min="1" max="1" width="11.796875" style="3" customWidth="1"/>
    <col min="2" max="8" width="11.796875" style="21" customWidth="1"/>
    <col min="9" max="9" width="12.19921875" style="21" customWidth="1"/>
    <col min="10" max="10" width="7.19921875" style="3" customWidth="1"/>
    <col min="11" max="16384" width="11.3984375" style="3"/>
  </cols>
  <sheetData>
    <row r="1" spans="1:9" s="1" customFormat="1" ht="14" customHeight="1">
      <c r="A1" s="372"/>
      <c r="B1" s="373"/>
      <c r="C1" s="373"/>
      <c r="D1" s="373"/>
      <c r="E1" s="373"/>
      <c r="F1" s="373"/>
      <c r="G1" s="373"/>
      <c r="H1" s="373"/>
      <c r="I1" s="373"/>
    </row>
    <row r="2" spans="1:9" s="1" customFormat="1" ht="39.75" customHeight="1">
      <c r="A2" s="1492" t="s">
        <v>877</v>
      </c>
      <c r="B2" s="1474"/>
      <c r="C2" s="1474"/>
      <c r="D2" s="1474"/>
      <c r="E2" s="1474"/>
      <c r="F2" s="1474"/>
      <c r="G2" s="1474"/>
      <c r="H2" s="1474"/>
      <c r="I2" s="321">
        <v>2003</v>
      </c>
    </row>
    <row r="3" spans="1:9" ht="27" customHeight="1">
      <c r="A3" s="2" t="s">
        <v>1591</v>
      </c>
      <c r="B3" s="69" t="s">
        <v>1484</v>
      </c>
      <c r="C3" s="16" t="s">
        <v>24</v>
      </c>
      <c r="D3" s="69" t="s">
        <v>1623</v>
      </c>
      <c r="E3" s="16" t="s">
        <v>865</v>
      </c>
      <c r="F3" s="69" t="s">
        <v>878</v>
      </c>
      <c r="G3" s="16" t="s">
        <v>1623</v>
      </c>
      <c r="H3" s="69" t="s">
        <v>866</v>
      </c>
      <c r="I3" s="16" t="s">
        <v>878</v>
      </c>
    </row>
    <row r="4" spans="1:9" ht="15" customHeight="1">
      <c r="A4" s="77"/>
      <c r="B4" s="470" t="s">
        <v>867</v>
      </c>
      <c r="C4" s="471" t="s">
        <v>25</v>
      </c>
      <c r="D4" s="70" t="s">
        <v>879</v>
      </c>
      <c r="E4" s="17" t="s">
        <v>880</v>
      </c>
      <c r="F4" s="70" t="s">
        <v>25</v>
      </c>
      <c r="G4" s="17" t="s">
        <v>868</v>
      </c>
      <c r="H4" s="70" t="s">
        <v>869</v>
      </c>
      <c r="I4" s="17" t="s">
        <v>25</v>
      </c>
    </row>
    <row r="5" spans="1:9" ht="15" hidden="1" customHeight="1">
      <c r="A5" s="77"/>
      <c r="B5" s="470"/>
      <c r="C5" s="471"/>
      <c r="D5" s="70" t="s">
        <v>870</v>
      </c>
      <c r="E5" s="17"/>
      <c r="F5" s="70"/>
      <c r="G5" s="17" t="s">
        <v>871</v>
      </c>
      <c r="H5" s="70"/>
      <c r="I5" s="17"/>
    </row>
    <row r="6" spans="1:9" ht="15" customHeight="1">
      <c r="A6" s="77"/>
      <c r="B6" s="470" t="s">
        <v>872</v>
      </c>
      <c r="C6" s="471" t="s">
        <v>26</v>
      </c>
      <c r="D6" s="470"/>
      <c r="E6" s="471"/>
      <c r="F6" s="470" t="s">
        <v>26</v>
      </c>
      <c r="G6" s="17" t="s">
        <v>881</v>
      </c>
      <c r="H6" s="470" t="s">
        <v>882</v>
      </c>
      <c r="I6" s="17" t="s">
        <v>26</v>
      </c>
    </row>
    <row r="7" spans="1:9" ht="27" customHeight="1">
      <c r="A7" s="405"/>
      <c r="B7" s="73" t="s">
        <v>883</v>
      </c>
      <c r="C7" s="18"/>
      <c r="D7" s="73"/>
      <c r="E7" s="18"/>
      <c r="F7" s="73"/>
      <c r="G7" s="18"/>
      <c r="H7" s="73"/>
      <c r="I7" s="18"/>
    </row>
    <row r="8" spans="1:9" ht="30" customHeight="1" thickBot="1">
      <c r="A8" s="379">
        <v>1985</v>
      </c>
      <c r="B8" s="19">
        <v>6533300</v>
      </c>
      <c r="C8" s="1026" t="s">
        <v>1013</v>
      </c>
      <c r="D8" s="19">
        <v>9298</v>
      </c>
      <c r="E8" s="1027">
        <v>1.4231705263802366</v>
      </c>
      <c r="F8" s="1028" t="s">
        <v>1013</v>
      </c>
      <c r="G8" s="86">
        <v>1381</v>
      </c>
      <c r="H8" s="1029">
        <v>2.113786294828035</v>
      </c>
      <c r="I8" s="1026" t="s">
        <v>1013</v>
      </c>
    </row>
    <row r="9" spans="1:9" ht="18" customHeight="1" thickBot="1">
      <c r="A9" s="380">
        <v>1986</v>
      </c>
      <c r="B9" s="29">
        <v>6572900</v>
      </c>
      <c r="C9" s="25">
        <v>6.0612554145684418E-3</v>
      </c>
      <c r="D9" s="29">
        <v>9646</v>
      </c>
      <c r="E9" s="1030">
        <v>1.4675409636537904</v>
      </c>
      <c r="F9" s="381">
        <v>3.1177175504335297E-2</v>
      </c>
      <c r="G9" s="116">
        <v>1418</v>
      </c>
      <c r="H9" s="1029">
        <v>2.1573430297129121</v>
      </c>
      <c r="I9" s="25">
        <v>2.0606025780113502E-2</v>
      </c>
    </row>
    <row r="10" spans="1:9" ht="18" customHeight="1" thickBot="1">
      <c r="A10" s="380">
        <v>1987</v>
      </c>
      <c r="B10" s="29">
        <v>6619000</v>
      </c>
      <c r="C10" s="25">
        <v>7.0136469442711744E-3</v>
      </c>
      <c r="D10" s="29">
        <v>9945</v>
      </c>
      <c r="E10" s="1030">
        <v>1.5024928236893791</v>
      </c>
      <c r="F10" s="381">
        <v>2.3816616299805249E-2</v>
      </c>
      <c r="G10" s="116">
        <v>1417</v>
      </c>
      <c r="H10" s="1029">
        <v>2.1408067683940173</v>
      </c>
      <c r="I10" s="25">
        <v>-7.6651052202372227E-3</v>
      </c>
    </row>
    <row r="11" spans="1:9" ht="18" customHeight="1" thickBot="1">
      <c r="A11" s="380">
        <v>1988</v>
      </c>
      <c r="B11" s="29">
        <v>6671500</v>
      </c>
      <c r="C11" s="25">
        <v>7.9317117389333738E-3</v>
      </c>
      <c r="D11" s="29">
        <v>10240</v>
      </c>
      <c r="E11" s="1030">
        <v>1.5348872067750881</v>
      </c>
      <c r="F11" s="381">
        <v>2.1560424499176278E-2</v>
      </c>
      <c r="G11" s="116">
        <v>1467</v>
      </c>
      <c r="H11" s="1029">
        <v>2.1989057932998577</v>
      </c>
      <c r="I11" s="25">
        <v>2.7138845861097938E-2</v>
      </c>
    </row>
    <row r="12" spans="1:9" ht="18" customHeight="1" thickBot="1">
      <c r="A12" s="380">
        <v>1989</v>
      </c>
      <c r="B12" s="29">
        <v>6723000</v>
      </c>
      <c r="C12" s="25">
        <v>7.7194034325114291E-3</v>
      </c>
      <c r="D12" s="29">
        <v>10278</v>
      </c>
      <c r="E12" s="1030">
        <v>1.5287817938420347</v>
      </c>
      <c r="F12" s="381">
        <v>-3.9777599983267242E-3</v>
      </c>
      <c r="G12" s="116">
        <v>1510</v>
      </c>
      <c r="H12" s="1029">
        <v>2.2460211215231296</v>
      </c>
      <c r="I12" s="25">
        <v>2.1426715217556902E-2</v>
      </c>
    </row>
    <row r="13" spans="1:9" ht="18" customHeight="1" thickBot="1">
      <c r="A13" s="380">
        <v>1990</v>
      </c>
      <c r="B13" s="29">
        <v>6796300</v>
      </c>
      <c r="C13" s="25">
        <v>1.0902870742228172E-2</v>
      </c>
      <c r="D13" s="29">
        <v>10398</v>
      </c>
      <c r="E13" s="1030">
        <v>1.5299501199181909</v>
      </c>
      <c r="F13" s="381">
        <v>7.6422029675016212E-4</v>
      </c>
      <c r="G13" s="116">
        <v>1536</v>
      </c>
      <c r="H13" s="1029">
        <v>2.2600532642761499</v>
      </c>
      <c r="I13" s="25">
        <v>6.2475560085135662E-3</v>
      </c>
    </row>
    <row r="14" spans="1:9" ht="18" customHeight="1" thickBot="1">
      <c r="A14" s="380">
        <v>1991</v>
      </c>
      <c r="B14" s="29">
        <v>6880100</v>
      </c>
      <c r="C14" s="25">
        <v>1.2330238512131601E-2</v>
      </c>
      <c r="D14" s="29">
        <v>10781</v>
      </c>
      <c r="E14" s="1030">
        <v>1.5669830380372378</v>
      </c>
      <c r="F14" s="381">
        <v>2.4205310772502209E-2</v>
      </c>
      <c r="G14" s="116">
        <v>1537</v>
      </c>
      <c r="H14" s="1029">
        <v>2.2339791572796908</v>
      </c>
      <c r="I14" s="25">
        <v>-1.153694357942936E-2</v>
      </c>
    </row>
    <row r="15" spans="1:9" ht="18" customHeight="1" thickBot="1">
      <c r="A15" s="380">
        <v>1992</v>
      </c>
      <c r="B15" s="29">
        <v>6943100</v>
      </c>
      <c r="C15" s="25">
        <v>9.1568436505283356E-3</v>
      </c>
      <c r="D15" s="29">
        <v>11120</v>
      </c>
      <c r="E15" s="1030">
        <v>1.6015900678371333</v>
      </c>
      <c r="F15" s="381">
        <v>2.2085133635679544E-2</v>
      </c>
      <c r="G15" s="116">
        <v>1562</v>
      </c>
      <c r="H15" s="1029">
        <v>2.2497155449294985</v>
      </c>
      <c r="I15" s="25">
        <v>7.0441067449213968E-3</v>
      </c>
    </row>
    <row r="16" spans="1:9" ht="18" customHeight="1" thickBot="1">
      <c r="A16" s="380">
        <v>1993</v>
      </c>
      <c r="B16" s="29">
        <v>6988900</v>
      </c>
      <c r="C16" s="25">
        <v>6.5964770779622936E-3</v>
      </c>
      <c r="D16" s="29">
        <v>11563</v>
      </c>
      <c r="E16" s="1030">
        <v>1.6544806765013091</v>
      </c>
      <c r="F16" s="381">
        <v>3.3023811602179709E-2</v>
      </c>
      <c r="G16" s="116">
        <v>1543</v>
      </c>
      <c r="H16" s="1029">
        <v>2.2077866330896136</v>
      </c>
      <c r="I16" s="25">
        <v>-1.8637428155922175E-2</v>
      </c>
    </row>
    <row r="17" spans="1:9" ht="18" customHeight="1" thickBot="1">
      <c r="A17" s="380">
        <v>1994</v>
      </c>
      <c r="B17" s="29">
        <v>7036851.9999999898</v>
      </c>
      <c r="C17" s="25">
        <v>6.8611655625334111E-3</v>
      </c>
      <c r="D17" s="29">
        <v>11814</v>
      </c>
      <c r="E17" s="1030">
        <v>1.6788757245427384</v>
      </c>
      <c r="F17" s="381">
        <v>1.4744837088709328E-2</v>
      </c>
      <c r="G17" s="116">
        <v>1614</v>
      </c>
      <c r="H17" s="1029">
        <v>2.2936392580091245</v>
      </c>
      <c r="I17" s="25">
        <v>3.8886287122486651E-2</v>
      </c>
    </row>
    <row r="18" spans="1:9" ht="18" customHeight="1" thickBot="1">
      <c r="A18" s="380">
        <v>1995</v>
      </c>
      <c r="B18" s="29">
        <v>7080948</v>
      </c>
      <c r="C18" s="25">
        <v>6.2664384585621961E-3</v>
      </c>
      <c r="D18" s="29">
        <v>12327</v>
      </c>
      <c r="E18" s="1030">
        <v>1.7408685955609333</v>
      </c>
      <c r="F18" s="381">
        <v>3.6925229254285208E-2</v>
      </c>
      <c r="G18" s="116">
        <v>1641</v>
      </c>
      <c r="H18" s="1029">
        <v>2.3174863026815054</v>
      </c>
      <c r="I18" s="25">
        <v>1.0397033704890424E-2</v>
      </c>
    </row>
    <row r="19" spans="1:9" ht="18" customHeight="1" thickBot="1">
      <c r="A19" s="380">
        <v>1996</v>
      </c>
      <c r="B19" s="29">
        <v>7105446</v>
      </c>
      <c r="C19" s="25">
        <v>3.459706242723432E-3</v>
      </c>
      <c r="D19" s="29">
        <v>12711</v>
      </c>
      <c r="E19" s="1030">
        <v>1.7889095209505499</v>
      </c>
      <c r="F19" s="381">
        <v>2.7595951533686547E-2</v>
      </c>
      <c r="G19" s="116">
        <v>1649</v>
      </c>
      <c r="H19" s="1029">
        <v>2.3207550940503947</v>
      </c>
      <c r="I19" s="25">
        <v>1.4104900491136441E-3</v>
      </c>
    </row>
    <row r="20" spans="1:9" ht="18" customHeight="1" thickBot="1">
      <c r="A20" s="380">
        <v>1997</v>
      </c>
      <c r="B20" s="29">
        <v>7113565</v>
      </c>
      <c r="C20" s="25">
        <v>1.142644670017899E-3</v>
      </c>
      <c r="D20" s="29">
        <v>13038</v>
      </c>
      <c r="E20" s="1030">
        <v>1.8328362782936545</v>
      </c>
      <c r="F20" s="381">
        <v>2.4555046987375651E-2</v>
      </c>
      <c r="G20" s="116">
        <v>1651</v>
      </c>
      <c r="H20" s="1029">
        <v>2.3209178520193463</v>
      </c>
      <c r="I20" s="25">
        <v>7.0131471161527514E-5</v>
      </c>
    </row>
    <row r="21" spans="1:9" ht="18" customHeight="1" thickBot="1">
      <c r="A21" s="380">
        <v>1998</v>
      </c>
      <c r="B21" s="29">
        <v>7131888</v>
      </c>
      <c r="C21" s="25">
        <v>2.5757830286220764E-3</v>
      </c>
      <c r="D21" s="29">
        <v>13357</v>
      </c>
      <c r="E21" s="1030">
        <v>1.8728561076674226</v>
      </c>
      <c r="F21" s="381">
        <v>2.1834917743458249E-2</v>
      </c>
      <c r="G21" s="116">
        <v>1653</v>
      </c>
      <c r="H21" s="1029">
        <v>2.3177593366581193</v>
      </c>
      <c r="I21" s="25">
        <v>-1.3608906314710456E-3</v>
      </c>
    </row>
    <row r="22" spans="1:9" ht="18" customHeight="1" thickBot="1">
      <c r="A22" s="380">
        <v>1999</v>
      </c>
      <c r="B22" s="29">
        <v>7166738</v>
      </c>
      <c r="C22" s="25">
        <v>4.8865041066264644E-3</v>
      </c>
      <c r="D22" s="29">
        <v>13622</v>
      </c>
      <c r="E22" s="1030">
        <v>1.9007252671996662</v>
      </c>
      <c r="F22" s="381">
        <v>1.4880566327625466E-2</v>
      </c>
      <c r="G22" s="116">
        <v>1654</v>
      </c>
      <c r="H22" s="1029">
        <v>2.3078840052475758</v>
      </c>
      <c r="I22" s="25">
        <v>-4.260723386743992E-3</v>
      </c>
    </row>
    <row r="23" spans="1:9" ht="18" customHeight="1" thickBot="1">
      <c r="A23" s="380">
        <v>2000</v>
      </c>
      <c r="B23" s="29">
        <v>7209042</v>
      </c>
      <c r="C23" s="25">
        <v>5.9028249672305588E-3</v>
      </c>
      <c r="D23" s="29">
        <v>13935</v>
      </c>
      <c r="E23" s="1030">
        <v>1.9329891544535323</v>
      </c>
      <c r="F23" s="381">
        <v>1.6974513787255674E-2</v>
      </c>
      <c r="G23" s="116">
        <v>1664</v>
      </c>
      <c r="H23" s="1029">
        <v>2.3082123810625603</v>
      </c>
      <c r="I23" s="25">
        <v>1.4228436708174641E-4</v>
      </c>
    </row>
    <row r="24" spans="1:9" ht="18" customHeight="1" thickBot="1">
      <c r="A24" s="380">
        <v>2001</v>
      </c>
      <c r="B24" s="29">
        <v>7260339</v>
      </c>
      <c r="C24" s="25">
        <v>7.1156472663080617E-3</v>
      </c>
      <c r="D24" s="29">
        <v>14178</v>
      </c>
      <c r="E24" s="1030">
        <v>1.952801377456342</v>
      </c>
      <c r="F24" s="381">
        <v>1.0249526210306614E-2</v>
      </c>
      <c r="G24" s="116">
        <v>1653</v>
      </c>
      <c r="H24" s="1029">
        <v>2.2767531929294211</v>
      </c>
      <c r="I24" s="25">
        <v>-1.362924330154458E-2</v>
      </c>
    </row>
    <row r="25" spans="1:9" ht="18" customHeight="1" thickBot="1">
      <c r="A25" s="380">
        <v>2002</v>
      </c>
      <c r="B25" s="29">
        <v>7347770</v>
      </c>
      <c r="C25" s="25">
        <v>1.2042275160980775E-2</v>
      </c>
      <c r="D25" s="29">
        <v>14408</v>
      </c>
      <c r="E25" s="1030">
        <v>1.9608670385708864</v>
      </c>
      <c r="F25" s="381">
        <v>4.1303028601149538E-3</v>
      </c>
      <c r="G25" s="116">
        <v>1648</v>
      </c>
      <c r="H25" s="1029">
        <v>2.2428573567218355</v>
      </c>
      <c r="I25" s="25">
        <v>-1.4887795617395394E-2</v>
      </c>
    </row>
    <row r="26" spans="1:9" ht="30" customHeight="1" thickBot="1">
      <c r="A26" s="474">
        <v>2003</v>
      </c>
      <c r="B26" s="356">
        <v>7405051</v>
      </c>
      <c r="C26" s="489">
        <v>7.7956985588824908E-3</v>
      </c>
      <c r="D26" s="356">
        <v>14879</v>
      </c>
      <c r="E26" s="1031">
        <v>2.0093041898023394</v>
      </c>
      <c r="F26" s="488">
        <v>2.4701904962793897E-2</v>
      </c>
      <c r="G26" s="357">
        <v>1653</v>
      </c>
      <c r="H26" s="1032">
        <v>2.2322601154266191</v>
      </c>
      <c r="I26" s="489">
        <v>-4.7248842033830174E-3</v>
      </c>
    </row>
    <row r="27" spans="1:9" ht="20" customHeight="1">
      <c r="A27" s="477" t="s">
        <v>327</v>
      </c>
      <c r="B27" s="478"/>
      <c r="C27" s="478"/>
      <c r="D27" s="478"/>
      <c r="E27" s="478"/>
      <c r="F27" s="478"/>
      <c r="G27" s="478"/>
      <c r="H27" s="478"/>
      <c r="I27" s="478"/>
    </row>
    <row r="28" spans="1:9" ht="17.25" customHeight="1">
      <c r="A28" s="479"/>
      <c r="B28" s="480"/>
      <c r="C28" s="480"/>
      <c r="D28" s="480"/>
      <c r="E28" s="480"/>
      <c r="F28" s="480"/>
      <c r="G28" s="480"/>
      <c r="H28" s="480"/>
      <c r="I28" s="480"/>
    </row>
    <row r="29" spans="1:9" ht="12" customHeight="1">
      <c r="A29" s="479" t="s">
        <v>873</v>
      </c>
      <c r="B29" s="480"/>
      <c r="C29" s="480"/>
      <c r="D29" s="480"/>
      <c r="E29" s="480"/>
      <c r="F29" s="480"/>
      <c r="G29" s="480"/>
      <c r="H29" s="480"/>
      <c r="I29" s="480"/>
    </row>
    <row r="30" spans="1:9" ht="12" customHeight="1">
      <c r="A30" s="355" t="s">
        <v>874</v>
      </c>
      <c r="B30" s="480"/>
      <c r="C30" s="480"/>
      <c r="D30" s="480"/>
      <c r="E30" s="480"/>
      <c r="F30" s="480"/>
      <c r="G30" s="480"/>
      <c r="H30" s="480"/>
      <c r="I30" s="480"/>
    </row>
    <row r="31" spans="1:9" ht="12" customHeight="1">
      <c r="A31" s="355" t="s">
        <v>875</v>
      </c>
      <c r="B31" s="480"/>
      <c r="C31" s="480"/>
      <c r="D31" s="480"/>
      <c r="E31" s="480"/>
      <c r="F31" s="480"/>
      <c r="G31" s="480"/>
      <c r="H31" s="480"/>
      <c r="I31" s="480"/>
    </row>
    <row r="32" spans="1:9" ht="12" customHeight="1">
      <c r="A32" s="355" t="s">
        <v>876</v>
      </c>
      <c r="B32" s="480"/>
      <c r="C32" s="480"/>
      <c r="D32" s="480"/>
      <c r="E32" s="480"/>
      <c r="F32" s="480"/>
      <c r="G32" s="480"/>
      <c r="H32" s="480"/>
      <c r="I32" s="480"/>
    </row>
    <row r="33" spans="1:14" ht="11.25" customHeight="1">
      <c r="A33" s="479" t="s">
        <v>328</v>
      </c>
      <c r="B33" s="482"/>
      <c r="C33" s="482"/>
      <c r="D33" s="482"/>
      <c r="E33" s="482"/>
      <c r="F33" s="482"/>
      <c r="G33" s="482"/>
      <c r="H33" s="482"/>
      <c r="I33" s="482"/>
    </row>
    <row r="34" spans="1:14" ht="15" customHeight="1">
      <c r="A34" s="10"/>
      <c r="B34" s="482"/>
      <c r="C34" s="482"/>
      <c r="D34" s="482"/>
      <c r="E34" s="482"/>
      <c r="F34" s="482"/>
      <c r="G34" s="482"/>
      <c r="H34" s="482"/>
      <c r="I34" s="482"/>
    </row>
    <row r="35" spans="1:14" ht="15" customHeight="1">
      <c r="A35" s="38"/>
      <c r="B35" s="494"/>
      <c r="C35" s="494"/>
      <c r="D35" s="494"/>
      <c r="E35" s="494"/>
      <c r="F35" s="494"/>
      <c r="G35" s="494"/>
      <c r="H35" s="494"/>
      <c r="I35" s="494"/>
      <c r="J35" s="38"/>
      <c r="K35" s="38"/>
      <c r="L35" s="38"/>
      <c r="M35" s="38"/>
      <c r="N35" s="38"/>
    </row>
    <row r="36" spans="1:14" ht="15" customHeight="1">
      <c r="A36" s="38" t="s">
        <v>256</v>
      </c>
      <c r="B36" s="494"/>
      <c r="C36" s="494"/>
      <c r="D36" s="494"/>
      <c r="E36" s="494"/>
      <c r="F36" s="494"/>
      <c r="G36" s="494"/>
      <c r="H36" s="494"/>
      <c r="I36" s="494"/>
      <c r="J36" s="38"/>
      <c r="K36" s="38"/>
      <c r="L36" s="1033"/>
      <c r="M36" s="38"/>
      <c r="N36" s="38"/>
    </row>
    <row r="37" spans="1:14" ht="31" customHeight="1">
      <c r="A37" s="38"/>
      <c r="B37" s="494"/>
      <c r="C37" s="494"/>
      <c r="D37" s="494"/>
      <c r="E37" s="494"/>
      <c r="F37" s="494"/>
      <c r="G37" s="494"/>
      <c r="H37" s="494"/>
      <c r="I37" s="494"/>
      <c r="J37" s="38"/>
      <c r="K37" s="38"/>
      <c r="L37" s="38"/>
      <c r="M37" s="38"/>
      <c r="N37" s="38"/>
    </row>
    <row r="38" spans="1:14" ht="31" customHeight="1">
      <c r="A38" s="38"/>
      <c r="B38" s="494"/>
      <c r="C38" s="494"/>
      <c r="D38" s="494"/>
      <c r="E38" s="494"/>
      <c r="F38" s="494"/>
      <c r="G38" s="494"/>
      <c r="H38" s="494"/>
      <c r="I38" s="494"/>
      <c r="J38" s="38"/>
      <c r="K38" s="38"/>
      <c r="L38" s="38"/>
      <c r="M38" s="38"/>
      <c r="N38" s="38"/>
    </row>
    <row r="39" spans="1:14" ht="31" customHeight="1">
      <c r="A39" s="38"/>
      <c r="B39" s="494"/>
      <c r="C39" s="494"/>
      <c r="D39" s="494"/>
      <c r="E39" s="494"/>
      <c r="F39" s="494"/>
      <c r="G39" s="494"/>
      <c r="H39" s="494"/>
      <c r="I39" s="494"/>
      <c r="J39" s="38"/>
      <c r="K39" s="38"/>
      <c r="L39" s="38"/>
      <c r="M39" s="38"/>
      <c r="N39" s="38"/>
    </row>
    <row r="40" spans="1:14" ht="31" customHeight="1">
      <c r="A40" s="38"/>
      <c r="B40" s="494"/>
      <c r="C40" s="494"/>
      <c r="D40" s="494"/>
      <c r="E40" s="494"/>
      <c r="F40" s="494"/>
      <c r="G40" s="494"/>
      <c r="H40" s="494"/>
      <c r="I40" s="494"/>
      <c r="J40" s="38"/>
      <c r="K40" s="38"/>
      <c r="L40" s="38"/>
      <c r="M40" s="38"/>
      <c r="N40" s="38"/>
    </row>
    <row r="41" spans="1:14" ht="31" customHeight="1">
      <c r="A41" s="38"/>
      <c r="B41" s="494"/>
      <c r="C41" s="494"/>
      <c r="D41" s="494"/>
      <c r="E41" s="494"/>
      <c r="F41" s="494"/>
      <c r="G41" s="494"/>
      <c r="H41" s="494"/>
      <c r="I41" s="494"/>
      <c r="J41" s="38"/>
      <c r="K41" s="38"/>
      <c r="L41" s="38"/>
      <c r="M41" s="38"/>
      <c r="N41" s="38"/>
    </row>
    <row r="42" spans="1:14" ht="18" customHeight="1">
      <c r="A42" s="38"/>
      <c r="B42" s="494"/>
      <c r="C42" s="494"/>
      <c r="D42" s="494"/>
      <c r="E42" s="494"/>
      <c r="F42" s="494"/>
      <c r="G42" s="494"/>
      <c r="H42" s="494"/>
      <c r="I42" s="494"/>
      <c r="J42" s="38"/>
      <c r="K42" s="38"/>
      <c r="L42" s="38"/>
      <c r="M42" s="38"/>
      <c r="N42" s="38"/>
    </row>
    <row r="43" spans="1:14">
      <c r="A43" s="38"/>
      <c r="B43" s="494"/>
      <c r="C43" s="494"/>
      <c r="D43" s="494"/>
      <c r="E43" s="494"/>
      <c r="F43" s="494"/>
      <c r="G43" s="494"/>
      <c r="H43" s="494"/>
      <c r="I43" s="494"/>
      <c r="J43" s="38"/>
      <c r="K43" s="38"/>
      <c r="L43" s="38"/>
      <c r="M43" s="38"/>
      <c r="N43" s="38"/>
    </row>
    <row r="44" spans="1:14">
      <c r="A44" s="38"/>
      <c r="B44" s="494"/>
      <c r="C44" s="494"/>
      <c r="D44" s="494"/>
      <c r="E44" s="494"/>
      <c r="F44" s="494"/>
      <c r="G44" s="494"/>
      <c r="H44" s="494"/>
      <c r="I44" s="494"/>
      <c r="J44" s="38"/>
      <c r="K44" s="38"/>
      <c r="L44" s="38"/>
      <c r="M44" s="38"/>
      <c r="N44" s="38"/>
    </row>
    <row r="45" spans="1:14">
      <c r="A45" s="38"/>
      <c r="B45" s="494"/>
      <c r="C45" s="494"/>
      <c r="D45" s="494"/>
      <c r="E45" s="494"/>
      <c r="F45" s="494"/>
      <c r="G45" s="494"/>
      <c r="H45" s="494"/>
      <c r="I45" s="494"/>
      <c r="J45" s="38"/>
      <c r="K45" s="38"/>
      <c r="L45" s="38"/>
      <c r="M45" s="38"/>
      <c r="N45" s="38"/>
    </row>
    <row r="46" spans="1:14">
      <c r="A46" s="38"/>
      <c r="B46" s="494"/>
      <c r="C46" s="494"/>
      <c r="D46" s="494"/>
      <c r="E46" s="494"/>
      <c r="F46" s="494"/>
      <c r="G46" s="494"/>
      <c r="H46" s="494"/>
      <c r="I46" s="494"/>
      <c r="J46" s="38"/>
      <c r="K46" s="38"/>
      <c r="L46" s="38"/>
      <c r="M46" s="38"/>
      <c r="N46" s="38"/>
    </row>
    <row r="47" spans="1:14">
      <c r="A47" s="38"/>
      <c r="B47" s="494"/>
      <c r="C47" s="494"/>
      <c r="D47" s="494"/>
      <c r="E47" s="494"/>
      <c r="F47" s="494"/>
      <c r="G47" s="494"/>
      <c r="H47" s="494"/>
      <c r="I47" s="494"/>
      <c r="J47" s="38"/>
      <c r="K47" s="38"/>
      <c r="L47" s="38"/>
      <c r="M47" s="38"/>
      <c r="N47" s="38"/>
    </row>
  </sheetData>
  <mergeCells count="1">
    <mergeCell ref="A2:H2"/>
  </mergeCells>
  <phoneticPr fontId="0" type="noConversion"/>
  <pageMargins left="0.55000000000000004" right="0.61" top="0.94" bottom="0.49" header="0.56999999999999995" footer="0.4921259845"/>
  <pageSetup paperSize="9" scale="87" orientation="portrait" horizontalDpi="4294967292" verticalDpi="4294967292"/>
  <headerFooter alignWithMargins="0">
    <oddHeader>&amp;L&amp;"Arial,Bold"Zusatzinformationen zum Gesundheitswesen</oddHeader>
  </headerFooter>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732E4-5F1C-6E4F-B54D-77945DC4BF9C}">
  <sheetPr>
    <pageSetUpPr fitToPage="1"/>
  </sheetPr>
  <dimension ref="A1:N35"/>
  <sheetViews>
    <sheetView zoomScale="75" workbookViewId="0">
      <selection sqref="A1:N53"/>
    </sheetView>
  </sheetViews>
  <sheetFormatPr baseColWidth="10" defaultColWidth="11.3984375" defaultRowHeight="13"/>
  <cols>
    <col min="1" max="1" width="15.59765625" style="3" customWidth="1"/>
    <col min="2" max="2" width="14" style="21" customWidth="1"/>
    <col min="3" max="3" width="13.3984375" style="21" customWidth="1"/>
    <col min="4" max="4" width="12.796875" style="21" customWidth="1"/>
    <col min="5" max="5" width="13" style="21" customWidth="1"/>
    <col min="6" max="6" width="13.796875" style="21" customWidth="1"/>
    <col min="7" max="7" width="13.19921875" style="21" customWidth="1"/>
    <col min="8" max="8" width="12.59765625" style="3" customWidth="1"/>
    <col min="9" max="9" width="12.796875" style="3" customWidth="1"/>
    <col min="10" max="10" width="13.3984375" customWidth="1"/>
    <col min="11" max="11" width="11.3984375" style="3"/>
    <col min="12" max="12" width="12.19921875" style="3" customWidth="1"/>
    <col min="13" max="13" width="11.3984375" style="3"/>
    <col min="14" max="14" width="14.19921875" style="3" customWidth="1"/>
    <col min="15" max="16384" width="11.3984375" style="3"/>
  </cols>
  <sheetData>
    <row r="1" spans="1:14" s="1" customFormat="1" ht="14" customHeight="1">
      <c r="A1" s="372"/>
      <c r="B1" s="373"/>
      <c r="C1" s="373"/>
      <c r="D1" s="373"/>
      <c r="E1" s="373"/>
      <c r="F1" s="373"/>
      <c r="G1" s="373"/>
      <c r="H1" s="372"/>
      <c r="J1"/>
    </row>
    <row r="2" spans="1:14" s="1" customFormat="1" ht="27" customHeight="1">
      <c r="A2" s="374" t="s">
        <v>849</v>
      </c>
      <c r="B2" s="373"/>
      <c r="C2" s="373"/>
      <c r="D2" s="373"/>
      <c r="E2" s="373"/>
      <c r="F2" s="373"/>
      <c r="G2" s="373"/>
      <c r="H2" s="372"/>
      <c r="I2" s="1015"/>
      <c r="J2"/>
      <c r="N2" s="321">
        <v>2003</v>
      </c>
    </row>
    <row r="3" spans="1:14" ht="21.75" customHeight="1">
      <c r="A3" s="2" t="s">
        <v>1591</v>
      </c>
      <c r="B3" s="566" t="s">
        <v>850</v>
      </c>
      <c r="C3" s="969" t="s">
        <v>851</v>
      </c>
      <c r="D3" s="989"/>
      <c r="E3" s="16"/>
      <c r="F3" s="69"/>
      <c r="G3" s="969" t="s">
        <v>861</v>
      </c>
      <c r="H3" s="69"/>
      <c r="I3" s="16"/>
      <c r="J3" s="69"/>
      <c r="K3" s="969" t="s">
        <v>852</v>
      </c>
      <c r="L3" s="69"/>
      <c r="M3" s="16"/>
      <c r="N3" s="69"/>
    </row>
    <row r="4" spans="1:14" ht="18" customHeight="1">
      <c r="A4" s="77"/>
      <c r="B4" s="568" t="s">
        <v>1396</v>
      </c>
      <c r="C4" s="1016"/>
      <c r="D4" s="470"/>
      <c r="E4" s="17"/>
      <c r="F4" s="70"/>
      <c r="G4" s="1016"/>
      <c r="H4" s="470"/>
      <c r="I4" s="17"/>
      <c r="J4" s="70"/>
      <c r="K4" s="1016" t="s">
        <v>853</v>
      </c>
      <c r="L4" s="470"/>
      <c r="M4" s="17"/>
      <c r="N4" s="70"/>
    </row>
    <row r="5" spans="1:14" s="526" customFormat="1" ht="15" customHeight="1">
      <c r="A5" s="516"/>
      <c r="B5" s="568" t="s">
        <v>854</v>
      </c>
      <c r="C5" s="1017" t="s">
        <v>245</v>
      </c>
      <c r="D5" s="70" t="s">
        <v>245</v>
      </c>
      <c r="E5" s="17" t="s">
        <v>245</v>
      </c>
      <c r="F5" s="568" t="s">
        <v>850</v>
      </c>
      <c r="G5" s="1017" t="s">
        <v>245</v>
      </c>
      <c r="H5" s="70" t="s">
        <v>245</v>
      </c>
      <c r="I5" s="17" t="s">
        <v>245</v>
      </c>
      <c r="J5" s="568" t="s">
        <v>850</v>
      </c>
      <c r="K5" s="1017" t="s">
        <v>245</v>
      </c>
      <c r="L5" s="70" t="s">
        <v>245</v>
      </c>
      <c r="M5" s="17" t="s">
        <v>245</v>
      </c>
      <c r="N5" s="568" t="s">
        <v>850</v>
      </c>
    </row>
    <row r="6" spans="1:14" s="526" customFormat="1" ht="15" customHeight="1">
      <c r="A6" s="516"/>
      <c r="B6" s="568" t="s">
        <v>855</v>
      </c>
      <c r="C6" s="1017" t="s">
        <v>808</v>
      </c>
      <c r="D6" s="470" t="s">
        <v>809</v>
      </c>
      <c r="E6" s="17" t="s">
        <v>810</v>
      </c>
      <c r="F6" s="568" t="s">
        <v>1396</v>
      </c>
      <c r="G6" s="1017" t="s">
        <v>808</v>
      </c>
      <c r="H6" s="470" t="s">
        <v>809</v>
      </c>
      <c r="I6" s="17" t="s">
        <v>810</v>
      </c>
      <c r="J6" s="568" t="s">
        <v>1396</v>
      </c>
      <c r="K6" s="1017" t="s">
        <v>808</v>
      </c>
      <c r="L6" s="470" t="s">
        <v>809</v>
      </c>
      <c r="M6" s="17" t="s">
        <v>810</v>
      </c>
      <c r="N6" s="568" t="s">
        <v>1396</v>
      </c>
    </row>
    <row r="7" spans="1:14" s="526" customFormat="1" ht="18" customHeight="1">
      <c r="A7" s="516"/>
      <c r="B7" s="1018" t="s">
        <v>862</v>
      </c>
      <c r="C7" s="1017" t="s">
        <v>856</v>
      </c>
      <c r="D7" s="568" t="s">
        <v>863</v>
      </c>
      <c r="E7" s="569" t="s">
        <v>863</v>
      </c>
      <c r="F7" s="568"/>
      <c r="G7" s="1017" t="s">
        <v>856</v>
      </c>
      <c r="H7" s="568" t="s">
        <v>857</v>
      </c>
      <c r="I7" s="569" t="s">
        <v>857</v>
      </c>
      <c r="J7" s="568"/>
      <c r="K7" s="1017" t="s">
        <v>856</v>
      </c>
      <c r="L7" s="568" t="s">
        <v>857</v>
      </c>
      <c r="M7" s="569" t="s">
        <v>857</v>
      </c>
      <c r="N7" s="568"/>
    </row>
    <row r="8" spans="1:14" s="526" customFormat="1" ht="24" customHeight="1">
      <c r="A8" s="516"/>
      <c r="B8" s="568"/>
      <c r="C8" s="1017" t="s">
        <v>864</v>
      </c>
      <c r="D8" s="568"/>
      <c r="E8" s="569"/>
      <c r="F8" s="568"/>
      <c r="G8" s="1017" t="s">
        <v>857</v>
      </c>
      <c r="H8" s="568"/>
      <c r="I8" s="569"/>
      <c r="J8" s="568"/>
      <c r="K8" s="1017" t="s">
        <v>857</v>
      </c>
      <c r="L8" s="568"/>
      <c r="M8" s="569"/>
      <c r="N8" s="568"/>
    </row>
    <row r="9" spans="1:14" ht="24" customHeight="1" thickBot="1">
      <c r="A9" s="485">
        <v>1994</v>
      </c>
      <c r="B9" s="1019">
        <v>7131653</v>
      </c>
      <c r="C9" s="1020" t="s">
        <v>1013</v>
      </c>
      <c r="D9" s="486">
        <v>0.19055217633275204</v>
      </c>
      <c r="E9" s="487">
        <v>0.10299505598491682</v>
      </c>
      <c r="F9" s="1019">
        <v>2093477</v>
      </c>
      <c r="G9" s="1020" t="s">
        <v>1013</v>
      </c>
      <c r="H9" s="486" t="s">
        <v>1013</v>
      </c>
      <c r="I9" s="487" t="s">
        <v>1013</v>
      </c>
      <c r="J9" s="486" t="s">
        <v>1013</v>
      </c>
      <c r="K9" s="1020" t="s">
        <v>1013</v>
      </c>
      <c r="L9" s="486" t="s">
        <v>1013</v>
      </c>
      <c r="M9" s="487" t="s">
        <v>1013</v>
      </c>
      <c r="N9" s="486" t="s">
        <v>1013</v>
      </c>
    </row>
    <row r="10" spans="1:14" ht="24" customHeight="1" thickBot="1">
      <c r="A10" s="485">
        <v>1995</v>
      </c>
      <c r="B10" s="1019">
        <v>7166317</v>
      </c>
      <c r="C10" s="1020" t="s">
        <v>1013</v>
      </c>
      <c r="D10" s="486">
        <v>0.19392360120268193</v>
      </c>
      <c r="E10" s="487">
        <v>0.10486920966515995</v>
      </c>
      <c r="F10" s="1019">
        <v>2141244</v>
      </c>
      <c r="G10" s="1020" t="s">
        <v>1013</v>
      </c>
      <c r="H10" s="486" t="s">
        <v>1013</v>
      </c>
      <c r="I10" s="487" t="s">
        <v>1013</v>
      </c>
      <c r="J10" s="486" t="s">
        <v>1013</v>
      </c>
      <c r="K10" s="1020" t="s">
        <v>1013</v>
      </c>
      <c r="L10" s="486" t="s">
        <v>1013</v>
      </c>
      <c r="M10" s="487" t="s">
        <v>1013</v>
      </c>
      <c r="N10" s="486" t="s">
        <v>1013</v>
      </c>
    </row>
    <row r="11" spans="1:14" ht="24" customHeight="1" thickBot="1">
      <c r="A11" s="485">
        <v>1996</v>
      </c>
      <c r="B11" s="1019">
        <v>7194754</v>
      </c>
      <c r="C11" s="1020" t="s">
        <v>1013</v>
      </c>
      <c r="D11" s="486">
        <v>0.18782351696805755</v>
      </c>
      <c r="E11" s="487">
        <v>0.10061414191506757</v>
      </c>
      <c r="F11" s="1019">
        <v>2075238</v>
      </c>
      <c r="G11" s="1020" t="s">
        <v>1013</v>
      </c>
      <c r="H11" s="486" t="s">
        <v>1013</v>
      </c>
      <c r="I11" s="487" t="s">
        <v>1013</v>
      </c>
      <c r="J11" s="486" t="s">
        <v>1013</v>
      </c>
      <c r="K11" s="1020" t="s">
        <v>1013</v>
      </c>
      <c r="L11" s="486" t="s">
        <v>1013</v>
      </c>
      <c r="M11" s="487" t="s">
        <v>1013</v>
      </c>
      <c r="N11" s="486" t="s">
        <v>1013</v>
      </c>
    </row>
    <row r="12" spans="1:14" ht="24" customHeight="1" thickBot="1">
      <c r="A12" s="485">
        <v>1997</v>
      </c>
      <c r="B12" s="1019">
        <v>7214805</v>
      </c>
      <c r="C12" s="1020">
        <v>0.2921774046561203</v>
      </c>
      <c r="D12" s="486">
        <v>0.17122098241047401</v>
      </c>
      <c r="E12" s="487">
        <v>8.6709897218289339E-2</v>
      </c>
      <c r="F12" s="1019">
        <v>3968924</v>
      </c>
      <c r="G12" s="1020">
        <v>4.6746100552960197E-2</v>
      </c>
      <c r="H12" s="486">
        <v>2.1729346808402997E-2</v>
      </c>
      <c r="I12" s="487">
        <v>6.734901359080391E-3</v>
      </c>
      <c r="J12" s="1019">
        <v>542628</v>
      </c>
      <c r="K12" s="1020">
        <v>0.33892350520908049</v>
      </c>
      <c r="L12" s="486">
        <v>0.192950329218877</v>
      </c>
      <c r="M12" s="487">
        <v>9.3444798577369731E-2</v>
      </c>
      <c r="N12" s="1019">
        <v>4511552</v>
      </c>
    </row>
    <row r="13" spans="1:14" ht="24" customHeight="1" thickBot="1">
      <c r="A13" s="485">
        <v>1998</v>
      </c>
      <c r="B13" s="1019">
        <v>7248603</v>
      </c>
      <c r="C13" s="1020">
        <v>0.31128039430494397</v>
      </c>
      <c r="D13" s="486">
        <v>0.16889778623549945</v>
      </c>
      <c r="E13" s="487">
        <v>8.0429428953413512E-2</v>
      </c>
      <c r="F13" s="1019">
        <v>4063622</v>
      </c>
      <c r="G13" s="1020">
        <v>4.7327740255605114E-2</v>
      </c>
      <c r="H13" s="486">
        <v>2.1183943995829266E-2</v>
      </c>
      <c r="I13" s="487">
        <v>6.9956928252243918E-3</v>
      </c>
      <c r="J13" s="1019">
        <v>547323</v>
      </c>
      <c r="K13" s="1020">
        <v>0.35860813456054907</v>
      </c>
      <c r="L13" s="486">
        <v>0.19008173023132871</v>
      </c>
      <c r="M13" s="487">
        <v>8.7425121778637899E-2</v>
      </c>
      <c r="N13" s="1019">
        <v>4610945</v>
      </c>
    </row>
    <row r="14" spans="1:14" ht="24" customHeight="1" thickBot="1">
      <c r="A14" s="380">
        <v>1999</v>
      </c>
      <c r="B14" s="1019">
        <v>7266534</v>
      </c>
      <c r="C14" s="1020">
        <v>0.27493520294544826</v>
      </c>
      <c r="D14" s="486">
        <v>0.15472314586293823</v>
      </c>
      <c r="E14" s="487">
        <v>7.4331173569132131E-2</v>
      </c>
      <c r="F14" s="1019">
        <v>3662257</v>
      </c>
      <c r="G14" s="1020">
        <v>7.5837668962947122E-2</v>
      </c>
      <c r="H14" s="486">
        <v>3.5360462085500463E-2</v>
      </c>
      <c r="I14" s="487">
        <v>5.9961186447348904E-3</v>
      </c>
      <c r="J14" s="1019">
        <v>851596</v>
      </c>
      <c r="K14" s="1020">
        <v>0.3507728719083954</v>
      </c>
      <c r="L14" s="486">
        <v>0.1900836079484387</v>
      </c>
      <c r="M14" s="487">
        <v>8.0327292213867016E-2</v>
      </c>
      <c r="N14" s="1019">
        <v>4513853</v>
      </c>
    </row>
    <row r="15" spans="1:14" ht="24" customHeight="1" thickBot="1">
      <c r="A15" s="380">
        <v>2000</v>
      </c>
      <c r="B15" s="1019">
        <v>7268111</v>
      </c>
      <c r="C15" s="1020">
        <v>0.20126508799879364</v>
      </c>
      <c r="D15" s="486">
        <v>0.12321647261578696</v>
      </c>
      <c r="E15" s="487">
        <v>6.2163057223534421E-2</v>
      </c>
      <c r="F15" s="1019">
        <v>2810176</v>
      </c>
      <c r="G15" s="1020">
        <v>0.19326576052567165</v>
      </c>
      <c r="H15" s="486">
        <v>6.6940089384985996E-2</v>
      </c>
      <c r="I15" s="487">
        <v>2.2992631785618025E-2</v>
      </c>
      <c r="J15" s="1019">
        <v>2058318</v>
      </c>
      <c r="K15" s="1020">
        <v>0.39453084852446529</v>
      </c>
      <c r="L15" s="486">
        <v>0.19015656200077297</v>
      </c>
      <c r="M15" s="487">
        <v>8.5155689009152449E-2</v>
      </c>
      <c r="N15" s="1019">
        <v>4868494</v>
      </c>
    </row>
    <row r="16" spans="1:14" ht="24" customHeight="1" thickBot="1">
      <c r="A16" s="380">
        <v>2001</v>
      </c>
      <c r="B16" s="1019">
        <v>7321287</v>
      </c>
      <c r="C16" s="1020">
        <v>0.16551188336149095</v>
      </c>
      <c r="D16" s="486">
        <v>0.11914653803354519</v>
      </c>
      <c r="E16" s="487">
        <v>6.1670168100226096E-2</v>
      </c>
      <c r="F16" s="1019">
        <v>2535571</v>
      </c>
      <c r="G16" s="1020">
        <v>0.22884637632700372</v>
      </c>
      <c r="H16" s="486">
        <v>9.1391855011284218E-2</v>
      </c>
      <c r="I16" s="487">
        <v>3.6045984811140443E-2</v>
      </c>
      <c r="J16" s="1019">
        <v>2608459</v>
      </c>
      <c r="K16" s="1020">
        <v>0.39435825968849469</v>
      </c>
      <c r="L16" s="486">
        <v>0.21053839304482941</v>
      </c>
      <c r="M16" s="487">
        <v>9.7716152911366538E-2</v>
      </c>
      <c r="N16" s="1019">
        <v>5144030</v>
      </c>
    </row>
    <row r="17" spans="1:14" ht="24" customHeight="1" thickBot="1">
      <c r="A17" s="380">
        <v>2002</v>
      </c>
      <c r="B17" s="1019">
        <v>7359365</v>
      </c>
      <c r="C17" s="1020">
        <v>0.19453539809480846</v>
      </c>
      <c r="D17" s="486">
        <v>0.10741619691372829</v>
      </c>
      <c r="E17" s="487">
        <v>5.1274804279988831E-2</v>
      </c>
      <c r="F17" s="1019">
        <v>2599522</v>
      </c>
      <c r="G17" s="1020">
        <v>0.22534498560677449</v>
      </c>
      <c r="H17" s="486">
        <v>9.5236341722417628E-2</v>
      </c>
      <c r="I17" s="487">
        <v>4.2874215370483727E-2</v>
      </c>
      <c r="J17" s="1019">
        <v>2674802</v>
      </c>
      <c r="K17" s="1020">
        <v>0.41988038370158298</v>
      </c>
      <c r="L17" s="486">
        <v>0.20265253863614591</v>
      </c>
      <c r="M17" s="487">
        <v>9.4149019650472565E-2</v>
      </c>
      <c r="N17" s="1019">
        <v>5274324</v>
      </c>
    </row>
    <row r="18" spans="1:14" s="109" customFormat="1" ht="27.75" customHeight="1" thickBot="1">
      <c r="A18" s="474">
        <v>2003</v>
      </c>
      <c r="B18" s="562">
        <v>7393188</v>
      </c>
      <c r="C18" s="1021">
        <v>0.16424484268491482</v>
      </c>
      <c r="D18" s="1022">
        <v>0.10284683684494429</v>
      </c>
      <c r="E18" s="1023">
        <v>4.5843416940026416E-2</v>
      </c>
      <c r="F18" s="1024">
        <v>2313588</v>
      </c>
      <c r="G18" s="1021">
        <v>0.2580031780606688</v>
      </c>
      <c r="H18" s="1022">
        <v>9.3782276333294917E-2</v>
      </c>
      <c r="I18" s="383">
        <v>4.102993187783132E-2</v>
      </c>
      <c r="J18" s="562">
        <v>2904158</v>
      </c>
      <c r="K18" s="1025">
        <v>0.42224802074558365</v>
      </c>
      <c r="L18" s="307">
        <v>0.19662911317823922</v>
      </c>
      <c r="M18" s="383">
        <v>8.6873348817857743E-2</v>
      </c>
      <c r="N18" s="562">
        <v>5217746</v>
      </c>
    </row>
    <row r="19" spans="1:14" ht="20" customHeight="1">
      <c r="A19" s="477" t="s">
        <v>2138</v>
      </c>
      <c r="B19" s="478"/>
      <c r="C19" s="478"/>
      <c r="D19" s="478"/>
      <c r="E19" s="478"/>
      <c r="F19" s="478"/>
      <c r="G19" s="478"/>
      <c r="H19" s="478"/>
    </row>
    <row r="20" spans="1:14" ht="11.25" customHeight="1">
      <c r="A20" s="479"/>
      <c r="B20" s="480"/>
      <c r="C20" s="480"/>
      <c r="D20" s="480"/>
      <c r="E20" s="480"/>
      <c r="F20" s="480"/>
      <c r="G20" s="480"/>
      <c r="H20" s="480"/>
    </row>
    <row r="21" spans="1:14" ht="12.75" customHeight="1">
      <c r="A21" s="479" t="s">
        <v>858</v>
      </c>
      <c r="B21" s="480"/>
      <c r="C21" s="480"/>
      <c r="D21" s="480"/>
      <c r="E21" s="480"/>
      <c r="F21" s="480"/>
      <c r="G21" s="480"/>
      <c r="H21" s="480"/>
    </row>
    <row r="22" spans="1:14" ht="11.25" customHeight="1">
      <c r="A22" s="479" t="s">
        <v>859</v>
      </c>
      <c r="B22" s="480"/>
      <c r="C22" s="480"/>
      <c r="D22" s="480"/>
      <c r="E22" s="480"/>
      <c r="F22" s="480"/>
      <c r="G22" s="480"/>
      <c r="H22" s="480"/>
    </row>
    <row r="23" spans="1:14" ht="15" customHeight="1">
      <c r="A23" s="883" t="s">
        <v>860</v>
      </c>
      <c r="B23" s="482"/>
      <c r="C23" s="482"/>
      <c r="D23" s="482"/>
      <c r="E23" s="482"/>
      <c r="F23" s="482"/>
      <c r="G23" s="482"/>
      <c r="H23" s="355"/>
    </row>
    <row r="24" spans="1:14" ht="15" customHeight="1">
      <c r="A24" s="883"/>
      <c r="B24" s="482"/>
      <c r="C24" s="482"/>
      <c r="D24" s="482"/>
      <c r="E24" s="482"/>
      <c r="F24" s="482"/>
      <c r="G24" s="482"/>
      <c r="H24" s="355"/>
    </row>
    <row r="25" spans="1:14" ht="15" customHeight="1">
      <c r="A25" s="10"/>
      <c r="B25" s="482"/>
      <c r="C25" s="482"/>
      <c r="D25" s="482"/>
      <c r="E25" s="482"/>
      <c r="F25" s="482"/>
      <c r="G25" s="482"/>
      <c r="H25" s="355"/>
    </row>
    <row r="26" spans="1:14" ht="15" customHeight="1">
      <c r="A26" s="355" t="s">
        <v>256</v>
      </c>
      <c r="B26" s="482"/>
      <c r="C26" s="482"/>
      <c r="D26" s="482"/>
      <c r="E26" s="482"/>
      <c r="F26" s="482"/>
      <c r="G26" s="482"/>
      <c r="H26" s="355"/>
    </row>
    <row r="27" spans="1:14" ht="31" customHeight="1">
      <c r="A27" s="355"/>
      <c r="B27" s="482"/>
      <c r="C27" s="482"/>
      <c r="D27" s="482"/>
      <c r="E27" s="482"/>
      <c r="F27" s="482"/>
      <c r="G27" s="482"/>
      <c r="H27" s="355"/>
    </row>
    <row r="28" spans="1:14" ht="31" customHeight="1">
      <c r="A28" s="355"/>
      <c r="B28" s="482"/>
      <c r="C28" s="482"/>
      <c r="D28" s="482"/>
      <c r="E28" s="482"/>
      <c r="F28" s="482"/>
      <c r="G28" s="482"/>
      <c r="H28" s="355"/>
    </row>
    <row r="29" spans="1:14" ht="31" customHeight="1">
      <c r="A29" s="355"/>
      <c r="B29" s="482"/>
      <c r="C29" s="482"/>
      <c r="D29" s="482"/>
      <c r="E29" s="482"/>
      <c r="F29" s="482"/>
      <c r="G29" s="482"/>
      <c r="H29" s="355"/>
    </row>
    <row r="30" spans="1:14" ht="31" customHeight="1">
      <c r="A30" s="355"/>
      <c r="B30" s="482"/>
      <c r="C30" s="482"/>
      <c r="D30" s="482"/>
      <c r="E30" s="482"/>
      <c r="F30" s="482"/>
      <c r="G30" s="482"/>
      <c r="H30" s="355"/>
    </row>
    <row r="31" spans="1:14" ht="31" customHeight="1">
      <c r="A31" s="355"/>
      <c r="B31" s="482"/>
      <c r="C31" s="482"/>
      <c r="D31" s="482"/>
      <c r="E31" s="482"/>
      <c r="F31" s="482"/>
      <c r="G31" s="482"/>
      <c r="H31" s="355"/>
    </row>
    <row r="32" spans="1:14" ht="31" customHeight="1">
      <c r="A32" s="355"/>
      <c r="B32" s="482"/>
      <c r="C32" s="482"/>
      <c r="D32" s="482"/>
      <c r="E32" s="482"/>
      <c r="F32" s="482"/>
      <c r="G32" s="482"/>
      <c r="H32" s="355"/>
    </row>
    <row r="33" spans="1:8" ht="31" customHeight="1">
      <c r="A33" s="355"/>
      <c r="B33" s="482"/>
      <c r="C33" s="482"/>
      <c r="D33" s="482"/>
      <c r="E33" s="482"/>
      <c r="F33" s="482"/>
      <c r="G33" s="482"/>
      <c r="H33" s="355"/>
    </row>
    <row r="34" spans="1:8">
      <c r="A34" s="355"/>
      <c r="B34" s="482"/>
      <c r="C34" s="482"/>
      <c r="D34" s="482"/>
      <c r="E34" s="482"/>
      <c r="F34" s="482"/>
      <c r="G34" s="482"/>
      <c r="H34" s="355"/>
    </row>
    <row r="35" spans="1:8">
      <c r="A35" s="355"/>
      <c r="B35" s="482"/>
      <c r="C35" s="482"/>
      <c r="D35" s="482"/>
      <c r="E35" s="482"/>
      <c r="F35" s="482"/>
      <c r="G35" s="482"/>
      <c r="H35" s="355"/>
    </row>
  </sheetData>
  <phoneticPr fontId="0" type="noConversion"/>
  <pageMargins left="0.59" right="0.51" top="0.86" bottom="0.49" header="0.44" footer="0.4921259845"/>
  <pageSetup paperSize="9" scale="75" orientation="landscape" horizontalDpi="1200" verticalDpi="1200"/>
  <headerFooter alignWithMargins="0">
    <oddHeader>&amp;L&amp;"Arial,Bold"Zusatzinformationen zum Gesundheitswesen</oddHeader>
  </headerFooter>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DB7B7-9914-3A4E-91E4-613448F4F096}">
  <sheetPr>
    <pageSetUpPr fitToPage="1"/>
  </sheetPr>
  <dimension ref="A1:K44"/>
  <sheetViews>
    <sheetView topLeftCell="A8" zoomScale="75" workbookViewId="0">
      <selection activeCell="A2" sqref="A2"/>
    </sheetView>
  </sheetViews>
  <sheetFormatPr baseColWidth="10" defaultColWidth="11.3984375" defaultRowHeight="13"/>
  <cols>
    <col min="1" max="1" width="12.19921875" style="3" customWidth="1"/>
    <col min="2" max="2" width="13.19921875" style="21" customWidth="1"/>
    <col min="3" max="3" width="12.796875" style="21" customWidth="1"/>
    <col min="4" max="4" width="14" style="21" customWidth="1"/>
    <col min="5" max="5" width="13.3984375" style="21" customWidth="1"/>
    <col min="6" max="6" width="13.59765625" style="21" customWidth="1"/>
    <col min="7" max="7" width="13.19921875" style="21" customWidth="1"/>
    <col min="8" max="8" width="13.3984375" style="21" customWidth="1"/>
    <col min="9" max="9" width="12.796875" style="21" customWidth="1"/>
    <col min="10" max="16384" width="11.3984375" style="3"/>
  </cols>
  <sheetData>
    <row r="1" spans="1:9" s="1" customFormat="1" ht="14" customHeight="1">
      <c r="A1" s="372"/>
      <c r="B1" s="373"/>
      <c r="C1" s="373"/>
      <c r="D1" s="373"/>
      <c r="E1" s="373"/>
      <c r="F1" s="373"/>
      <c r="G1" s="373"/>
      <c r="H1" s="373"/>
      <c r="I1" s="373"/>
    </row>
    <row r="2" spans="1:9" s="1" customFormat="1" ht="27" customHeight="1">
      <c r="A2" s="374" t="s">
        <v>1820</v>
      </c>
      <c r="B2" s="373"/>
      <c r="C2" s="373"/>
      <c r="D2" s="373"/>
      <c r="E2" s="373"/>
      <c r="F2" s="373"/>
      <c r="G2" s="373"/>
      <c r="H2" s="373"/>
      <c r="I2" s="321">
        <v>2003</v>
      </c>
    </row>
    <row r="3" spans="1:9" s="468" customFormat="1" ht="50.25" customHeight="1">
      <c r="A3" s="465" t="s">
        <v>1591</v>
      </c>
      <c r="B3" s="466" t="s">
        <v>1363</v>
      </c>
      <c r="C3" s="467" t="s">
        <v>1364</v>
      </c>
      <c r="D3" s="466" t="s">
        <v>1800</v>
      </c>
      <c r="E3" s="467" t="s">
        <v>1801</v>
      </c>
      <c r="F3" s="466" t="s">
        <v>1802</v>
      </c>
      <c r="G3" s="467" t="s">
        <v>1803</v>
      </c>
      <c r="H3" s="466" t="s">
        <v>1804</v>
      </c>
      <c r="I3" s="467" t="s">
        <v>1805</v>
      </c>
    </row>
    <row r="4" spans="1:9" ht="31.5" customHeight="1">
      <c r="A4" s="469"/>
      <c r="B4" s="470"/>
      <c r="C4" s="471"/>
      <c r="D4" s="470"/>
      <c r="E4" s="471"/>
      <c r="F4" s="470"/>
      <c r="G4" s="472"/>
      <c r="H4" s="470"/>
      <c r="I4" s="472"/>
    </row>
    <row r="5" spans="1:9" ht="30" customHeight="1" thickBot="1">
      <c r="A5" s="379">
        <v>1985</v>
      </c>
      <c r="B5" s="446">
        <v>79.803910497972154</v>
      </c>
      <c r="C5" s="445">
        <v>82.124675257010722</v>
      </c>
      <c r="D5" s="446">
        <v>74.899486171378285</v>
      </c>
      <c r="E5" s="445">
        <v>56.90324828666278</v>
      </c>
      <c r="F5" s="446" t="s">
        <v>1013</v>
      </c>
      <c r="G5" s="445" t="s">
        <v>1013</v>
      </c>
      <c r="H5" s="446">
        <v>71.772783316367835</v>
      </c>
      <c r="I5" s="445">
        <v>75.634286419536451</v>
      </c>
    </row>
    <row r="6" spans="1:9" ht="18" customHeight="1" thickBot="1">
      <c r="A6" s="380">
        <v>1986</v>
      </c>
      <c r="B6" s="473">
        <v>81.691551843864474</v>
      </c>
      <c r="C6" s="88">
        <v>85.120541992530136</v>
      </c>
      <c r="D6" s="473">
        <v>74.899486171378285</v>
      </c>
      <c r="E6" s="88">
        <v>58.569147999386438</v>
      </c>
      <c r="F6" s="473" t="s">
        <v>1013</v>
      </c>
      <c r="G6" s="88" t="s">
        <v>1013</v>
      </c>
      <c r="H6" s="473">
        <v>73.366960831407027</v>
      </c>
      <c r="I6" s="88">
        <v>76.201754702737617</v>
      </c>
    </row>
    <row r="7" spans="1:9" ht="18" customHeight="1" thickBot="1">
      <c r="A7" s="380">
        <v>1987</v>
      </c>
      <c r="B7" s="473">
        <v>83.577898301573143</v>
      </c>
      <c r="C7" s="88">
        <v>86.935850575577163</v>
      </c>
      <c r="D7" s="473">
        <v>76.3202015779178</v>
      </c>
      <c r="E7" s="88">
        <v>61.452434923213964</v>
      </c>
      <c r="F7" s="473" t="s">
        <v>1013</v>
      </c>
      <c r="G7" s="88" t="s">
        <v>1013</v>
      </c>
      <c r="H7" s="473">
        <v>75.359309889172337</v>
      </c>
      <c r="I7" s="88">
        <v>77.299277766856065</v>
      </c>
    </row>
    <row r="8" spans="1:9" ht="18" customHeight="1" thickBot="1">
      <c r="A8" s="380">
        <v>1988</v>
      </c>
      <c r="B8" s="473">
        <v>84.877089374469264</v>
      </c>
      <c r="C8" s="88">
        <v>87.366496649732213</v>
      </c>
      <c r="D8" s="473">
        <v>80.582347797536443</v>
      </c>
      <c r="E8" s="88">
        <v>65.450334524479089</v>
      </c>
      <c r="F8" s="473" t="s">
        <v>1013</v>
      </c>
      <c r="G8" s="88" t="s">
        <v>1013</v>
      </c>
      <c r="H8" s="473">
        <v>78.036645446804982</v>
      </c>
      <c r="I8" s="88">
        <v>78.746700247173862</v>
      </c>
    </row>
    <row r="9" spans="1:9" ht="18" customHeight="1" thickBot="1">
      <c r="A9" s="380">
        <v>1989</v>
      </c>
      <c r="B9" s="473">
        <v>86.408684726576709</v>
      </c>
      <c r="C9" s="88">
        <v>89.695746859504723</v>
      </c>
      <c r="D9" s="473">
        <v>80.582347797536443</v>
      </c>
      <c r="E9" s="88">
        <v>67.535096596969893</v>
      </c>
      <c r="F9" s="473" t="s">
        <v>1013</v>
      </c>
      <c r="G9" s="88" t="s">
        <v>1013</v>
      </c>
      <c r="H9" s="473">
        <v>79.508038518297582</v>
      </c>
      <c r="I9" s="88">
        <v>81.23138428320911</v>
      </c>
    </row>
    <row r="10" spans="1:9" ht="18" customHeight="1" thickBot="1">
      <c r="A10" s="380">
        <v>1990</v>
      </c>
      <c r="B10" s="473">
        <v>88.197810014327416</v>
      </c>
      <c r="C10" s="88">
        <v>91.567098424804811</v>
      </c>
      <c r="D10" s="473">
        <v>85.009815587951692</v>
      </c>
      <c r="E10" s="88">
        <v>71.770089120859765</v>
      </c>
      <c r="F10" s="473" t="s">
        <v>1013</v>
      </c>
      <c r="G10" s="88" t="s">
        <v>1013</v>
      </c>
      <c r="H10" s="473">
        <v>82.806579602227302</v>
      </c>
      <c r="I10" s="88">
        <v>85.621088701027531</v>
      </c>
    </row>
    <row r="11" spans="1:9" ht="18" customHeight="1" thickBot="1">
      <c r="A11" s="380">
        <v>1991</v>
      </c>
      <c r="B11" s="473">
        <v>91.720581467528135</v>
      </c>
      <c r="C11" s="88">
        <v>95.108243461336954</v>
      </c>
      <c r="D11" s="473">
        <v>90.067588166216254</v>
      </c>
      <c r="E11" s="88">
        <v>79.548976975420402</v>
      </c>
      <c r="F11" s="473" t="s">
        <v>1013</v>
      </c>
      <c r="G11" s="88" t="s">
        <v>1013</v>
      </c>
      <c r="H11" s="473">
        <v>87.989624753538052</v>
      </c>
      <c r="I11" s="88">
        <v>90.638135071792831</v>
      </c>
    </row>
    <row r="12" spans="1:9" ht="18" customHeight="1" thickBot="1">
      <c r="A12" s="380">
        <v>1992</v>
      </c>
      <c r="B12" s="473">
        <v>94.315649986415721</v>
      </c>
      <c r="C12" s="88">
        <v>99.587270200873206</v>
      </c>
      <c r="D12" s="473">
        <v>93.702489498759562</v>
      </c>
      <c r="E12" s="88">
        <v>87.550051522532087</v>
      </c>
      <c r="F12" s="473" t="s">
        <v>1013</v>
      </c>
      <c r="G12" s="88" t="s">
        <v>1013</v>
      </c>
      <c r="H12" s="473">
        <v>93.035240808724708</v>
      </c>
      <c r="I12" s="88">
        <v>94.297203174795513</v>
      </c>
    </row>
    <row r="13" spans="1:9" ht="18" customHeight="1" thickBot="1">
      <c r="A13" s="380">
        <v>1993</v>
      </c>
      <c r="B13" s="473">
        <v>96.154415335465316</v>
      </c>
      <c r="C13" s="88">
        <v>99.673288489423555</v>
      </c>
      <c r="D13" s="473">
        <v>97.857139317890727</v>
      </c>
      <c r="E13" s="88">
        <v>93.956078292606335</v>
      </c>
      <c r="F13" s="473">
        <v>98.042770446197054</v>
      </c>
      <c r="G13" s="88">
        <v>100</v>
      </c>
      <c r="H13" s="473">
        <v>96.308637136896735</v>
      </c>
      <c r="I13" s="88">
        <v>97.402032602062121</v>
      </c>
    </row>
    <row r="14" spans="1:9" ht="18" customHeight="1" thickBot="1">
      <c r="A14" s="380">
        <v>1994</v>
      </c>
      <c r="B14" s="473">
        <v>97.461697448812885</v>
      </c>
      <c r="C14" s="88">
        <v>99.685414748741465</v>
      </c>
      <c r="D14" s="473">
        <v>99.253471140137265</v>
      </c>
      <c r="E14" s="88">
        <v>97.373554724666249</v>
      </c>
      <c r="F14" s="473">
        <v>99.406750257998937</v>
      </c>
      <c r="G14" s="88">
        <v>100</v>
      </c>
      <c r="H14" s="473">
        <v>98.219473832979858</v>
      </c>
      <c r="I14" s="88">
        <v>98.23199008718872</v>
      </c>
    </row>
    <row r="15" spans="1:9" ht="18" customHeight="1" thickBot="1">
      <c r="A15" s="380">
        <v>1995</v>
      </c>
      <c r="B15" s="473">
        <v>100</v>
      </c>
      <c r="C15" s="88">
        <v>100</v>
      </c>
      <c r="D15" s="473">
        <v>100</v>
      </c>
      <c r="E15" s="88">
        <v>100</v>
      </c>
      <c r="F15" s="473">
        <v>100</v>
      </c>
      <c r="G15" s="88">
        <v>100</v>
      </c>
      <c r="H15" s="473">
        <v>100</v>
      </c>
      <c r="I15" s="88">
        <v>100</v>
      </c>
    </row>
    <row r="16" spans="1:9" ht="18" customHeight="1" thickBot="1">
      <c r="A16" s="380">
        <v>1996</v>
      </c>
      <c r="B16" s="473">
        <v>100.3317648296466</v>
      </c>
      <c r="C16" s="88">
        <v>100.5085129617779</v>
      </c>
      <c r="D16" s="473">
        <v>100.6394757972715</v>
      </c>
      <c r="E16" s="88">
        <v>103.41952344611119</v>
      </c>
      <c r="F16" s="473">
        <v>100.15009280076963</v>
      </c>
      <c r="G16" s="88">
        <v>99.950338889746504</v>
      </c>
      <c r="H16" s="473">
        <v>101.88374972470828</v>
      </c>
      <c r="I16" s="88">
        <v>100.81166011923193</v>
      </c>
    </row>
    <row r="17" spans="1:9" ht="18" customHeight="1" thickBot="1">
      <c r="A17" s="380">
        <v>1997</v>
      </c>
      <c r="B17" s="473">
        <v>99.934201986149347</v>
      </c>
      <c r="C17" s="88">
        <v>100.89052794606968</v>
      </c>
      <c r="D17" s="473">
        <v>101.19106637628903</v>
      </c>
      <c r="E17" s="88">
        <v>104.89625020391236</v>
      </c>
      <c r="F17" s="473">
        <v>99.408031628158213</v>
      </c>
      <c r="G17" s="88">
        <v>99.572346480177814</v>
      </c>
      <c r="H17" s="473">
        <v>102.65904058016756</v>
      </c>
      <c r="I17" s="88">
        <v>101.33608693032861</v>
      </c>
    </row>
    <row r="18" spans="1:9" ht="18" customHeight="1" thickBot="1">
      <c r="A18" s="380">
        <v>1998</v>
      </c>
      <c r="B18" s="473">
        <v>97.248813005760397</v>
      </c>
      <c r="C18" s="88">
        <v>100.84512380255291</v>
      </c>
      <c r="D18" s="473">
        <v>101.91798405391825</v>
      </c>
      <c r="E18" s="88">
        <v>106.51816165874149</v>
      </c>
      <c r="F18" s="473">
        <v>98.600349518352687</v>
      </c>
      <c r="G18" s="88">
        <v>100.39777432787591</v>
      </c>
      <c r="H18" s="473">
        <v>103.15542407064117</v>
      </c>
      <c r="I18" s="88">
        <v>101.35426363530824</v>
      </c>
    </row>
    <row r="19" spans="1:9" ht="18" customHeight="1" thickBot="1">
      <c r="A19" s="380">
        <v>1999</v>
      </c>
      <c r="B19" s="473">
        <v>96.162651146024274</v>
      </c>
      <c r="C19" s="88">
        <v>100.84207332983468</v>
      </c>
      <c r="D19" s="473">
        <v>102.52590462445758</v>
      </c>
      <c r="E19" s="88">
        <v>107.70441081029026</v>
      </c>
      <c r="F19" s="473">
        <v>98.824884997028221</v>
      </c>
      <c r="G19" s="88">
        <v>98.048653324672969</v>
      </c>
      <c r="H19" s="473">
        <v>103.58917110746175</v>
      </c>
      <c r="I19" s="88">
        <v>102.17165514800229</v>
      </c>
    </row>
    <row r="20" spans="1:9" ht="18" customHeight="1" thickBot="1">
      <c r="A20" s="380">
        <v>2000</v>
      </c>
      <c r="B20" s="473">
        <v>96.574111919839808</v>
      </c>
      <c r="C20" s="88">
        <v>100.84207332983468</v>
      </c>
      <c r="D20" s="473">
        <v>104.23249473797034</v>
      </c>
      <c r="E20" s="88">
        <v>108.30103875592766</v>
      </c>
      <c r="F20" s="473">
        <v>98.511245008816815</v>
      </c>
      <c r="G20" s="88">
        <v>97.025382021610099</v>
      </c>
      <c r="H20" s="473">
        <v>104.08545055067016</v>
      </c>
      <c r="I20" s="88">
        <v>103.76399138722388</v>
      </c>
    </row>
    <row r="21" spans="1:9" ht="18" customHeight="1" thickBot="1">
      <c r="A21" s="380">
        <v>2001</v>
      </c>
      <c r="B21" s="473">
        <v>95.934903638603615</v>
      </c>
      <c r="C21" s="88">
        <v>100.90207436346591</v>
      </c>
      <c r="D21" s="473">
        <v>106.34455647564107</v>
      </c>
      <c r="E21" s="88">
        <v>109.09012209311607</v>
      </c>
      <c r="F21" s="473">
        <v>99.881621110671944</v>
      </c>
      <c r="G21" s="88">
        <v>97.909281821703502</v>
      </c>
      <c r="H21" s="473">
        <v>104.66145621084139</v>
      </c>
      <c r="I21" s="88">
        <v>104.7902814183139</v>
      </c>
    </row>
    <row r="22" spans="1:9" ht="18" customHeight="1" thickBot="1">
      <c r="A22" s="380">
        <v>2002</v>
      </c>
      <c r="B22" s="473">
        <v>92.859021421632789</v>
      </c>
      <c r="C22" s="88">
        <v>100.92990677570496</v>
      </c>
      <c r="D22" s="473">
        <v>107.48242230438171</v>
      </c>
      <c r="E22" s="88">
        <v>110.93297580023598</v>
      </c>
      <c r="F22" s="473">
        <v>100.22088850206843</v>
      </c>
      <c r="G22" s="88">
        <v>98.535798233171278</v>
      </c>
      <c r="H22" s="473">
        <v>105.0856569110795</v>
      </c>
      <c r="I22" s="88">
        <v>105.46377617124475</v>
      </c>
    </row>
    <row r="23" spans="1:9" s="35" customFormat="1" ht="30" customHeight="1" thickBot="1">
      <c r="A23" s="474">
        <v>2003</v>
      </c>
      <c r="B23" s="475">
        <v>91.761181439893122</v>
      </c>
      <c r="C23" s="476">
        <v>100.92990677570496</v>
      </c>
      <c r="D23" s="475">
        <v>108.11404841301983</v>
      </c>
      <c r="E23" s="476">
        <v>113.27706840174103</v>
      </c>
      <c r="F23" s="475">
        <v>100.09265291920767</v>
      </c>
      <c r="G23" s="476">
        <v>101.37468555245192</v>
      </c>
      <c r="H23" s="475">
        <v>105.99804737965634</v>
      </c>
      <c r="I23" s="476">
        <v>106.13696065325131</v>
      </c>
    </row>
    <row r="24" spans="1:9" ht="20" customHeight="1">
      <c r="A24" s="477" t="s">
        <v>1586</v>
      </c>
      <c r="B24" s="478"/>
      <c r="C24" s="478"/>
      <c r="D24" s="478"/>
      <c r="E24" s="478"/>
      <c r="F24" s="478"/>
      <c r="G24" s="478"/>
      <c r="H24" s="478"/>
      <c r="I24" s="478"/>
    </row>
    <row r="25" spans="1:9" ht="11.25" customHeight="1">
      <c r="A25" s="479"/>
      <c r="B25" s="480"/>
      <c r="C25" s="480"/>
      <c r="D25" s="480"/>
      <c r="E25" s="480"/>
      <c r="F25" s="480"/>
      <c r="G25" s="480"/>
      <c r="H25" s="480"/>
      <c r="I25" s="480"/>
    </row>
    <row r="26" spans="1:9" ht="13.5" customHeight="1">
      <c r="A26" s="479" t="s">
        <v>1806</v>
      </c>
      <c r="B26" s="480"/>
      <c r="C26" s="480"/>
      <c r="D26" s="480"/>
      <c r="E26" s="480"/>
      <c r="F26" s="480"/>
      <c r="G26" s="480"/>
      <c r="H26" s="480"/>
      <c r="I26" s="480"/>
    </row>
    <row r="27" spans="1:9" ht="12.75" customHeight="1">
      <c r="A27" s="479"/>
      <c r="B27" s="480"/>
      <c r="C27" s="480"/>
      <c r="D27" s="480"/>
      <c r="E27" s="480"/>
      <c r="F27" s="480"/>
      <c r="G27" s="480"/>
      <c r="H27" s="480"/>
      <c r="I27" s="480"/>
    </row>
    <row r="28" spans="1:9" ht="13.5" customHeight="1">
      <c r="A28" s="481" t="s">
        <v>1807</v>
      </c>
      <c r="B28" s="482"/>
      <c r="C28" s="482"/>
      <c r="D28" s="482"/>
      <c r="E28" s="482"/>
      <c r="F28" s="482"/>
      <c r="G28" s="482"/>
      <c r="H28" s="482"/>
      <c r="I28" s="482"/>
    </row>
    <row r="29" spans="1:9" ht="13.5" customHeight="1">
      <c r="A29" s="483" t="s">
        <v>1808</v>
      </c>
      <c r="B29" s="482"/>
      <c r="C29" s="482"/>
      <c r="D29" s="482"/>
      <c r="E29" s="482"/>
      <c r="F29" s="482"/>
      <c r="G29" s="482"/>
      <c r="H29" s="482"/>
      <c r="I29" s="482"/>
    </row>
    <row r="30" spans="1:9" ht="13.5" customHeight="1">
      <c r="A30" s="483" t="s">
        <v>1809</v>
      </c>
      <c r="B30" s="482"/>
      <c r="C30" s="482"/>
      <c r="D30" s="482"/>
      <c r="E30" s="482"/>
      <c r="F30" s="482"/>
      <c r="G30" s="482"/>
      <c r="H30" s="482"/>
      <c r="I30" s="482"/>
    </row>
    <row r="31" spans="1:9" ht="13.5" customHeight="1">
      <c r="A31" s="484" t="s">
        <v>1810</v>
      </c>
      <c r="B31" s="482"/>
      <c r="C31" s="482"/>
      <c r="D31" s="482"/>
      <c r="E31" s="482"/>
      <c r="F31" s="482"/>
      <c r="G31" s="482"/>
      <c r="H31" s="482"/>
      <c r="I31" s="482"/>
    </row>
    <row r="32" spans="1:9" ht="13.5" customHeight="1">
      <c r="A32" s="484" t="s">
        <v>1811</v>
      </c>
      <c r="B32" s="482"/>
      <c r="C32" s="482"/>
      <c r="D32" s="482"/>
      <c r="E32" s="482"/>
      <c r="F32" s="482"/>
      <c r="G32" s="482"/>
      <c r="H32" s="482"/>
      <c r="I32" s="482"/>
    </row>
    <row r="33" spans="1:11" ht="13.5" customHeight="1">
      <c r="A33" s="483" t="s">
        <v>1812</v>
      </c>
      <c r="B33" s="482"/>
      <c r="C33" s="482"/>
      <c r="D33" s="482"/>
      <c r="E33" s="482"/>
      <c r="F33" s="482"/>
      <c r="G33" s="482"/>
      <c r="H33" s="482"/>
      <c r="I33" s="482"/>
    </row>
    <row r="34" spans="1:11" ht="13.5" customHeight="1">
      <c r="A34" s="483" t="s">
        <v>1813</v>
      </c>
      <c r="B34" s="482"/>
      <c r="C34" s="482"/>
      <c r="D34" s="482"/>
      <c r="E34" s="482"/>
      <c r="F34" s="482"/>
      <c r="G34" s="482"/>
      <c r="H34" s="482"/>
      <c r="I34" s="482"/>
    </row>
    <row r="35" spans="1:11" ht="13.5" customHeight="1">
      <c r="A35" s="483" t="s">
        <v>1814</v>
      </c>
      <c r="B35" s="482"/>
      <c r="C35" s="482"/>
      <c r="D35" s="482"/>
      <c r="E35" s="482"/>
      <c r="F35" s="482"/>
      <c r="G35" s="482"/>
      <c r="H35" s="482"/>
      <c r="I35" s="482"/>
    </row>
    <row r="36" spans="1:11" ht="13.5" customHeight="1">
      <c r="A36" s="483" t="s">
        <v>1815</v>
      </c>
      <c r="B36" s="482"/>
      <c r="C36" s="482"/>
      <c r="D36" s="482"/>
      <c r="E36" s="482"/>
      <c r="F36" s="482"/>
      <c r="G36" s="482"/>
      <c r="H36" s="482"/>
      <c r="I36" s="482"/>
    </row>
    <row r="37" spans="1:11" ht="13.5" customHeight="1">
      <c r="A37" s="484" t="s">
        <v>1816</v>
      </c>
      <c r="B37" s="482"/>
      <c r="C37" s="482"/>
      <c r="D37" s="482"/>
      <c r="E37" s="482"/>
      <c r="F37" s="482"/>
      <c r="G37" s="482"/>
      <c r="H37" s="482"/>
      <c r="I37" s="482"/>
    </row>
    <row r="38" spans="1:11" ht="13.5" customHeight="1">
      <c r="A38" s="484" t="s">
        <v>1817</v>
      </c>
      <c r="B38" s="482"/>
      <c r="C38" s="482"/>
      <c r="D38" s="482"/>
      <c r="E38" s="482"/>
      <c r="F38" s="482"/>
      <c r="G38" s="482"/>
      <c r="H38" s="482"/>
      <c r="I38" s="482"/>
    </row>
    <row r="39" spans="1:11" ht="13.5" customHeight="1">
      <c r="A39" s="483" t="s">
        <v>1818</v>
      </c>
      <c r="B39" s="482"/>
      <c r="C39" s="482"/>
      <c r="D39" s="482"/>
      <c r="E39" s="482"/>
      <c r="F39" s="482"/>
      <c r="G39" s="482"/>
      <c r="H39" s="482"/>
      <c r="I39" s="482"/>
    </row>
    <row r="41" spans="1:11">
      <c r="A41" s="479" t="s">
        <v>1819</v>
      </c>
    </row>
    <row r="44" spans="1:11" ht="16">
      <c r="A44" s="118" t="s">
        <v>256</v>
      </c>
      <c r="K44" s="10"/>
    </row>
  </sheetData>
  <phoneticPr fontId="0" type="noConversion"/>
  <pageMargins left="0.5" right="0.44" top="0.76" bottom="0.49" header="0.38" footer="0.4921259845"/>
  <pageSetup paperSize="9" scale="80" orientation="portrait" horizontalDpi="4294967292" verticalDpi="4294967292"/>
  <headerFooter alignWithMargins="0">
    <oddHeader>&amp;L&amp;"Arial,Bold"Zusatzinformationen zum Gesundheitswesen</oddHeader>
  </headerFooter>
  <rowBreaks count="1" manualBreakCount="1">
    <brk id="41" max="16383" man="1"/>
  </rowBreaks>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2B258-6F1D-C546-919E-681A2481768F}">
  <sheetPr>
    <pageSetUpPr fitToPage="1"/>
  </sheetPr>
  <dimension ref="A1:J40"/>
  <sheetViews>
    <sheetView zoomScale="75" workbookViewId="0"/>
  </sheetViews>
  <sheetFormatPr baseColWidth="10" defaultColWidth="11.3984375" defaultRowHeight="13"/>
  <cols>
    <col min="1" max="1" width="12.3984375" style="3" customWidth="1"/>
    <col min="2" max="2" width="13" style="21" customWidth="1"/>
    <col min="3" max="3" width="12.796875" style="21" customWidth="1"/>
    <col min="4" max="4" width="14.59765625" style="21" customWidth="1"/>
    <col min="5" max="6" width="13.59765625" style="21" customWidth="1"/>
    <col min="7" max="7" width="12.19921875" style="21" customWidth="1"/>
    <col min="8" max="8" width="13.19921875" style="3" customWidth="1"/>
    <col min="9" max="9" width="12.796875" style="3" customWidth="1"/>
    <col min="10" max="16384" width="11.3984375" style="3"/>
  </cols>
  <sheetData>
    <row r="1" spans="1:9" s="1" customFormat="1" ht="14" customHeight="1">
      <c r="A1" s="372"/>
      <c r="B1" s="373"/>
      <c r="C1" s="373"/>
      <c r="D1" s="373"/>
      <c r="E1" s="373"/>
      <c r="F1" s="373"/>
      <c r="G1" s="373"/>
    </row>
    <row r="2" spans="1:9" s="1" customFormat="1" ht="27" customHeight="1">
      <c r="A2" s="374" t="s">
        <v>1823</v>
      </c>
      <c r="B2" s="373"/>
      <c r="C2" s="373"/>
      <c r="D2" s="373"/>
      <c r="E2" s="373"/>
      <c r="F2" s="373"/>
      <c r="G2" s="373"/>
      <c r="I2" s="321">
        <v>2003</v>
      </c>
    </row>
    <row r="3" spans="1:9" s="468" customFormat="1" ht="45.75" customHeight="1">
      <c r="A3" s="465" t="s">
        <v>1591</v>
      </c>
      <c r="B3" s="466" t="s">
        <v>1363</v>
      </c>
      <c r="C3" s="467" t="s">
        <v>1364</v>
      </c>
      <c r="D3" s="466" t="s">
        <v>1800</v>
      </c>
      <c r="E3" s="467" t="s">
        <v>1801</v>
      </c>
      <c r="F3" s="466" t="s">
        <v>1802</v>
      </c>
      <c r="G3" s="467" t="s">
        <v>1803</v>
      </c>
      <c r="H3" s="466" t="s">
        <v>1804</v>
      </c>
      <c r="I3" s="467" t="s">
        <v>1805</v>
      </c>
    </row>
    <row r="4" spans="1:9" ht="25.5" customHeight="1">
      <c r="A4" s="469"/>
      <c r="B4" s="470"/>
      <c r="C4" s="471"/>
      <c r="D4" s="470"/>
      <c r="E4" s="471"/>
      <c r="F4" s="470"/>
      <c r="G4" s="471"/>
      <c r="H4" s="470"/>
      <c r="I4" s="471"/>
    </row>
    <row r="5" spans="1:9" ht="30" customHeight="1" thickBot="1">
      <c r="A5" s="485">
        <v>1986</v>
      </c>
      <c r="B5" s="486">
        <v>2.3653494347752435E-2</v>
      </c>
      <c r="C5" s="487">
        <v>3.647949567098796E-2</v>
      </c>
      <c r="D5" s="486">
        <v>0</v>
      </c>
      <c r="E5" s="487">
        <v>2.9276003793866412E-2</v>
      </c>
      <c r="F5" s="486" t="s">
        <v>1013</v>
      </c>
      <c r="G5" s="487" t="s">
        <v>1013</v>
      </c>
      <c r="H5" s="486">
        <v>2.2211448983554094E-2</v>
      </c>
      <c r="I5" s="487">
        <v>7.502791525703989E-3</v>
      </c>
    </row>
    <row r="6" spans="1:9" ht="18" customHeight="1" thickBot="1">
      <c r="A6" s="380">
        <v>1987</v>
      </c>
      <c r="B6" s="381">
        <v>2.3091083657144962E-2</v>
      </c>
      <c r="C6" s="25">
        <v>2.1326327823503854E-2</v>
      </c>
      <c r="D6" s="381">
        <v>1.896829309734871E-2</v>
      </c>
      <c r="E6" s="25">
        <v>4.9228766719600081E-2</v>
      </c>
      <c r="F6" s="381" t="s">
        <v>1013</v>
      </c>
      <c r="G6" s="25" t="s">
        <v>1013</v>
      </c>
      <c r="H6" s="381">
        <v>2.7155943699829876E-2</v>
      </c>
      <c r="I6" s="25">
        <v>1.440285815464315E-2</v>
      </c>
    </row>
    <row r="7" spans="1:9" ht="18" customHeight="1" thickBot="1">
      <c r="A7" s="380">
        <v>1988</v>
      </c>
      <c r="B7" s="381">
        <v>1.5544672686171879E-2</v>
      </c>
      <c r="C7" s="25">
        <v>4.9536074163174515E-3</v>
      </c>
      <c r="D7" s="381">
        <v>5.5845583888654682E-2</v>
      </c>
      <c r="E7" s="25">
        <v>6.5056813554427606E-2</v>
      </c>
      <c r="F7" s="381" t="s">
        <v>1013</v>
      </c>
      <c r="G7" s="25" t="s">
        <v>1013</v>
      </c>
      <c r="H7" s="381">
        <v>3.5527601852645585E-2</v>
      </c>
      <c r="I7" s="25">
        <v>1.8724915964718258E-2</v>
      </c>
    </row>
    <row r="8" spans="1:9" ht="18" customHeight="1" thickBot="1">
      <c r="A8" s="380">
        <v>1989</v>
      </c>
      <c r="B8" s="381">
        <v>1.8044861851355343E-2</v>
      </c>
      <c r="C8" s="25">
        <v>2.66606799985456E-2</v>
      </c>
      <c r="D8" s="381">
        <v>0</v>
      </c>
      <c r="E8" s="25">
        <v>3.1852580855963097E-2</v>
      </c>
      <c r="F8" s="381" t="s">
        <v>1013</v>
      </c>
      <c r="G8" s="25" t="s">
        <v>1013</v>
      </c>
      <c r="H8" s="381">
        <v>1.8855155332062612E-2</v>
      </c>
      <c r="I8" s="25">
        <v>3.1552865431011101E-2</v>
      </c>
    </row>
    <row r="9" spans="1:9" ht="18" customHeight="1" thickBot="1">
      <c r="A9" s="380">
        <v>1990</v>
      </c>
      <c r="B9" s="381">
        <v>2.0705387350959503E-2</v>
      </c>
      <c r="C9" s="25">
        <v>2.086332552903869E-2</v>
      </c>
      <c r="D9" s="381">
        <v>5.4943395314557941E-2</v>
      </c>
      <c r="E9" s="25">
        <v>6.2708024972009557E-2</v>
      </c>
      <c r="F9" s="381" t="s">
        <v>1013</v>
      </c>
      <c r="G9" s="25" t="s">
        <v>1013</v>
      </c>
      <c r="H9" s="381">
        <v>4.1486887934867323E-2</v>
      </c>
      <c r="I9" s="25">
        <v>5.4039512641000265E-2</v>
      </c>
    </row>
    <row r="10" spans="1:9" ht="18" customHeight="1" thickBot="1">
      <c r="A10" s="380">
        <v>1991</v>
      </c>
      <c r="B10" s="381">
        <v>3.9941711167527316E-2</v>
      </c>
      <c r="C10" s="25">
        <v>3.8672679351526407E-2</v>
      </c>
      <c r="D10" s="381">
        <v>5.949633631461948E-2</v>
      </c>
      <c r="E10" s="25">
        <v>0.10838620865387405</v>
      </c>
      <c r="F10" s="381" t="s">
        <v>1013</v>
      </c>
      <c r="G10" s="25" t="s">
        <v>1013</v>
      </c>
      <c r="H10" s="381">
        <v>6.2592189850229518E-2</v>
      </c>
      <c r="I10" s="25">
        <v>5.8595918912966338E-2</v>
      </c>
    </row>
    <row r="11" spans="1:9" ht="18" customHeight="1" thickBot="1">
      <c r="A11" s="380">
        <v>1992</v>
      </c>
      <c r="B11" s="381">
        <v>2.8293197419450689E-2</v>
      </c>
      <c r="C11" s="25">
        <v>4.7093990768077409E-2</v>
      </c>
      <c r="D11" s="381">
        <v>4.0357484934927301E-2</v>
      </c>
      <c r="E11" s="25">
        <v>0.10058048326107216</v>
      </c>
      <c r="F11" s="381" t="s">
        <v>1013</v>
      </c>
      <c r="G11" s="25" t="s">
        <v>1013</v>
      </c>
      <c r="H11" s="381">
        <v>5.734330688782463E-2</v>
      </c>
      <c r="I11" s="25">
        <v>4.0370072708406868E-2</v>
      </c>
    </row>
    <row r="12" spans="1:9" ht="18" customHeight="1" thickBot="1">
      <c r="A12" s="380">
        <v>1993</v>
      </c>
      <c r="B12" s="381">
        <v>1.9495866797444972E-2</v>
      </c>
      <c r="C12" s="25">
        <v>8.6374783018805523E-4</v>
      </c>
      <c r="D12" s="381">
        <v>4.4338734662819901E-2</v>
      </c>
      <c r="E12" s="25">
        <v>7.3169880070551141E-2</v>
      </c>
      <c r="F12" s="381" t="s">
        <v>1013</v>
      </c>
      <c r="G12" s="25" t="s">
        <v>1013</v>
      </c>
      <c r="H12" s="381">
        <v>3.5184477405738601E-2</v>
      </c>
      <c r="I12" s="25">
        <v>3.2925996983296457E-2</v>
      </c>
    </row>
    <row r="13" spans="1:9" ht="18" customHeight="1" thickBot="1">
      <c r="A13" s="380">
        <v>1994</v>
      </c>
      <c r="B13" s="381">
        <v>1.3595653499495652E-2</v>
      </c>
      <c r="C13" s="25">
        <v>1.2166007063352247E-4</v>
      </c>
      <c r="D13" s="381">
        <v>1.4269084831005863E-2</v>
      </c>
      <c r="E13" s="25">
        <v>3.637312768011558E-2</v>
      </c>
      <c r="F13" s="381">
        <v>1.3912089648164372E-2</v>
      </c>
      <c r="G13" s="25">
        <v>0</v>
      </c>
      <c r="H13" s="381">
        <v>1.9840761461165535E-2</v>
      </c>
      <c r="I13" s="25">
        <v>8.5209462570190464E-3</v>
      </c>
    </row>
    <row r="14" spans="1:9" ht="18" customHeight="1" thickBot="1">
      <c r="A14" s="380">
        <v>1995</v>
      </c>
      <c r="B14" s="381">
        <v>2.6044103659493834E-2</v>
      </c>
      <c r="C14" s="25">
        <v>3.1557801314410217E-3</v>
      </c>
      <c r="D14" s="381">
        <v>7.5214383062602863E-3</v>
      </c>
      <c r="E14" s="25">
        <v>2.6972880704214663E-2</v>
      </c>
      <c r="F14" s="381">
        <v>5.9679019831284652E-3</v>
      </c>
      <c r="G14" s="25">
        <v>0</v>
      </c>
      <c r="H14" s="381">
        <v>1.8128036096465738E-2</v>
      </c>
      <c r="I14" s="25">
        <v>1.79983110516444E-2</v>
      </c>
    </row>
    <row r="15" spans="1:9" ht="18" customHeight="1" thickBot="1">
      <c r="A15" s="380">
        <v>1996</v>
      </c>
      <c r="B15" s="381">
        <v>3.3176482964660803E-3</v>
      </c>
      <c r="C15" s="25">
        <v>5.0851296177789607E-3</v>
      </c>
      <c r="D15" s="381">
        <v>6.3947579727150483E-3</v>
      </c>
      <c r="E15" s="25">
        <v>3.4195234461111834E-2</v>
      </c>
      <c r="F15" s="381">
        <v>1.5009280076963005E-3</v>
      </c>
      <c r="G15" s="25">
        <v>-4.9661110253496066E-4</v>
      </c>
      <c r="H15" s="381">
        <v>1.8837497247082835E-2</v>
      </c>
      <c r="I15" s="25">
        <v>8.1166011923192727E-3</v>
      </c>
    </row>
    <row r="16" spans="1:9" ht="18" customHeight="1" thickBot="1">
      <c r="A16" s="380">
        <v>1997</v>
      </c>
      <c r="B16" s="381">
        <v>-3.9624823122794695E-3</v>
      </c>
      <c r="C16" s="25">
        <v>3.8008221695315925E-3</v>
      </c>
      <c r="D16" s="381">
        <v>5.4808570359472508E-3</v>
      </c>
      <c r="E16" s="25">
        <v>1.4278994029310654E-2</v>
      </c>
      <c r="F16" s="381">
        <v>-7.4094906141286554E-3</v>
      </c>
      <c r="G16" s="25">
        <v>-3.7818021806373947E-3</v>
      </c>
      <c r="H16" s="381">
        <v>7.6095634245316734E-3</v>
      </c>
      <c r="I16" s="25">
        <v>5.2020451848171501E-3</v>
      </c>
    </row>
    <row r="17" spans="1:10" ht="18" customHeight="1" thickBot="1">
      <c r="A17" s="380">
        <v>1998</v>
      </c>
      <c r="B17" s="381">
        <v>-2.6871570763742469E-2</v>
      </c>
      <c r="C17" s="25">
        <v>-4.5003375877905594E-4</v>
      </c>
      <c r="D17" s="381">
        <v>7.1836151516191382E-3</v>
      </c>
      <c r="E17" s="25">
        <v>1.5462053711893686E-2</v>
      </c>
      <c r="F17" s="381">
        <v>-8.1249180431085533E-3</v>
      </c>
      <c r="G17" s="25">
        <v>8.2897297982469365E-3</v>
      </c>
      <c r="H17" s="381">
        <v>4.8352632916532912E-3</v>
      </c>
      <c r="I17" s="25">
        <v>1.7937050393634912E-4</v>
      </c>
    </row>
    <row r="18" spans="1:10" ht="18" customHeight="1" thickBot="1">
      <c r="A18" s="380">
        <v>1999</v>
      </c>
      <c r="B18" s="381">
        <v>-1.1168895806181078E-2</v>
      </c>
      <c r="C18" s="25">
        <v>-3.0249084965183748E-5</v>
      </c>
      <c r="D18" s="381">
        <v>5.9648017588114222E-3</v>
      </c>
      <c r="E18" s="25">
        <v>1.1136590540768321E-2</v>
      </c>
      <c r="F18" s="381">
        <v>2.2772280197012051E-3</v>
      </c>
      <c r="G18" s="25">
        <v>-2.3398138244890343E-2</v>
      </c>
      <c r="H18" s="381">
        <v>4.2047913692211392E-3</v>
      </c>
      <c r="I18" s="25">
        <v>8.06469785657149E-3</v>
      </c>
    </row>
    <row r="19" spans="1:10" ht="18" customHeight="1" thickBot="1">
      <c r="A19" s="380">
        <v>2000</v>
      </c>
      <c r="B19" s="381">
        <v>4.2788002297349248E-3</v>
      </c>
      <c r="C19" s="25">
        <v>0</v>
      </c>
      <c r="D19" s="381">
        <v>1.6645452871289823E-2</v>
      </c>
      <c r="E19" s="25">
        <v>5.5394940759512235E-3</v>
      </c>
      <c r="F19" s="381">
        <v>-3.1736944416462798E-3</v>
      </c>
      <c r="G19" s="25">
        <v>-1.0436362646149444E-2</v>
      </c>
      <c r="H19" s="381">
        <v>4.7908428835055084E-3</v>
      </c>
      <c r="I19" s="25">
        <v>1.5584911851677319E-2</v>
      </c>
    </row>
    <row r="20" spans="1:10" ht="18" customHeight="1" thickBot="1">
      <c r="A20" s="380">
        <v>2001</v>
      </c>
      <c r="B20" s="381">
        <v>-6.618836751683066E-3</v>
      </c>
      <c r="C20" s="25">
        <v>5.9499999999990116E-4</v>
      </c>
      <c r="D20" s="381">
        <v>2.0262987497135398E-2</v>
      </c>
      <c r="E20" s="25">
        <v>7.2860181790750378E-3</v>
      </c>
      <c r="F20" s="381">
        <v>1.3910859635694273E-2</v>
      </c>
      <c r="G20" s="25">
        <v>9.1099852603160336E-3</v>
      </c>
      <c r="H20" s="381">
        <v>5.5339690333648939E-3</v>
      </c>
      <c r="I20" s="25">
        <v>9.8906182903097939E-3</v>
      </c>
    </row>
    <row r="21" spans="1:10" ht="18" customHeight="1" thickBot="1">
      <c r="A21" s="380">
        <v>2002</v>
      </c>
      <c r="B21" s="381">
        <v>-6.618836751683066E-3</v>
      </c>
      <c r="C21" s="25">
        <v>5.9499999999990116E-4</v>
      </c>
      <c r="D21" s="381">
        <v>2.0262987497135398E-2</v>
      </c>
      <c r="E21" s="25">
        <v>7.2860181790750378E-3</v>
      </c>
      <c r="F21" s="381">
        <v>3.3966948836419153E-3</v>
      </c>
      <c r="G21" s="25">
        <v>6.3989480855215497E-3</v>
      </c>
      <c r="H21" s="381">
        <v>4.053074700045789E-3</v>
      </c>
      <c r="I21" s="25">
        <v>6.4270726618465002E-3</v>
      </c>
    </row>
    <row r="22" spans="1:10" s="35" customFormat="1" ht="30" customHeight="1" thickBot="1">
      <c r="A22" s="474">
        <v>2003</v>
      </c>
      <c r="B22" s="488">
        <v>-3.2062180711182831E-2</v>
      </c>
      <c r="C22" s="489">
        <v>2.7583587765289685E-4</v>
      </c>
      <c r="D22" s="488">
        <v>1.0699803228774396E-2</v>
      </c>
      <c r="E22" s="489">
        <v>1.6892947516796264E-2</v>
      </c>
      <c r="F22" s="488">
        <v>-1.2795294950724845E-3</v>
      </c>
      <c r="G22" s="489">
        <v>2.8810720268006573E-2</v>
      </c>
      <c r="H22" s="307">
        <v>8.6823501455473018E-3</v>
      </c>
      <c r="I22" s="383">
        <v>6.3830872214691858E-3</v>
      </c>
    </row>
    <row r="23" spans="1:10" ht="20" customHeight="1">
      <c r="A23" s="490" t="s">
        <v>1586</v>
      </c>
      <c r="B23" s="491"/>
      <c r="C23" s="491"/>
      <c r="D23" s="491"/>
      <c r="E23" s="491"/>
      <c r="F23" s="491"/>
      <c r="G23" s="491"/>
      <c r="H23" s="38"/>
    </row>
    <row r="24" spans="1:10" ht="12" customHeight="1">
      <c r="A24" s="492"/>
      <c r="B24" s="385"/>
      <c r="C24" s="385"/>
      <c r="D24" s="385"/>
      <c r="E24" s="385"/>
      <c r="F24" s="385"/>
      <c r="G24" s="385"/>
      <c r="H24" s="38"/>
    </row>
    <row r="25" spans="1:10" ht="13.5" customHeight="1">
      <c r="A25" s="492" t="s">
        <v>1821</v>
      </c>
      <c r="B25" s="385"/>
      <c r="C25" s="385"/>
      <c r="D25" s="385"/>
      <c r="E25" s="385"/>
      <c r="F25" s="385"/>
      <c r="G25" s="385"/>
      <c r="H25" s="38"/>
    </row>
    <row r="26" spans="1:10" ht="10.5" customHeight="1">
      <c r="A26" s="492"/>
      <c r="B26" s="385"/>
      <c r="C26" s="385"/>
      <c r="D26" s="385"/>
      <c r="E26" s="385"/>
      <c r="F26" s="385"/>
      <c r="G26" s="385"/>
      <c r="H26" s="38"/>
    </row>
    <row r="27" spans="1:10" ht="12.75" customHeight="1">
      <c r="A27" s="493" t="s">
        <v>1822</v>
      </c>
      <c r="B27" s="494"/>
      <c r="C27" s="494"/>
      <c r="D27" s="494"/>
      <c r="E27" s="494"/>
      <c r="F27" s="494"/>
      <c r="G27" s="494"/>
      <c r="H27" s="38"/>
    </row>
    <row r="28" spans="1:10" ht="17.25" customHeight="1">
      <c r="A28" s="38"/>
      <c r="B28" s="494"/>
      <c r="C28" s="494"/>
      <c r="D28" s="494"/>
      <c r="E28" s="494"/>
      <c r="F28" s="494"/>
      <c r="G28" s="494"/>
      <c r="H28" s="38"/>
    </row>
    <row r="29" spans="1:10" ht="17.25" customHeight="1">
      <c r="A29" s="38"/>
      <c r="B29" s="494"/>
      <c r="C29" s="494"/>
      <c r="D29" s="494"/>
      <c r="E29" s="494"/>
      <c r="F29" s="494"/>
      <c r="G29" s="494"/>
      <c r="H29" s="38"/>
    </row>
    <row r="30" spans="1:10" ht="19.5" customHeight="1">
      <c r="A30" s="118" t="s">
        <v>256</v>
      </c>
      <c r="B30" s="494"/>
      <c r="C30" s="494"/>
      <c r="D30" s="494"/>
      <c r="E30" s="494"/>
      <c r="F30" s="494"/>
      <c r="G30" s="494"/>
      <c r="H30" s="38"/>
      <c r="J30" s="10"/>
    </row>
    <row r="31" spans="1:10" ht="31" customHeight="1">
      <c r="A31" s="38"/>
      <c r="B31" s="494"/>
      <c r="C31" s="494"/>
      <c r="D31" s="494"/>
      <c r="E31" s="494"/>
      <c r="F31" s="494"/>
      <c r="G31" s="494"/>
      <c r="H31" s="38"/>
    </row>
    <row r="32" spans="1:10" ht="31" customHeight="1">
      <c r="A32" s="38"/>
      <c r="B32" s="494"/>
      <c r="C32" s="494"/>
      <c r="D32" s="494"/>
      <c r="E32" s="494"/>
      <c r="F32" s="494"/>
      <c r="G32" s="494"/>
      <c r="H32" s="38"/>
    </row>
    <row r="33" spans="1:8" ht="31" customHeight="1">
      <c r="A33" s="38"/>
      <c r="B33" s="494"/>
      <c r="C33" s="494"/>
      <c r="D33" s="494"/>
      <c r="E33" s="494"/>
      <c r="F33" s="494"/>
      <c r="G33" s="494"/>
      <c r="H33" s="38"/>
    </row>
    <row r="34" spans="1:8" ht="31" customHeight="1">
      <c r="A34" s="38"/>
      <c r="B34" s="494"/>
      <c r="C34" s="494"/>
      <c r="D34" s="494"/>
      <c r="E34" s="494"/>
      <c r="F34" s="494"/>
      <c r="G34" s="494"/>
      <c r="H34" s="38"/>
    </row>
    <row r="35" spans="1:8" ht="31" customHeight="1">
      <c r="A35" s="38"/>
      <c r="B35" s="494"/>
      <c r="C35" s="494"/>
      <c r="D35" s="494"/>
      <c r="E35" s="494"/>
      <c r="F35" s="494"/>
      <c r="G35" s="494"/>
      <c r="H35" s="38"/>
    </row>
    <row r="36" spans="1:8" ht="31" customHeight="1">
      <c r="A36" s="38"/>
      <c r="B36" s="494"/>
      <c r="C36" s="494"/>
      <c r="D36" s="494"/>
      <c r="E36" s="494"/>
      <c r="F36" s="494"/>
      <c r="G36" s="494"/>
      <c r="H36" s="38"/>
    </row>
    <row r="37" spans="1:8">
      <c r="A37" s="38"/>
      <c r="B37" s="494"/>
      <c r="C37" s="494"/>
      <c r="D37" s="494"/>
      <c r="E37" s="494"/>
      <c r="F37" s="494"/>
      <c r="G37" s="494"/>
      <c r="H37" s="38"/>
    </row>
    <row r="38" spans="1:8">
      <c r="A38" s="38"/>
      <c r="B38" s="494"/>
      <c r="C38" s="494"/>
      <c r="D38" s="494"/>
      <c r="E38" s="494"/>
      <c r="F38" s="494"/>
      <c r="G38" s="494"/>
      <c r="H38" s="38"/>
    </row>
    <row r="39" spans="1:8">
      <c r="A39" s="38"/>
      <c r="B39" s="494"/>
      <c r="C39" s="494"/>
      <c r="D39" s="494"/>
      <c r="E39" s="494"/>
      <c r="F39" s="494"/>
      <c r="G39" s="494"/>
      <c r="H39" s="38"/>
    </row>
    <row r="40" spans="1:8">
      <c r="A40" s="38"/>
      <c r="B40" s="494"/>
      <c r="C40" s="494"/>
      <c r="D40" s="494"/>
      <c r="E40" s="494"/>
      <c r="F40" s="494"/>
      <c r="G40" s="494"/>
      <c r="H40" s="38"/>
    </row>
  </sheetData>
  <phoneticPr fontId="0" type="noConversion"/>
  <pageMargins left="0.53" right="0.38" top="0.85" bottom="0.49" header="0.51" footer="0.4921259845"/>
  <pageSetup paperSize="9" scale="81" orientation="portrait" horizontalDpi="4294967292" verticalDpi="4294967292"/>
  <headerFooter alignWithMargins="0">
    <oddHeader>&amp;L&amp;"Arial,Bold"Zusatzinformationen zum Gesundheitswesen</oddHeader>
  </headerFooter>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808DF-FE84-9E45-AB7F-5493E1031C23}">
  <sheetPr>
    <pageSetUpPr fitToPage="1"/>
  </sheetPr>
  <dimension ref="A1:I44"/>
  <sheetViews>
    <sheetView topLeftCell="A26" zoomScale="75" workbookViewId="0">
      <selection activeCell="A39" sqref="A1:G39"/>
    </sheetView>
  </sheetViews>
  <sheetFormatPr baseColWidth="10" defaultColWidth="11.3984375" defaultRowHeight="13"/>
  <cols>
    <col min="1" max="1" width="17.19921875" style="3" customWidth="1"/>
    <col min="2" max="7" width="15.19921875" style="21" customWidth="1"/>
    <col min="8" max="16384" width="11.3984375" style="3"/>
  </cols>
  <sheetData>
    <row r="1" spans="1:7" s="1" customFormat="1" ht="14" customHeight="1">
      <c r="A1" s="372"/>
      <c r="B1" s="373"/>
      <c r="C1" s="373"/>
      <c r="D1" s="373"/>
      <c r="E1" s="373"/>
      <c r="F1" s="373"/>
      <c r="G1" s="373"/>
    </row>
    <row r="2" spans="1:7" s="1" customFormat="1" ht="38.25" customHeight="1">
      <c r="A2" s="1492" t="s">
        <v>827</v>
      </c>
      <c r="B2" s="1474"/>
      <c r="C2" s="1474"/>
      <c r="D2" s="1474"/>
      <c r="E2" s="1474"/>
      <c r="F2" s="1474"/>
      <c r="G2" s="321">
        <v>2003</v>
      </c>
    </row>
    <row r="3" spans="1:7" ht="27" customHeight="1">
      <c r="A3" s="2" t="s">
        <v>1591</v>
      </c>
      <c r="B3" s="69" t="s">
        <v>828</v>
      </c>
      <c r="C3" s="16" t="s">
        <v>24</v>
      </c>
      <c r="D3" s="69" t="s">
        <v>829</v>
      </c>
      <c r="E3" s="16" t="s">
        <v>24</v>
      </c>
      <c r="F3" s="69" t="s">
        <v>830</v>
      </c>
      <c r="G3" s="16" t="s">
        <v>24</v>
      </c>
    </row>
    <row r="4" spans="1:7" ht="15" customHeight="1">
      <c r="A4" s="77"/>
      <c r="B4" s="470" t="s">
        <v>831</v>
      </c>
      <c r="C4" s="471" t="s">
        <v>25</v>
      </c>
      <c r="D4" s="70" t="s">
        <v>846</v>
      </c>
      <c r="E4" s="17" t="s">
        <v>25</v>
      </c>
      <c r="F4" s="70" t="s">
        <v>832</v>
      </c>
      <c r="G4" s="17" t="s">
        <v>25</v>
      </c>
    </row>
    <row r="5" spans="1:7" ht="15" customHeight="1">
      <c r="A5" s="77"/>
      <c r="B5" s="470" t="s">
        <v>833</v>
      </c>
      <c r="C5" s="471" t="s">
        <v>26</v>
      </c>
      <c r="D5" s="70" t="s">
        <v>834</v>
      </c>
      <c r="E5" s="17" t="s">
        <v>26</v>
      </c>
      <c r="F5" s="70" t="s">
        <v>847</v>
      </c>
      <c r="G5" s="17" t="s">
        <v>26</v>
      </c>
    </row>
    <row r="6" spans="1:7" ht="15" hidden="1" customHeight="1">
      <c r="A6" s="77"/>
      <c r="B6" s="470" t="s">
        <v>835</v>
      </c>
      <c r="C6" s="471"/>
      <c r="D6" s="70" t="s">
        <v>836</v>
      </c>
      <c r="E6" s="17"/>
      <c r="F6" s="70" t="s">
        <v>837</v>
      </c>
      <c r="G6" s="17"/>
    </row>
    <row r="7" spans="1:7" ht="27" customHeight="1">
      <c r="A7" s="405"/>
      <c r="B7" s="73" t="s">
        <v>848</v>
      </c>
      <c r="C7" s="18"/>
      <c r="D7" s="73"/>
      <c r="E7" s="18"/>
      <c r="F7" s="73"/>
      <c r="G7" s="18"/>
    </row>
    <row r="8" spans="1:7" ht="30" customHeight="1" thickBot="1">
      <c r="A8" s="379">
        <v>1985</v>
      </c>
      <c r="B8" s="446">
        <v>52.722501221738085</v>
      </c>
      <c r="C8" s="445" t="s">
        <v>258</v>
      </c>
      <c r="D8" s="446">
        <v>70.111287758346592</v>
      </c>
      <c r="E8" s="445" t="s">
        <v>258</v>
      </c>
      <c r="F8" s="446">
        <v>75.634286419536451</v>
      </c>
      <c r="G8" s="445" t="s">
        <v>258</v>
      </c>
    </row>
    <row r="9" spans="1:7" ht="18" customHeight="1" thickBot="1">
      <c r="A9" s="380">
        <v>1986</v>
      </c>
      <c r="B9" s="473">
        <v>56.277117350074633</v>
      </c>
      <c r="C9" s="25">
        <v>6.7421234690415943E-2</v>
      </c>
      <c r="D9" s="473">
        <v>72.602013778484363</v>
      </c>
      <c r="E9" s="25">
        <v>3.5525321239606722E-2</v>
      </c>
      <c r="F9" s="473">
        <v>76.201754702737617</v>
      </c>
      <c r="G9" s="25">
        <v>7.502791525703989E-3</v>
      </c>
    </row>
    <row r="10" spans="1:7" ht="18" customHeight="1" thickBot="1">
      <c r="A10" s="380">
        <v>1987</v>
      </c>
      <c r="B10" s="473">
        <v>60.581640475871247</v>
      </c>
      <c r="C10" s="25">
        <v>7.6487981767440427E-2</v>
      </c>
      <c r="D10" s="473">
        <v>74.350821409644936</v>
      </c>
      <c r="E10" s="25">
        <v>2.4087591240876005E-2</v>
      </c>
      <c r="F10" s="473">
        <v>77.299277766856065</v>
      </c>
      <c r="G10" s="25">
        <v>1.440285815464315E-2</v>
      </c>
    </row>
    <row r="11" spans="1:7" ht="18" customHeight="1" thickBot="1">
      <c r="A11" s="380">
        <v>1988</v>
      </c>
      <c r="B11" s="473">
        <v>63.374524308683064</v>
      </c>
      <c r="C11" s="25">
        <v>4.6101158880373694E-2</v>
      </c>
      <c r="D11" s="473">
        <v>76.947535771065176</v>
      </c>
      <c r="E11" s="25">
        <v>3.4925160370634201E-2</v>
      </c>
      <c r="F11" s="473">
        <v>78.746700247173862</v>
      </c>
      <c r="G11" s="25">
        <v>1.8724915964718258E-2</v>
      </c>
    </row>
    <row r="12" spans="1:7" ht="18" customHeight="1" thickBot="1">
      <c r="A12" s="380">
        <v>1989</v>
      </c>
      <c r="B12" s="473">
        <v>67.01613848038383</v>
      </c>
      <c r="C12" s="25">
        <v>5.7461798907764372E-2</v>
      </c>
      <c r="D12" s="473">
        <v>79.862215156332809</v>
      </c>
      <c r="E12" s="25">
        <v>3.7878787878788067E-2</v>
      </c>
      <c r="F12" s="473">
        <v>81.23138428320911</v>
      </c>
      <c r="G12" s="25">
        <v>3.1552865431011101E-2</v>
      </c>
    </row>
    <row r="13" spans="1:7" ht="18" customHeight="1" thickBot="1">
      <c r="A13" s="380">
        <v>1990</v>
      </c>
      <c r="B13" s="473">
        <v>70.540790625872404</v>
      </c>
      <c r="C13" s="25">
        <v>5.2594079954640494E-2</v>
      </c>
      <c r="D13" s="473">
        <v>84.525702172761001</v>
      </c>
      <c r="E13" s="25">
        <v>5.8394160583941535E-2</v>
      </c>
      <c r="F13" s="473">
        <v>85.621088701027531</v>
      </c>
      <c r="G13" s="25">
        <v>5.4039512641000265E-2</v>
      </c>
    </row>
    <row r="14" spans="1:7" ht="18" customHeight="1" thickBot="1">
      <c r="A14" s="380">
        <v>1991</v>
      </c>
      <c r="B14" s="473">
        <v>77.968747743032324</v>
      </c>
      <c r="C14" s="25">
        <v>0.10530016818999965</v>
      </c>
      <c r="D14" s="473">
        <v>90.408055113937465</v>
      </c>
      <c r="E14" s="25">
        <v>6.959247648902811E-2</v>
      </c>
      <c r="F14" s="473">
        <v>90.638135071792831</v>
      </c>
      <c r="G14" s="25">
        <v>5.8595918912966338E-2</v>
      </c>
    </row>
    <row r="15" spans="1:7" ht="18" customHeight="1" thickBot="1">
      <c r="A15" s="380">
        <v>1992</v>
      </c>
      <c r="B15" s="473">
        <v>84.878316515713948</v>
      </c>
      <c r="C15" s="25">
        <v>8.861972229506665E-2</v>
      </c>
      <c r="D15" s="473">
        <v>94.753577106518279</v>
      </c>
      <c r="E15" s="25">
        <v>4.8065650644783187E-2</v>
      </c>
      <c r="F15" s="473">
        <v>94.297203174795513</v>
      </c>
      <c r="G15" s="25">
        <v>4.0370072708406868E-2</v>
      </c>
    </row>
    <row r="16" spans="1:7" ht="18" customHeight="1" thickBot="1">
      <c r="A16" s="380">
        <v>1993</v>
      </c>
      <c r="B16" s="473">
        <v>90.517093874100482</v>
      </c>
      <c r="C16" s="25">
        <v>6.643366162125286E-2</v>
      </c>
      <c r="D16" s="473">
        <v>97.297297297297305</v>
      </c>
      <c r="E16" s="25">
        <v>2.6845637583892801E-2</v>
      </c>
      <c r="F16" s="473">
        <v>97.402032602062121</v>
      </c>
      <c r="G16" s="25">
        <v>3.2925996983296457E-2</v>
      </c>
    </row>
    <row r="17" spans="1:7" ht="18" customHeight="1" thickBot="1">
      <c r="A17" s="380">
        <v>1994</v>
      </c>
      <c r="B17" s="473">
        <v>96.051577326373916</v>
      </c>
      <c r="C17" s="25">
        <v>6.1142964443503978E-2</v>
      </c>
      <c r="D17" s="473">
        <v>98.675145733969259</v>
      </c>
      <c r="E17" s="25">
        <v>1.4161220043572786E-2</v>
      </c>
      <c r="F17" s="473">
        <v>98.23199008718872</v>
      </c>
      <c r="G17" s="25">
        <v>8.5209462570190464E-3</v>
      </c>
    </row>
    <row r="18" spans="1:7" ht="18" customHeight="1" thickBot="1">
      <c r="A18" s="380">
        <v>1995</v>
      </c>
      <c r="B18" s="473">
        <v>100</v>
      </c>
      <c r="C18" s="25">
        <v>4.1107317376056551E-2</v>
      </c>
      <c r="D18" s="473">
        <v>100</v>
      </c>
      <c r="E18" s="25">
        <v>1.3426423200859405E-2</v>
      </c>
      <c r="F18" s="473">
        <v>100</v>
      </c>
      <c r="G18" s="25">
        <v>1.79983110516444E-2</v>
      </c>
    </row>
    <row r="19" spans="1:7" ht="18" customHeight="1" thickBot="1">
      <c r="A19" s="380">
        <v>1996</v>
      </c>
      <c r="B19" s="473">
        <v>109.74910251288583</v>
      </c>
      <c r="C19" s="25">
        <v>9.7491025128858322E-2</v>
      </c>
      <c r="D19" s="473">
        <v>101.21886592474827</v>
      </c>
      <c r="E19" s="25">
        <v>1.2188659247482692E-2</v>
      </c>
      <c r="F19" s="473">
        <v>100.81166011923193</v>
      </c>
      <c r="G19" s="25">
        <v>8.1166011923192727E-3</v>
      </c>
    </row>
    <row r="20" spans="1:7" ht="18" customHeight="1" thickBot="1">
      <c r="A20" s="380">
        <v>1997</v>
      </c>
      <c r="B20" s="473">
        <v>115.4124928624605</v>
      </c>
      <c r="C20" s="25">
        <v>5.1603067541347025E-2</v>
      </c>
      <c r="D20" s="473">
        <v>101.69581346051935</v>
      </c>
      <c r="E20" s="25">
        <v>4.7120418848167755E-3</v>
      </c>
      <c r="F20" s="473">
        <v>101.33608693032861</v>
      </c>
      <c r="G20" s="25">
        <v>5.2020451848171501E-3</v>
      </c>
    </row>
    <row r="21" spans="1:7" ht="18" customHeight="1" thickBot="1">
      <c r="A21" s="380">
        <v>1998</v>
      </c>
      <c r="B21" s="473">
        <v>122.61785151110804</v>
      </c>
      <c r="C21" s="25">
        <v>6.2431357905372797E-2</v>
      </c>
      <c r="D21" s="473">
        <v>102.38473767885532</v>
      </c>
      <c r="E21" s="25">
        <v>6.774361646690874E-3</v>
      </c>
      <c r="F21" s="473">
        <v>101.35426363530824</v>
      </c>
      <c r="G21" s="25">
        <v>1.7937050393634912E-4</v>
      </c>
    </row>
    <row r="22" spans="1:7" ht="18" customHeight="1" thickBot="1">
      <c r="A22" s="380">
        <v>1999</v>
      </c>
      <c r="B22" s="473">
        <v>127.51691232156152</v>
      </c>
      <c r="C22" s="25">
        <v>3.9953895375582249E-2</v>
      </c>
      <c r="D22" s="473">
        <v>102.70270270270269</v>
      </c>
      <c r="E22" s="25">
        <v>3.1055900621117516E-3</v>
      </c>
      <c r="F22" s="473">
        <v>102.17165514800229</v>
      </c>
      <c r="G22" s="25">
        <v>8.06469785657149E-3</v>
      </c>
    </row>
    <row r="23" spans="1:7" ht="18" customHeight="1" thickBot="1">
      <c r="A23" s="380">
        <v>2000</v>
      </c>
      <c r="B23" s="473">
        <v>134.9694422142035</v>
      </c>
      <c r="C23" s="25">
        <v>5.8443462572625782E-2</v>
      </c>
      <c r="D23" s="473">
        <v>104.02755696873345</v>
      </c>
      <c r="E23" s="25">
        <v>1.2899896800825816E-2</v>
      </c>
      <c r="F23" s="473">
        <v>103.76399138722388</v>
      </c>
      <c r="G23" s="25">
        <v>1.5584911851677319E-2</v>
      </c>
    </row>
    <row r="24" spans="1:7" ht="18" customHeight="1" thickBot="1">
      <c r="A24" s="380">
        <v>2001</v>
      </c>
      <c r="B24" s="473">
        <v>141.8505644621508</v>
      </c>
      <c r="C24" s="25">
        <v>5.0982816073482873E-2</v>
      </c>
      <c r="D24" s="473">
        <v>106.57127715951245</v>
      </c>
      <c r="E24" s="25">
        <v>2.4452368823229653E-2</v>
      </c>
      <c r="F24" s="473">
        <v>104.7902814183139</v>
      </c>
      <c r="G24" s="25">
        <v>9.8906182903097939E-3</v>
      </c>
    </row>
    <row r="25" spans="1:7" ht="18" customHeight="1" thickBot="1">
      <c r="A25" s="380">
        <v>2002</v>
      </c>
      <c r="B25" s="473">
        <v>147.22343196454216</v>
      </c>
      <c r="C25" s="25">
        <v>3.7876955391495715E-2</v>
      </c>
      <c r="D25" s="473">
        <v>108.4790673025967</v>
      </c>
      <c r="E25" s="25">
        <v>1.7901541521631037E-2</v>
      </c>
      <c r="F25" s="473">
        <v>105.46377617124475</v>
      </c>
      <c r="G25" s="25">
        <v>6.4270726618465002E-3</v>
      </c>
    </row>
    <row r="26" spans="1:7" s="35" customFormat="1" ht="30" customHeight="1" thickBot="1">
      <c r="A26" s="474">
        <v>2003</v>
      </c>
      <c r="B26" s="475">
        <v>153.65241939807902</v>
      </c>
      <c r="C26" s="489">
        <v>4.366823506115014E-2</v>
      </c>
      <c r="D26" s="475">
        <v>110.01589825119238</v>
      </c>
      <c r="E26" s="489">
        <v>1.4167073766487848E-2</v>
      </c>
      <c r="F26" s="475">
        <v>106.13696065325131</v>
      </c>
      <c r="G26" s="489">
        <v>6.3830872214691858E-3</v>
      </c>
    </row>
    <row r="27" spans="1:7" ht="20" customHeight="1">
      <c r="A27" s="477" t="s">
        <v>1586</v>
      </c>
      <c r="B27" s="478"/>
      <c r="C27" s="478"/>
      <c r="D27" s="478"/>
      <c r="E27" s="478"/>
      <c r="F27" s="478"/>
      <c r="G27" s="478"/>
    </row>
    <row r="28" spans="1:7" ht="12.75" customHeight="1">
      <c r="A28" s="479"/>
      <c r="B28" s="480"/>
      <c r="C28" s="480"/>
      <c r="D28" s="480"/>
      <c r="E28" s="480"/>
      <c r="F28" s="480"/>
      <c r="G28" s="480"/>
    </row>
    <row r="29" spans="1:7" ht="12" customHeight="1">
      <c r="A29" s="479" t="s">
        <v>838</v>
      </c>
      <c r="B29" s="480"/>
      <c r="C29" s="480"/>
      <c r="D29" s="480"/>
      <c r="E29" s="480"/>
      <c r="F29" s="480"/>
      <c r="G29" s="480"/>
    </row>
    <row r="30" spans="1:7" ht="12" customHeight="1">
      <c r="A30" s="479" t="s">
        <v>839</v>
      </c>
      <c r="B30" s="480"/>
      <c r="C30" s="480"/>
      <c r="D30" s="480"/>
      <c r="E30" s="480"/>
      <c r="F30" s="480"/>
      <c r="G30" s="480"/>
    </row>
    <row r="31" spans="1:7" ht="12" customHeight="1">
      <c r="A31" s="479" t="s">
        <v>840</v>
      </c>
      <c r="B31" s="480"/>
      <c r="C31" s="480"/>
      <c r="D31" s="480"/>
      <c r="E31" s="480"/>
      <c r="F31" s="480"/>
      <c r="G31" s="480"/>
    </row>
    <row r="32" spans="1:7" ht="12" customHeight="1">
      <c r="A32" s="479" t="s">
        <v>841</v>
      </c>
      <c r="B32" s="480"/>
      <c r="C32" s="480"/>
      <c r="D32" s="480"/>
      <c r="E32" s="480"/>
      <c r="F32" s="480"/>
      <c r="G32" s="480"/>
    </row>
    <row r="33" spans="1:9" ht="12.75" customHeight="1">
      <c r="A33" s="479" t="s">
        <v>842</v>
      </c>
      <c r="B33" s="480"/>
      <c r="C33" s="480"/>
      <c r="D33" s="480"/>
      <c r="E33" s="480"/>
      <c r="F33" s="480"/>
      <c r="G33" s="480"/>
    </row>
    <row r="34" spans="1:9" ht="12.75" customHeight="1">
      <c r="A34" s="479" t="s">
        <v>843</v>
      </c>
      <c r="B34" s="480"/>
      <c r="C34" s="480"/>
      <c r="D34" s="480"/>
      <c r="E34" s="480"/>
      <c r="F34" s="480"/>
      <c r="G34" s="480"/>
    </row>
    <row r="35" spans="1:9" ht="12" customHeight="1">
      <c r="A35" s="479" t="s">
        <v>844</v>
      </c>
      <c r="B35" s="480"/>
      <c r="C35" s="480"/>
      <c r="D35" s="480"/>
      <c r="E35" s="480"/>
      <c r="F35" s="480"/>
      <c r="G35" s="480"/>
    </row>
    <row r="36" spans="1:9" ht="12.75" customHeight="1">
      <c r="A36" s="479" t="s">
        <v>845</v>
      </c>
      <c r="B36" s="482"/>
      <c r="C36" s="482"/>
      <c r="D36" s="482"/>
      <c r="E36" s="482"/>
      <c r="F36" s="482"/>
      <c r="G36" s="482"/>
    </row>
    <row r="37" spans="1:9" ht="15.75" customHeight="1">
      <c r="A37" s="355"/>
      <c r="B37" s="482"/>
      <c r="C37" s="482"/>
      <c r="D37" s="482"/>
      <c r="E37" s="482"/>
      <c r="F37" s="482"/>
      <c r="G37" s="482"/>
    </row>
    <row r="38" spans="1:9" ht="15.75" customHeight="1">
      <c r="A38" s="355"/>
      <c r="B38" s="482"/>
      <c r="C38" s="482"/>
      <c r="D38" s="482"/>
      <c r="E38" s="482"/>
      <c r="F38" s="482"/>
      <c r="G38" s="482"/>
      <c r="I38" s="10"/>
    </row>
    <row r="39" spans="1:9" ht="15.75" customHeight="1">
      <c r="A39" s="118" t="s">
        <v>256</v>
      </c>
      <c r="B39" s="482"/>
      <c r="C39" s="482"/>
      <c r="D39" s="482"/>
      <c r="E39" s="482"/>
      <c r="F39" s="482"/>
      <c r="G39" s="482"/>
    </row>
    <row r="40" spans="1:9" ht="31" customHeight="1">
      <c r="A40" s="355"/>
      <c r="B40" s="482"/>
      <c r="C40" s="482"/>
      <c r="D40" s="482"/>
      <c r="E40" s="482"/>
      <c r="F40" s="482"/>
      <c r="G40" s="482"/>
    </row>
    <row r="41" spans="1:9" ht="31" customHeight="1">
      <c r="A41" s="355"/>
      <c r="B41" s="482"/>
      <c r="C41" s="482"/>
      <c r="D41" s="482"/>
      <c r="E41" s="482"/>
      <c r="F41" s="482"/>
      <c r="G41" s="482"/>
    </row>
    <row r="42" spans="1:9" ht="31" customHeight="1">
      <c r="A42" s="355"/>
      <c r="B42" s="482"/>
      <c r="C42" s="482"/>
      <c r="D42" s="482"/>
      <c r="E42" s="482"/>
      <c r="F42" s="482"/>
      <c r="G42" s="482"/>
    </row>
    <row r="43" spans="1:9" ht="31" customHeight="1">
      <c r="A43" s="355"/>
      <c r="B43" s="482"/>
      <c r="C43" s="482"/>
      <c r="D43" s="482"/>
      <c r="E43" s="482"/>
      <c r="F43" s="482"/>
      <c r="G43" s="482"/>
    </row>
    <row r="44" spans="1:9" ht="31" customHeight="1">
      <c r="A44" s="355"/>
      <c r="B44" s="482"/>
      <c r="C44" s="482"/>
      <c r="D44" s="482"/>
      <c r="E44" s="482"/>
      <c r="F44" s="482"/>
      <c r="G44" s="482"/>
    </row>
  </sheetData>
  <mergeCells count="1">
    <mergeCell ref="A2:F2"/>
  </mergeCells>
  <phoneticPr fontId="0" type="noConversion"/>
  <pageMargins left="0.56000000000000005" right="0.6" top="0.9" bottom="0.49" header="0.47" footer="0.4921259845"/>
  <pageSetup paperSize="9" scale="85" orientation="portrait"/>
  <headerFooter alignWithMargins="0">
    <oddHeader>&amp;L&amp;"Arial,Bold"Zusatzinformationen zum Gesundheitswesen</oddHeader>
  </headerFooter>
  <rowBreaks count="1" manualBreakCount="1">
    <brk id="36" max="16383" man="1"/>
  </rowBreaks>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C00E3-2738-F244-AFDB-6B0C6DE0A5E0}">
  <sheetPr>
    <pageSetUpPr fitToPage="1"/>
  </sheetPr>
  <dimension ref="A1:J62"/>
  <sheetViews>
    <sheetView zoomScale="75" workbookViewId="0">
      <selection sqref="A1:I49"/>
    </sheetView>
  </sheetViews>
  <sheetFormatPr baseColWidth="10" defaultColWidth="11.3984375" defaultRowHeight="13"/>
  <cols>
    <col min="1" max="1" width="11.3984375" style="3"/>
    <col min="2" max="7" width="13.59765625" style="21" customWidth="1"/>
    <col min="8" max="9" width="13.59765625" style="3" customWidth="1"/>
    <col min="10" max="10" width="11.3984375" style="3"/>
    <col min="11" max="11" width="5.796875" style="3" customWidth="1"/>
    <col min="12" max="16384" width="11.3984375" style="3"/>
  </cols>
  <sheetData>
    <row r="1" spans="1:10" s="1" customFormat="1" ht="14" customHeight="1">
      <c r="A1" s="372"/>
      <c r="B1" s="373"/>
      <c r="C1" s="373"/>
      <c r="D1" s="373"/>
      <c r="E1" s="373"/>
      <c r="F1" s="373"/>
      <c r="G1" s="373"/>
    </row>
    <row r="2" spans="1:10" s="1" customFormat="1" ht="41.25" customHeight="1">
      <c r="A2" s="1497" t="s">
        <v>818</v>
      </c>
      <c r="B2" s="1474"/>
      <c r="C2" s="1474"/>
      <c r="D2" s="1474"/>
      <c r="E2" s="1474"/>
      <c r="F2" s="1474"/>
      <c r="G2" s="1474"/>
      <c r="H2" s="1474"/>
      <c r="I2" s="389">
        <v>2003</v>
      </c>
      <c r="J2" s="386"/>
    </row>
    <row r="3" spans="1:10" ht="27" customHeight="1">
      <c r="A3" s="2" t="s">
        <v>1591</v>
      </c>
      <c r="B3" s="989" t="s">
        <v>819</v>
      </c>
      <c r="C3" s="16"/>
      <c r="D3" s="69"/>
      <c r="E3" s="990"/>
      <c r="F3" s="986" t="s">
        <v>820</v>
      </c>
      <c r="G3" s="16"/>
      <c r="H3" s="991"/>
      <c r="I3" s="53"/>
      <c r="J3" s="608"/>
    </row>
    <row r="4" spans="1:10" ht="20.25" customHeight="1">
      <c r="A4" s="77"/>
      <c r="B4" s="470" t="s">
        <v>193</v>
      </c>
      <c r="C4" s="17" t="s">
        <v>77</v>
      </c>
      <c r="D4" s="70" t="s">
        <v>806</v>
      </c>
      <c r="E4" s="17" t="s">
        <v>807</v>
      </c>
      <c r="F4" s="992" t="s">
        <v>22</v>
      </c>
      <c r="G4" s="569" t="s">
        <v>245</v>
      </c>
      <c r="H4" s="568" t="s">
        <v>245</v>
      </c>
      <c r="I4" s="569" t="s">
        <v>245</v>
      </c>
      <c r="J4" s="608"/>
    </row>
    <row r="5" spans="1:10" ht="15" customHeight="1">
      <c r="A5" s="77"/>
      <c r="B5" s="470"/>
      <c r="C5" s="17"/>
      <c r="D5" s="70" t="s">
        <v>1722</v>
      </c>
      <c r="E5" s="17"/>
      <c r="F5" s="987"/>
      <c r="G5" s="569" t="s">
        <v>808</v>
      </c>
      <c r="H5" s="568" t="s">
        <v>809</v>
      </c>
      <c r="I5" s="569" t="s">
        <v>810</v>
      </c>
      <c r="J5" s="608"/>
    </row>
    <row r="6" spans="1:10" s="811" customFormat="1" ht="26.25" customHeight="1">
      <c r="A6" s="469"/>
      <c r="B6" s="470"/>
      <c r="C6" s="471"/>
      <c r="D6" s="470" t="s">
        <v>1717</v>
      </c>
      <c r="E6" s="471"/>
      <c r="F6" s="993"/>
      <c r="G6" s="471" t="s">
        <v>811</v>
      </c>
      <c r="H6" s="73"/>
      <c r="I6" s="18"/>
      <c r="J6" s="608"/>
    </row>
    <row r="7" spans="1:10" ht="30" customHeight="1" thickBot="1">
      <c r="A7" s="379">
        <v>1996</v>
      </c>
      <c r="B7" s="446">
        <v>84.979037225823575</v>
      </c>
      <c r="C7" s="445" t="s">
        <v>1013</v>
      </c>
      <c r="D7" s="446" t="s">
        <v>1013</v>
      </c>
      <c r="E7" s="445" t="s">
        <v>1013</v>
      </c>
      <c r="F7" s="988" t="s">
        <v>1013</v>
      </c>
      <c r="G7" s="445" t="s">
        <v>1013</v>
      </c>
      <c r="H7" s="976" t="s">
        <v>1013</v>
      </c>
      <c r="I7" s="961" t="s">
        <v>1013</v>
      </c>
      <c r="J7" s="608"/>
    </row>
    <row r="8" spans="1:10" ht="18" customHeight="1" thickBot="1">
      <c r="A8" s="380">
        <v>1997</v>
      </c>
      <c r="B8" s="446">
        <v>91.421507969783377</v>
      </c>
      <c r="C8" s="88" t="s">
        <v>1013</v>
      </c>
      <c r="D8" s="473" t="s">
        <v>1013</v>
      </c>
      <c r="E8" s="88" t="s">
        <v>1013</v>
      </c>
      <c r="F8" s="988" t="s">
        <v>1013</v>
      </c>
      <c r="G8" s="445" t="s">
        <v>1013</v>
      </c>
      <c r="H8" s="976" t="s">
        <v>1013</v>
      </c>
      <c r="I8" s="961" t="s">
        <v>1013</v>
      </c>
      <c r="J8" s="608"/>
    </row>
    <row r="9" spans="1:10" ht="18" customHeight="1" thickBot="1">
      <c r="A9" s="994">
        <v>1998</v>
      </c>
      <c r="B9" s="446">
        <v>97.493340740266135</v>
      </c>
      <c r="C9" s="995">
        <v>97.546598322460397</v>
      </c>
      <c r="D9" s="996">
        <v>98.308679723438843</v>
      </c>
      <c r="E9" s="995">
        <v>97.738607434756062</v>
      </c>
      <c r="F9" s="988" t="s">
        <v>1013</v>
      </c>
      <c r="G9" s="445" t="s">
        <v>1013</v>
      </c>
      <c r="H9" s="976" t="s">
        <v>1013</v>
      </c>
      <c r="I9" s="961" t="s">
        <v>1013</v>
      </c>
      <c r="J9" s="608"/>
    </row>
    <row r="10" spans="1:10" ht="18" customHeight="1" thickBot="1">
      <c r="A10" s="380">
        <v>1999</v>
      </c>
      <c r="B10" s="446">
        <v>100</v>
      </c>
      <c r="C10" s="88">
        <v>100</v>
      </c>
      <c r="D10" s="473">
        <v>100</v>
      </c>
      <c r="E10" s="88">
        <v>100</v>
      </c>
      <c r="F10" s="967">
        <v>100</v>
      </c>
      <c r="G10" s="88">
        <v>100</v>
      </c>
      <c r="H10" s="473">
        <v>100</v>
      </c>
      <c r="I10" s="88">
        <v>100</v>
      </c>
      <c r="J10" s="608"/>
    </row>
    <row r="11" spans="1:10" ht="18" customHeight="1" thickBot="1">
      <c r="A11" s="958">
        <v>2000</v>
      </c>
      <c r="B11" s="976">
        <v>103.30093227325024</v>
      </c>
      <c r="C11" s="961">
        <v>103.38303821062442</v>
      </c>
      <c r="D11" s="976">
        <v>99.621518882736964</v>
      </c>
      <c r="E11" s="961">
        <v>103.27075672537256</v>
      </c>
      <c r="F11" s="997">
        <v>106.4</v>
      </c>
      <c r="G11" s="961">
        <v>104.3</v>
      </c>
      <c r="H11" s="976">
        <v>107.5</v>
      </c>
      <c r="I11" s="961">
        <v>106.7</v>
      </c>
      <c r="J11" s="608"/>
    </row>
    <row r="12" spans="1:10" ht="18" customHeight="1" thickBot="1">
      <c r="A12" s="380">
        <v>2001</v>
      </c>
      <c r="B12" s="473">
        <v>106.90499178408193</v>
      </c>
      <c r="C12" s="88">
        <v>107.76794035414726</v>
      </c>
      <c r="D12" s="473">
        <v>100.98118612786824</v>
      </c>
      <c r="E12" s="88">
        <v>108.35330723079899</v>
      </c>
      <c r="F12" s="967">
        <v>111.1</v>
      </c>
      <c r="G12" s="88">
        <v>107.5</v>
      </c>
      <c r="H12" s="473">
        <v>112.5</v>
      </c>
      <c r="I12" s="88">
        <v>112.5</v>
      </c>
      <c r="J12" s="608"/>
    </row>
    <row r="13" spans="1:10" ht="18" customHeight="1" thickBot="1">
      <c r="A13" s="994">
        <v>2002</v>
      </c>
      <c r="B13" s="996">
        <v>115.82321357976109</v>
      </c>
      <c r="C13" s="995">
        <v>116.05079217148185</v>
      </c>
      <c r="D13" s="996">
        <v>112.46067818086661</v>
      </c>
      <c r="E13" s="995">
        <v>117.23362760715187</v>
      </c>
      <c r="F13" s="998">
        <v>115.4</v>
      </c>
      <c r="G13" s="995">
        <v>107.9</v>
      </c>
      <c r="H13" s="996">
        <v>117.5</v>
      </c>
      <c r="I13" s="995">
        <v>119.3</v>
      </c>
      <c r="J13" s="608"/>
    </row>
    <row r="14" spans="1:10" ht="18" customHeight="1" thickBot="1">
      <c r="A14" s="994">
        <v>2003</v>
      </c>
      <c r="B14" s="996">
        <v>125.30519537340288</v>
      </c>
      <c r="C14" s="995">
        <v>124.75846536191366</v>
      </c>
      <c r="D14" s="996">
        <v>126.39671652480513</v>
      </c>
      <c r="E14" s="995">
        <v>126.92382129192656</v>
      </c>
      <c r="F14" s="998">
        <v>116.38</v>
      </c>
      <c r="G14" s="995">
        <v>110</v>
      </c>
      <c r="H14" s="996">
        <v>117.9</v>
      </c>
      <c r="I14" s="995">
        <v>120.1</v>
      </c>
      <c r="J14" s="608"/>
    </row>
    <row r="15" spans="1:10" ht="18" customHeight="1" thickBot="1">
      <c r="A15" s="999" t="s">
        <v>821</v>
      </c>
      <c r="B15" s="1000">
        <v>135.40413024732268</v>
      </c>
      <c r="C15" s="995" t="s">
        <v>1013</v>
      </c>
      <c r="D15" s="996" t="s">
        <v>1013</v>
      </c>
      <c r="E15" s="995" t="s">
        <v>1013</v>
      </c>
      <c r="F15" s="998">
        <v>117.9</v>
      </c>
      <c r="G15" s="995">
        <v>113.3</v>
      </c>
      <c r="H15" s="996">
        <v>118.6</v>
      </c>
      <c r="I15" s="995">
        <v>121.2</v>
      </c>
      <c r="J15" s="608"/>
    </row>
    <row r="16" spans="1:10" ht="18" customHeight="1" thickBot="1">
      <c r="A16" s="886" t="s">
        <v>822</v>
      </c>
      <c r="B16" s="1001">
        <v>140.17013018424848</v>
      </c>
      <c r="C16" s="1002" t="s">
        <v>1013</v>
      </c>
      <c r="D16" s="1003" t="s">
        <v>1013</v>
      </c>
      <c r="E16" s="1002" t="s">
        <v>1013</v>
      </c>
      <c r="F16" s="1004" t="s">
        <v>1013</v>
      </c>
      <c r="G16" s="1002" t="s">
        <v>1013</v>
      </c>
      <c r="H16" s="1003" t="s">
        <v>1013</v>
      </c>
      <c r="I16" s="1002" t="s">
        <v>1013</v>
      </c>
      <c r="J16" s="608"/>
    </row>
    <row r="17" spans="1:10" ht="18" customHeight="1">
      <c r="A17" s="384"/>
      <c r="B17" s="385"/>
      <c r="C17" s="1005"/>
      <c r="D17" s="385"/>
      <c r="E17" s="1005"/>
      <c r="F17" s="385"/>
      <c r="G17" s="1005"/>
      <c r="H17" s="385"/>
      <c r="I17" s="1005"/>
      <c r="J17" s="608"/>
    </row>
    <row r="18" spans="1:10" ht="18" customHeight="1">
      <c r="A18" s="384"/>
      <c r="B18" s="385"/>
      <c r="C18" s="1005"/>
      <c r="D18" s="385"/>
      <c r="E18" s="1005"/>
      <c r="F18" s="385"/>
      <c r="G18" s="1005"/>
      <c r="H18" s="385"/>
      <c r="I18" s="1005"/>
      <c r="J18" s="608"/>
    </row>
    <row r="19" spans="1:10" ht="18" customHeight="1">
      <c r="A19" s="1006" t="s">
        <v>812</v>
      </c>
      <c r="B19" s="385"/>
      <c r="C19" s="1005"/>
      <c r="D19" s="385"/>
      <c r="E19" s="1005"/>
      <c r="F19" s="385"/>
      <c r="G19" s="1005"/>
      <c r="H19" s="385"/>
      <c r="I19" s="1005"/>
      <c r="J19" s="608"/>
    </row>
    <row r="20" spans="1:10" ht="18" customHeight="1">
      <c r="A20" s="1007"/>
      <c r="B20" s="1008"/>
      <c r="C20" s="1009"/>
      <c r="D20" s="1008"/>
      <c r="E20" s="1009"/>
      <c r="F20" s="1008"/>
      <c r="G20" s="1009"/>
      <c r="H20" s="1008"/>
      <c r="I20" s="1009"/>
      <c r="J20" s="608"/>
    </row>
    <row r="21" spans="1:10" ht="27" customHeight="1">
      <c r="A21" s="2" t="s">
        <v>1591</v>
      </c>
      <c r="B21" s="989" t="s">
        <v>819</v>
      </c>
      <c r="C21" s="16"/>
      <c r="D21" s="69"/>
      <c r="E21" s="990"/>
      <c r="F21" s="986" t="s">
        <v>820</v>
      </c>
      <c r="G21" s="16"/>
      <c r="H21" s="991"/>
      <c r="I21" s="53"/>
      <c r="J21" s="608"/>
    </row>
    <row r="22" spans="1:10" ht="20.25" customHeight="1">
      <c r="A22" s="77"/>
      <c r="B22" s="470" t="s">
        <v>193</v>
      </c>
      <c r="C22" s="17" t="s">
        <v>77</v>
      </c>
      <c r="D22" s="70" t="s">
        <v>806</v>
      </c>
      <c r="E22" s="17" t="s">
        <v>807</v>
      </c>
      <c r="F22" s="992" t="s">
        <v>22</v>
      </c>
      <c r="G22" s="569" t="s">
        <v>245</v>
      </c>
      <c r="H22" s="568" t="s">
        <v>245</v>
      </c>
      <c r="I22" s="569" t="s">
        <v>245</v>
      </c>
      <c r="J22" s="608"/>
    </row>
    <row r="23" spans="1:10" ht="15" customHeight="1">
      <c r="A23" s="77"/>
      <c r="B23" s="470"/>
      <c r="C23" s="17"/>
      <c r="D23" s="70" t="s">
        <v>1722</v>
      </c>
      <c r="E23" s="17"/>
      <c r="F23" s="987"/>
      <c r="G23" s="569" t="s">
        <v>808</v>
      </c>
      <c r="H23" s="568" t="s">
        <v>809</v>
      </c>
      <c r="I23" s="569" t="s">
        <v>810</v>
      </c>
      <c r="J23" s="608"/>
    </row>
    <row r="24" spans="1:10" s="811" customFormat="1" ht="26.25" customHeight="1">
      <c r="A24" s="78"/>
      <c r="B24" s="73"/>
      <c r="C24" s="18"/>
      <c r="D24" s="73" t="s">
        <v>1717</v>
      </c>
      <c r="E24" s="18"/>
      <c r="F24" s="957"/>
      <c r="G24" s="18" t="s">
        <v>811</v>
      </c>
      <c r="H24" s="73"/>
      <c r="I24" s="18"/>
      <c r="J24" s="608"/>
    </row>
    <row r="25" spans="1:10" ht="26.25" customHeight="1" thickBot="1">
      <c r="A25" s="958">
        <v>1997</v>
      </c>
      <c r="B25" s="927">
        <v>7.5812470395958398E-2</v>
      </c>
      <c r="C25" s="24" t="s">
        <v>1013</v>
      </c>
      <c r="D25" s="927" t="s">
        <v>1013</v>
      </c>
      <c r="E25" s="24" t="s">
        <v>1013</v>
      </c>
      <c r="F25" s="1010" t="s">
        <v>1013</v>
      </c>
      <c r="G25" s="24" t="s">
        <v>1013</v>
      </c>
      <c r="H25" s="927" t="s">
        <v>1013</v>
      </c>
      <c r="I25" s="24" t="s">
        <v>1013</v>
      </c>
      <c r="J25" s="608"/>
    </row>
    <row r="26" spans="1:10" ht="18" customHeight="1" thickBot="1">
      <c r="A26" s="380">
        <v>1998</v>
      </c>
      <c r="B26" s="927">
        <v>6.6415801984907263E-2</v>
      </c>
      <c r="C26" s="25" t="s">
        <v>1013</v>
      </c>
      <c r="D26" s="381" t="s">
        <v>1013</v>
      </c>
      <c r="E26" s="25" t="s">
        <v>1013</v>
      </c>
      <c r="F26" s="1010" t="s">
        <v>1013</v>
      </c>
      <c r="G26" s="24" t="s">
        <v>1013</v>
      </c>
      <c r="H26" s="927" t="s">
        <v>1013</v>
      </c>
      <c r="I26" s="24" t="s">
        <v>1013</v>
      </c>
      <c r="J26" s="608"/>
    </row>
    <row r="27" spans="1:10" ht="18" customHeight="1" thickBot="1">
      <c r="A27" s="958">
        <v>1999</v>
      </c>
      <c r="B27" s="927">
        <v>2.5711081810314562E-2</v>
      </c>
      <c r="C27" s="25">
        <v>2.5151073637948773E-2</v>
      </c>
      <c r="D27" s="381">
        <v>1.7204180559836191E-2</v>
      </c>
      <c r="E27" s="25">
        <v>2.3137147383171852E-2</v>
      </c>
      <c r="F27" s="1010" t="s">
        <v>1013</v>
      </c>
      <c r="G27" s="24" t="s">
        <v>1013</v>
      </c>
      <c r="H27" s="927" t="s">
        <v>1013</v>
      </c>
      <c r="I27" s="24" t="s">
        <v>1013</v>
      </c>
      <c r="J27" s="608"/>
    </row>
    <row r="28" spans="1:10" ht="18" customHeight="1" thickBot="1">
      <c r="A28" s="380">
        <v>2000</v>
      </c>
      <c r="B28" s="927">
        <v>3.3009322732502344E-2</v>
      </c>
      <c r="C28" s="25">
        <v>3.3830382106244228E-2</v>
      </c>
      <c r="D28" s="381">
        <v>-3.784811172630409E-3</v>
      </c>
      <c r="E28" s="25">
        <v>3.2707567253725589E-2</v>
      </c>
      <c r="F28" s="1011">
        <v>6.4000000000000001E-2</v>
      </c>
      <c r="G28" s="25">
        <v>4.2999999999999997E-2</v>
      </c>
      <c r="H28" s="381">
        <v>7.4999999999999997E-2</v>
      </c>
      <c r="I28" s="25">
        <v>6.7000000000000004E-2</v>
      </c>
      <c r="J28" s="608"/>
    </row>
    <row r="29" spans="1:10" ht="18" customHeight="1" thickBot="1">
      <c r="A29" s="958">
        <v>2001</v>
      </c>
      <c r="B29" s="927">
        <v>3.4888934993328791E-2</v>
      </c>
      <c r="C29" s="25">
        <v>4.2414135040115486E-2</v>
      </c>
      <c r="D29" s="381">
        <v>1.3648328798637532E-2</v>
      </c>
      <c r="E29" s="25">
        <v>4.9215776727020932E-2</v>
      </c>
      <c r="F29" s="1011">
        <v>4.4000000000000004E-2</v>
      </c>
      <c r="G29" s="25">
        <v>0.03</v>
      </c>
      <c r="H29" s="381">
        <v>4.7E-2</v>
      </c>
      <c r="I29" s="25">
        <v>5.5E-2</v>
      </c>
      <c r="J29" s="608"/>
    </row>
    <row r="30" spans="1:10" ht="18" customHeight="1" thickBot="1">
      <c r="A30" s="380">
        <v>2002</v>
      </c>
      <c r="B30" s="927">
        <v>8.3421939863121297E-2</v>
      </c>
      <c r="C30" s="25">
        <v>7.6858217667661322E-2</v>
      </c>
      <c r="D30" s="381">
        <v>0.11367951291899425</v>
      </c>
      <c r="E30" s="25">
        <v>8.1957077299332104E-2</v>
      </c>
      <c r="F30" s="1011">
        <v>3.9E-2</v>
      </c>
      <c r="G30" s="25">
        <v>4.0000000000000001E-3</v>
      </c>
      <c r="H30" s="381">
        <v>4.4000000000000004E-2</v>
      </c>
      <c r="I30" s="25">
        <v>0.06</v>
      </c>
      <c r="J30" s="608"/>
    </row>
    <row r="31" spans="1:10" ht="18" customHeight="1" thickBot="1">
      <c r="A31" s="380">
        <v>2003</v>
      </c>
      <c r="B31" s="927">
        <v>8.1865987832500098E-2</v>
      </c>
      <c r="C31" s="25">
        <v>7.5033293849170457E-2</v>
      </c>
      <c r="D31" s="381">
        <v>0.12391920953496016</v>
      </c>
      <c r="E31" s="25">
        <v>8.2657117096524457E-2</v>
      </c>
      <c r="F31" s="1011">
        <v>8.492201039861369E-3</v>
      </c>
      <c r="G31" s="25">
        <v>1.9462465245597693E-2</v>
      </c>
      <c r="H31" s="381">
        <v>3.4042553191488967E-3</v>
      </c>
      <c r="I31" s="25">
        <v>6.7057837384743024E-3</v>
      </c>
      <c r="J31" s="608"/>
    </row>
    <row r="32" spans="1:10" ht="18" customHeight="1" thickBot="1">
      <c r="A32" s="999" t="s">
        <v>821</v>
      </c>
      <c r="B32" s="927">
        <v>8.0594701950110759E-2</v>
      </c>
      <c r="C32" s="25" t="s">
        <v>1013</v>
      </c>
      <c r="D32" s="381" t="s">
        <v>1013</v>
      </c>
      <c r="E32" s="25" t="s">
        <v>1013</v>
      </c>
      <c r="F32" s="1011">
        <v>1.3060663344217405E-2</v>
      </c>
      <c r="G32" s="25">
        <v>0.03</v>
      </c>
      <c r="H32" s="381">
        <v>5.9372349448685302E-3</v>
      </c>
      <c r="I32" s="25">
        <v>9.1590341382181695E-3</v>
      </c>
      <c r="J32" s="608"/>
    </row>
    <row r="33" spans="1:10" ht="18" customHeight="1" thickBot="1">
      <c r="A33" s="886" t="s">
        <v>822</v>
      </c>
      <c r="B33" s="381">
        <v>3.5198335000715675E-2</v>
      </c>
      <c r="C33" s="25" t="s">
        <v>1013</v>
      </c>
      <c r="D33" s="381" t="s">
        <v>1013</v>
      </c>
      <c r="E33" s="25" t="s">
        <v>1013</v>
      </c>
      <c r="F33" s="1011" t="s">
        <v>1013</v>
      </c>
      <c r="G33" s="25" t="s">
        <v>1013</v>
      </c>
      <c r="H33" s="1012" t="s">
        <v>1013</v>
      </c>
      <c r="I33" s="182" t="s">
        <v>1013</v>
      </c>
      <c r="J33" s="608"/>
    </row>
    <row r="34" spans="1:10" ht="17.25" customHeight="1">
      <c r="A34" s="1013" t="s">
        <v>1586</v>
      </c>
      <c r="B34" s="491"/>
      <c r="C34" s="491"/>
      <c r="D34" s="491"/>
      <c r="E34" s="491"/>
      <c r="F34" s="491"/>
      <c r="G34" s="491"/>
    </row>
    <row r="35" spans="1:10" ht="12" customHeight="1">
      <c r="A35" s="883"/>
      <c r="B35" s="385"/>
      <c r="C35" s="385"/>
      <c r="D35" s="385"/>
      <c r="E35" s="385"/>
      <c r="F35" s="385"/>
      <c r="G35" s="385"/>
    </row>
    <row r="36" spans="1:10" ht="14.25" customHeight="1">
      <c r="A36" s="883" t="s">
        <v>813</v>
      </c>
      <c r="B36" s="385"/>
      <c r="C36" s="385"/>
      <c r="D36" s="385"/>
      <c r="E36" s="385"/>
      <c r="F36" s="385"/>
      <c r="G36" s="385"/>
    </row>
    <row r="37" spans="1:10" ht="14.25" customHeight="1">
      <c r="A37" s="883" t="s">
        <v>814</v>
      </c>
      <c r="B37" s="385"/>
      <c r="C37" s="385"/>
      <c r="D37" s="385"/>
      <c r="E37" s="385"/>
      <c r="F37" s="385"/>
      <c r="G37" s="385"/>
    </row>
    <row r="38" spans="1:10" ht="15" customHeight="1">
      <c r="A38" s="1014" t="s">
        <v>815</v>
      </c>
      <c r="B38"/>
      <c r="C38"/>
      <c r="D38"/>
      <c r="E38"/>
      <c r="F38"/>
      <c r="G38"/>
      <c r="I38" s="118"/>
    </row>
    <row r="39" spans="1:10" ht="15.75" customHeight="1">
      <c r="A39" s="38" t="s">
        <v>823</v>
      </c>
      <c r="B39" s="494"/>
      <c r="C39" s="494"/>
      <c r="D39" s="494"/>
      <c r="E39" s="494"/>
      <c r="F39" s="494"/>
      <c r="G39" s="494"/>
      <c r="I39" s="177"/>
    </row>
    <row r="40" spans="1:10" ht="15.75" customHeight="1">
      <c r="A40" s="38" t="s">
        <v>824</v>
      </c>
      <c r="B40" s="494"/>
      <c r="C40" s="494"/>
      <c r="D40" s="494"/>
      <c r="E40" s="494"/>
      <c r="F40" s="494"/>
      <c r="G40" s="494"/>
      <c r="I40" s="177"/>
    </row>
    <row r="41" spans="1:10" ht="15.75" customHeight="1">
      <c r="A41" s="38" t="s">
        <v>825</v>
      </c>
      <c r="B41" s="494"/>
      <c r="C41" s="494"/>
      <c r="D41" s="494"/>
      <c r="E41" s="494"/>
      <c r="F41" s="494"/>
      <c r="G41" s="494"/>
      <c r="I41" s="177"/>
    </row>
    <row r="42" spans="1:10" ht="15.75" customHeight="1">
      <c r="A42" s="38" t="s">
        <v>826</v>
      </c>
      <c r="B42" s="494"/>
      <c r="C42" s="494"/>
      <c r="D42" s="494"/>
      <c r="E42" s="494"/>
      <c r="F42" s="494"/>
      <c r="G42" s="494"/>
      <c r="I42" s="177"/>
    </row>
    <row r="43" spans="1:10" ht="15" customHeight="1">
      <c r="A43" s="883" t="s">
        <v>816</v>
      </c>
      <c r="B43" s="494"/>
      <c r="C43" s="494"/>
      <c r="D43" s="494"/>
      <c r="E43" s="494"/>
      <c r="F43" s="494"/>
      <c r="G43" s="494"/>
    </row>
    <row r="44" spans="1:10" ht="15.75" customHeight="1">
      <c r="A44" s="38" t="s">
        <v>817</v>
      </c>
      <c r="B44" s="494"/>
      <c r="C44" s="494"/>
      <c r="D44" s="494"/>
      <c r="E44" s="494"/>
      <c r="F44" s="494"/>
      <c r="G44" s="494"/>
      <c r="I44" s="177"/>
    </row>
    <row r="45" spans="1:10" ht="15.75" customHeight="1">
      <c r="A45" s="38"/>
      <c r="B45" s="494"/>
      <c r="C45" s="494"/>
      <c r="D45" s="494"/>
      <c r="E45" s="494"/>
      <c r="F45" s="494"/>
      <c r="G45" s="494"/>
      <c r="I45" s="118"/>
    </row>
    <row r="46" spans="1:10" ht="15" customHeight="1">
      <c r="A46" s="883"/>
      <c r="B46" s="494"/>
      <c r="C46" s="494"/>
      <c r="D46" s="494"/>
      <c r="E46" s="494"/>
      <c r="F46" s="494"/>
      <c r="G46" s="494"/>
    </row>
    <row r="47" spans="1:10" ht="16.5" customHeight="1">
      <c r="A47" s="38" t="s">
        <v>256</v>
      </c>
      <c r="B47" s="494"/>
      <c r="C47" s="494"/>
      <c r="D47" s="494"/>
      <c r="E47" s="494"/>
      <c r="F47" s="494"/>
      <c r="G47" s="494"/>
    </row>
    <row r="48" spans="1:10" ht="31" customHeight="1">
      <c r="A48" s="38"/>
      <c r="B48" s="494"/>
      <c r="C48" s="494"/>
      <c r="D48" s="494"/>
      <c r="E48" s="494"/>
      <c r="F48" s="494"/>
      <c r="G48" s="494"/>
    </row>
    <row r="49" spans="1:7" ht="31" customHeight="1">
      <c r="A49" s="38"/>
      <c r="B49" s="494"/>
      <c r="C49" s="494"/>
      <c r="D49" s="494"/>
      <c r="E49" s="494"/>
      <c r="F49" s="494"/>
      <c r="G49" s="494"/>
    </row>
    <row r="50" spans="1:7">
      <c r="A50" s="38"/>
      <c r="B50" s="494"/>
      <c r="C50" s="494"/>
      <c r="D50" s="494"/>
      <c r="E50" s="494"/>
      <c r="F50" s="494"/>
      <c r="G50" s="494"/>
    </row>
    <row r="51" spans="1:7">
      <c r="A51" s="38"/>
      <c r="B51" s="494"/>
      <c r="C51" s="494"/>
      <c r="D51" s="494"/>
      <c r="E51" s="494"/>
      <c r="F51" s="494"/>
      <c r="G51" s="494"/>
    </row>
    <row r="52" spans="1:7">
      <c r="A52" s="38"/>
      <c r="B52" s="494"/>
      <c r="C52" s="494"/>
      <c r="D52" s="494"/>
      <c r="E52" s="494"/>
      <c r="F52" s="494"/>
      <c r="G52" s="494"/>
    </row>
    <row r="53" spans="1:7">
      <c r="A53" s="38"/>
      <c r="B53" s="494"/>
      <c r="C53" s="494"/>
      <c r="D53" s="494"/>
      <c r="E53" s="494"/>
      <c r="F53" s="494"/>
      <c r="G53" s="494"/>
    </row>
    <row r="54" spans="1:7">
      <c r="A54" s="38"/>
      <c r="B54" s="494"/>
      <c r="C54" s="494"/>
      <c r="D54" s="494"/>
      <c r="E54" s="494"/>
      <c r="F54" s="494"/>
      <c r="G54" s="494"/>
    </row>
    <row r="55" spans="1:7">
      <c r="A55" s="38"/>
      <c r="B55" s="494"/>
      <c r="C55" s="494"/>
      <c r="D55" s="494"/>
      <c r="E55" s="494"/>
      <c r="F55" s="494"/>
      <c r="G55" s="494"/>
    </row>
    <row r="56" spans="1:7">
      <c r="A56" s="38"/>
      <c r="B56" s="494"/>
      <c r="C56" s="494"/>
      <c r="D56" s="494"/>
      <c r="E56" s="494"/>
      <c r="F56" s="494"/>
      <c r="G56" s="494"/>
    </row>
    <row r="57" spans="1:7">
      <c r="A57" s="38"/>
      <c r="B57" s="494"/>
      <c r="C57" s="494"/>
      <c r="D57" s="494"/>
      <c r="E57" s="494"/>
      <c r="F57" s="494"/>
      <c r="G57" s="494"/>
    </row>
    <row r="58" spans="1:7">
      <c r="A58" s="38"/>
      <c r="B58" s="494"/>
      <c r="C58" s="494"/>
      <c r="D58" s="494"/>
      <c r="E58" s="494"/>
      <c r="F58" s="494"/>
      <c r="G58" s="494"/>
    </row>
    <row r="59" spans="1:7">
      <c r="A59" s="38"/>
      <c r="B59" s="494"/>
      <c r="C59" s="494"/>
      <c r="D59" s="494"/>
      <c r="E59" s="494"/>
      <c r="F59" s="494"/>
      <c r="G59" s="494"/>
    </row>
    <row r="60" spans="1:7">
      <c r="A60" s="38"/>
      <c r="B60" s="494"/>
      <c r="C60" s="494"/>
      <c r="D60" s="494"/>
      <c r="E60" s="494"/>
      <c r="F60" s="494"/>
      <c r="G60" s="494"/>
    </row>
    <row r="61" spans="1:7">
      <c r="A61" s="38"/>
      <c r="B61" s="494"/>
      <c r="C61" s="494"/>
      <c r="D61" s="494"/>
      <c r="E61" s="494"/>
      <c r="F61" s="494"/>
      <c r="G61" s="494"/>
    </row>
    <row r="62" spans="1:7">
      <c r="A62" s="38"/>
      <c r="B62" s="494"/>
      <c r="C62" s="494"/>
      <c r="D62" s="494"/>
      <c r="E62" s="494"/>
      <c r="F62" s="494"/>
      <c r="G62" s="494"/>
    </row>
  </sheetData>
  <mergeCells count="1">
    <mergeCell ref="A2:H2"/>
  </mergeCells>
  <phoneticPr fontId="0" type="noConversion"/>
  <pageMargins left="0.46" right="0.44" top="0.82" bottom="0.68" header="0.41" footer="0.33"/>
  <pageSetup paperSize="9" scale="79" orientation="portrait" horizontalDpi="4294967292" verticalDpi="4294967292"/>
  <headerFooter alignWithMargins="0">
    <oddHeader>&amp;L&amp;"Arial,Bold"Zusatzinformationen zum Gesundheitswesen</oddHeader>
  </headerFooter>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B4540-966B-8742-A0B8-E2BAC512B11C}">
  <sheetPr>
    <pageSetUpPr fitToPage="1"/>
  </sheetPr>
  <dimension ref="A1:I38"/>
  <sheetViews>
    <sheetView topLeftCell="A26" zoomScale="75" workbookViewId="0">
      <selection activeCell="A41" sqref="A41"/>
    </sheetView>
  </sheetViews>
  <sheetFormatPr baseColWidth="10" defaultColWidth="11.3984375" defaultRowHeight="13"/>
  <cols>
    <col min="1" max="1" width="14.19921875" style="3" customWidth="1"/>
    <col min="2" max="2" width="12.3984375" style="21" customWidth="1"/>
    <col min="3" max="3" width="13" style="21" customWidth="1"/>
    <col min="4" max="4" width="11.796875" style="21" customWidth="1"/>
    <col min="5" max="5" width="13.19921875" style="21" customWidth="1"/>
    <col min="6" max="6" width="13" style="21" customWidth="1"/>
    <col min="7" max="7" width="12.796875" style="21" customWidth="1"/>
    <col min="8" max="8" width="12.3984375" style="21" customWidth="1"/>
    <col min="9" max="9" width="14.19921875" style="21" customWidth="1"/>
    <col min="10" max="16384" width="11.3984375" style="3"/>
  </cols>
  <sheetData>
    <row r="1" spans="1:9" s="1" customFormat="1" ht="14" customHeight="1">
      <c r="A1" s="372"/>
      <c r="B1" s="373"/>
      <c r="C1" s="373"/>
      <c r="D1" s="373"/>
      <c r="E1" s="373"/>
      <c r="F1" s="373"/>
      <c r="G1" s="373"/>
      <c r="H1" s="373"/>
      <c r="I1" s="373"/>
    </row>
    <row r="2" spans="1:9" s="1" customFormat="1" ht="33.75" customHeight="1">
      <c r="A2" s="1492" t="s">
        <v>794</v>
      </c>
      <c r="B2" s="1474"/>
      <c r="C2" s="1474"/>
      <c r="D2" s="1474"/>
      <c r="E2" s="1474"/>
      <c r="F2" s="1474"/>
      <c r="G2" s="1474"/>
      <c r="H2" s="1474"/>
      <c r="I2" s="321">
        <v>2003</v>
      </c>
    </row>
    <row r="3" spans="1:9" ht="20" customHeight="1">
      <c r="A3" s="2" t="s">
        <v>1591</v>
      </c>
      <c r="B3" s="339" t="s">
        <v>801</v>
      </c>
      <c r="C3" s="16"/>
      <c r="D3" s="69"/>
      <c r="E3" s="16"/>
      <c r="F3" s="986" t="s">
        <v>802</v>
      </c>
      <c r="G3" s="16"/>
      <c r="H3" s="69"/>
      <c r="I3" s="16"/>
    </row>
    <row r="4" spans="1:9" ht="20" customHeight="1">
      <c r="A4" s="77"/>
      <c r="B4" s="943" t="s">
        <v>803</v>
      </c>
      <c r="C4" s="392"/>
      <c r="D4" s="391"/>
      <c r="E4" s="17" t="s">
        <v>22</v>
      </c>
      <c r="F4" s="953" t="s">
        <v>804</v>
      </c>
      <c r="G4" s="392"/>
      <c r="H4" s="391"/>
      <c r="I4" s="17" t="s">
        <v>22</v>
      </c>
    </row>
    <row r="5" spans="1:9" ht="15" customHeight="1">
      <c r="A5" s="77"/>
      <c r="B5" s="70" t="s">
        <v>1402</v>
      </c>
      <c r="C5" s="17" t="s">
        <v>1403</v>
      </c>
      <c r="D5" s="70" t="s">
        <v>22</v>
      </c>
      <c r="E5" s="17" t="s">
        <v>795</v>
      </c>
      <c r="F5" s="987" t="s">
        <v>1402</v>
      </c>
      <c r="G5" s="17" t="s">
        <v>1403</v>
      </c>
      <c r="H5" s="70" t="s">
        <v>22</v>
      </c>
      <c r="I5" s="17" t="s">
        <v>795</v>
      </c>
    </row>
    <row r="6" spans="1:9" ht="15" customHeight="1">
      <c r="A6" s="77"/>
      <c r="B6" s="470" t="s">
        <v>796</v>
      </c>
      <c r="C6" s="471" t="s">
        <v>796</v>
      </c>
      <c r="D6" s="70"/>
      <c r="E6" s="17" t="s">
        <v>2024</v>
      </c>
      <c r="F6" s="987" t="s">
        <v>796</v>
      </c>
      <c r="G6" s="17" t="s">
        <v>796</v>
      </c>
      <c r="H6" s="70"/>
      <c r="I6" s="17" t="s">
        <v>2024</v>
      </c>
    </row>
    <row r="7" spans="1:9" ht="15" customHeight="1">
      <c r="A7" s="77"/>
      <c r="B7" s="470" t="s">
        <v>1765</v>
      </c>
      <c r="C7" s="471" t="s">
        <v>1765</v>
      </c>
      <c r="D7" s="70"/>
      <c r="E7" s="17" t="s">
        <v>2026</v>
      </c>
      <c r="F7" s="987" t="s">
        <v>1765</v>
      </c>
      <c r="G7" s="17" t="s">
        <v>1765</v>
      </c>
      <c r="H7" s="70"/>
      <c r="I7" s="17" t="s">
        <v>2026</v>
      </c>
    </row>
    <row r="8" spans="1:9" ht="20" customHeight="1">
      <c r="A8" s="405"/>
      <c r="B8" s="73"/>
      <c r="C8" s="18"/>
      <c r="D8" s="73"/>
      <c r="E8" s="18"/>
      <c r="F8" s="957"/>
      <c r="G8" s="18"/>
      <c r="H8" s="73"/>
      <c r="I8" s="18"/>
    </row>
    <row r="9" spans="1:9" ht="27.75" customHeight="1" thickBot="1">
      <c r="A9" s="379">
        <v>1985</v>
      </c>
      <c r="B9" s="446" t="s">
        <v>1013</v>
      </c>
      <c r="C9" s="445" t="s">
        <v>1013</v>
      </c>
      <c r="D9" s="446" t="s">
        <v>1013</v>
      </c>
      <c r="E9" s="445">
        <v>948.43799999999999</v>
      </c>
      <c r="F9" s="988" t="s">
        <v>1013</v>
      </c>
      <c r="G9" s="445" t="s">
        <v>1013</v>
      </c>
      <c r="H9" s="446" t="s">
        <v>1013</v>
      </c>
      <c r="I9" s="445">
        <v>631.95600000000002</v>
      </c>
    </row>
    <row r="10" spans="1:9" ht="20" customHeight="1" thickBot="1">
      <c r="A10" s="380">
        <v>1986</v>
      </c>
      <c r="B10" s="473" t="s">
        <v>1013</v>
      </c>
      <c r="C10" s="88" t="s">
        <v>1013</v>
      </c>
      <c r="D10" s="473" t="s">
        <v>1013</v>
      </c>
      <c r="E10" s="88">
        <v>1033.73</v>
      </c>
      <c r="F10" s="967" t="s">
        <v>1013</v>
      </c>
      <c r="G10" s="88" t="s">
        <v>1013</v>
      </c>
      <c r="H10" s="473" t="s">
        <v>1013</v>
      </c>
      <c r="I10" s="88">
        <v>701.48400000000004</v>
      </c>
    </row>
    <row r="11" spans="1:9" ht="20" customHeight="1" thickBot="1">
      <c r="A11" s="380">
        <v>1987</v>
      </c>
      <c r="B11" s="473" t="s">
        <v>1013</v>
      </c>
      <c r="C11" s="88" t="s">
        <v>1013</v>
      </c>
      <c r="D11" s="473" t="s">
        <v>1013</v>
      </c>
      <c r="E11" s="88">
        <v>1100.9369999999999</v>
      </c>
      <c r="F11" s="967" t="s">
        <v>1013</v>
      </c>
      <c r="G11" s="88" t="s">
        <v>1013</v>
      </c>
      <c r="H11" s="473" t="s">
        <v>1013</v>
      </c>
      <c r="I11" s="88">
        <v>778.54499999999996</v>
      </c>
    </row>
    <row r="12" spans="1:9" ht="20" customHeight="1" thickBot="1">
      <c r="A12" s="380">
        <v>1988</v>
      </c>
      <c r="B12" s="473" t="s">
        <v>1013</v>
      </c>
      <c r="C12" s="88" t="s">
        <v>1013</v>
      </c>
      <c r="D12" s="473" t="s">
        <v>1013</v>
      </c>
      <c r="E12" s="88">
        <v>1177.078</v>
      </c>
      <c r="F12" s="967" t="s">
        <v>1013</v>
      </c>
      <c r="G12" s="88" t="s">
        <v>1013</v>
      </c>
      <c r="H12" s="473" t="s">
        <v>1013</v>
      </c>
      <c r="I12" s="88">
        <v>873.36699999999996</v>
      </c>
    </row>
    <row r="13" spans="1:9" ht="20" customHeight="1" thickBot="1">
      <c r="A13" s="380">
        <v>1989</v>
      </c>
      <c r="B13" s="473" t="s">
        <v>1013</v>
      </c>
      <c r="C13" s="88" t="s">
        <v>1013</v>
      </c>
      <c r="D13" s="473" t="s">
        <v>1013</v>
      </c>
      <c r="E13" s="88">
        <v>1287.019</v>
      </c>
      <c r="F13" s="967" t="s">
        <v>1013</v>
      </c>
      <c r="G13" s="88" t="s">
        <v>1013</v>
      </c>
      <c r="H13" s="473" t="s">
        <v>1013</v>
      </c>
      <c r="I13" s="88">
        <v>948.92100000000005</v>
      </c>
    </row>
    <row r="14" spans="1:9" ht="20" customHeight="1" thickBot="1">
      <c r="A14" s="380">
        <v>1990</v>
      </c>
      <c r="B14" s="473" t="s">
        <v>1013</v>
      </c>
      <c r="C14" s="88" t="s">
        <v>1013</v>
      </c>
      <c r="D14" s="473" t="s">
        <v>1013</v>
      </c>
      <c r="E14" s="88">
        <v>1420.8050000000001</v>
      </c>
      <c r="F14" s="967" t="s">
        <v>1013</v>
      </c>
      <c r="G14" s="88" t="s">
        <v>1013</v>
      </c>
      <c r="H14" s="473" t="s">
        <v>1013</v>
      </c>
      <c r="I14" s="88">
        <v>1086.6199999999999</v>
      </c>
    </row>
    <row r="15" spans="1:9" ht="20" customHeight="1" thickBot="1">
      <c r="A15" s="380">
        <v>1991</v>
      </c>
      <c r="B15" s="473" t="s">
        <v>1013</v>
      </c>
      <c r="C15" s="88" t="s">
        <v>1013</v>
      </c>
      <c r="D15" s="473">
        <v>763.6</v>
      </c>
      <c r="E15" s="88">
        <v>1543.597</v>
      </c>
      <c r="F15" s="967" t="s">
        <v>1013</v>
      </c>
      <c r="G15" s="88" t="s">
        <v>1013</v>
      </c>
      <c r="H15" s="473">
        <v>608.6</v>
      </c>
      <c r="I15" s="88">
        <v>1257.979</v>
      </c>
    </row>
    <row r="16" spans="1:9" ht="20" customHeight="1" thickBot="1">
      <c r="A16" s="380">
        <v>1992</v>
      </c>
      <c r="B16" s="473" t="s">
        <v>1013</v>
      </c>
      <c r="C16" s="88" t="s">
        <v>1013</v>
      </c>
      <c r="D16" s="854">
        <v>751.1</v>
      </c>
      <c r="E16" s="88">
        <v>1648.1410000000001</v>
      </c>
      <c r="F16" s="967" t="s">
        <v>1013</v>
      </c>
      <c r="G16" s="88" t="s">
        <v>1013</v>
      </c>
      <c r="H16" s="854">
        <v>631.1</v>
      </c>
      <c r="I16" s="88">
        <v>1414.9949999999999</v>
      </c>
    </row>
    <row r="17" spans="1:9" ht="20" customHeight="1" thickBot="1">
      <c r="A17" s="380">
        <v>1993</v>
      </c>
      <c r="B17" s="473" t="s">
        <v>1013</v>
      </c>
      <c r="C17" s="88" t="s">
        <v>1013</v>
      </c>
      <c r="D17" s="854">
        <v>734.9</v>
      </c>
      <c r="E17" s="88">
        <v>1667.729</v>
      </c>
      <c r="F17" s="967" t="s">
        <v>1013</v>
      </c>
      <c r="G17" s="88" t="s">
        <v>1013</v>
      </c>
      <c r="H17" s="854">
        <v>626</v>
      </c>
      <c r="I17" s="88">
        <v>1459.6659999999999</v>
      </c>
    </row>
    <row r="18" spans="1:9" ht="20" customHeight="1" thickBot="1">
      <c r="A18" s="380">
        <v>1994</v>
      </c>
      <c r="B18" s="473" t="s">
        <v>1013</v>
      </c>
      <c r="C18" s="88" t="s">
        <v>1013</v>
      </c>
      <c r="D18" s="854">
        <v>690</v>
      </c>
      <c r="E18" s="88">
        <v>1621.08</v>
      </c>
      <c r="F18" s="967" t="s">
        <v>1013</v>
      </c>
      <c r="G18" s="88" t="s">
        <v>1013</v>
      </c>
      <c r="H18" s="854">
        <v>613.1</v>
      </c>
      <c r="I18" s="88">
        <v>1489.1569999999999</v>
      </c>
    </row>
    <row r="19" spans="1:9" ht="20" customHeight="1" thickBot="1">
      <c r="A19" s="380">
        <v>1995</v>
      </c>
      <c r="B19" s="473" t="s">
        <v>1013</v>
      </c>
      <c r="C19" s="88" t="s">
        <v>1013</v>
      </c>
      <c r="D19" s="854">
        <v>651.4</v>
      </c>
      <c r="E19" s="88">
        <v>1586.424</v>
      </c>
      <c r="F19" s="967" t="s">
        <v>1013</v>
      </c>
      <c r="G19" s="88" t="s">
        <v>1013</v>
      </c>
      <c r="H19" s="854">
        <v>587.29999999999995</v>
      </c>
      <c r="I19" s="88">
        <v>1488.664</v>
      </c>
    </row>
    <row r="20" spans="1:9" ht="20" customHeight="1" thickBot="1">
      <c r="A20" s="380">
        <v>1996</v>
      </c>
      <c r="B20" s="473" t="s">
        <v>1013</v>
      </c>
      <c r="C20" s="88" t="s">
        <v>1013</v>
      </c>
      <c r="D20" s="854">
        <v>640.4</v>
      </c>
      <c r="E20" s="88">
        <v>1618.7</v>
      </c>
      <c r="F20" s="967" t="s">
        <v>1013</v>
      </c>
      <c r="G20" s="88" t="s">
        <v>1013</v>
      </c>
      <c r="H20" s="854">
        <v>512.70000000000005</v>
      </c>
      <c r="I20" s="88">
        <v>1358.8</v>
      </c>
    </row>
    <row r="21" spans="1:9" ht="20" customHeight="1" thickBot="1">
      <c r="A21" s="380">
        <v>1997</v>
      </c>
      <c r="B21" s="473">
        <v>513.53</v>
      </c>
      <c r="C21" s="88">
        <v>88.28</v>
      </c>
      <c r="D21" s="473">
        <v>601.80999999999995</v>
      </c>
      <c r="E21" s="88">
        <v>1921.75</v>
      </c>
      <c r="F21" s="967">
        <v>395.33</v>
      </c>
      <c r="G21" s="88">
        <v>80.59</v>
      </c>
      <c r="H21" s="473">
        <v>475.92</v>
      </c>
      <c r="I21" s="88">
        <v>1558.71</v>
      </c>
    </row>
    <row r="22" spans="1:9" ht="20" customHeight="1" thickBot="1">
      <c r="A22" s="380">
        <v>1998</v>
      </c>
      <c r="B22" s="473">
        <v>544.61</v>
      </c>
      <c r="C22" s="88">
        <v>93.2</v>
      </c>
      <c r="D22" s="473">
        <v>637.80999999999995</v>
      </c>
      <c r="E22" s="88">
        <v>2066.17</v>
      </c>
      <c r="F22" s="967">
        <v>381.42</v>
      </c>
      <c r="G22" s="88">
        <v>78.63</v>
      </c>
      <c r="H22" s="473">
        <v>460.05</v>
      </c>
      <c r="I22" s="88">
        <v>1597.15</v>
      </c>
    </row>
    <row r="23" spans="1:9" ht="20" customHeight="1" thickBot="1">
      <c r="A23" s="380">
        <v>1999</v>
      </c>
      <c r="B23" s="473">
        <v>841.09</v>
      </c>
      <c r="C23" s="88">
        <v>257.10000000000002</v>
      </c>
      <c r="D23" s="473">
        <v>1098.19</v>
      </c>
      <c r="E23" s="88">
        <v>2435.96</v>
      </c>
      <c r="F23" s="967">
        <v>558.61</v>
      </c>
      <c r="G23" s="88">
        <v>205.28</v>
      </c>
      <c r="H23" s="473">
        <v>763.89</v>
      </c>
      <c r="I23" s="88">
        <v>1841.41</v>
      </c>
    </row>
    <row r="24" spans="1:9" ht="20" customHeight="1" thickBot="1">
      <c r="A24" s="380">
        <v>2000</v>
      </c>
      <c r="B24" s="473">
        <v>1843.16</v>
      </c>
      <c r="C24" s="88">
        <v>399.77</v>
      </c>
      <c r="D24" s="473">
        <v>2242.9299999999998</v>
      </c>
      <c r="E24" s="88">
        <v>3879.09</v>
      </c>
      <c r="F24" s="967">
        <v>1257.46</v>
      </c>
      <c r="G24" s="88">
        <v>326.3</v>
      </c>
      <c r="H24" s="473">
        <v>1583.76</v>
      </c>
      <c r="I24" s="88">
        <v>2917.88</v>
      </c>
    </row>
    <row r="25" spans="1:9" ht="20" customHeight="1" thickBot="1">
      <c r="A25" s="380">
        <v>2001</v>
      </c>
      <c r="B25" s="473">
        <v>2676.62</v>
      </c>
      <c r="C25" s="88">
        <v>513.83000000000004</v>
      </c>
      <c r="D25" s="473">
        <v>3190.45</v>
      </c>
      <c r="E25" s="88">
        <v>5041.2299999999996</v>
      </c>
      <c r="F25" s="967">
        <v>1941.54</v>
      </c>
      <c r="G25" s="88">
        <v>411.76</v>
      </c>
      <c r="H25" s="473">
        <v>2353.3000000000002</v>
      </c>
      <c r="I25" s="88">
        <v>3948.45</v>
      </c>
    </row>
    <row r="26" spans="1:9" ht="20" customHeight="1" thickBot="1">
      <c r="A26" s="380">
        <v>2002</v>
      </c>
      <c r="B26" s="473">
        <v>2798.3878989999998</v>
      </c>
      <c r="C26" s="88">
        <v>633.98667199999954</v>
      </c>
      <c r="D26" s="473">
        <v>3432.3745709999994</v>
      </c>
      <c r="E26" s="88">
        <v>5378.3268339999995</v>
      </c>
      <c r="F26" s="967">
        <v>1909.542256</v>
      </c>
      <c r="G26" s="88">
        <v>485.91948999999977</v>
      </c>
      <c r="H26" s="473">
        <v>2395.4617459999999</v>
      </c>
      <c r="I26" s="88">
        <v>4096.4477649999999</v>
      </c>
    </row>
    <row r="27" spans="1:9" ht="30" customHeight="1" thickBot="1">
      <c r="A27" s="474">
        <v>2003</v>
      </c>
      <c r="B27" s="475">
        <v>2790.9018799999994</v>
      </c>
      <c r="C27" s="476">
        <v>615.2966899999999</v>
      </c>
      <c r="D27" s="475">
        <v>3406.1985699999996</v>
      </c>
      <c r="E27" s="476">
        <v>5465.9839059999995</v>
      </c>
      <c r="F27" s="968">
        <v>1892.170619</v>
      </c>
      <c r="G27" s="476">
        <v>468.26997800000004</v>
      </c>
      <c r="H27" s="475">
        <v>2360.4405969999998</v>
      </c>
      <c r="I27" s="476">
        <v>4182.1949699999996</v>
      </c>
    </row>
    <row r="28" spans="1:9" ht="20" customHeight="1">
      <c r="A28" s="477" t="s">
        <v>2138</v>
      </c>
      <c r="B28" s="478"/>
      <c r="C28" s="478"/>
      <c r="D28" s="478"/>
      <c r="E28" s="478"/>
      <c r="F28" s="478"/>
      <c r="G28" s="478"/>
      <c r="H28" s="478"/>
      <c r="I28" s="478"/>
    </row>
    <row r="29" spans="1:9" ht="10.5" customHeight="1">
      <c r="A29" s="479"/>
      <c r="B29" s="480"/>
      <c r="C29" s="480"/>
      <c r="D29" s="480"/>
      <c r="E29" s="480"/>
      <c r="F29" s="480"/>
      <c r="G29" s="480"/>
      <c r="H29" s="480"/>
      <c r="I29" s="480"/>
    </row>
    <row r="30" spans="1:9" ht="14.25" customHeight="1">
      <c r="A30" s="355" t="s">
        <v>797</v>
      </c>
      <c r="B30" s="480"/>
      <c r="C30" s="480"/>
      <c r="D30" s="480"/>
      <c r="E30" s="480"/>
      <c r="F30" s="480"/>
      <c r="G30" s="480"/>
      <c r="H30" s="480"/>
      <c r="I30" s="480"/>
    </row>
    <row r="31" spans="1:9" ht="12" customHeight="1">
      <c r="A31" s="355" t="s">
        <v>805</v>
      </c>
      <c r="B31" s="480"/>
      <c r="C31" s="480"/>
      <c r="D31" s="480"/>
      <c r="E31" s="480"/>
      <c r="F31" s="480"/>
      <c r="G31" s="480"/>
      <c r="H31" s="480"/>
      <c r="I31" s="480"/>
    </row>
    <row r="32" spans="1:9" ht="12" customHeight="1">
      <c r="A32" s="355" t="s">
        <v>798</v>
      </c>
      <c r="B32" s="480"/>
      <c r="C32" s="480"/>
      <c r="D32" s="480"/>
      <c r="E32" s="480"/>
      <c r="F32" s="480"/>
      <c r="G32" s="480"/>
      <c r="H32" s="480"/>
      <c r="I32" s="480"/>
    </row>
    <row r="33" spans="1:9" ht="12" customHeight="1">
      <c r="A33" s="355" t="s">
        <v>799</v>
      </c>
      <c r="B33" s="480"/>
      <c r="C33" s="480"/>
      <c r="D33" s="480"/>
      <c r="E33" s="480"/>
      <c r="F33" s="480"/>
      <c r="G33" s="480"/>
      <c r="H33" s="480"/>
      <c r="I33" s="480"/>
    </row>
    <row r="34" spans="1:9" ht="12" customHeight="1">
      <c r="A34" s="355"/>
      <c r="B34" s="480"/>
      <c r="C34" s="480"/>
      <c r="D34" s="480"/>
      <c r="E34" s="480"/>
      <c r="F34" s="480"/>
      <c r="G34" s="480"/>
      <c r="H34" s="480"/>
      <c r="I34" s="480"/>
    </row>
    <row r="35" spans="1:9">
      <c r="A35" s="479" t="s">
        <v>800</v>
      </c>
      <c r="B35" s="482"/>
      <c r="C35" s="482"/>
      <c r="D35" s="482"/>
      <c r="E35" s="482"/>
      <c r="F35" s="482"/>
      <c r="G35" s="482"/>
      <c r="H35" s="482"/>
      <c r="I35" s="482"/>
    </row>
    <row r="38" spans="1:9">
      <c r="A38" s="3" t="s">
        <v>256</v>
      </c>
    </row>
  </sheetData>
  <mergeCells count="1">
    <mergeCell ref="A2:H2"/>
  </mergeCells>
  <phoneticPr fontId="0" type="noConversion"/>
  <pageMargins left="0.48" right="0.54" top="0.93" bottom="0.49" header="0.5" footer="0.4921259845"/>
  <pageSetup paperSize="9" scale="80" orientation="portrait"/>
  <headerFooter alignWithMargins="0">
    <oddHeader>&amp;L&amp;"Arial,Bold"Zusatzinformationen zum Gesundheitswesen</oddHeader>
  </headerFooter>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EE08D-E2D1-F74B-A7A4-D9269D58387F}">
  <sheetPr>
    <pageSetUpPr fitToPage="1"/>
  </sheetPr>
  <dimension ref="A1:L32"/>
  <sheetViews>
    <sheetView topLeftCell="A20" zoomScale="75" workbookViewId="0">
      <selection activeCell="A32" sqref="A32"/>
    </sheetView>
  </sheetViews>
  <sheetFormatPr baseColWidth="10" defaultColWidth="11.3984375" defaultRowHeight="13"/>
  <cols>
    <col min="1" max="1" width="10" style="3" customWidth="1"/>
    <col min="2" max="2" width="13.796875" style="21" customWidth="1"/>
    <col min="3" max="3" width="13.3984375" style="21" customWidth="1"/>
    <col min="4" max="4" width="12.59765625" style="21" customWidth="1"/>
    <col min="5" max="5" width="13.19921875" style="21" customWidth="1"/>
    <col min="6" max="6" width="11.796875" style="21" customWidth="1"/>
    <col min="7" max="7" width="14.59765625" style="21" customWidth="1"/>
    <col min="8" max="8" width="13.3984375" style="21" customWidth="1"/>
    <col min="9" max="9" width="12.3984375" style="21" customWidth="1"/>
    <col min="10" max="10" width="13.796875" style="21" customWidth="1"/>
    <col min="11" max="11" width="12.19921875" style="21" customWidth="1"/>
    <col min="12" max="16384" width="11.3984375" style="3"/>
  </cols>
  <sheetData>
    <row r="1" spans="1:12" s="1" customFormat="1" ht="14" customHeight="1">
      <c r="A1" s="372"/>
      <c r="B1" s="373"/>
      <c r="C1" s="373"/>
      <c r="D1" s="373"/>
      <c r="E1" s="373"/>
      <c r="F1" s="373"/>
      <c r="G1" s="373"/>
      <c r="H1" s="373"/>
      <c r="I1" s="373"/>
      <c r="J1" s="373"/>
      <c r="K1" s="373"/>
    </row>
    <row r="2" spans="1:12" s="1" customFormat="1" ht="27" customHeight="1">
      <c r="A2" s="882" t="s">
        <v>2150</v>
      </c>
      <c r="B2" s="940"/>
      <c r="C2" s="940"/>
      <c r="D2" s="940"/>
      <c r="E2" s="940"/>
      <c r="F2" s="940"/>
      <c r="G2" s="940"/>
      <c r="H2" s="940"/>
      <c r="I2" s="940"/>
      <c r="J2" s="940"/>
      <c r="K2" s="296">
        <v>2003</v>
      </c>
    </row>
    <row r="3" spans="1:12" ht="20" customHeight="1">
      <c r="A3" s="77" t="s">
        <v>1591</v>
      </c>
      <c r="B3" s="941" t="s">
        <v>336</v>
      </c>
      <c r="C3" s="17"/>
      <c r="D3" s="70"/>
      <c r="E3" s="77"/>
      <c r="F3" s="941" t="s">
        <v>789</v>
      </c>
      <c r="G3" s="969" t="s">
        <v>338</v>
      </c>
      <c r="H3" s="347"/>
      <c r="I3" s="77"/>
      <c r="J3" s="71"/>
      <c r="K3" s="418" t="s">
        <v>790</v>
      </c>
    </row>
    <row r="4" spans="1:12" ht="32.25" customHeight="1">
      <c r="A4" s="77"/>
      <c r="B4" s="943" t="s">
        <v>2134</v>
      </c>
      <c r="C4" s="944"/>
      <c r="D4" s="970" t="s">
        <v>789</v>
      </c>
      <c r="E4" s="952" t="s">
        <v>2151</v>
      </c>
      <c r="F4" s="347"/>
      <c r="G4" s="971" t="s">
        <v>2134</v>
      </c>
      <c r="H4" s="943"/>
      <c r="I4" s="944" t="s">
        <v>790</v>
      </c>
      <c r="J4" s="951" t="s">
        <v>2151</v>
      </c>
      <c r="K4" s="4"/>
    </row>
    <row r="5" spans="1:12" ht="15" customHeight="1">
      <c r="A5" s="77"/>
      <c r="B5" s="70" t="s">
        <v>2152</v>
      </c>
      <c r="C5" s="17" t="s">
        <v>2137</v>
      </c>
      <c r="D5" s="70"/>
      <c r="E5" s="17" t="s">
        <v>2137</v>
      </c>
      <c r="F5" s="70"/>
      <c r="G5" s="972" t="s">
        <v>2152</v>
      </c>
      <c r="H5" s="70" t="s">
        <v>2137</v>
      </c>
      <c r="I5" s="17"/>
      <c r="J5" s="70" t="s">
        <v>2137</v>
      </c>
      <c r="K5" s="17"/>
    </row>
    <row r="6" spans="1:12" ht="15" customHeight="1">
      <c r="A6" s="77"/>
      <c r="B6" s="470" t="s">
        <v>2137</v>
      </c>
      <c r="C6" s="471" t="s">
        <v>791</v>
      </c>
      <c r="D6" s="470"/>
      <c r="E6" s="471" t="s">
        <v>792</v>
      </c>
      <c r="F6" s="70"/>
      <c r="G6" s="973" t="s">
        <v>2137</v>
      </c>
      <c r="H6" s="70" t="s">
        <v>791</v>
      </c>
      <c r="I6" s="17"/>
      <c r="J6" s="70" t="s">
        <v>792</v>
      </c>
      <c r="K6" s="17"/>
    </row>
    <row r="7" spans="1:12" ht="15" customHeight="1">
      <c r="A7" s="77"/>
      <c r="B7" s="470" t="s">
        <v>793</v>
      </c>
      <c r="C7" s="471"/>
      <c r="D7" s="470"/>
      <c r="E7" s="471"/>
      <c r="F7" s="470"/>
      <c r="G7" s="973" t="s">
        <v>793</v>
      </c>
      <c r="H7" s="70"/>
      <c r="I7" s="17"/>
      <c r="J7" s="70"/>
      <c r="K7" s="17"/>
    </row>
    <row r="8" spans="1:12" ht="20" customHeight="1">
      <c r="A8" s="405"/>
      <c r="B8" s="73"/>
      <c r="C8" s="18"/>
      <c r="D8" s="73"/>
      <c r="E8" s="18"/>
      <c r="F8" s="73"/>
      <c r="G8" s="974"/>
      <c r="H8" s="73"/>
      <c r="I8" s="18"/>
      <c r="J8" s="73"/>
      <c r="K8" s="18"/>
    </row>
    <row r="9" spans="1:12" ht="20" customHeight="1" thickBot="1">
      <c r="A9" s="958">
        <v>1991</v>
      </c>
      <c r="B9" s="959">
        <v>996.2</v>
      </c>
      <c r="C9" s="960" t="s">
        <v>1013</v>
      </c>
      <c r="D9" s="959">
        <v>996.2</v>
      </c>
      <c r="E9" s="960">
        <v>780</v>
      </c>
      <c r="F9" s="959">
        <v>1776.2</v>
      </c>
      <c r="G9" s="975">
        <v>885.4</v>
      </c>
      <c r="H9" s="959" t="s">
        <v>1013</v>
      </c>
      <c r="I9" s="960">
        <v>885.4</v>
      </c>
      <c r="J9" s="976">
        <v>649.4</v>
      </c>
      <c r="K9" s="961">
        <v>1534.8</v>
      </c>
    </row>
    <row r="10" spans="1:12" ht="20" customHeight="1" thickBot="1">
      <c r="A10" s="380">
        <v>1992</v>
      </c>
      <c r="B10" s="444">
        <v>1003.8</v>
      </c>
      <c r="C10" s="960" t="s">
        <v>1013</v>
      </c>
      <c r="D10" s="959">
        <v>1003.8</v>
      </c>
      <c r="E10" s="963">
        <v>897</v>
      </c>
      <c r="F10" s="977">
        <v>1900.8</v>
      </c>
      <c r="G10" s="978">
        <v>923.2</v>
      </c>
      <c r="H10" s="959" t="s">
        <v>1013</v>
      </c>
      <c r="I10" s="960">
        <v>923.2</v>
      </c>
      <c r="J10" s="854">
        <v>783.9</v>
      </c>
      <c r="K10" s="965">
        <v>1707.1</v>
      </c>
    </row>
    <row r="11" spans="1:12" ht="20" customHeight="1" thickBot="1">
      <c r="A11" s="380">
        <v>1993</v>
      </c>
      <c r="B11" s="444">
        <v>1026.2</v>
      </c>
      <c r="C11" s="960" t="s">
        <v>1013</v>
      </c>
      <c r="D11" s="959">
        <v>1026.2</v>
      </c>
      <c r="E11" s="963">
        <v>932.8</v>
      </c>
      <c r="F11" s="977">
        <v>1959</v>
      </c>
      <c r="G11" s="978">
        <v>928.41399999999999</v>
      </c>
      <c r="H11" s="959" t="s">
        <v>1013</v>
      </c>
      <c r="I11" s="960">
        <v>928.41399999999999</v>
      </c>
      <c r="J11" s="854">
        <v>833.7</v>
      </c>
      <c r="K11" s="965">
        <v>1762.114</v>
      </c>
    </row>
    <row r="12" spans="1:12" ht="20" customHeight="1" thickBot="1">
      <c r="A12" s="380">
        <v>1994</v>
      </c>
      <c r="B12" s="444">
        <v>1052.2</v>
      </c>
      <c r="C12" s="960" t="s">
        <v>1013</v>
      </c>
      <c r="D12" s="959">
        <v>1052.2</v>
      </c>
      <c r="E12" s="963">
        <v>931.1</v>
      </c>
      <c r="F12" s="977">
        <v>1983.3</v>
      </c>
      <c r="G12" s="978">
        <v>983.23500000000001</v>
      </c>
      <c r="H12" s="959" t="s">
        <v>1013</v>
      </c>
      <c r="I12" s="960">
        <v>983.23500000000001</v>
      </c>
      <c r="J12" s="854">
        <v>876.1</v>
      </c>
      <c r="K12" s="965">
        <v>1859.335</v>
      </c>
    </row>
    <row r="13" spans="1:12" ht="20" customHeight="1" thickBot="1">
      <c r="A13" s="380">
        <v>1995</v>
      </c>
      <c r="B13" s="444">
        <v>1073.0999999999999</v>
      </c>
      <c r="C13" s="960" t="s">
        <v>1013</v>
      </c>
      <c r="D13" s="959">
        <v>1073.0999999999999</v>
      </c>
      <c r="E13" s="963">
        <v>935</v>
      </c>
      <c r="F13" s="977">
        <v>2008.1</v>
      </c>
      <c r="G13" s="978">
        <v>1017.388</v>
      </c>
      <c r="H13" s="959" t="s">
        <v>1013</v>
      </c>
      <c r="I13" s="960">
        <v>1017.388</v>
      </c>
      <c r="J13" s="854">
        <v>901.4</v>
      </c>
      <c r="K13" s="965">
        <v>1918.788</v>
      </c>
    </row>
    <row r="14" spans="1:12" ht="20" customHeight="1" thickBot="1">
      <c r="A14" s="380">
        <v>1996</v>
      </c>
      <c r="B14" s="444">
        <v>832</v>
      </c>
      <c r="C14" s="963">
        <v>180.9</v>
      </c>
      <c r="D14" s="977">
        <v>1012.9</v>
      </c>
      <c r="E14" s="963">
        <v>978.3</v>
      </c>
      <c r="F14" s="977">
        <v>1991.2</v>
      </c>
      <c r="G14" s="978">
        <v>872.50191104999999</v>
      </c>
      <c r="H14" s="964">
        <v>116.7</v>
      </c>
      <c r="I14" s="979">
        <v>989.20191105000004</v>
      </c>
      <c r="J14" s="854">
        <v>846.1</v>
      </c>
      <c r="K14" s="965">
        <v>1835.3019110499999</v>
      </c>
      <c r="L14"/>
    </row>
    <row r="15" spans="1:12" ht="20" customHeight="1" thickBot="1">
      <c r="A15" s="380">
        <v>1997</v>
      </c>
      <c r="B15" s="444">
        <v>558.9</v>
      </c>
      <c r="C15" s="88">
        <v>393.8</v>
      </c>
      <c r="D15" s="959">
        <v>952.7</v>
      </c>
      <c r="E15" s="88">
        <v>1319.9</v>
      </c>
      <c r="F15" s="959">
        <v>2272.6</v>
      </c>
      <c r="G15" s="978">
        <v>621.52611999999999</v>
      </c>
      <c r="H15" s="473">
        <v>335.7</v>
      </c>
      <c r="I15" s="960">
        <v>957.22612000000004</v>
      </c>
      <c r="J15" s="473">
        <v>1082.8</v>
      </c>
      <c r="K15" s="961">
        <v>2040.02612</v>
      </c>
      <c r="L15"/>
    </row>
    <row r="16" spans="1:12" ht="20" customHeight="1" thickBot="1">
      <c r="A16" s="380">
        <v>1998</v>
      </c>
      <c r="B16" s="444">
        <v>509.6</v>
      </c>
      <c r="C16" s="88">
        <v>508.1</v>
      </c>
      <c r="D16" s="959">
        <v>1017.7</v>
      </c>
      <c r="E16" s="88">
        <v>1428.4</v>
      </c>
      <c r="F16" s="959">
        <v>2446.1</v>
      </c>
      <c r="G16" s="978">
        <v>456.36259100000001</v>
      </c>
      <c r="H16" s="473">
        <v>453.7</v>
      </c>
      <c r="I16" s="960">
        <v>910.062591</v>
      </c>
      <c r="J16" s="473">
        <v>1137.0999999999999</v>
      </c>
      <c r="K16" s="961">
        <v>2047.1625909999998</v>
      </c>
      <c r="L16"/>
    </row>
    <row r="17" spans="1:12" ht="20" customHeight="1" thickBot="1">
      <c r="A17" s="380">
        <v>1999</v>
      </c>
      <c r="B17" s="444">
        <v>462.9</v>
      </c>
      <c r="C17" s="88">
        <v>442.7</v>
      </c>
      <c r="D17" s="959">
        <v>905.6</v>
      </c>
      <c r="E17" s="88">
        <v>1337.8</v>
      </c>
      <c r="F17" s="959">
        <v>2243.4</v>
      </c>
      <c r="G17" s="978">
        <v>412.14915300000001</v>
      </c>
      <c r="H17" s="473">
        <v>385.2</v>
      </c>
      <c r="I17" s="960">
        <v>797.349153</v>
      </c>
      <c r="J17" s="473">
        <v>1077.5</v>
      </c>
      <c r="K17" s="961">
        <v>1874.8491530000001</v>
      </c>
      <c r="L17"/>
    </row>
    <row r="18" spans="1:12" ht="20" customHeight="1" thickBot="1">
      <c r="A18" s="380">
        <v>2000</v>
      </c>
      <c r="B18" s="444">
        <v>438.9</v>
      </c>
      <c r="C18" s="88">
        <v>339.7</v>
      </c>
      <c r="D18" s="959">
        <v>778.6</v>
      </c>
      <c r="E18" s="88">
        <v>1636.2</v>
      </c>
      <c r="F18" s="959">
        <v>2414.8000000000002</v>
      </c>
      <c r="G18" s="978">
        <v>381.63992000000002</v>
      </c>
      <c r="H18" s="473">
        <v>299.2</v>
      </c>
      <c r="I18" s="960">
        <v>680.83992000000001</v>
      </c>
      <c r="J18" s="473">
        <v>1334.1</v>
      </c>
      <c r="K18" s="961">
        <v>2014.9399199999998</v>
      </c>
      <c r="L18"/>
    </row>
    <row r="19" spans="1:12" ht="20" customHeight="1" thickBot="1">
      <c r="A19" s="380">
        <v>2001</v>
      </c>
      <c r="B19" s="444">
        <v>398.65</v>
      </c>
      <c r="C19" s="88">
        <v>248.38</v>
      </c>
      <c r="D19" s="959">
        <v>647.03</v>
      </c>
      <c r="E19" s="88">
        <v>1850.78</v>
      </c>
      <c r="F19" s="959">
        <v>2497.81</v>
      </c>
      <c r="G19" s="978">
        <v>351.97137099999998</v>
      </c>
      <c r="H19" s="473">
        <v>201.85</v>
      </c>
      <c r="I19" s="960">
        <v>553.821371</v>
      </c>
      <c r="J19" s="473">
        <v>1595.15</v>
      </c>
      <c r="K19" s="961">
        <v>2148.9713710000001</v>
      </c>
      <c r="L19"/>
    </row>
    <row r="20" spans="1:12" ht="20" customHeight="1" thickBot="1">
      <c r="A20" s="380">
        <v>2002</v>
      </c>
      <c r="B20" s="444">
        <v>370.90300000000002</v>
      </c>
      <c r="C20" s="88">
        <v>248.779527</v>
      </c>
      <c r="D20" s="959">
        <v>619.68252700000005</v>
      </c>
      <c r="E20" s="88">
        <v>1945.9522629999999</v>
      </c>
      <c r="F20" s="959">
        <v>2565.6347900000001</v>
      </c>
      <c r="G20" s="978">
        <v>329.149</v>
      </c>
      <c r="H20" s="473">
        <v>227.06825000000001</v>
      </c>
      <c r="I20" s="960">
        <v>556.21725000000004</v>
      </c>
      <c r="J20" s="473">
        <v>1700.9860189999999</v>
      </c>
      <c r="K20" s="961">
        <v>2257.2032690000001</v>
      </c>
      <c r="L20"/>
    </row>
    <row r="21" spans="1:12" s="109" customFormat="1" ht="30" customHeight="1" thickBot="1">
      <c r="A21" s="474">
        <v>2003</v>
      </c>
      <c r="B21" s="980">
        <v>354.08080662000003</v>
      </c>
      <c r="C21" s="476">
        <v>295.50233600000001</v>
      </c>
      <c r="D21" s="981">
        <v>649.58314261999999</v>
      </c>
      <c r="E21" s="476">
        <v>2059.7853359999999</v>
      </c>
      <c r="F21" s="981">
        <v>2709.3684786200001</v>
      </c>
      <c r="G21" s="982">
        <v>309.91303072000005</v>
      </c>
      <c r="H21" s="475">
        <v>266.92607400000003</v>
      </c>
      <c r="I21" s="983">
        <v>576.83910472000002</v>
      </c>
      <c r="J21" s="475">
        <v>1821.754373</v>
      </c>
      <c r="K21" s="984">
        <v>2398.59347772</v>
      </c>
      <c r="L21" s="985"/>
    </row>
    <row r="22" spans="1:12" ht="20" customHeight="1">
      <c r="A22" s="477" t="s">
        <v>2138</v>
      </c>
      <c r="B22" s="478"/>
      <c r="C22" s="478"/>
      <c r="D22" s="478"/>
      <c r="E22" s="478"/>
      <c r="F22" s="478"/>
      <c r="G22" s="478"/>
      <c r="H22" s="478"/>
      <c r="I22" s="478"/>
      <c r="J22" s="478"/>
      <c r="K22" s="478"/>
    </row>
    <row r="23" spans="1:12" ht="13.5" customHeight="1">
      <c r="A23" s="479"/>
      <c r="B23" s="480"/>
      <c r="C23" s="480"/>
      <c r="D23" s="480"/>
      <c r="E23" s="480"/>
      <c r="F23" s="480"/>
      <c r="G23" s="480"/>
      <c r="H23" s="480"/>
      <c r="I23" s="480"/>
      <c r="J23" s="480"/>
      <c r="K23" s="480"/>
    </row>
    <row r="24" spans="1:12">
      <c r="A24" s="355" t="s">
        <v>2153</v>
      </c>
      <c r="B24" s="482"/>
      <c r="C24" s="482"/>
      <c r="D24" s="482"/>
      <c r="E24" s="482"/>
      <c r="F24" s="482"/>
      <c r="G24" s="482"/>
      <c r="H24" s="482"/>
      <c r="I24" s="482"/>
      <c r="J24" s="482"/>
      <c r="K24" s="482"/>
    </row>
    <row r="25" spans="1:12">
      <c r="A25" s="355" t="s">
        <v>2154</v>
      </c>
      <c r="B25" s="482"/>
      <c r="C25" s="482"/>
      <c r="D25" s="482"/>
      <c r="E25" s="482"/>
      <c r="F25" s="482"/>
      <c r="G25" s="482"/>
      <c r="H25" s="482"/>
      <c r="I25" s="482"/>
      <c r="J25" s="482"/>
      <c r="K25" s="482"/>
    </row>
    <row r="26" spans="1:12">
      <c r="A26" s="355" t="s">
        <v>2155</v>
      </c>
      <c r="B26" s="482"/>
      <c r="C26" s="482"/>
      <c r="D26" s="482"/>
      <c r="E26" s="482"/>
      <c r="F26" s="482"/>
      <c r="G26" s="482"/>
      <c r="H26" s="482"/>
      <c r="I26" s="482"/>
      <c r="J26" s="482"/>
      <c r="K26" s="482"/>
    </row>
    <row r="27" spans="1:12">
      <c r="A27" s="3" t="s">
        <v>2156</v>
      </c>
    </row>
    <row r="28" spans="1:12">
      <c r="A28" s="355" t="s">
        <v>787</v>
      </c>
      <c r="B28" s="482"/>
      <c r="C28" s="482"/>
      <c r="D28" s="482"/>
      <c r="E28" s="482"/>
      <c r="F28" s="482"/>
      <c r="G28" s="482"/>
      <c r="H28" s="482"/>
      <c r="I28" s="482"/>
      <c r="J28" s="482"/>
      <c r="K28" s="482"/>
    </row>
    <row r="29" spans="1:12">
      <c r="A29" s="479" t="s">
        <v>788</v>
      </c>
      <c r="B29" s="482"/>
      <c r="C29" s="482"/>
      <c r="D29" s="482"/>
      <c r="E29" s="482"/>
      <c r="F29" s="482"/>
      <c r="G29" s="482"/>
      <c r="H29" s="482"/>
      <c r="I29" s="482"/>
      <c r="J29" s="482"/>
      <c r="K29" s="482"/>
    </row>
    <row r="32" spans="1:12">
      <c r="A32" s="3" t="s">
        <v>256</v>
      </c>
    </row>
  </sheetData>
  <phoneticPr fontId="0" type="noConversion"/>
  <pageMargins left="0.48" right="0.44" top="0.72" bottom="0.49" header="0.45" footer="0.4921259845"/>
  <pageSetup paperSize="9" scale="67" orientation="portrait"/>
  <headerFooter alignWithMargins="0">
    <oddHeader>&amp;L&amp;"Arial,Bold"Zusatzinformationen zum Gesundheitswesen</oddHeader>
  </headerFooter>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F6B97-E98B-BA43-8B76-1BE4FBB36ACB}">
  <sheetPr>
    <pageSetUpPr fitToPage="1"/>
  </sheetPr>
  <dimension ref="A1:L32"/>
  <sheetViews>
    <sheetView topLeftCell="A20" zoomScale="75" workbookViewId="0">
      <selection activeCell="C41" sqref="C41"/>
    </sheetView>
  </sheetViews>
  <sheetFormatPr baseColWidth="10" defaultColWidth="11.3984375" defaultRowHeight="13"/>
  <cols>
    <col min="1" max="1" width="10" style="3" customWidth="1"/>
    <col min="2" max="2" width="13.19921875" style="21" customWidth="1"/>
    <col min="3" max="3" width="13.3984375" style="21" customWidth="1"/>
    <col min="4" max="4" width="15" style="21" customWidth="1"/>
    <col min="5" max="5" width="13" style="21" customWidth="1"/>
    <col min="6" max="7" width="13.59765625" style="21" customWidth="1"/>
    <col min="8" max="8" width="14.796875" style="21" customWidth="1"/>
    <col min="9" max="9" width="13.59765625" style="21" customWidth="1"/>
    <col min="10" max="16384" width="11.3984375" style="3"/>
  </cols>
  <sheetData>
    <row r="1" spans="1:12" s="1" customFormat="1" ht="14" customHeight="1">
      <c r="A1" s="372"/>
      <c r="B1" s="373"/>
      <c r="C1" s="373"/>
      <c r="D1" s="373"/>
      <c r="E1" s="373"/>
      <c r="F1" s="373"/>
      <c r="G1" s="373"/>
      <c r="H1" s="373"/>
      <c r="I1" s="373"/>
    </row>
    <row r="2" spans="1:12" s="1" customFormat="1" ht="27" customHeight="1">
      <c r="A2" s="882" t="s">
        <v>2145</v>
      </c>
      <c r="B2" s="940"/>
      <c r="C2" s="940"/>
      <c r="D2" s="940"/>
      <c r="E2" s="940"/>
      <c r="F2" s="940"/>
      <c r="G2" s="940"/>
      <c r="H2" s="940"/>
      <c r="I2" s="296">
        <v>2003</v>
      </c>
    </row>
    <row r="3" spans="1:12" ht="20" customHeight="1">
      <c r="A3" s="77" t="s">
        <v>1591</v>
      </c>
      <c r="B3" s="941" t="s">
        <v>336</v>
      </c>
      <c r="C3" s="17"/>
      <c r="D3" s="70"/>
      <c r="E3" s="417" t="s">
        <v>22</v>
      </c>
      <c r="F3" s="942" t="s">
        <v>338</v>
      </c>
      <c r="G3" s="77"/>
      <c r="H3" s="347"/>
      <c r="I3" s="417" t="s">
        <v>22</v>
      </c>
    </row>
    <row r="4" spans="1:12" ht="33" customHeight="1">
      <c r="A4" s="77"/>
      <c r="B4" s="943" t="s">
        <v>2134</v>
      </c>
      <c r="C4" s="944"/>
      <c r="D4" s="951" t="s">
        <v>2146</v>
      </c>
      <c r="E4" s="952"/>
      <c r="F4" s="953" t="s">
        <v>2134</v>
      </c>
      <c r="G4" s="954"/>
      <c r="H4" s="951" t="s">
        <v>2146</v>
      </c>
      <c r="I4" s="952"/>
    </row>
    <row r="5" spans="1:12" ht="15" customHeight="1">
      <c r="A5" s="77"/>
      <c r="B5" s="955" t="s">
        <v>2135</v>
      </c>
      <c r="C5" s="471" t="s">
        <v>2136</v>
      </c>
      <c r="D5" s="470" t="s">
        <v>2137</v>
      </c>
      <c r="E5" s="17"/>
      <c r="F5" s="956" t="s">
        <v>2135</v>
      </c>
      <c r="G5" s="471" t="s">
        <v>2136</v>
      </c>
      <c r="H5" s="470" t="s">
        <v>2137</v>
      </c>
      <c r="I5" s="17"/>
    </row>
    <row r="6" spans="1:12" ht="17.25" customHeight="1">
      <c r="A6" s="77"/>
      <c r="B6" s="955" t="s">
        <v>2147</v>
      </c>
      <c r="C6" s="471" t="s">
        <v>2148</v>
      </c>
      <c r="D6" s="470" t="s">
        <v>1771</v>
      </c>
      <c r="E6" s="17"/>
      <c r="F6" s="956" t="s">
        <v>2147</v>
      </c>
      <c r="G6" s="471" t="s">
        <v>2148</v>
      </c>
      <c r="H6" s="470" t="s">
        <v>1771</v>
      </c>
      <c r="I6" s="17"/>
    </row>
    <row r="7" spans="1:12" ht="16.5" customHeight="1">
      <c r="A7" s="405"/>
      <c r="B7" s="73"/>
      <c r="C7" s="18"/>
      <c r="D7" s="73"/>
      <c r="E7" s="18"/>
      <c r="F7" s="957"/>
      <c r="G7" s="18"/>
      <c r="H7" s="73"/>
      <c r="I7" s="18"/>
    </row>
    <row r="8" spans="1:12" ht="20" customHeight="1" thickBot="1">
      <c r="A8" s="958">
        <v>1991</v>
      </c>
      <c r="B8" s="959">
        <v>7381.6</v>
      </c>
      <c r="C8" s="960">
        <v>2030</v>
      </c>
      <c r="D8" s="959">
        <v>763.6</v>
      </c>
      <c r="E8" s="961">
        <v>10175.200000000001</v>
      </c>
      <c r="F8" s="962">
        <v>8411.9</v>
      </c>
      <c r="G8" s="960">
        <v>1717.6</v>
      </c>
      <c r="H8" s="959">
        <v>608.6</v>
      </c>
      <c r="I8" s="961">
        <v>10738.1</v>
      </c>
    </row>
    <row r="9" spans="1:12" ht="20" customHeight="1" thickBot="1">
      <c r="A9" s="380">
        <v>1992</v>
      </c>
      <c r="B9" s="444">
        <v>8071.6</v>
      </c>
      <c r="C9" s="963">
        <v>2234.5</v>
      </c>
      <c r="D9" s="964">
        <v>751.05194456734102</v>
      </c>
      <c r="E9" s="965">
        <v>11057.151944567342</v>
      </c>
      <c r="F9" s="966">
        <v>9374.4</v>
      </c>
      <c r="G9" s="963">
        <v>1832.3</v>
      </c>
      <c r="H9" s="964">
        <v>631.14866850607859</v>
      </c>
      <c r="I9" s="965">
        <v>11837.848668506078</v>
      </c>
    </row>
    <row r="10" spans="1:12" ht="20" customHeight="1" thickBot="1">
      <c r="A10" s="380">
        <v>1993</v>
      </c>
      <c r="B10" s="444">
        <v>8959</v>
      </c>
      <c r="C10" s="963">
        <v>3326.3</v>
      </c>
      <c r="D10" s="964">
        <v>734.92479192401356</v>
      </c>
      <c r="E10" s="965">
        <v>13020.224791924013</v>
      </c>
      <c r="F10" s="966">
        <v>9747.2000000000007</v>
      </c>
      <c r="G10" s="963">
        <v>2431.9</v>
      </c>
      <c r="H10" s="964">
        <v>626.00138979065252</v>
      </c>
      <c r="I10" s="965">
        <v>12805.101389790652</v>
      </c>
    </row>
    <row r="11" spans="1:12" ht="20" customHeight="1" thickBot="1">
      <c r="A11" s="380">
        <v>1994</v>
      </c>
      <c r="B11" s="444">
        <v>8986.1</v>
      </c>
      <c r="C11" s="963">
        <v>4076.6</v>
      </c>
      <c r="D11" s="964">
        <v>690.03021854426788</v>
      </c>
      <c r="E11" s="965">
        <v>13752.730218544268</v>
      </c>
      <c r="F11" s="966">
        <v>9548.9</v>
      </c>
      <c r="G11" s="963">
        <v>3331.5</v>
      </c>
      <c r="H11" s="964">
        <v>613.0603501903413</v>
      </c>
      <c r="I11" s="965">
        <v>13493.46035019034</v>
      </c>
    </row>
    <row r="12" spans="1:12" ht="20" customHeight="1" thickBot="1">
      <c r="A12" s="380">
        <v>1995</v>
      </c>
      <c r="B12" s="444">
        <v>9125.7999999999993</v>
      </c>
      <c r="C12" s="963">
        <v>4249.7</v>
      </c>
      <c r="D12" s="964">
        <v>651.42256806953048</v>
      </c>
      <c r="E12" s="965">
        <v>14026.922568069531</v>
      </c>
      <c r="F12" s="966">
        <v>10017.200000000001</v>
      </c>
      <c r="G12" s="963">
        <v>3664.1</v>
      </c>
      <c r="H12" s="964">
        <v>587.27080996548773</v>
      </c>
      <c r="I12" s="965">
        <v>14268.570809965489</v>
      </c>
    </row>
    <row r="13" spans="1:12" ht="20" customHeight="1" thickBot="1">
      <c r="A13" s="380">
        <v>1996</v>
      </c>
      <c r="B13" s="444">
        <v>11035.2</v>
      </c>
      <c r="C13" s="963">
        <v>4337.5</v>
      </c>
      <c r="D13" s="964">
        <v>640.36315374410731</v>
      </c>
      <c r="E13" s="965">
        <v>16013.063153744108</v>
      </c>
      <c r="F13" s="966">
        <v>10780.5</v>
      </c>
      <c r="G13" s="963">
        <v>3809.6285714248806</v>
      </c>
      <c r="H13" s="964">
        <v>512.67578326995283</v>
      </c>
      <c r="I13" s="965">
        <v>15102.804354694834</v>
      </c>
      <c r="K13"/>
      <c r="L13"/>
    </row>
    <row r="14" spans="1:12" ht="20" customHeight="1" thickBot="1">
      <c r="A14" s="380">
        <v>1997</v>
      </c>
      <c r="B14" s="473">
        <v>11924.8</v>
      </c>
      <c r="C14" s="88">
        <v>4410.6000000000004</v>
      </c>
      <c r="D14" s="473">
        <v>601.9</v>
      </c>
      <c r="E14" s="961">
        <v>16937.3</v>
      </c>
      <c r="F14" s="967">
        <v>11360.5</v>
      </c>
      <c r="G14" s="88">
        <v>3288.3</v>
      </c>
      <c r="H14" s="473">
        <v>475.9</v>
      </c>
      <c r="I14" s="961">
        <v>15124.7</v>
      </c>
      <c r="K14"/>
      <c r="L14"/>
    </row>
    <row r="15" spans="1:12" ht="20" customHeight="1" thickBot="1">
      <c r="A15" s="380">
        <v>1998</v>
      </c>
      <c r="B15" s="473">
        <v>12604.2</v>
      </c>
      <c r="C15" s="88">
        <v>4453.3</v>
      </c>
      <c r="D15" s="473">
        <v>637.79999999999995</v>
      </c>
      <c r="E15" s="961">
        <v>17695.3</v>
      </c>
      <c r="F15" s="967">
        <v>11926.9</v>
      </c>
      <c r="G15" s="88">
        <v>3299.5</v>
      </c>
      <c r="H15" s="473">
        <v>460.1</v>
      </c>
      <c r="I15" s="961">
        <v>15686.5</v>
      </c>
      <c r="K15"/>
      <c r="L15"/>
    </row>
    <row r="16" spans="1:12" ht="20" customHeight="1" thickBot="1">
      <c r="A16" s="380">
        <v>1999</v>
      </c>
      <c r="B16" s="473">
        <v>12949.5</v>
      </c>
      <c r="C16" s="88">
        <v>3766.7</v>
      </c>
      <c r="D16" s="473">
        <v>1098.2</v>
      </c>
      <c r="E16" s="961">
        <v>17814.400000000001</v>
      </c>
      <c r="F16" s="967">
        <v>12430.6</v>
      </c>
      <c r="G16" s="88">
        <v>2787.1</v>
      </c>
      <c r="H16" s="473">
        <v>763.9</v>
      </c>
      <c r="I16" s="961">
        <v>15981.6</v>
      </c>
      <c r="K16"/>
      <c r="L16"/>
    </row>
    <row r="17" spans="1:12" ht="20" customHeight="1" thickBot="1">
      <c r="A17" s="380">
        <v>2000</v>
      </c>
      <c r="B17" s="473">
        <v>13346.7</v>
      </c>
      <c r="C17" s="88">
        <v>2917.4</v>
      </c>
      <c r="D17" s="473">
        <v>2242.9</v>
      </c>
      <c r="E17" s="961">
        <v>18507</v>
      </c>
      <c r="F17" s="967">
        <v>13190.3</v>
      </c>
      <c r="G17" s="88">
        <v>2199.1</v>
      </c>
      <c r="H17" s="473">
        <v>1583.8</v>
      </c>
      <c r="I17" s="961">
        <v>16973.2</v>
      </c>
      <c r="K17"/>
      <c r="L17"/>
    </row>
    <row r="18" spans="1:12" ht="20" customHeight="1" thickBot="1">
      <c r="A18" s="380">
        <v>2001</v>
      </c>
      <c r="B18" s="473">
        <v>13954.7</v>
      </c>
      <c r="C18" s="88">
        <v>1986.99</v>
      </c>
      <c r="D18" s="473">
        <v>3190.46</v>
      </c>
      <c r="E18" s="961">
        <v>19132.150000000001</v>
      </c>
      <c r="F18" s="967">
        <v>13986.27</v>
      </c>
      <c r="G18" s="88">
        <v>1576.7</v>
      </c>
      <c r="H18" s="473">
        <v>2353.3000000000002</v>
      </c>
      <c r="I18" s="961">
        <v>17916.27</v>
      </c>
      <c r="K18"/>
      <c r="L18"/>
    </row>
    <row r="19" spans="1:12" ht="20" customHeight="1" thickBot="1">
      <c r="A19" s="380">
        <v>2002</v>
      </c>
      <c r="B19" s="473">
        <v>15296.16</v>
      </c>
      <c r="C19" s="88">
        <v>1958.4404729999999</v>
      </c>
      <c r="D19" s="473">
        <v>3432.3745709999994</v>
      </c>
      <c r="E19" s="961">
        <v>20686.975043999999</v>
      </c>
      <c r="F19" s="967">
        <v>14592.75</v>
      </c>
      <c r="G19" s="88">
        <v>1422.34175</v>
      </c>
      <c r="H19" s="473">
        <v>2395.4617459999999</v>
      </c>
      <c r="I19" s="961">
        <v>18410.553496</v>
      </c>
      <c r="K19"/>
      <c r="L19"/>
    </row>
    <row r="20" spans="1:12" ht="30" customHeight="1" thickBot="1">
      <c r="A20" s="474">
        <v>2003</v>
      </c>
      <c r="B20" s="475">
        <v>16759.707467</v>
      </c>
      <c r="C20" s="476">
        <v>1882.6076640000001</v>
      </c>
      <c r="D20" s="475">
        <v>3406.1985699999996</v>
      </c>
      <c r="E20" s="476">
        <v>22048.513701</v>
      </c>
      <c r="F20" s="968">
        <v>15335.619704000001</v>
      </c>
      <c r="G20" s="476">
        <v>1354.5729260000001</v>
      </c>
      <c r="H20" s="475">
        <v>2360.4405969999998</v>
      </c>
      <c r="I20" s="476">
        <v>19050.633227000002</v>
      </c>
      <c r="K20"/>
      <c r="L20"/>
    </row>
    <row r="21" spans="1:12" ht="20" customHeight="1">
      <c r="A21" s="477" t="s">
        <v>2138</v>
      </c>
      <c r="B21" s="478"/>
      <c r="C21" s="478"/>
      <c r="D21" s="478"/>
      <c r="E21" s="478"/>
      <c r="F21" s="478"/>
      <c r="G21" s="478"/>
      <c r="H21" s="478"/>
      <c r="I21" s="478"/>
    </row>
    <row r="22" spans="1:12" ht="13.5" customHeight="1">
      <c r="A22" s="479"/>
      <c r="B22" s="480"/>
      <c r="C22" s="480"/>
      <c r="D22" s="480"/>
      <c r="E22" s="480"/>
      <c r="F22" s="480"/>
      <c r="G22" s="480"/>
      <c r="H22" s="480"/>
      <c r="I22" s="480"/>
    </row>
    <row r="23" spans="1:12">
      <c r="A23" s="355" t="s">
        <v>2139</v>
      </c>
      <c r="B23" s="482"/>
      <c r="C23" s="482"/>
      <c r="D23" s="482"/>
      <c r="E23" s="482"/>
      <c r="F23" s="482"/>
      <c r="G23" s="482"/>
      <c r="H23" s="482"/>
      <c r="I23" s="482"/>
    </row>
    <row r="24" spans="1:12">
      <c r="A24" s="355" t="s">
        <v>2149</v>
      </c>
      <c r="B24" s="482"/>
      <c r="C24" s="482"/>
      <c r="D24" s="482"/>
      <c r="E24" s="482"/>
      <c r="F24" s="482"/>
      <c r="G24" s="482"/>
      <c r="H24" s="482"/>
      <c r="I24" s="482"/>
    </row>
    <row r="25" spans="1:12">
      <c r="A25" s="355" t="s">
        <v>2140</v>
      </c>
      <c r="B25" s="482"/>
      <c r="C25" s="482"/>
      <c r="D25" s="482"/>
      <c r="E25" s="482"/>
      <c r="F25" s="482"/>
      <c r="G25" s="482"/>
      <c r="H25" s="482"/>
      <c r="I25" s="482"/>
    </row>
    <row r="26" spans="1:12">
      <c r="A26" s="355" t="s">
        <v>2141</v>
      </c>
      <c r="B26" s="482"/>
      <c r="C26" s="482"/>
      <c r="D26" s="482"/>
      <c r="E26" s="482"/>
      <c r="F26" s="482"/>
      <c r="G26" s="482"/>
      <c r="H26" s="482"/>
      <c r="I26" s="482"/>
    </row>
    <row r="27" spans="1:12">
      <c r="A27" s="355" t="s">
        <v>2142</v>
      </c>
    </row>
    <row r="28" spans="1:12">
      <c r="A28" s="355" t="s">
        <v>2143</v>
      </c>
    </row>
    <row r="29" spans="1:12">
      <c r="A29" s="355" t="s">
        <v>2144</v>
      </c>
    </row>
    <row r="32" spans="1:12">
      <c r="A32" s="3" t="s">
        <v>256</v>
      </c>
    </row>
  </sheetData>
  <phoneticPr fontId="0" type="noConversion"/>
  <pageMargins left="0.6" right="0.55000000000000004" top="0.95" bottom="0.49" header="0.45" footer="0.4921259845"/>
  <pageSetup paperSize="9" scale="77" orientation="portrait" horizontalDpi="1200" verticalDpi="1200"/>
  <headerFooter alignWithMargins="0">
    <oddHeader>&amp;L&amp;"Arial,Bold"Zusatzinformationen zum Gesundheitswesen</oddHeader>
  </headerFooter>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85886-C789-A94F-8B4F-F0CEC6A2DF19}">
  <sheetPr>
    <pageSetUpPr fitToPage="1"/>
  </sheetPr>
  <dimension ref="A1:O88"/>
  <sheetViews>
    <sheetView topLeftCell="A19" zoomScale="75" workbookViewId="0"/>
  </sheetViews>
  <sheetFormatPr baseColWidth="10" defaultColWidth="11.3984375" defaultRowHeight="13"/>
  <cols>
    <col min="1" max="1" width="21" style="3" customWidth="1"/>
    <col min="2" max="3" width="9.59765625" style="21" customWidth="1"/>
    <col min="4" max="15" width="9.59765625" style="3" customWidth="1"/>
    <col min="16" max="16384" width="11.3984375" style="3"/>
  </cols>
  <sheetData>
    <row r="1" spans="1:15" s="1" customFormat="1" ht="13.5" customHeight="1">
      <c r="A1" s="372"/>
      <c r="B1" s="373"/>
      <c r="C1" s="373"/>
      <c r="D1" s="372"/>
      <c r="E1" s="372"/>
      <c r="F1" s="372"/>
      <c r="G1" s="372"/>
      <c r="H1" s="372"/>
      <c r="I1" s="372"/>
      <c r="J1" s="372"/>
    </row>
    <row r="2" spans="1:15" s="1" customFormat="1" ht="27" customHeight="1">
      <c r="A2" s="374" t="s">
        <v>1824</v>
      </c>
      <c r="B2" s="373"/>
      <c r="C2" s="373"/>
      <c r="D2" s="372"/>
      <c r="E2" s="372"/>
      <c r="F2" s="372"/>
      <c r="G2" s="372"/>
      <c r="H2" s="372"/>
      <c r="I2" s="372"/>
      <c r="J2" s="372"/>
      <c r="N2" s="321"/>
      <c r="O2" s="321">
        <v>2003</v>
      </c>
    </row>
    <row r="3" spans="1:15" ht="78" customHeight="1">
      <c r="A3" s="375" t="s">
        <v>1694</v>
      </c>
      <c r="B3" s="376">
        <v>1960</v>
      </c>
      <c r="C3" s="377">
        <v>1970</v>
      </c>
      <c r="D3" s="378">
        <v>1980</v>
      </c>
      <c r="E3" s="377">
        <v>1985</v>
      </c>
      <c r="F3" s="378">
        <v>1990</v>
      </c>
      <c r="G3" s="377">
        <v>1995</v>
      </c>
      <c r="H3" s="378">
        <v>1996</v>
      </c>
      <c r="I3" s="377">
        <v>1997</v>
      </c>
      <c r="J3" s="378">
        <v>1998</v>
      </c>
      <c r="K3" s="377">
        <v>1999</v>
      </c>
      <c r="L3" s="378">
        <v>2000</v>
      </c>
      <c r="M3" s="377">
        <v>2001</v>
      </c>
      <c r="N3" s="378">
        <v>2002</v>
      </c>
      <c r="O3" s="377">
        <v>2003</v>
      </c>
    </row>
    <row r="4" spans="1:15" ht="30" customHeight="1" thickBot="1">
      <c r="A4" s="379" t="s">
        <v>1695</v>
      </c>
      <c r="B4" s="301">
        <v>4.0999999999999995E-2</v>
      </c>
      <c r="C4" s="300">
        <v>4.5999999999999999E-2</v>
      </c>
      <c r="D4" s="301">
        <v>7.0000000000000007E-2</v>
      </c>
      <c r="E4" s="300">
        <v>7.400000000000001E-2</v>
      </c>
      <c r="F4" s="301">
        <v>7.8E-2</v>
      </c>
      <c r="G4" s="300">
        <v>8.199999999999999E-2</v>
      </c>
      <c r="H4" s="301">
        <v>8.4000000000000005E-2</v>
      </c>
      <c r="I4" s="300">
        <v>8.5000000000000006E-2</v>
      </c>
      <c r="J4" s="301">
        <v>8.5999999999999993E-2</v>
      </c>
      <c r="K4" s="300">
        <v>8.8000000000000009E-2</v>
      </c>
      <c r="L4" s="301">
        <v>0.09</v>
      </c>
      <c r="M4" s="300">
        <v>9.0999999999999998E-2</v>
      </c>
      <c r="N4" s="301" t="s">
        <v>1013</v>
      </c>
      <c r="O4" s="300" t="s">
        <v>1013</v>
      </c>
    </row>
    <row r="5" spans="1:15" ht="18" customHeight="1" thickBot="1">
      <c r="A5" s="380" t="s">
        <v>1696</v>
      </c>
      <c r="B5" s="381">
        <v>3.4000000000000002E-2</v>
      </c>
      <c r="C5" s="25">
        <v>0.04</v>
      </c>
      <c r="D5" s="381">
        <v>6.4000000000000001E-2</v>
      </c>
      <c r="E5" s="25">
        <v>7.2000000000000008E-2</v>
      </c>
      <c r="F5" s="381">
        <v>7.400000000000001E-2</v>
      </c>
      <c r="G5" s="25">
        <v>8.6999999999999994E-2</v>
      </c>
      <c r="H5" s="381">
        <v>8.900000000000001E-2</v>
      </c>
      <c r="I5" s="25">
        <v>8.5999999999999993E-2</v>
      </c>
      <c r="J5" s="381">
        <v>8.5999999999999993E-2</v>
      </c>
      <c r="K5" s="25">
        <v>8.6999999999999994E-2</v>
      </c>
      <c r="L5" s="381">
        <v>8.8000000000000009E-2</v>
      </c>
      <c r="M5" s="25">
        <v>0.09</v>
      </c>
      <c r="N5" s="381">
        <v>9.0999999999999998E-2</v>
      </c>
      <c r="O5" s="25" t="s">
        <v>1013</v>
      </c>
    </row>
    <row r="6" spans="1:15" ht="18" customHeight="1" thickBot="1">
      <c r="A6" s="380" t="s">
        <v>1697</v>
      </c>
      <c r="B6" s="381" t="s">
        <v>1013</v>
      </c>
      <c r="C6" s="25" t="s">
        <v>1013</v>
      </c>
      <c r="D6" s="381">
        <v>9.0999999999999998E-2</v>
      </c>
      <c r="E6" s="25">
        <v>8.6999999999999994E-2</v>
      </c>
      <c r="F6" s="381">
        <v>8.5000000000000006E-2</v>
      </c>
      <c r="G6" s="25">
        <v>8.199999999999999E-2</v>
      </c>
      <c r="H6" s="381">
        <v>8.3000000000000004E-2</v>
      </c>
      <c r="I6" s="25">
        <v>8.199999999999999E-2</v>
      </c>
      <c r="J6" s="381">
        <v>8.4000000000000005E-2</v>
      </c>
      <c r="K6" s="25">
        <v>8.5000000000000006E-2</v>
      </c>
      <c r="L6" s="381">
        <v>8.4000000000000005E-2</v>
      </c>
      <c r="M6" s="25">
        <v>8.5999999999999993E-2</v>
      </c>
      <c r="N6" s="381">
        <v>8.8000000000000009E-2</v>
      </c>
      <c r="O6" s="25" t="s">
        <v>1013</v>
      </c>
    </row>
    <row r="7" spans="1:15" ht="18" customHeight="1" thickBot="1">
      <c r="A7" s="380" t="s">
        <v>1698</v>
      </c>
      <c r="B7" s="381">
        <v>4.8000000000000001E-2</v>
      </c>
      <c r="C7" s="25">
        <v>6.2E-2</v>
      </c>
      <c r="D7" s="381">
        <v>8.6999999999999994E-2</v>
      </c>
      <c r="E7" s="25">
        <v>0.09</v>
      </c>
      <c r="F7" s="381">
        <v>8.5000000000000006E-2</v>
      </c>
      <c r="G7" s="25">
        <v>0.106</v>
      </c>
      <c r="H7" s="381">
        <v>0.109</v>
      </c>
      <c r="I7" s="25">
        <v>0.107</v>
      </c>
      <c r="J7" s="381">
        <v>0.106</v>
      </c>
      <c r="K7" s="25">
        <v>0.106</v>
      </c>
      <c r="L7" s="381">
        <v>0.106</v>
      </c>
      <c r="M7" s="25">
        <v>0.10800000000000001</v>
      </c>
      <c r="N7" s="381">
        <v>0.109</v>
      </c>
      <c r="O7" s="25" t="s">
        <v>1013</v>
      </c>
    </row>
    <row r="8" spans="1:15" ht="18" customHeight="1" thickBot="1">
      <c r="A8" s="380" t="s">
        <v>1699</v>
      </c>
      <c r="B8" s="381">
        <v>3.7999999999999999E-2</v>
      </c>
      <c r="C8" s="25">
        <v>5.5999999999999994E-2</v>
      </c>
      <c r="D8" s="381">
        <v>6.4000000000000001E-2</v>
      </c>
      <c r="E8" s="25">
        <v>7.2000000000000008E-2</v>
      </c>
      <c r="F8" s="381">
        <v>7.8E-2</v>
      </c>
      <c r="G8" s="25">
        <v>7.4999999999999997E-2</v>
      </c>
      <c r="H8" s="381">
        <v>7.5999999999999998E-2</v>
      </c>
      <c r="I8" s="25">
        <v>7.2999999999999995E-2</v>
      </c>
      <c r="J8" s="381">
        <v>6.9000000000000006E-2</v>
      </c>
      <c r="K8" s="25">
        <v>6.9000000000000006E-2</v>
      </c>
      <c r="L8" s="381">
        <v>6.7000000000000004E-2</v>
      </c>
      <c r="M8" s="25">
        <v>7.0000000000000007E-2</v>
      </c>
      <c r="N8" s="381">
        <v>7.2999999999999995E-2</v>
      </c>
      <c r="O8" s="25" t="s">
        <v>1013</v>
      </c>
    </row>
    <row r="9" spans="1:15" ht="18" customHeight="1" thickBot="1">
      <c r="A9" s="380" t="s">
        <v>1700</v>
      </c>
      <c r="B9" s="381">
        <v>3.7999999999999999E-2</v>
      </c>
      <c r="C9" s="25">
        <v>5.4000000000000006E-2</v>
      </c>
      <c r="D9" s="381">
        <v>7.0999999999999994E-2</v>
      </c>
      <c r="E9" s="25">
        <v>8.199999999999999E-2</v>
      </c>
      <c r="F9" s="381">
        <v>8.5999999999999993E-2</v>
      </c>
      <c r="G9" s="25">
        <v>9.5000000000000001E-2</v>
      </c>
      <c r="H9" s="381">
        <v>9.5000000000000001E-2</v>
      </c>
      <c r="I9" s="25">
        <v>9.4E-2</v>
      </c>
      <c r="J9" s="381">
        <v>9.3000000000000013E-2</v>
      </c>
      <c r="K9" s="25">
        <v>9.3000000000000013E-2</v>
      </c>
      <c r="L9" s="381">
        <v>9.3000000000000013E-2</v>
      </c>
      <c r="M9" s="25">
        <v>9.4E-2</v>
      </c>
      <c r="N9" s="381">
        <v>9.6999999999999989E-2</v>
      </c>
      <c r="O9" s="25" t="s">
        <v>1013</v>
      </c>
    </row>
    <row r="10" spans="1:15" ht="18" customHeight="1" thickBot="1">
      <c r="A10" s="380" t="s">
        <v>1701</v>
      </c>
      <c r="B10" s="381">
        <v>3.9E-2</v>
      </c>
      <c r="C10" s="25">
        <v>4.4999999999999998E-2</v>
      </c>
      <c r="D10" s="381">
        <v>5.5999999999999994E-2</v>
      </c>
      <c r="E10" s="25">
        <v>5.9000000000000004E-2</v>
      </c>
      <c r="F10" s="381">
        <v>0.06</v>
      </c>
      <c r="G10" s="25">
        <v>7.0000000000000007E-2</v>
      </c>
      <c r="H10" s="381">
        <v>7.0000000000000007E-2</v>
      </c>
      <c r="I10" s="25">
        <v>6.8000000000000005E-2</v>
      </c>
      <c r="J10" s="381">
        <v>6.9000000000000006E-2</v>
      </c>
      <c r="K10" s="25">
        <v>7.2000000000000008E-2</v>
      </c>
      <c r="L10" s="381">
        <v>7.2999999999999995E-2</v>
      </c>
      <c r="M10" s="25">
        <v>7.4999999999999997E-2</v>
      </c>
      <c r="N10" s="381">
        <v>7.6999999999999999E-2</v>
      </c>
      <c r="O10" s="25" t="s">
        <v>1013</v>
      </c>
    </row>
    <row r="11" spans="1:15" ht="18" customHeight="1" thickBot="1">
      <c r="A11" s="380" t="s">
        <v>1702</v>
      </c>
      <c r="B11" s="381">
        <v>3.6000000000000004E-2</v>
      </c>
      <c r="C11" s="25">
        <v>5.0999999999999997E-2</v>
      </c>
      <c r="D11" s="381">
        <v>7.0000000000000007E-2</v>
      </c>
      <c r="E11" s="25">
        <v>7.0000000000000007E-2</v>
      </c>
      <c r="F11" s="381">
        <v>0.08</v>
      </c>
      <c r="G11" s="25">
        <v>7.400000000000001E-2</v>
      </c>
      <c r="H11" s="381">
        <v>7.4999999999999997E-2</v>
      </c>
      <c r="I11" s="25">
        <v>7.6999999999999999E-2</v>
      </c>
      <c r="J11" s="381">
        <v>7.6999999999999999E-2</v>
      </c>
      <c r="K11" s="25">
        <v>7.8E-2</v>
      </c>
      <c r="L11" s="381">
        <v>8.1000000000000003E-2</v>
      </c>
      <c r="M11" s="25">
        <v>8.3000000000000004E-2</v>
      </c>
      <c r="N11" s="381">
        <v>8.5000000000000006E-2</v>
      </c>
      <c r="O11" s="25">
        <v>8.5000000000000006E-2</v>
      </c>
    </row>
    <row r="12" spans="1:15" ht="18" customHeight="1" thickBot="1">
      <c r="A12" s="380" t="s">
        <v>1703</v>
      </c>
      <c r="B12" s="381">
        <v>0.03</v>
      </c>
      <c r="C12" s="25">
        <v>4.4999999999999998E-2</v>
      </c>
      <c r="D12" s="381">
        <v>6.5000000000000002E-2</v>
      </c>
      <c r="E12" s="25">
        <v>6.7000000000000004E-2</v>
      </c>
      <c r="F12" s="381">
        <v>5.9000000000000004E-2</v>
      </c>
      <c r="G12" s="25">
        <v>6.8000000000000005E-2</v>
      </c>
      <c r="H12" s="381">
        <v>7.0000000000000007E-2</v>
      </c>
      <c r="I12" s="25">
        <v>6.9000000000000006E-2</v>
      </c>
      <c r="J12" s="381">
        <v>7.2000000000000008E-2</v>
      </c>
      <c r="K12" s="25">
        <v>7.400000000000001E-2</v>
      </c>
      <c r="L12" s="381">
        <v>7.5999999999999998E-2</v>
      </c>
      <c r="M12" s="25">
        <v>7.8E-2</v>
      </c>
      <c r="N12" s="381" t="s">
        <v>1013</v>
      </c>
      <c r="O12" s="25" t="s">
        <v>1013</v>
      </c>
    </row>
    <row r="13" spans="1:15" ht="18" customHeight="1" thickBot="1">
      <c r="A13" s="380" t="s">
        <v>1704</v>
      </c>
      <c r="B13" s="381" t="s">
        <v>1013</v>
      </c>
      <c r="C13" s="25" t="s">
        <v>1013</v>
      </c>
      <c r="D13" s="381">
        <v>7.4999999999999997E-2</v>
      </c>
      <c r="E13" s="25">
        <v>7.400000000000001E-2</v>
      </c>
      <c r="F13" s="381">
        <v>0.08</v>
      </c>
      <c r="G13" s="25">
        <v>8.4000000000000005E-2</v>
      </c>
      <c r="H13" s="381">
        <v>8.3000000000000004E-2</v>
      </c>
      <c r="I13" s="25">
        <v>8.199999999999999E-2</v>
      </c>
      <c r="J13" s="381">
        <v>8.1000000000000003E-2</v>
      </c>
      <c r="K13" s="25">
        <v>8.199999999999999E-2</v>
      </c>
      <c r="L13" s="381">
        <v>8.199999999999999E-2</v>
      </c>
      <c r="M13" s="25">
        <v>8.5000000000000006E-2</v>
      </c>
      <c r="N13" s="381">
        <v>9.0999999999999998E-2</v>
      </c>
      <c r="O13" s="25" t="s">
        <v>1013</v>
      </c>
    </row>
    <row r="14" spans="1:15" ht="18" customHeight="1" thickBot="1">
      <c r="A14" s="380" t="s">
        <v>1705</v>
      </c>
      <c r="B14" s="381">
        <v>2.8999999999999998E-2</v>
      </c>
      <c r="C14" s="25">
        <v>4.4000000000000004E-2</v>
      </c>
      <c r="D14" s="381">
        <v>7.0000000000000007E-2</v>
      </c>
      <c r="E14" s="25">
        <v>6.6000000000000003E-2</v>
      </c>
      <c r="F14" s="381">
        <v>7.6999999999999999E-2</v>
      </c>
      <c r="G14" s="25">
        <v>7.9000000000000001E-2</v>
      </c>
      <c r="H14" s="381">
        <v>7.9000000000000001E-2</v>
      </c>
      <c r="I14" s="25">
        <v>7.8E-2</v>
      </c>
      <c r="J14" s="381">
        <v>8.5000000000000006E-2</v>
      </c>
      <c r="K14" s="25">
        <v>8.5000000000000006E-2</v>
      </c>
      <c r="L14" s="381">
        <v>7.6999999999999999E-2</v>
      </c>
      <c r="M14" s="25">
        <v>8.1000000000000003E-2</v>
      </c>
      <c r="N14" s="381">
        <v>8.6999999999999994E-2</v>
      </c>
      <c r="O14" s="25">
        <v>9.0999999999999998E-2</v>
      </c>
    </row>
    <row r="15" spans="1:15" ht="18" customHeight="1" thickBot="1">
      <c r="A15" s="380" t="s">
        <v>1706</v>
      </c>
      <c r="B15" s="381">
        <v>4.2999999999999997E-2</v>
      </c>
      <c r="C15" s="25">
        <v>5.2999999999999999E-2</v>
      </c>
      <c r="D15" s="381">
        <v>7.5999999999999998E-2</v>
      </c>
      <c r="E15" s="25">
        <v>6.6000000000000003E-2</v>
      </c>
      <c r="F15" s="381">
        <v>7.0999999999999994E-2</v>
      </c>
      <c r="G15" s="25">
        <v>8.199999999999999E-2</v>
      </c>
      <c r="H15" s="381">
        <v>8.3000000000000004E-2</v>
      </c>
      <c r="I15" s="25">
        <v>7.5999999999999998E-2</v>
      </c>
      <c r="J15" s="381">
        <v>7.6999999999999999E-2</v>
      </c>
      <c r="K15" s="25">
        <v>7.8E-2</v>
      </c>
      <c r="L15" s="381">
        <v>7.6999999999999999E-2</v>
      </c>
      <c r="M15" s="25">
        <v>7.5999999999999998E-2</v>
      </c>
      <c r="N15" s="381">
        <v>7.6999999999999999E-2</v>
      </c>
      <c r="O15" s="25" t="s">
        <v>1013</v>
      </c>
    </row>
    <row r="16" spans="1:15" ht="18" customHeight="1" thickBot="1">
      <c r="A16" s="380" t="s">
        <v>1707</v>
      </c>
      <c r="B16" s="381">
        <v>4.4999999999999998E-2</v>
      </c>
      <c r="C16" s="25">
        <v>6.9000000000000006E-2</v>
      </c>
      <c r="D16" s="381">
        <v>9.0999999999999998E-2</v>
      </c>
      <c r="E16" s="25">
        <v>8.6999999999999994E-2</v>
      </c>
      <c r="F16" s="381">
        <v>8.4000000000000005E-2</v>
      </c>
      <c r="G16" s="25">
        <v>8.1000000000000003E-2</v>
      </c>
      <c r="H16" s="381">
        <v>8.4000000000000005E-2</v>
      </c>
      <c r="I16" s="25">
        <v>8.199999999999999E-2</v>
      </c>
      <c r="J16" s="381">
        <v>8.3000000000000004E-2</v>
      </c>
      <c r="K16" s="25">
        <v>8.4000000000000005E-2</v>
      </c>
      <c r="L16" s="381">
        <v>8.4000000000000005E-2</v>
      </c>
      <c r="M16" s="25">
        <v>8.8000000000000009E-2</v>
      </c>
      <c r="N16" s="381">
        <v>9.1999999999999998E-2</v>
      </c>
      <c r="O16" s="25" t="s">
        <v>1013</v>
      </c>
    </row>
    <row r="17" spans="1:15" ht="18" customHeight="1" thickBot="1">
      <c r="A17" s="380" t="s">
        <v>1708</v>
      </c>
      <c r="B17" s="381">
        <v>1.4999999999999999E-2</v>
      </c>
      <c r="C17" s="25">
        <v>3.6000000000000004E-2</v>
      </c>
      <c r="D17" s="381">
        <v>5.4000000000000006E-2</v>
      </c>
      <c r="E17" s="25">
        <v>5.5E-2</v>
      </c>
      <c r="F17" s="381">
        <v>6.7000000000000004E-2</v>
      </c>
      <c r="G17" s="25">
        <v>7.5999999999999998E-2</v>
      </c>
      <c r="H17" s="381">
        <v>7.5999999999999998E-2</v>
      </c>
      <c r="I17" s="25">
        <v>7.4999999999999997E-2</v>
      </c>
      <c r="J17" s="381">
        <v>7.4999999999999997E-2</v>
      </c>
      <c r="K17" s="25">
        <v>7.4999999999999997E-2</v>
      </c>
      <c r="L17" s="381">
        <v>7.4999999999999997E-2</v>
      </c>
      <c r="M17" s="25">
        <v>7.4999999999999997E-2</v>
      </c>
      <c r="N17" s="381">
        <v>7.5999999999999998E-2</v>
      </c>
      <c r="O17" s="25" t="s">
        <v>1013</v>
      </c>
    </row>
    <row r="18" spans="1:15" ht="18" customHeight="1" thickBot="1">
      <c r="A18" s="380" t="s">
        <v>1709</v>
      </c>
      <c r="B18" s="381">
        <v>0.05</v>
      </c>
      <c r="C18" s="25">
        <v>6.9000000000000006E-2</v>
      </c>
      <c r="D18" s="381">
        <v>8.6999999999999994E-2</v>
      </c>
      <c r="E18" s="25">
        <v>0.1</v>
      </c>
      <c r="F18" s="381">
        <v>0.11900000000000001</v>
      </c>
      <c r="G18" s="25">
        <v>0.13300000000000001</v>
      </c>
      <c r="H18" s="381">
        <v>0.13200000000000001</v>
      </c>
      <c r="I18" s="25">
        <v>0.13</v>
      </c>
      <c r="J18" s="381">
        <v>0.13</v>
      </c>
      <c r="K18" s="25">
        <v>0.13</v>
      </c>
      <c r="L18" s="381">
        <v>0.13100000000000001</v>
      </c>
      <c r="M18" s="25">
        <v>0.13900000000000001</v>
      </c>
      <c r="N18" s="381">
        <v>0.14599999999999999</v>
      </c>
      <c r="O18" s="25" t="s">
        <v>1013</v>
      </c>
    </row>
    <row r="19" spans="1:15" s="109" customFormat="1" ht="30" customHeight="1" thickBot="1">
      <c r="A19" s="382" t="s">
        <v>1311</v>
      </c>
      <c r="B19" s="307">
        <v>4.9000000000000002E-2</v>
      </c>
      <c r="C19" s="383">
        <v>5.4000000000000006E-2</v>
      </c>
      <c r="D19" s="307">
        <v>7.2999999999999995E-2</v>
      </c>
      <c r="E19" s="383">
        <v>7.6999999999999999E-2</v>
      </c>
      <c r="F19" s="307">
        <v>8.3000000000000004E-2</v>
      </c>
      <c r="G19" s="383">
        <v>9.6999999999999989E-2</v>
      </c>
      <c r="H19" s="307">
        <v>0.10099999999999999</v>
      </c>
      <c r="I19" s="383">
        <v>0.10199999999999999</v>
      </c>
      <c r="J19" s="307">
        <v>0.10300000000000001</v>
      </c>
      <c r="K19" s="383">
        <v>0.105</v>
      </c>
      <c r="L19" s="307">
        <v>0.10400000000000001</v>
      </c>
      <c r="M19" s="383">
        <v>0.109</v>
      </c>
      <c r="N19" s="307">
        <v>0.11199999999999999</v>
      </c>
      <c r="O19" s="383" t="s">
        <v>1013</v>
      </c>
    </row>
    <row r="20" spans="1:15" ht="20" customHeight="1">
      <c r="A20" s="384" t="s">
        <v>1312</v>
      </c>
      <c r="B20" s="385"/>
      <c r="C20" s="385"/>
      <c r="D20" s="118"/>
      <c r="E20" s="118"/>
      <c r="F20" s="118"/>
      <c r="G20" s="118"/>
      <c r="H20" s="118"/>
      <c r="I20" s="118"/>
      <c r="J20" s="118"/>
      <c r="K20" s="118"/>
    </row>
    <row r="21" spans="1:15" ht="11.25" customHeight="1">
      <c r="A21" s="384"/>
      <c r="B21" s="385"/>
      <c r="C21" s="385"/>
      <c r="D21" s="118"/>
      <c r="E21" s="118"/>
      <c r="F21" s="118"/>
      <c r="G21" s="118"/>
      <c r="H21" s="118"/>
      <c r="I21" s="118"/>
      <c r="J21" s="118"/>
      <c r="K21" s="118"/>
    </row>
    <row r="22" spans="1:15" ht="12.75" customHeight="1">
      <c r="A22" s="384" t="s">
        <v>1313</v>
      </c>
      <c r="B22" s="385"/>
      <c r="C22" s="385"/>
      <c r="D22" s="118"/>
      <c r="E22" s="118"/>
      <c r="F22" s="118"/>
      <c r="G22" s="118"/>
      <c r="H22" s="118"/>
      <c r="I22" s="118"/>
      <c r="J22" s="118"/>
      <c r="K22" s="118"/>
    </row>
    <row r="23" spans="1:15" ht="18.75" customHeight="1">
      <c r="A23" s="386"/>
      <c r="B23" s="387"/>
      <c r="C23" s="387"/>
      <c r="D23" s="118"/>
      <c r="E23" s="118"/>
      <c r="F23" s="118"/>
      <c r="G23" s="118"/>
      <c r="H23" s="118"/>
      <c r="I23" s="118"/>
      <c r="J23" s="118"/>
      <c r="K23" s="118"/>
    </row>
    <row r="24" spans="1:15" ht="18" customHeight="1">
      <c r="A24" s="177"/>
      <c r="B24" s="387"/>
      <c r="C24" s="387"/>
      <c r="D24" s="118"/>
      <c r="E24" s="118"/>
      <c r="F24" s="118"/>
      <c r="G24" s="118"/>
      <c r="H24" s="118"/>
      <c r="I24" s="118"/>
      <c r="J24" s="118"/>
      <c r="K24" s="118"/>
    </row>
    <row r="25" spans="1:15" ht="18.75" customHeight="1">
      <c r="A25" s="118" t="s">
        <v>256</v>
      </c>
      <c r="B25" s="387"/>
      <c r="C25" s="387"/>
      <c r="D25" s="118"/>
      <c r="E25" s="118"/>
      <c r="F25" s="118"/>
      <c r="G25" s="118"/>
      <c r="H25" s="118"/>
      <c r="I25" s="118"/>
      <c r="J25" s="118"/>
      <c r="K25" s="118"/>
    </row>
    <row r="26" spans="1:15" ht="31" customHeight="1">
      <c r="A26" s="118"/>
      <c r="B26" s="387"/>
      <c r="C26" s="387"/>
      <c r="D26" s="118"/>
      <c r="E26" s="118"/>
      <c r="F26" s="118"/>
      <c r="G26" s="118"/>
      <c r="H26" s="118"/>
      <c r="I26" s="118"/>
      <c r="J26" s="118"/>
      <c r="K26" s="118"/>
      <c r="O26" s="1"/>
    </row>
    <row r="27" spans="1:15" ht="31" customHeight="1">
      <c r="A27" s="118"/>
      <c r="B27" s="387"/>
      <c r="C27" s="387"/>
      <c r="D27" s="118"/>
      <c r="E27" s="118"/>
      <c r="F27" s="118"/>
      <c r="G27" s="118"/>
      <c r="H27" s="118"/>
      <c r="I27" s="118"/>
      <c r="J27" s="118"/>
      <c r="K27" s="118"/>
    </row>
    <row r="28" spans="1:15" ht="31" customHeight="1">
      <c r="A28" s="118"/>
      <c r="B28" s="387"/>
      <c r="C28" s="387"/>
      <c r="D28" s="118"/>
      <c r="E28" s="118"/>
      <c r="F28" s="118"/>
      <c r="G28" s="118"/>
      <c r="H28" s="118"/>
      <c r="I28" s="118"/>
      <c r="J28" s="118"/>
      <c r="K28" s="118"/>
    </row>
    <row r="29" spans="1:15" ht="31" customHeight="1">
      <c r="A29" s="118"/>
      <c r="B29" s="387"/>
      <c r="C29" s="387"/>
      <c r="D29" s="118"/>
      <c r="E29" s="118"/>
      <c r="F29" s="118"/>
      <c r="G29" s="118"/>
      <c r="H29" s="118"/>
      <c r="I29" s="118"/>
      <c r="J29" s="118"/>
      <c r="K29" s="118"/>
    </row>
    <row r="30" spans="1:15" ht="31" customHeight="1">
      <c r="A30" s="118"/>
      <c r="B30" s="387"/>
      <c r="C30" s="387"/>
      <c r="D30" s="118"/>
      <c r="E30" s="118"/>
      <c r="F30" s="118"/>
      <c r="G30" s="118"/>
      <c r="H30" s="118"/>
      <c r="I30" s="118"/>
      <c r="J30" s="118"/>
      <c r="K30" s="118"/>
    </row>
    <row r="31" spans="1:15" ht="31" customHeight="1">
      <c r="A31" s="118"/>
      <c r="B31" s="387"/>
      <c r="C31" s="387"/>
      <c r="D31" s="118"/>
      <c r="E31" s="118"/>
      <c r="F31" s="118"/>
      <c r="G31" s="118"/>
      <c r="H31" s="118"/>
      <c r="I31" s="118"/>
      <c r="J31" s="118"/>
      <c r="K31" s="118"/>
    </row>
    <row r="32" spans="1:15" ht="31" customHeight="1">
      <c r="A32" s="118"/>
      <c r="B32" s="387"/>
      <c r="C32" s="387"/>
      <c r="D32" s="118"/>
      <c r="E32" s="118"/>
      <c r="F32" s="118"/>
      <c r="G32" s="118"/>
      <c r="H32" s="118"/>
      <c r="I32" s="118"/>
      <c r="J32" s="118"/>
      <c r="K32" s="118"/>
    </row>
    <row r="33" spans="1:11">
      <c r="A33" s="118"/>
      <c r="B33" s="387"/>
      <c r="C33" s="387"/>
      <c r="D33" s="118"/>
      <c r="E33" s="118"/>
      <c r="F33" s="118"/>
      <c r="G33" s="118"/>
      <c r="H33" s="118"/>
      <c r="I33" s="118"/>
      <c r="J33" s="118"/>
      <c r="K33" s="118"/>
    </row>
    <row r="34" spans="1:11">
      <c r="A34" s="118"/>
      <c r="B34" s="387"/>
      <c r="C34" s="387"/>
      <c r="D34" s="118"/>
      <c r="E34" s="118"/>
      <c r="F34" s="118"/>
      <c r="G34" s="118"/>
      <c r="H34" s="118"/>
      <c r="I34" s="118"/>
      <c r="J34" s="118"/>
      <c r="K34" s="118"/>
    </row>
    <row r="35" spans="1:11">
      <c r="A35" s="118"/>
      <c r="B35" s="387"/>
      <c r="C35" s="387"/>
      <c r="D35" s="118"/>
      <c r="E35" s="118"/>
      <c r="F35" s="118"/>
      <c r="G35" s="118"/>
      <c r="H35" s="118"/>
      <c r="I35" s="118"/>
      <c r="J35" s="118"/>
      <c r="K35" s="118"/>
    </row>
    <row r="36" spans="1:11">
      <c r="A36" s="118"/>
      <c r="B36" s="387"/>
      <c r="C36" s="387"/>
      <c r="D36" s="118"/>
      <c r="E36" s="118"/>
      <c r="F36" s="118"/>
      <c r="G36" s="118"/>
      <c r="H36" s="118"/>
      <c r="I36" s="118"/>
      <c r="J36" s="118"/>
      <c r="K36" s="118"/>
    </row>
    <row r="37" spans="1:11">
      <c r="A37" s="118"/>
      <c r="B37" s="387"/>
      <c r="C37" s="387"/>
      <c r="D37" s="118"/>
      <c r="E37" s="118"/>
      <c r="F37" s="118"/>
      <c r="G37" s="118"/>
      <c r="H37" s="118"/>
      <c r="I37" s="118"/>
      <c r="J37" s="118"/>
      <c r="K37" s="118"/>
    </row>
    <row r="38" spans="1:11">
      <c r="A38" s="118"/>
      <c r="B38" s="387"/>
      <c r="C38" s="387"/>
      <c r="D38" s="118"/>
      <c r="E38" s="118"/>
      <c r="F38" s="118"/>
      <c r="G38" s="118"/>
      <c r="H38" s="118"/>
      <c r="I38" s="118"/>
      <c r="J38" s="118"/>
      <c r="K38" s="118"/>
    </row>
    <row r="39" spans="1:11">
      <c r="A39" s="118"/>
      <c r="B39" s="387"/>
      <c r="C39" s="387"/>
      <c r="D39" s="118"/>
      <c r="E39" s="118"/>
      <c r="F39" s="118"/>
      <c r="G39" s="118"/>
      <c r="H39" s="118"/>
      <c r="I39" s="118"/>
      <c r="J39" s="118"/>
      <c r="K39" s="118"/>
    </row>
    <row r="40" spans="1:11">
      <c r="A40" s="118"/>
      <c r="B40" s="387"/>
      <c r="C40" s="387"/>
      <c r="D40" s="118"/>
      <c r="E40" s="118"/>
      <c r="F40" s="118"/>
      <c r="G40" s="118"/>
      <c r="H40" s="118"/>
      <c r="I40" s="118"/>
      <c r="J40" s="118"/>
      <c r="K40" s="118"/>
    </row>
    <row r="41" spans="1:11">
      <c r="A41" s="118"/>
      <c r="B41" s="387"/>
      <c r="C41" s="387"/>
      <c r="D41" s="118"/>
      <c r="E41" s="118"/>
      <c r="F41" s="118"/>
      <c r="G41" s="118"/>
      <c r="H41" s="118"/>
      <c r="I41" s="118"/>
      <c r="J41" s="118"/>
      <c r="K41" s="118"/>
    </row>
    <row r="42" spans="1:11">
      <c r="A42" s="118"/>
      <c r="B42" s="387"/>
      <c r="C42" s="387"/>
      <c r="D42" s="118"/>
      <c r="E42" s="118"/>
      <c r="F42" s="118"/>
      <c r="G42" s="118"/>
      <c r="H42" s="118"/>
      <c r="I42" s="118"/>
      <c r="J42" s="118"/>
      <c r="K42" s="118"/>
    </row>
    <row r="43" spans="1:11">
      <c r="A43" s="118"/>
      <c r="B43" s="387"/>
      <c r="C43" s="387"/>
      <c r="D43" s="118"/>
      <c r="E43" s="118"/>
      <c r="F43" s="118"/>
      <c r="G43" s="118"/>
      <c r="H43" s="118"/>
      <c r="I43" s="118"/>
      <c r="J43" s="118"/>
      <c r="K43" s="118"/>
    </row>
    <row r="44" spans="1:11">
      <c r="A44" s="118"/>
      <c r="B44" s="387"/>
      <c r="C44" s="387"/>
      <c r="D44" s="118"/>
      <c r="E44" s="118"/>
      <c r="F44" s="118"/>
      <c r="G44" s="118"/>
      <c r="H44" s="118"/>
      <c r="I44" s="118"/>
      <c r="J44" s="118"/>
      <c r="K44" s="118"/>
    </row>
    <row r="45" spans="1:11">
      <c r="A45" s="118"/>
      <c r="B45" s="387"/>
      <c r="C45" s="387"/>
      <c r="D45" s="118"/>
      <c r="E45" s="118"/>
      <c r="F45" s="118"/>
      <c r="G45" s="118"/>
      <c r="H45" s="118"/>
      <c r="I45" s="118"/>
      <c r="J45" s="118"/>
      <c r="K45" s="118"/>
    </row>
    <row r="46" spans="1:11">
      <c r="A46" s="118"/>
      <c r="B46" s="387"/>
      <c r="C46" s="387"/>
      <c r="D46" s="118"/>
      <c r="E46" s="118"/>
      <c r="F46" s="118"/>
      <c r="G46" s="118"/>
      <c r="H46" s="118"/>
      <c r="I46" s="118"/>
      <c r="J46" s="118"/>
      <c r="K46" s="118"/>
    </row>
    <row r="47" spans="1:11">
      <c r="A47" s="118"/>
      <c r="B47" s="387"/>
      <c r="C47" s="387"/>
      <c r="D47" s="118"/>
      <c r="E47" s="118"/>
      <c r="F47" s="118"/>
      <c r="G47" s="118"/>
      <c r="H47" s="118"/>
      <c r="I47" s="118"/>
      <c r="J47" s="118"/>
      <c r="K47" s="118"/>
    </row>
    <row r="48" spans="1:11">
      <c r="A48" s="118"/>
      <c r="B48" s="387"/>
      <c r="C48" s="387"/>
      <c r="D48" s="118"/>
      <c r="E48" s="118"/>
      <c r="F48" s="118"/>
      <c r="G48" s="118"/>
      <c r="H48" s="118"/>
      <c r="I48" s="118"/>
      <c r="J48" s="118"/>
      <c r="K48" s="118"/>
    </row>
    <row r="49" spans="1:11">
      <c r="A49" s="118"/>
      <c r="B49" s="387"/>
      <c r="C49" s="387"/>
      <c r="D49" s="118"/>
      <c r="E49" s="118"/>
      <c r="F49" s="118"/>
      <c r="G49" s="118"/>
      <c r="H49" s="118"/>
      <c r="I49" s="118"/>
      <c r="J49" s="118"/>
      <c r="K49" s="118"/>
    </row>
    <row r="50" spans="1:11">
      <c r="A50" s="118"/>
      <c r="B50" s="387"/>
      <c r="C50" s="387"/>
      <c r="D50" s="118"/>
      <c r="E50" s="118"/>
      <c r="F50" s="118"/>
      <c r="G50" s="118"/>
      <c r="H50" s="118"/>
      <c r="I50" s="118"/>
      <c r="J50" s="118"/>
      <c r="K50" s="118"/>
    </row>
    <row r="51" spans="1:11">
      <c r="A51" s="118"/>
      <c r="B51" s="387"/>
      <c r="C51" s="387"/>
      <c r="D51" s="118"/>
      <c r="E51" s="118"/>
      <c r="F51" s="118"/>
      <c r="G51" s="118"/>
      <c r="H51" s="118"/>
      <c r="I51" s="118"/>
      <c r="J51" s="118"/>
      <c r="K51" s="118"/>
    </row>
    <row r="52" spans="1:11">
      <c r="A52" s="118"/>
      <c r="B52" s="387"/>
      <c r="C52" s="387"/>
      <c r="D52" s="118"/>
      <c r="E52" s="118"/>
      <c r="F52" s="118"/>
      <c r="G52" s="118"/>
      <c r="H52" s="118"/>
      <c r="I52" s="118"/>
      <c r="J52" s="118"/>
      <c r="K52" s="118"/>
    </row>
    <row r="53" spans="1:11">
      <c r="A53" s="118"/>
      <c r="B53" s="387"/>
      <c r="C53" s="387"/>
      <c r="D53" s="118"/>
      <c r="E53" s="118"/>
      <c r="F53" s="118"/>
      <c r="G53" s="118"/>
      <c r="H53" s="118"/>
      <c r="I53" s="118"/>
      <c r="J53" s="118"/>
      <c r="K53" s="118"/>
    </row>
    <row r="54" spans="1:11">
      <c r="A54" s="118"/>
      <c r="B54" s="387"/>
      <c r="C54" s="387"/>
      <c r="D54" s="118"/>
      <c r="E54" s="118"/>
      <c r="F54" s="118"/>
      <c r="G54" s="118"/>
      <c r="H54" s="118"/>
      <c r="I54" s="118"/>
      <c r="J54" s="118"/>
      <c r="K54" s="118"/>
    </row>
    <row r="55" spans="1:11">
      <c r="A55" s="118"/>
      <c r="B55" s="387"/>
      <c r="C55" s="387"/>
      <c r="D55" s="118"/>
      <c r="E55" s="118"/>
      <c r="F55" s="118"/>
      <c r="G55" s="118"/>
      <c r="H55" s="118"/>
      <c r="I55" s="118"/>
      <c r="J55" s="118"/>
      <c r="K55" s="118"/>
    </row>
    <row r="56" spans="1:11">
      <c r="A56" s="118"/>
      <c r="B56" s="387"/>
      <c r="C56" s="387"/>
      <c r="D56" s="118"/>
      <c r="E56" s="118"/>
      <c r="F56" s="118"/>
      <c r="G56" s="118"/>
      <c r="H56" s="118"/>
      <c r="I56" s="118"/>
      <c r="J56" s="118"/>
      <c r="K56" s="118"/>
    </row>
    <row r="57" spans="1:11">
      <c r="A57" s="118"/>
      <c r="B57" s="387"/>
      <c r="C57" s="387"/>
      <c r="D57" s="118"/>
      <c r="E57" s="118"/>
      <c r="F57" s="118"/>
      <c r="G57" s="118"/>
      <c r="H57" s="118"/>
      <c r="I57" s="118"/>
      <c r="J57" s="118"/>
      <c r="K57" s="118"/>
    </row>
    <row r="58" spans="1:11">
      <c r="A58" s="118"/>
      <c r="B58" s="387"/>
      <c r="C58" s="387"/>
      <c r="D58" s="118"/>
      <c r="E58" s="118"/>
      <c r="F58" s="118"/>
      <c r="G58" s="118"/>
      <c r="H58" s="118"/>
      <c r="I58" s="118"/>
      <c r="J58" s="118"/>
      <c r="K58" s="118"/>
    </row>
    <row r="59" spans="1:11">
      <c r="A59" s="118"/>
      <c r="B59" s="387"/>
      <c r="C59" s="387"/>
      <c r="D59" s="118"/>
      <c r="E59" s="118"/>
      <c r="F59" s="118"/>
      <c r="G59" s="118"/>
      <c r="H59" s="118"/>
      <c r="I59" s="118"/>
      <c r="J59" s="118"/>
      <c r="K59" s="118"/>
    </row>
    <row r="60" spans="1:11">
      <c r="A60" s="118"/>
      <c r="B60" s="387"/>
      <c r="C60" s="387"/>
      <c r="D60" s="118"/>
      <c r="E60" s="118"/>
      <c r="F60" s="118"/>
      <c r="G60" s="118"/>
      <c r="H60" s="118"/>
      <c r="I60" s="118"/>
      <c r="J60" s="118"/>
      <c r="K60" s="118"/>
    </row>
    <row r="61" spans="1:11">
      <c r="A61" s="118"/>
      <c r="B61" s="387"/>
      <c r="C61" s="387"/>
      <c r="D61" s="118"/>
      <c r="E61" s="118"/>
      <c r="F61" s="118"/>
      <c r="G61" s="118"/>
      <c r="H61" s="118"/>
      <c r="I61" s="118"/>
      <c r="J61" s="118"/>
      <c r="K61" s="118"/>
    </row>
    <row r="62" spans="1:11">
      <c r="A62" s="118"/>
      <c r="B62" s="387"/>
      <c r="C62" s="387"/>
      <c r="D62" s="118"/>
      <c r="E62" s="118"/>
      <c r="F62" s="118"/>
      <c r="G62" s="118"/>
      <c r="H62" s="118"/>
      <c r="I62" s="118"/>
      <c r="J62" s="118"/>
      <c r="K62" s="118"/>
    </row>
    <row r="63" spans="1:11">
      <c r="A63" s="118"/>
      <c r="B63" s="387"/>
      <c r="C63" s="387"/>
      <c r="D63" s="118"/>
      <c r="E63" s="118"/>
      <c r="F63" s="118"/>
      <c r="G63" s="118"/>
      <c r="H63" s="118"/>
      <c r="I63" s="118"/>
      <c r="J63" s="118"/>
      <c r="K63" s="118"/>
    </row>
    <row r="64" spans="1:11">
      <c r="A64" s="118"/>
      <c r="B64" s="387"/>
      <c r="C64" s="387"/>
      <c r="D64" s="118"/>
      <c r="E64" s="118"/>
      <c r="F64" s="118"/>
      <c r="G64" s="118"/>
      <c r="H64" s="118"/>
      <c r="I64" s="118"/>
      <c r="J64" s="118"/>
      <c r="K64" s="118"/>
    </row>
    <row r="65" spans="1:11">
      <c r="A65" s="118"/>
      <c r="B65" s="387"/>
      <c r="C65" s="387"/>
      <c r="D65" s="118"/>
      <c r="E65" s="118"/>
      <c r="F65" s="118"/>
      <c r="G65" s="118"/>
      <c r="H65" s="118"/>
      <c r="I65" s="118"/>
      <c r="J65" s="118"/>
      <c r="K65" s="118"/>
    </row>
    <row r="66" spans="1:11">
      <c r="A66" s="118"/>
      <c r="B66" s="387"/>
      <c r="C66" s="387"/>
      <c r="D66" s="118"/>
      <c r="E66" s="118"/>
      <c r="F66" s="118"/>
      <c r="G66" s="118"/>
      <c r="H66" s="118"/>
      <c r="I66" s="118"/>
      <c r="J66" s="118"/>
      <c r="K66" s="118"/>
    </row>
    <row r="67" spans="1:11">
      <c r="A67" s="118"/>
      <c r="B67" s="387"/>
      <c r="C67" s="387"/>
      <c r="D67" s="118"/>
      <c r="E67" s="118"/>
      <c r="F67" s="118"/>
      <c r="G67" s="118"/>
      <c r="H67" s="118"/>
      <c r="I67" s="118"/>
      <c r="J67" s="118"/>
      <c r="K67" s="118"/>
    </row>
    <row r="68" spans="1:11">
      <c r="A68" s="118"/>
      <c r="B68" s="387"/>
      <c r="C68" s="387"/>
      <c r="D68" s="118"/>
      <c r="E68" s="118"/>
      <c r="F68" s="118"/>
      <c r="G68" s="118"/>
      <c r="H68" s="118"/>
      <c r="I68" s="118"/>
      <c r="J68" s="118"/>
      <c r="K68" s="118"/>
    </row>
    <row r="69" spans="1:11">
      <c r="A69" s="118"/>
      <c r="B69" s="387"/>
      <c r="C69" s="387"/>
      <c r="D69" s="118"/>
      <c r="E69" s="118"/>
      <c r="F69" s="118"/>
      <c r="G69" s="118"/>
      <c r="H69" s="118"/>
      <c r="I69" s="118"/>
      <c r="J69" s="118"/>
      <c r="K69" s="118"/>
    </row>
    <row r="70" spans="1:11">
      <c r="A70" s="118"/>
      <c r="B70" s="387"/>
      <c r="C70" s="387"/>
      <c r="D70" s="118"/>
      <c r="E70" s="118"/>
      <c r="F70" s="118"/>
      <c r="G70" s="118"/>
      <c r="H70" s="118"/>
      <c r="I70" s="118"/>
      <c r="J70" s="118"/>
      <c r="K70" s="118"/>
    </row>
    <row r="71" spans="1:11">
      <c r="A71" s="118"/>
      <c r="B71" s="387"/>
      <c r="C71" s="387"/>
      <c r="D71" s="118"/>
      <c r="E71" s="118"/>
      <c r="F71" s="118"/>
      <c r="G71" s="118"/>
      <c r="H71" s="118"/>
      <c r="I71" s="118"/>
      <c r="J71" s="118"/>
      <c r="K71" s="118"/>
    </row>
    <row r="72" spans="1:11">
      <c r="A72" s="118"/>
      <c r="B72" s="387"/>
      <c r="C72" s="387"/>
      <c r="D72" s="118"/>
      <c r="E72" s="118"/>
      <c r="F72" s="118"/>
      <c r="G72" s="118"/>
      <c r="H72" s="118"/>
      <c r="I72" s="118"/>
      <c r="J72" s="118"/>
      <c r="K72" s="118"/>
    </row>
    <row r="73" spans="1:11">
      <c r="A73" s="118"/>
      <c r="B73" s="387"/>
      <c r="C73" s="387"/>
      <c r="D73" s="118"/>
      <c r="E73" s="118"/>
      <c r="F73" s="118"/>
      <c r="G73" s="118"/>
      <c r="H73" s="118"/>
      <c r="I73" s="118"/>
      <c r="J73" s="118"/>
      <c r="K73" s="118"/>
    </row>
    <row r="74" spans="1:11">
      <c r="A74" s="118"/>
      <c r="B74" s="387"/>
      <c r="C74" s="387"/>
      <c r="D74" s="118"/>
      <c r="E74" s="118"/>
      <c r="F74" s="118"/>
      <c r="G74" s="118"/>
      <c r="H74" s="118"/>
      <c r="I74" s="118"/>
      <c r="J74" s="118"/>
      <c r="K74" s="118"/>
    </row>
    <row r="75" spans="1:11">
      <c r="A75" s="118"/>
      <c r="B75" s="387"/>
      <c r="C75" s="387"/>
      <c r="D75" s="118"/>
      <c r="E75" s="118"/>
      <c r="F75" s="118"/>
      <c r="G75" s="118"/>
      <c r="H75" s="118"/>
      <c r="I75" s="118"/>
      <c r="J75" s="118"/>
      <c r="K75" s="118"/>
    </row>
    <row r="76" spans="1:11">
      <c r="A76" s="118"/>
      <c r="B76" s="387"/>
      <c r="C76" s="387"/>
      <c r="D76" s="118"/>
      <c r="E76" s="118"/>
      <c r="F76" s="118"/>
      <c r="G76" s="118"/>
      <c r="H76" s="118"/>
      <c r="I76" s="118"/>
      <c r="J76" s="118"/>
      <c r="K76" s="118"/>
    </row>
    <row r="77" spans="1:11">
      <c r="A77" s="118"/>
      <c r="B77" s="387"/>
      <c r="C77" s="387"/>
      <c r="D77" s="118"/>
      <c r="E77" s="118"/>
      <c r="F77" s="118"/>
      <c r="G77" s="118"/>
      <c r="H77" s="118"/>
      <c r="I77" s="118"/>
      <c r="J77" s="118"/>
      <c r="K77" s="118"/>
    </row>
    <row r="78" spans="1:11">
      <c r="A78" s="118"/>
      <c r="B78" s="387"/>
      <c r="C78" s="387"/>
      <c r="D78" s="118"/>
      <c r="E78" s="118"/>
      <c r="F78" s="118"/>
      <c r="G78" s="118"/>
      <c r="H78" s="118"/>
      <c r="I78" s="118"/>
      <c r="J78" s="118"/>
      <c r="K78" s="118"/>
    </row>
    <row r="79" spans="1:11">
      <c r="A79" s="118"/>
      <c r="B79" s="387"/>
      <c r="C79" s="387"/>
      <c r="D79" s="118"/>
      <c r="E79" s="118"/>
      <c r="F79" s="118"/>
      <c r="G79" s="118"/>
      <c r="H79" s="118"/>
      <c r="I79" s="118"/>
      <c r="J79" s="118"/>
      <c r="K79" s="118"/>
    </row>
    <row r="80" spans="1:11">
      <c r="A80" s="118"/>
      <c r="B80" s="387"/>
      <c r="C80" s="387"/>
      <c r="D80" s="118"/>
      <c r="E80" s="118"/>
      <c r="F80" s="118"/>
      <c r="G80" s="118"/>
      <c r="H80" s="118"/>
      <c r="I80" s="118"/>
      <c r="J80" s="118"/>
      <c r="K80" s="118"/>
    </row>
    <row r="81" spans="1:11">
      <c r="A81" s="118"/>
      <c r="B81" s="387"/>
      <c r="C81" s="387"/>
      <c r="D81" s="118"/>
      <c r="E81" s="118"/>
      <c r="F81" s="118"/>
      <c r="G81" s="118"/>
      <c r="H81" s="118"/>
      <c r="I81" s="118"/>
      <c r="J81" s="118"/>
      <c r="K81" s="118"/>
    </row>
    <row r="82" spans="1:11">
      <c r="A82" s="118"/>
      <c r="B82" s="387"/>
      <c r="C82" s="387"/>
      <c r="D82" s="118"/>
      <c r="E82" s="118"/>
      <c r="F82" s="118"/>
      <c r="G82" s="118"/>
      <c r="H82" s="118"/>
      <c r="I82" s="118"/>
      <c r="J82" s="118"/>
      <c r="K82" s="118"/>
    </row>
    <row r="83" spans="1:11">
      <c r="A83" s="118"/>
      <c r="B83" s="387"/>
      <c r="C83" s="387"/>
      <c r="D83" s="118"/>
      <c r="E83" s="118"/>
      <c r="F83" s="118"/>
      <c r="G83" s="118"/>
      <c r="H83" s="118"/>
      <c r="I83" s="118"/>
      <c r="J83" s="118"/>
      <c r="K83" s="118"/>
    </row>
    <row r="84" spans="1:11">
      <c r="A84" s="118"/>
      <c r="B84" s="387"/>
      <c r="C84" s="387"/>
      <c r="D84" s="118"/>
      <c r="E84" s="118"/>
      <c r="F84" s="118"/>
      <c r="G84" s="118"/>
      <c r="H84" s="118"/>
      <c r="I84" s="118"/>
      <c r="J84" s="118"/>
      <c r="K84" s="118"/>
    </row>
    <row r="85" spans="1:11">
      <c r="A85" s="118"/>
      <c r="B85" s="387"/>
      <c r="C85" s="387"/>
      <c r="D85" s="118"/>
      <c r="E85" s="118"/>
      <c r="F85" s="118"/>
      <c r="G85" s="118"/>
      <c r="H85" s="118"/>
      <c r="I85" s="118"/>
      <c r="J85" s="118"/>
      <c r="K85" s="118"/>
    </row>
    <row r="86" spans="1:11">
      <c r="A86" s="118"/>
      <c r="B86" s="387"/>
      <c r="C86" s="387"/>
      <c r="D86" s="118"/>
      <c r="E86" s="118"/>
      <c r="F86" s="118"/>
      <c r="G86" s="118"/>
      <c r="H86" s="118"/>
      <c r="I86" s="118"/>
      <c r="J86" s="118"/>
      <c r="K86" s="118"/>
    </row>
    <row r="87" spans="1:11">
      <c r="A87" s="118"/>
      <c r="B87" s="387"/>
      <c r="C87" s="387"/>
      <c r="D87" s="118"/>
      <c r="E87" s="118"/>
      <c r="F87" s="118"/>
      <c r="G87" s="118"/>
      <c r="H87" s="118"/>
      <c r="I87" s="118"/>
      <c r="J87" s="118"/>
      <c r="K87" s="118"/>
    </row>
    <row r="88" spans="1:11">
      <c r="A88" s="118"/>
      <c r="B88" s="387"/>
      <c r="C88" s="387"/>
      <c r="D88" s="118"/>
      <c r="E88" s="118"/>
      <c r="F88" s="118"/>
      <c r="G88" s="118"/>
      <c r="H88" s="118"/>
      <c r="I88" s="118"/>
      <c r="J88" s="118"/>
      <c r="K88" s="118"/>
    </row>
  </sheetData>
  <phoneticPr fontId="0" type="noConversion"/>
  <pageMargins left="0.49" right="0.51" top="0.9" bottom="0.49" header="0.47" footer="0.4921259845"/>
  <pageSetup paperSize="9" scale="89" orientation="landscape" horizontalDpi="1200" verticalDpi="1200"/>
  <headerFooter alignWithMargins="0">
    <oddHeader>&amp;L&amp;"Arial,Bold"Zusatzinformationen zum Gesundheitswesen</oddHeader>
  </headerFooter>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732E9-2B2E-984A-93B6-78F20AED1762}">
  <sheetPr>
    <pageSetUpPr fitToPage="1"/>
  </sheetPr>
  <dimension ref="A1:O100"/>
  <sheetViews>
    <sheetView zoomScale="75" workbookViewId="0"/>
  </sheetViews>
  <sheetFormatPr baseColWidth="10" defaultColWidth="11.3984375" defaultRowHeight="13"/>
  <cols>
    <col min="1" max="1" width="29.59765625" style="3" customWidth="1"/>
    <col min="2" max="3" width="9.59765625" style="21" customWidth="1"/>
    <col min="4" max="15" width="9.59765625" style="3" customWidth="1"/>
    <col min="16" max="16384" width="11.3984375" style="3"/>
  </cols>
  <sheetData>
    <row r="1" spans="1:14" s="1" customFormat="1" ht="13.5" customHeight="1">
      <c r="A1" s="372"/>
      <c r="B1" s="373"/>
      <c r="C1" s="373"/>
      <c r="D1" s="372"/>
      <c r="E1" s="372"/>
      <c r="F1" s="372"/>
      <c r="G1" s="372"/>
      <c r="H1" s="372"/>
      <c r="I1" s="372"/>
      <c r="J1" s="372"/>
    </row>
    <row r="2" spans="1:14" s="1" customFormat="1" ht="27" customHeight="1">
      <c r="A2" s="374" t="s">
        <v>1322</v>
      </c>
      <c r="B2" s="373"/>
      <c r="C2" s="373"/>
      <c r="D2" s="372"/>
      <c r="E2" s="372"/>
      <c r="F2" s="372"/>
      <c r="G2" s="372"/>
      <c r="H2" s="372"/>
      <c r="I2" s="372"/>
      <c r="J2" s="372"/>
      <c r="L2" s="321">
        <v>2003</v>
      </c>
      <c r="N2" s="321"/>
    </row>
    <row r="3" spans="1:14" ht="78" customHeight="1">
      <c r="A3" s="375" t="s">
        <v>1694</v>
      </c>
      <c r="B3" s="376">
        <v>1991</v>
      </c>
      <c r="C3" s="377">
        <v>1992</v>
      </c>
      <c r="D3" s="378">
        <v>1993</v>
      </c>
      <c r="E3" s="377">
        <v>1994</v>
      </c>
      <c r="F3" s="378">
        <v>1995</v>
      </c>
      <c r="G3" s="377">
        <v>1996</v>
      </c>
      <c r="H3" s="378">
        <v>1997</v>
      </c>
      <c r="I3" s="377">
        <v>1998</v>
      </c>
      <c r="J3" s="378">
        <v>1999</v>
      </c>
      <c r="K3" s="377">
        <v>2000</v>
      </c>
      <c r="L3" s="378">
        <v>2001</v>
      </c>
    </row>
    <row r="4" spans="1:14" ht="30" customHeight="1" thickBot="1">
      <c r="A4" s="379" t="s">
        <v>1323</v>
      </c>
      <c r="B4" s="301">
        <v>7.0999999999999994E-2</v>
      </c>
      <c r="C4" s="300">
        <v>7.458999999999999E-2</v>
      </c>
      <c r="D4" s="301">
        <v>7.5229999999999991E-2</v>
      </c>
      <c r="E4" s="300">
        <v>7.4069999999999997E-2</v>
      </c>
      <c r="F4" s="301">
        <v>7.3840000000000003E-2</v>
      </c>
      <c r="G4" s="300">
        <v>7.2950000000000001E-2</v>
      </c>
      <c r="H4" s="301">
        <v>7.0449999999999999E-2</v>
      </c>
      <c r="I4" s="300">
        <v>7.0330000000000004E-2</v>
      </c>
      <c r="J4" s="301">
        <v>7.0660000000000001E-2</v>
      </c>
      <c r="K4" s="300">
        <v>7.1510000000000004E-2</v>
      </c>
      <c r="L4" s="301">
        <v>7.4299999999999991E-2</v>
      </c>
    </row>
    <row r="5" spans="1:14" ht="18" customHeight="1" thickBot="1">
      <c r="A5" s="380" t="s">
        <v>1324</v>
      </c>
      <c r="B5" s="381">
        <v>7.2999999999999995E-2</v>
      </c>
      <c r="C5" s="25">
        <v>7.6530000000000001E-2</v>
      </c>
      <c r="D5" s="381">
        <v>7.6920000000000002E-2</v>
      </c>
      <c r="E5" s="25">
        <v>7.6009999999999994E-2</v>
      </c>
      <c r="F5" s="381">
        <v>7.603E-2</v>
      </c>
      <c r="G5" s="25">
        <v>7.5160000000000005E-2</v>
      </c>
      <c r="H5" s="381">
        <v>7.2469999999999993E-2</v>
      </c>
      <c r="I5" s="25">
        <v>7.1730000000000002E-2</v>
      </c>
      <c r="J5" s="381">
        <v>7.2120000000000004E-2</v>
      </c>
      <c r="K5" s="25">
        <v>7.261999999999999E-2</v>
      </c>
      <c r="L5" s="381">
        <v>7.442E-2</v>
      </c>
    </row>
    <row r="6" spans="1:14" ht="18" customHeight="1" thickBot="1">
      <c r="A6" s="380" t="s">
        <v>1325</v>
      </c>
      <c r="B6" s="381">
        <v>7.2999999999999995E-2</v>
      </c>
      <c r="C6" s="25">
        <v>7.6159999999999992E-2</v>
      </c>
      <c r="D6" s="381">
        <v>7.6569999999999999E-2</v>
      </c>
      <c r="E6" s="25">
        <v>7.5679999999999997E-2</v>
      </c>
      <c r="F6" s="381">
        <v>7.5689999999999993E-2</v>
      </c>
      <c r="G6" s="25">
        <v>7.4819999999999998E-2</v>
      </c>
      <c r="H6" s="381">
        <v>7.2169999999999998E-2</v>
      </c>
      <c r="I6" s="25">
        <v>7.145E-2</v>
      </c>
      <c r="J6" s="381">
        <v>7.1900000000000006E-2</v>
      </c>
      <c r="K6" s="25">
        <v>7.2529999999999997E-2</v>
      </c>
      <c r="L6" s="381">
        <v>7.4299999999999991E-2</v>
      </c>
    </row>
    <row r="7" spans="1:14" ht="18" customHeight="1" thickBot="1">
      <c r="A7" s="380" t="s">
        <v>1825</v>
      </c>
      <c r="B7" s="381">
        <v>6.8000000000000005E-2</v>
      </c>
      <c r="C7" s="25">
        <v>7.3539999999999994E-2</v>
      </c>
      <c r="D7" s="381">
        <v>6.8690000000000001E-2</v>
      </c>
      <c r="E7" s="25">
        <v>6.6650000000000001E-2</v>
      </c>
      <c r="F7" s="381">
        <v>6.2869999999999995E-2</v>
      </c>
      <c r="G7" s="25">
        <v>6.6659999999999997E-2</v>
      </c>
      <c r="H7" s="381">
        <v>6.2449999999999999E-2</v>
      </c>
      <c r="I7" s="25">
        <v>6.2640000000000001E-2</v>
      </c>
      <c r="J7" s="381">
        <v>6.3099999999999989E-2</v>
      </c>
      <c r="K7" s="25">
        <v>6.1089999999999998E-2</v>
      </c>
      <c r="L7" s="381">
        <v>6.472E-2</v>
      </c>
    </row>
    <row r="8" spans="1:14" ht="18" customHeight="1" thickBot="1">
      <c r="A8" s="380" t="s">
        <v>1697</v>
      </c>
      <c r="B8" s="381">
        <v>5.8000000000000003E-2</v>
      </c>
      <c r="C8" s="25">
        <v>5.781E-2</v>
      </c>
      <c r="D8" s="381">
        <v>5.9400000000000001E-2</v>
      </c>
      <c r="E8" s="25">
        <v>5.5970000000000006E-2</v>
      </c>
      <c r="F8" s="381">
        <v>5.5650000000000005E-2</v>
      </c>
      <c r="G8" s="25">
        <v>5.4299999999999994E-2</v>
      </c>
      <c r="H8" s="381">
        <v>5.3589999999999999E-2</v>
      </c>
      <c r="I8" s="25">
        <v>5.6749999999999995E-2</v>
      </c>
      <c r="J8" s="381">
        <v>5.7050000000000003E-2</v>
      </c>
      <c r="K8" s="25">
        <v>5.7210000000000004E-2</v>
      </c>
      <c r="L8" s="381">
        <v>5.7980000000000004E-2</v>
      </c>
    </row>
    <row r="9" spans="1:14" ht="18" customHeight="1" thickBot="1">
      <c r="A9" s="380" t="s">
        <v>1698</v>
      </c>
      <c r="B9" s="381">
        <v>7.9000000000000001E-2</v>
      </c>
      <c r="C9" s="25">
        <v>8.4600000000000009E-2</v>
      </c>
      <c r="D9" s="381">
        <v>8.2750000000000004E-2</v>
      </c>
      <c r="E9" s="25">
        <v>8.3780000000000007E-2</v>
      </c>
      <c r="F9" s="381">
        <v>8.6129999999999998E-2</v>
      </c>
      <c r="G9" s="25">
        <v>8.5550000000000001E-2</v>
      </c>
      <c r="H9" s="381">
        <v>8.0909999999999996E-2</v>
      </c>
      <c r="I9" s="25">
        <v>7.9699999999999993E-2</v>
      </c>
      <c r="J9" s="381">
        <v>8.0700000000000008E-2</v>
      </c>
      <c r="K9" s="25">
        <v>8.0950000000000008E-2</v>
      </c>
      <c r="L9" s="381">
        <v>8.2629999999999995E-2</v>
      </c>
    </row>
    <row r="10" spans="1:14" ht="18" customHeight="1" thickBot="1">
      <c r="A10" s="380" t="s">
        <v>1826</v>
      </c>
      <c r="B10" s="381">
        <v>0.05</v>
      </c>
      <c r="C10" s="25">
        <v>5.3109999999999997E-2</v>
      </c>
      <c r="D10" s="381">
        <v>5.5320000000000001E-2</v>
      </c>
      <c r="E10" s="25">
        <v>5.5940000000000004E-2</v>
      </c>
      <c r="F10" s="381">
        <v>5.6009999999999997E-2</v>
      </c>
      <c r="G10" s="25">
        <v>5.5359999999999993E-2</v>
      </c>
      <c r="H10" s="381">
        <v>5.6669999999999998E-2</v>
      </c>
      <c r="I10" s="25">
        <v>5.6730000000000003E-2</v>
      </c>
      <c r="J10" s="381">
        <v>6.0299999999999999E-2</v>
      </c>
      <c r="K10" s="25">
        <v>6.7500000000000004E-2</v>
      </c>
      <c r="L10" s="381">
        <v>6.8170000000000008E-2</v>
      </c>
    </row>
    <row r="11" spans="1:14" ht="18" customHeight="1" thickBot="1">
      <c r="A11" s="380" t="s">
        <v>1708</v>
      </c>
      <c r="B11" s="381">
        <v>0.06</v>
      </c>
      <c r="C11" s="25">
        <v>6.4430000000000001E-2</v>
      </c>
      <c r="D11" s="381">
        <v>6.6070000000000004E-2</v>
      </c>
      <c r="E11" s="25">
        <v>6.3520000000000007E-2</v>
      </c>
      <c r="F11" s="381">
        <v>6.1189999999999994E-2</v>
      </c>
      <c r="G11" s="25">
        <v>6.1689999999999995E-2</v>
      </c>
      <c r="H11" s="381">
        <v>5.9400000000000001E-2</v>
      </c>
      <c r="I11" s="25">
        <v>5.7969999999999994E-2</v>
      </c>
      <c r="J11" s="381">
        <v>5.8400000000000001E-2</v>
      </c>
      <c r="K11" s="25">
        <v>5.8380000000000001E-2</v>
      </c>
      <c r="L11" s="381">
        <v>5.8659999999999997E-2</v>
      </c>
    </row>
    <row r="12" spans="1:14" ht="18" customHeight="1" thickBot="1">
      <c r="A12" s="380" t="s">
        <v>1700</v>
      </c>
      <c r="B12" s="381">
        <v>7.5999999999999998E-2</v>
      </c>
      <c r="C12" s="25">
        <v>7.9039999999999999E-2</v>
      </c>
      <c r="D12" s="381">
        <v>8.208E-2</v>
      </c>
      <c r="E12" s="25">
        <v>8.1500000000000003E-2</v>
      </c>
      <c r="F12" s="381">
        <v>8.2089999999999996E-2</v>
      </c>
      <c r="G12" s="25">
        <v>8.2979999999999998E-2</v>
      </c>
      <c r="H12" s="381">
        <v>8.1759999999999999E-2</v>
      </c>
      <c r="I12" s="25">
        <v>8.163999999999999E-2</v>
      </c>
      <c r="J12" s="381">
        <v>8.0640000000000003E-2</v>
      </c>
      <c r="K12" s="25">
        <v>8.1729999999999997E-2</v>
      </c>
      <c r="L12" s="381">
        <v>8.3119999999999999E-2</v>
      </c>
    </row>
    <row r="13" spans="1:14" ht="18" customHeight="1" thickBot="1">
      <c r="A13" s="380" t="s">
        <v>1827</v>
      </c>
      <c r="B13" s="381">
        <v>6.3E-2</v>
      </c>
      <c r="C13" s="25">
        <v>6.6199999999999995E-2</v>
      </c>
      <c r="D13" s="381">
        <v>6.7140000000000005E-2</v>
      </c>
      <c r="E13" s="25">
        <v>6.5790000000000001E-2</v>
      </c>
      <c r="F13" s="381">
        <v>6.5720000000000001E-2</v>
      </c>
      <c r="G13" s="25">
        <v>6.0060000000000002E-2</v>
      </c>
      <c r="H13" s="381">
        <v>5.824E-2</v>
      </c>
      <c r="I13" s="25">
        <v>5.5650000000000005E-2</v>
      </c>
      <c r="J13" s="381">
        <v>5.6270000000000001E-2</v>
      </c>
      <c r="K13" s="25">
        <v>5.5559999999999998E-2</v>
      </c>
      <c r="L13" s="381">
        <v>6.0609999999999997E-2</v>
      </c>
    </row>
    <row r="14" spans="1:14" ht="18" customHeight="1" thickBot="1">
      <c r="A14" s="380" t="s">
        <v>1702</v>
      </c>
      <c r="B14" s="381">
        <v>6.7000000000000004E-2</v>
      </c>
      <c r="C14" s="25">
        <v>6.6040000000000001E-2</v>
      </c>
      <c r="D14" s="381">
        <v>6.3689999999999997E-2</v>
      </c>
      <c r="E14" s="25">
        <v>5.9960000000000006E-2</v>
      </c>
      <c r="F14" s="381">
        <v>5.5309999999999998E-2</v>
      </c>
      <c r="G14" s="25">
        <v>5.561E-2</v>
      </c>
      <c r="H14" s="381">
        <v>5.7180000000000002E-2</v>
      </c>
      <c r="I14" s="25">
        <v>5.6860000000000001E-2</v>
      </c>
      <c r="J14" s="381">
        <v>5.731E-2</v>
      </c>
      <c r="K14" s="25">
        <v>6.0979999999999999E-2</v>
      </c>
      <c r="L14" s="381">
        <v>6.4149999999999999E-2</v>
      </c>
    </row>
    <row r="15" spans="1:14" ht="18" customHeight="1" thickBot="1">
      <c r="A15" s="380" t="s">
        <v>1828</v>
      </c>
      <c r="B15" s="381">
        <v>5.3999999999999999E-2</v>
      </c>
      <c r="C15" s="25">
        <v>5.6009999999999997E-2</v>
      </c>
      <c r="D15" s="381">
        <v>6.0570000000000006E-2</v>
      </c>
      <c r="E15" s="25">
        <v>5.4610000000000006E-2</v>
      </c>
      <c r="F15" s="381">
        <v>5.6950000000000001E-2</v>
      </c>
      <c r="G15" s="25">
        <v>6.0350000000000001E-2</v>
      </c>
      <c r="H15" s="381">
        <v>5.6009999999999997E-2</v>
      </c>
      <c r="I15" s="25">
        <v>5.2600000000000001E-2</v>
      </c>
      <c r="J15" s="381">
        <v>5.4269999999999999E-2</v>
      </c>
      <c r="K15" s="25">
        <v>4.9579999999999999E-2</v>
      </c>
      <c r="L15" s="381">
        <v>5.212E-2</v>
      </c>
    </row>
    <row r="16" spans="1:14" ht="18" customHeight="1" thickBot="1">
      <c r="A16" s="380" t="s">
        <v>1704</v>
      </c>
      <c r="B16" s="381">
        <v>8.7999999999999995E-2</v>
      </c>
      <c r="C16" s="25">
        <v>8.8889999999999997E-2</v>
      </c>
      <c r="D16" s="381">
        <v>9.0540000000000009E-2</v>
      </c>
      <c r="E16" s="25">
        <v>8.499000000000001E-2</v>
      </c>
      <c r="F16" s="381">
        <v>8.3140000000000006E-2</v>
      </c>
      <c r="G16" s="25">
        <v>7.8449999999999992E-2</v>
      </c>
      <c r="H16" s="381">
        <v>7.5600000000000001E-2</v>
      </c>
      <c r="I16" s="25">
        <v>7.5149999999999995E-2</v>
      </c>
      <c r="J16" s="381">
        <v>7.6619999999999994E-2</v>
      </c>
      <c r="K16" s="25">
        <v>7.535E-2</v>
      </c>
      <c r="L16" s="381">
        <v>7.843E-2</v>
      </c>
    </row>
    <row r="17" spans="1:12" ht="18" customHeight="1" thickBot="1">
      <c r="A17" s="380" t="s">
        <v>1706</v>
      </c>
      <c r="B17" s="381">
        <v>6.8000000000000005E-2</v>
      </c>
      <c r="C17" s="25">
        <v>7.5429999999999997E-2</v>
      </c>
      <c r="D17" s="381">
        <v>7.7890000000000001E-2</v>
      </c>
      <c r="E17" s="25">
        <v>7.8730000000000008E-2</v>
      </c>
      <c r="F17" s="381">
        <v>7.8979999999999995E-2</v>
      </c>
      <c r="G17" s="25">
        <v>7.8030000000000002E-2</v>
      </c>
      <c r="H17" s="381">
        <v>7.0220000000000005E-2</v>
      </c>
      <c r="I17" s="25">
        <v>7.0529999999999995E-2</v>
      </c>
      <c r="J17" s="381">
        <v>7.2989999999999999E-2</v>
      </c>
      <c r="K17" s="25">
        <v>6.812E-2</v>
      </c>
      <c r="L17" s="381">
        <v>6.8129999999999996E-2</v>
      </c>
    </row>
    <row r="18" spans="1:12" ht="18" customHeight="1" thickBot="1">
      <c r="A18" s="380" t="s">
        <v>1829</v>
      </c>
      <c r="B18" s="381">
        <v>5.0999999999999997E-2</v>
      </c>
      <c r="C18" s="25">
        <v>5.6390000000000003E-2</v>
      </c>
      <c r="D18" s="381">
        <v>6.3399999999999998E-2</v>
      </c>
      <c r="E18" s="25">
        <v>6.8460000000000007E-2</v>
      </c>
      <c r="F18" s="381">
        <v>7.2690000000000005E-2</v>
      </c>
      <c r="G18" s="25">
        <v>5.9960000000000006E-2</v>
      </c>
      <c r="H18" s="381">
        <v>6.0080000000000001E-2</v>
      </c>
      <c r="I18" s="25">
        <v>6.173E-2</v>
      </c>
      <c r="J18" s="381">
        <v>6.4059999999999992E-2</v>
      </c>
      <c r="K18" s="25">
        <v>6.5709999999999991E-2</v>
      </c>
      <c r="L18" s="381">
        <v>6.5750000000000003E-2</v>
      </c>
    </row>
    <row r="19" spans="1:12" ht="18" customHeight="1" thickBot="1">
      <c r="A19" s="380" t="s">
        <v>1699</v>
      </c>
      <c r="B19" s="381">
        <v>7.6999999999999999E-2</v>
      </c>
      <c r="C19" s="25">
        <v>7.6299999999999993E-2</v>
      </c>
      <c r="D19" s="381">
        <v>7.1599999999999997E-2</v>
      </c>
      <c r="E19" s="25">
        <v>6.6720000000000002E-2</v>
      </c>
      <c r="F19" s="381">
        <v>6.4489999999999992E-2</v>
      </c>
      <c r="G19" s="25">
        <v>6.5519999999999995E-2</v>
      </c>
      <c r="H19" s="381">
        <v>6.2380000000000005E-2</v>
      </c>
      <c r="I19" s="25">
        <v>5.969E-2</v>
      </c>
      <c r="J19" s="381">
        <v>5.9980000000000006E-2</v>
      </c>
      <c r="K19" s="25">
        <v>5.8680000000000003E-2</v>
      </c>
      <c r="L19" s="381">
        <v>6.1109999999999998E-2</v>
      </c>
    </row>
    <row r="20" spans="1:12" ht="18" customHeight="1" thickBot="1">
      <c r="A20" s="380" t="s">
        <v>1707</v>
      </c>
      <c r="B20" s="381" t="s">
        <v>1013</v>
      </c>
      <c r="C20" s="25" t="s">
        <v>1013</v>
      </c>
      <c r="D20" s="381">
        <v>8.6319999999999994E-2</v>
      </c>
      <c r="E20" s="25">
        <v>7.8479999999999994E-2</v>
      </c>
      <c r="F20" s="381">
        <v>7.5650000000000009E-2</v>
      </c>
      <c r="G20" s="25">
        <v>7.4480000000000005E-2</v>
      </c>
      <c r="H20" s="381">
        <v>7.51E-2</v>
      </c>
      <c r="I20" s="25">
        <v>7.8129999999999991E-2</v>
      </c>
      <c r="J20" s="381">
        <v>8.1270000000000009E-2</v>
      </c>
      <c r="K20" s="25">
        <v>8.410999999999999E-2</v>
      </c>
      <c r="L20" s="381">
        <v>8.9410000000000003E-2</v>
      </c>
    </row>
    <row r="21" spans="1:12" ht="18" customHeight="1" thickBot="1">
      <c r="A21" s="380" t="s">
        <v>1830</v>
      </c>
      <c r="B21" s="381">
        <v>6.2E-2</v>
      </c>
      <c r="C21" s="25">
        <v>6.583E-2</v>
      </c>
      <c r="D21" s="381">
        <v>6.724999999999999E-2</v>
      </c>
      <c r="E21" s="25">
        <v>6.6349999999999992E-2</v>
      </c>
      <c r="F21" s="381">
        <v>6.4780000000000004E-2</v>
      </c>
      <c r="G21" s="25">
        <v>6.4240000000000005E-2</v>
      </c>
      <c r="H21" s="381">
        <v>6.3250000000000001E-2</v>
      </c>
      <c r="I21" s="25">
        <v>6.5329999999999999E-2</v>
      </c>
      <c r="J21" s="381">
        <v>6.4770000000000008E-2</v>
      </c>
      <c r="K21" s="25">
        <v>6.6720000000000002E-2</v>
      </c>
      <c r="L21" s="381">
        <v>7.3779999999999998E-2</v>
      </c>
    </row>
    <row r="22" spans="1:12" ht="18" customHeight="1" thickBot="1">
      <c r="A22" s="380" t="s">
        <v>1831</v>
      </c>
      <c r="B22" s="381">
        <v>7.3999999999999996E-2</v>
      </c>
      <c r="C22" s="25">
        <v>7.22E-2</v>
      </c>
      <c r="D22" s="381">
        <v>7.1919999999999998E-2</v>
      </c>
      <c r="E22" s="25">
        <v>6.8849999999999995E-2</v>
      </c>
      <c r="F22" s="381">
        <v>7.0550000000000002E-2</v>
      </c>
      <c r="G22" s="25">
        <v>6.8970000000000004E-2</v>
      </c>
      <c r="H22" s="381">
        <v>6.9850000000000009E-2</v>
      </c>
      <c r="I22" s="25">
        <v>7.0499999999999993E-2</v>
      </c>
      <c r="J22" s="381">
        <v>7.6490000000000002E-2</v>
      </c>
      <c r="K22" s="25">
        <v>7.644999999999999E-2</v>
      </c>
      <c r="L22" s="381">
        <v>7.6179999999999998E-2</v>
      </c>
    </row>
    <row r="23" spans="1:12" ht="18" customHeight="1" thickBot="1">
      <c r="A23" s="380" t="s">
        <v>1705</v>
      </c>
      <c r="B23" s="381">
        <v>0.08</v>
      </c>
      <c r="C23" s="25">
        <v>7.9259999999999997E-2</v>
      </c>
      <c r="D23" s="381">
        <v>7.6369999999999993E-2</v>
      </c>
      <c r="E23" s="25">
        <v>7.3959999999999998E-2</v>
      </c>
      <c r="F23" s="381">
        <v>7.3779999999999998E-2</v>
      </c>
      <c r="G23" s="25">
        <v>7.6289999999999997E-2</v>
      </c>
      <c r="H23" s="381">
        <v>7.7850000000000003E-2</v>
      </c>
      <c r="I23" s="25">
        <v>8.6449999999999999E-2</v>
      </c>
      <c r="J23" s="381">
        <v>8.6899999999999991E-2</v>
      </c>
      <c r="K23" s="25">
        <v>8.2400000000000001E-2</v>
      </c>
      <c r="L23" s="381">
        <v>8.6549999999999988E-2</v>
      </c>
    </row>
    <row r="24" spans="1:12" s="109" customFormat="1" ht="30" customHeight="1" thickBot="1">
      <c r="A24" s="382" t="s">
        <v>1326</v>
      </c>
      <c r="B24" s="307">
        <v>5.1999999999999998E-2</v>
      </c>
      <c r="C24" s="383">
        <v>5.4150000000000004E-2</v>
      </c>
      <c r="D24" s="307">
        <v>5.3689999999999995E-2</v>
      </c>
      <c r="E24" s="383">
        <v>5.484E-2</v>
      </c>
      <c r="F24" s="307">
        <v>5.5039999999999999E-2</v>
      </c>
      <c r="G24" s="383">
        <v>5.7709999999999997E-2</v>
      </c>
      <c r="H24" s="307">
        <v>5.9180000000000003E-2</v>
      </c>
      <c r="I24" s="383">
        <v>6.0579999999999995E-2</v>
      </c>
      <c r="J24" s="307">
        <v>6.1900000000000004E-2</v>
      </c>
      <c r="K24" s="383">
        <v>6.3939999999999997E-2</v>
      </c>
      <c r="L24" s="307">
        <v>6.4930000000000002E-2</v>
      </c>
    </row>
    <row r="25" spans="1:12" ht="20" customHeight="1">
      <c r="A25" s="384" t="s">
        <v>1317</v>
      </c>
      <c r="B25" s="385"/>
      <c r="C25" s="385"/>
      <c r="D25" s="118"/>
      <c r="E25" s="118"/>
      <c r="F25" s="118"/>
      <c r="G25" s="118"/>
      <c r="H25" s="118"/>
      <c r="I25" s="118"/>
      <c r="J25" s="118"/>
      <c r="K25" s="118"/>
    </row>
    <row r="26" spans="1:12" ht="15" customHeight="1">
      <c r="A26" s="384"/>
      <c r="B26" s="385"/>
      <c r="C26" s="385"/>
      <c r="D26" s="118"/>
      <c r="E26" s="118"/>
      <c r="F26" s="118"/>
      <c r="G26" s="118"/>
      <c r="H26" s="118"/>
      <c r="I26" s="118"/>
      <c r="J26" s="118"/>
      <c r="K26" s="118"/>
    </row>
    <row r="27" spans="1:12" s="118" customFormat="1" ht="13.5" customHeight="1">
      <c r="A27" s="384" t="s">
        <v>1318</v>
      </c>
      <c r="B27" s="385"/>
      <c r="C27" s="385"/>
    </row>
    <row r="28" spans="1:12" s="118" customFormat="1" ht="13.5" customHeight="1">
      <c r="A28" s="384" t="s">
        <v>1832</v>
      </c>
      <c r="B28" s="385"/>
      <c r="C28" s="385"/>
    </row>
    <row r="29" spans="1:12" s="118" customFormat="1" ht="13.5" customHeight="1">
      <c r="A29" s="384" t="s">
        <v>1833</v>
      </c>
      <c r="B29" s="385"/>
      <c r="C29" s="385"/>
    </row>
    <row r="30" spans="1:12" ht="13.5" customHeight="1">
      <c r="A30" s="495" t="s">
        <v>1319</v>
      </c>
      <c r="B30" s="480"/>
      <c r="C30" s="480"/>
      <c r="D30" s="183"/>
      <c r="E30" s="183"/>
      <c r="F30" s="183"/>
      <c r="G30" s="183"/>
      <c r="H30" s="183"/>
      <c r="I30" s="183"/>
      <c r="J30" s="183"/>
    </row>
    <row r="31" spans="1:12" ht="13.5" customHeight="1">
      <c r="A31" s="495" t="s">
        <v>1320</v>
      </c>
      <c r="B31" s="480"/>
      <c r="C31" s="480"/>
      <c r="D31" s="183"/>
      <c r="E31" s="183"/>
      <c r="F31" s="183"/>
      <c r="G31" s="183"/>
      <c r="H31" s="183"/>
      <c r="I31" s="183"/>
      <c r="J31" s="183"/>
    </row>
    <row r="32" spans="1:12" ht="13.5" customHeight="1">
      <c r="A32" s="495" t="s">
        <v>1321</v>
      </c>
      <c r="B32" s="480"/>
      <c r="C32" s="480"/>
      <c r="D32" s="183"/>
      <c r="E32" s="183"/>
      <c r="F32" s="183"/>
      <c r="G32" s="183"/>
      <c r="H32" s="183"/>
      <c r="I32" s="183"/>
      <c r="J32" s="183"/>
    </row>
    <row r="33" spans="1:15" ht="13.5" customHeight="1">
      <c r="A33" s="495"/>
      <c r="B33" s="480"/>
      <c r="C33" s="480"/>
      <c r="D33" s="183"/>
      <c r="E33" s="183"/>
      <c r="F33" s="183"/>
      <c r="G33" s="183"/>
      <c r="H33" s="183"/>
      <c r="I33" s="183"/>
      <c r="J33" s="183"/>
    </row>
    <row r="34" spans="1:15" ht="12.75" customHeight="1">
      <c r="A34" s="384" t="s">
        <v>1834</v>
      </c>
      <c r="B34" s="385"/>
      <c r="C34" s="385"/>
      <c r="D34" s="118"/>
      <c r="E34" s="118"/>
      <c r="F34" s="118"/>
      <c r="G34" s="118"/>
      <c r="H34" s="118"/>
      <c r="I34" s="118"/>
      <c r="J34" s="118"/>
      <c r="K34" s="118"/>
    </row>
    <row r="35" spans="1:15" ht="18.75" customHeight="1">
      <c r="A35" s="386"/>
      <c r="B35" s="387"/>
      <c r="C35" s="387"/>
      <c r="D35" s="118"/>
      <c r="E35" s="118"/>
      <c r="F35" s="118"/>
      <c r="G35" s="118"/>
      <c r="H35" s="118"/>
      <c r="I35" s="118"/>
      <c r="J35" s="118"/>
      <c r="K35" s="118"/>
    </row>
    <row r="36" spans="1:15" ht="18" customHeight="1">
      <c r="A36" s="177"/>
      <c r="B36" s="387"/>
      <c r="C36" s="387"/>
      <c r="D36" s="118"/>
      <c r="E36" s="118"/>
      <c r="F36" s="118"/>
      <c r="G36" s="118"/>
      <c r="H36" s="118"/>
      <c r="I36" s="118"/>
      <c r="J36" s="118"/>
      <c r="K36" s="118"/>
    </row>
    <row r="37" spans="1:15" ht="18.75" customHeight="1">
      <c r="A37" s="118" t="s">
        <v>256</v>
      </c>
      <c r="B37" s="387"/>
      <c r="C37" s="387"/>
      <c r="D37" s="118"/>
      <c r="E37" s="118"/>
      <c r="F37" s="118"/>
      <c r="G37" s="118"/>
      <c r="H37" s="118"/>
      <c r="I37" s="118"/>
      <c r="J37" s="118"/>
      <c r="K37" s="118"/>
    </row>
    <row r="38" spans="1:15" ht="31" customHeight="1">
      <c r="A38" s="118"/>
      <c r="B38" s="387"/>
      <c r="C38" s="387"/>
      <c r="D38" s="118"/>
      <c r="E38" s="118"/>
      <c r="F38" s="118"/>
      <c r="G38" s="118"/>
      <c r="H38" s="118"/>
      <c r="I38" s="118"/>
      <c r="J38" s="118"/>
      <c r="K38" s="118"/>
      <c r="O38" s="1"/>
    </row>
    <row r="39" spans="1:15" ht="31" customHeight="1">
      <c r="A39" s="118"/>
      <c r="B39" s="387"/>
      <c r="C39" s="387"/>
      <c r="D39" s="118"/>
      <c r="E39" s="118"/>
      <c r="F39" s="118"/>
      <c r="G39" s="118"/>
      <c r="H39" s="118"/>
      <c r="I39" s="118"/>
      <c r="J39" s="118"/>
      <c r="K39" s="118"/>
    </row>
    <row r="40" spans="1:15" ht="31" customHeight="1">
      <c r="A40" s="118"/>
      <c r="B40" s="387"/>
      <c r="C40" s="387"/>
      <c r="D40" s="118"/>
      <c r="E40" s="118"/>
      <c r="F40" s="118"/>
      <c r="G40" s="118"/>
      <c r="H40" s="118"/>
      <c r="I40" s="118"/>
      <c r="J40" s="118"/>
      <c r="K40" s="118"/>
    </row>
    <row r="41" spans="1:15" ht="31" customHeight="1">
      <c r="A41" s="118"/>
      <c r="B41" s="387"/>
      <c r="C41" s="387"/>
      <c r="D41" s="118"/>
      <c r="E41" s="118"/>
      <c r="F41" s="118"/>
      <c r="G41" s="118"/>
      <c r="H41" s="118"/>
      <c r="I41" s="118"/>
      <c r="J41" s="118"/>
      <c r="K41" s="118"/>
    </row>
    <row r="42" spans="1:15" ht="31" customHeight="1">
      <c r="A42" s="118"/>
      <c r="B42" s="387"/>
      <c r="C42" s="387"/>
      <c r="D42" s="118"/>
      <c r="E42" s="118"/>
      <c r="F42" s="118"/>
      <c r="G42" s="118"/>
      <c r="H42" s="118"/>
      <c r="I42" s="118"/>
      <c r="J42" s="118"/>
      <c r="K42" s="118"/>
    </row>
    <row r="43" spans="1:15" ht="31" customHeight="1">
      <c r="A43" s="118"/>
      <c r="B43" s="387"/>
      <c r="C43" s="387"/>
      <c r="D43" s="118"/>
      <c r="E43" s="118"/>
      <c r="F43" s="118"/>
      <c r="G43" s="118"/>
      <c r="H43" s="118"/>
      <c r="I43" s="118"/>
      <c r="J43" s="118"/>
      <c r="K43" s="118"/>
    </row>
    <row r="44" spans="1:15" ht="31" customHeight="1">
      <c r="A44" s="118"/>
      <c r="B44" s="387"/>
      <c r="C44" s="387"/>
      <c r="D44" s="118"/>
      <c r="E44" s="118"/>
      <c r="F44" s="118"/>
      <c r="G44" s="118"/>
      <c r="H44" s="118"/>
      <c r="I44" s="118"/>
      <c r="J44" s="118"/>
      <c r="K44" s="118"/>
    </row>
    <row r="45" spans="1:15">
      <c r="A45" s="118"/>
      <c r="B45" s="387"/>
      <c r="C45" s="387"/>
      <c r="D45" s="118"/>
      <c r="E45" s="118"/>
      <c r="F45" s="118"/>
      <c r="G45" s="118"/>
      <c r="H45" s="118"/>
      <c r="I45" s="118"/>
      <c r="J45" s="118"/>
      <c r="K45" s="118"/>
    </row>
    <row r="46" spans="1:15">
      <c r="A46" s="118"/>
      <c r="B46" s="387"/>
      <c r="C46" s="387"/>
      <c r="D46" s="118"/>
      <c r="E46" s="118"/>
      <c r="F46" s="118"/>
      <c r="G46" s="118"/>
      <c r="H46" s="118"/>
      <c r="I46" s="118"/>
      <c r="J46" s="118"/>
      <c r="K46" s="118"/>
    </row>
    <row r="47" spans="1:15">
      <c r="A47" s="118"/>
      <c r="B47" s="387"/>
      <c r="C47" s="387"/>
      <c r="D47" s="118"/>
      <c r="E47" s="118"/>
      <c r="F47" s="118"/>
      <c r="G47" s="118"/>
      <c r="H47" s="118"/>
      <c r="I47" s="118"/>
      <c r="J47" s="118"/>
      <c r="K47" s="118"/>
    </row>
    <row r="48" spans="1:15">
      <c r="A48" s="118"/>
      <c r="B48" s="387"/>
      <c r="C48" s="387"/>
      <c r="D48" s="118"/>
      <c r="E48" s="118"/>
      <c r="F48" s="118"/>
      <c r="G48" s="118"/>
      <c r="H48" s="118"/>
      <c r="I48" s="118"/>
      <c r="J48" s="118"/>
      <c r="K48" s="118"/>
    </row>
    <row r="49" spans="1:11">
      <c r="A49" s="118"/>
      <c r="B49" s="387"/>
      <c r="C49" s="387"/>
      <c r="D49" s="118"/>
      <c r="E49" s="118"/>
      <c r="F49" s="118"/>
      <c r="G49" s="118"/>
      <c r="H49" s="118"/>
      <c r="I49" s="118"/>
      <c r="J49" s="118"/>
      <c r="K49" s="118"/>
    </row>
    <row r="50" spans="1:11">
      <c r="A50" s="118"/>
      <c r="B50" s="387"/>
      <c r="C50" s="387"/>
      <c r="D50" s="118"/>
      <c r="E50" s="118"/>
      <c r="F50" s="118"/>
      <c r="G50" s="118"/>
      <c r="H50" s="118"/>
      <c r="I50" s="118"/>
      <c r="J50" s="118"/>
      <c r="K50" s="118"/>
    </row>
    <row r="51" spans="1:11">
      <c r="A51" s="118"/>
      <c r="B51" s="387"/>
      <c r="C51" s="387"/>
      <c r="D51" s="118"/>
      <c r="E51" s="118"/>
      <c r="F51" s="118"/>
      <c r="G51" s="118"/>
      <c r="H51" s="118"/>
      <c r="I51" s="118"/>
      <c r="J51" s="118"/>
      <c r="K51" s="118"/>
    </row>
    <row r="52" spans="1:11">
      <c r="A52" s="118"/>
      <c r="B52" s="387"/>
      <c r="C52" s="387"/>
      <c r="D52" s="118"/>
      <c r="E52" s="118"/>
      <c r="F52" s="118"/>
      <c r="G52" s="118"/>
      <c r="H52" s="118"/>
      <c r="I52" s="118"/>
      <c r="J52" s="118"/>
      <c r="K52" s="118"/>
    </row>
    <row r="53" spans="1:11">
      <c r="A53" s="118"/>
      <c r="B53" s="387"/>
      <c r="C53" s="387"/>
      <c r="D53" s="118"/>
      <c r="E53" s="118"/>
      <c r="F53" s="118"/>
      <c r="G53" s="118"/>
      <c r="H53" s="118"/>
      <c r="I53" s="118"/>
      <c r="J53" s="118"/>
      <c r="K53" s="118"/>
    </row>
    <row r="54" spans="1:11">
      <c r="A54" s="118"/>
      <c r="B54" s="387"/>
      <c r="C54" s="387"/>
      <c r="D54" s="118"/>
      <c r="E54" s="118"/>
      <c r="F54" s="118"/>
      <c r="G54" s="118"/>
      <c r="H54" s="118"/>
      <c r="I54" s="118"/>
      <c r="J54" s="118"/>
      <c r="K54" s="118"/>
    </row>
    <row r="55" spans="1:11">
      <c r="A55" s="118"/>
      <c r="B55" s="387"/>
      <c r="C55" s="387"/>
      <c r="D55" s="118"/>
      <c r="E55" s="118"/>
      <c r="F55" s="118"/>
      <c r="G55" s="118"/>
      <c r="H55" s="118"/>
      <c r="I55" s="118"/>
      <c r="J55" s="118"/>
      <c r="K55" s="118"/>
    </row>
    <row r="56" spans="1:11">
      <c r="A56" s="118"/>
      <c r="B56" s="387"/>
      <c r="C56" s="387"/>
      <c r="D56" s="118"/>
      <c r="E56" s="118"/>
      <c r="F56" s="118"/>
      <c r="G56" s="118"/>
      <c r="H56" s="118"/>
      <c r="I56" s="118"/>
      <c r="J56" s="118"/>
      <c r="K56" s="118"/>
    </row>
    <row r="57" spans="1:11">
      <c r="A57" s="118"/>
      <c r="B57" s="387"/>
      <c r="C57" s="387"/>
      <c r="D57" s="118"/>
      <c r="E57" s="118"/>
      <c r="F57" s="118"/>
      <c r="G57" s="118"/>
      <c r="H57" s="118"/>
      <c r="I57" s="118"/>
      <c r="J57" s="118"/>
      <c r="K57" s="118"/>
    </row>
    <row r="58" spans="1:11">
      <c r="A58" s="118"/>
      <c r="B58" s="387"/>
      <c r="C58" s="387"/>
      <c r="D58" s="118"/>
      <c r="E58" s="118"/>
      <c r="F58" s="118"/>
      <c r="G58" s="118"/>
      <c r="H58" s="118"/>
      <c r="I58" s="118"/>
      <c r="J58" s="118"/>
      <c r="K58" s="118"/>
    </row>
    <row r="59" spans="1:11">
      <c r="A59" s="118"/>
      <c r="B59" s="387"/>
      <c r="C59" s="387"/>
      <c r="D59" s="118"/>
      <c r="E59" s="118"/>
      <c r="F59" s="118"/>
      <c r="G59" s="118"/>
      <c r="H59" s="118"/>
      <c r="I59" s="118"/>
      <c r="J59" s="118"/>
      <c r="K59" s="118"/>
    </row>
    <row r="60" spans="1:11">
      <c r="A60" s="118"/>
      <c r="B60" s="387"/>
      <c r="C60" s="387"/>
      <c r="D60" s="118"/>
      <c r="E60" s="118"/>
      <c r="F60" s="118"/>
      <c r="G60" s="118"/>
      <c r="H60" s="118"/>
      <c r="I60" s="118"/>
      <c r="J60" s="118"/>
      <c r="K60" s="118"/>
    </row>
    <row r="61" spans="1:11">
      <c r="A61" s="118"/>
      <c r="B61" s="387"/>
      <c r="C61" s="387"/>
      <c r="D61" s="118"/>
      <c r="E61" s="118"/>
      <c r="F61" s="118"/>
      <c r="G61" s="118"/>
      <c r="H61" s="118"/>
      <c r="I61" s="118"/>
      <c r="J61" s="118"/>
      <c r="K61" s="118"/>
    </row>
    <row r="62" spans="1:11">
      <c r="A62" s="118"/>
      <c r="B62" s="387"/>
      <c r="C62" s="387"/>
      <c r="D62" s="118"/>
      <c r="E62" s="118"/>
      <c r="F62" s="118"/>
      <c r="G62" s="118"/>
      <c r="H62" s="118"/>
      <c r="I62" s="118"/>
      <c r="J62" s="118"/>
      <c r="K62" s="118"/>
    </row>
    <row r="63" spans="1:11">
      <c r="A63" s="118"/>
      <c r="B63" s="387"/>
      <c r="C63" s="387"/>
      <c r="D63" s="118"/>
      <c r="E63" s="118"/>
      <c r="F63" s="118"/>
      <c r="G63" s="118"/>
      <c r="H63" s="118"/>
      <c r="I63" s="118"/>
      <c r="J63" s="118"/>
      <c r="K63" s="118"/>
    </row>
    <row r="64" spans="1:11">
      <c r="A64" s="118"/>
      <c r="B64" s="387"/>
      <c r="C64" s="387"/>
      <c r="D64" s="118"/>
      <c r="E64" s="118"/>
      <c r="F64" s="118"/>
      <c r="G64" s="118"/>
      <c r="H64" s="118"/>
      <c r="I64" s="118"/>
      <c r="J64" s="118"/>
      <c r="K64" s="118"/>
    </row>
    <row r="65" spans="1:11">
      <c r="A65" s="118"/>
      <c r="B65" s="387"/>
      <c r="C65" s="387"/>
      <c r="D65" s="118"/>
      <c r="E65" s="118"/>
      <c r="F65" s="118"/>
      <c r="G65" s="118"/>
      <c r="H65" s="118"/>
      <c r="I65" s="118"/>
      <c r="J65" s="118"/>
      <c r="K65" s="118"/>
    </row>
    <row r="66" spans="1:11">
      <c r="A66" s="118"/>
      <c r="B66" s="387"/>
      <c r="C66" s="387"/>
      <c r="D66" s="118"/>
      <c r="E66" s="118"/>
      <c r="F66" s="118"/>
      <c r="G66" s="118"/>
      <c r="H66" s="118"/>
      <c r="I66" s="118"/>
      <c r="J66" s="118"/>
      <c r="K66" s="118"/>
    </row>
    <row r="67" spans="1:11">
      <c r="A67" s="118"/>
      <c r="B67" s="387"/>
      <c r="C67" s="387"/>
      <c r="D67" s="118"/>
      <c r="E67" s="118"/>
      <c r="F67" s="118"/>
      <c r="G67" s="118"/>
      <c r="H67" s="118"/>
      <c r="I67" s="118"/>
      <c r="J67" s="118"/>
      <c r="K67" s="118"/>
    </row>
    <row r="68" spans="1:11">
      <c r="A68" s="118"/>
      <c r="B68" s="387"/>
      <c r="C68" s="387"/>
      <c r="D68" s="118"/>
      <c r="E68" s="118"/>
      <c r="F68" s="118"/>
      <c r="G68" s="118"/>
      <c r="H68" s="118"/>
      <c r="I68" s="118"/>
      <c r="J68" s="118"/>
      <c r="K68" s="118"/>
    </row>
    <row r="69" spans="1:11">
      <c r="A69" s="118"/>
      <c r="B69" s="387"/>
      <c r="C69" s="387"/>
      <c r="D69" s="118"/>
      <c r="E69" s="118"/>
      <c r="F69" s="118"/>
      <c r="G69" s="118"/>
      <c r="H69" s="118"/>
      <c r="I69" s="118"/>
      <c r="J69" s="118"/>
      <c r="K69" s="118"/>
    </row>
    <row r="70" spans="1:11">
      <c r="A70" s="118"/>
      <c r="B70" s="387"/>
      <c r="C70" s="387"/>
      <c r="D70" s="118"/>
      <c r="E70" s="118"/>
      <c r="F70" s="118"/>
      <c r="G70" s="118"/>
      <c r="H70" s="118"/>
      <c r="I70" s="118"/>
      <c r="J70" s="118"/>
      <c r="K70" s="118"/>
    </row>
    <row r="71" spans="1:11">
      <c r="A71" s="118"/>
      <c r="B71" s="387"/>
      <c r="C71" s="387"/>
      <c r="D71" s="118"/>
      <c r="E71" s="118"/>
      <c r="F71" s="118"/>
      <c r="G71" s="118"/>
      <c r="H71" s="118"/>
      <c r="I71" s="118"/>
      <c r="J71" s="118"/>
      <c r="K71" s="118"/>
    </row>
    <row r="72" spans="1:11">
      <c r="A72" s="118"/>
      <c r="B72" s="387"/>
      <c r="C72" s="387"/>
      <c r="D72" s="118"/>
      <c r="E72" s="118"/>
      <c r="F72" s="118"/>
      <c r="G72" s="118"/>
      <c r="H72" s="118"/>
      <c r="I72" s="118"/>
      <c r="J72" s="118"/>
      <c r="K72" s="118"/>
    </row>
    <row r="73" spans="1:11">
      <c r="A73" s="118"/>
      <c r="B73" s="387"/>
      <c r="C73" s="387"/>
      <c r="D73" s="118"/>
      <c r="E73" s="118"/>
      <c r="F73" s="118"/>
      <c r="G73" s="118"/>
      <c r="H73" s="118"/>
      <c r="I73" s="118"/>
      <c r="J73" s="118"/>
      <c r="K73" s="118"/>
    </row>
    <row r="74" spans="1:11">
      <c r="A74" s="118"/>
      <c r="B74" s="387"/>
      <c r="C74" s="387"/>
      <c r="D74" s="118"/>
      <c r="E74" s="118"/>
      <c r="F74" s="118"/>
      <c r="G74" s="118"/>
      <c r="H74" s="118"/>
      <c r="I74" s="118"/>
      <c r="J74" s="118"/>
      <c r="K74" s="118"/>
    </row>
    <row r="75" spans="1:11">
      <c r="A75" s="118"/>
      <c r="B75" s="387"/>
      <c r="C75" s="387"/>
      <c r="D75" s="118"/>
      <c r="E75" s="118"/>
      <c r="F75" s="118"/>
      <c r="G75" s="118"/>
      <c r="H75" s="118"/>
      <c r="I75" s="118"/>
      <c r="J75" s="118"/>
      <c r="K75" s="118"/>
    </row>
    <row r="76" spans="1:11">
      <c r="A76" s="118"/>
      <c r="B76" s="387"/>
      <c r="C76" s="387"/>
      <c r="D76" s="118"/>
      <c r="E76" s="118"/>
      <c r="F76" s="118"/>
      <c r="G76" s="118"/>
      <c r="H76" s="118"/>
      <c r="I76" s="118"/>
      <c r="J76" s="118"/>
      <c r="K76" s="118"/>
    </row>
    <row r="77" spans="1:11">
      <c r="A77" s="118"/>
      <c r="B77" s="387"/>
      <c r="C77" s="387"/>
      <c r="D77" s="118"/>
      <c r="E77" s="118"/>
      <c r="F77" s="118"/>
      <c r="G77" s="118"/>
      <c r="H77" s="118"/>
      <c r="I77" s="118"/>
      <c r="J77" s="118"/>
      <c r="K77" s="118"/>
    </row>
    <row r="78" spans="1:11">
      <c r="A78" s="118"/>
      <c r="B78" s="387"/>
      <c r="C78" s="387"/>
      <c r="D78" s="118"/>
      <c r="E78" s="118"/>
      <c r="F78" s="118"/>
      <c r="G78" s="118"/>
      <c r="H78" s="118"/>
      <c r="I78" s="118"/>
      <c r="J78" s="118"/>
      <c r="K78" s="118"/>
    </row>
    <row r="79" spans="1:11">
      <c r="A79" s="118"/>
      <c r="B79" s="387"/>
      <c r="C79" s="387"/>
      <c r="D79" s="118"/>
      <c r="E79" s="118"/>
      <c r="F79" s="118"/>
      <c r="G79" s="118"/>
      <c r="H79" s="118"/>
      <c r="I79" s="118"/>
      <c r="J79" s="118"/>
      <c r="K79" s="118"/>
    </row>
    <row r="80" spans="1:11">
      <c r="A80" s="118"/>
      <c r="B80" s="387"/>
      <c r="C80" s="387"/>
      <c r="D80" s="118"/>
      <c r="E80" s="118"/>
      <c r="F80" s="118"/>
      <c r="G80" s="118"/>
      <c r="H80" s="118"/>
      <c r="I80" s="118"/>
      <c r="J80" s="118"/>
      <c r="K80" s="118"/>
    </row>
    <row r="81" spans="1:11">
      <c r="A81" s="118"/>
      <c r="B81" s="387"/>
      <c r="C81" s="387"/>
      <c r="D81" s="118"/>
      <c r="E81" s="118"/>
      <c r="F81" s="118"/>
      <c r="G81" s="118"/>
      <c r="H81" s="118"/>
      <c r="I81" s="118"/>
      <c r="J81" s="118"/>
      <c r="K81" s="118"/>
    </row>
    <row r="82" spans="1:11">
      <c r="A82" s="118"/>
      <c r="B82" s="387"/>
      <c r="C82" s="387"/>
      <c r="D82" s="118"/>
      <c r="E82" s="118"/>
      <c r="F82" s="118"/>
      <c r="G82" s="118"/>
      <c r="H82" s="118"/>
      <c r="I82" s="118"/>
      <c r="J82" s="118"/>
      <c r="K82" s="118"/>
    </row>
    <row r="83" spans="1:11">
      <c r="A83" s="118"/>
      <c r="B83" s="387"/>
      <c r="C83" s="387"/>
      <c r="D83" s="118"/>
      <c r="E83" s="118"/>
      <c r="F83" s="118"/>
      <c r="G83" s="118"/>
      <c r="H83" s="118"/>
      <c r="I83" s="118"/>
      <c r="J83" s="118"/>
      <c r="K83" s="118"/>
    </row>
    <row r="84" spans="1:11">
      <c r="A84" s="118"/>
      <c r="B84" s="387"/>
      <c r="C84" s="387"/>
      <c r="D84" s="118"/>
      <c r="E84" s="118"/>
      <c r="F84" s="118"/>
      <c r="G84" s="118"/>
      <c r="H84" s="118"/>
      <c r="I84" s="118"/>
      <c r="J84" s="118"/>
      <c r="K84" s="118"/>
    </row>
    <row r="85" spans="1:11">
      <c r="A85" s="118"/>
      <c r="B85" s="387"/>
      <c r="C85" s="387"/>
      <c r="D85" s="118"/>
      <c r="E85" s="118"/>
      <c r="F85" s="118"/>
      <c r="G85" s="118"/>
      <c r="H85" s="118"/>
      <c r="I85" s="118"/>
      <c r="J85" s="118"/>
      <c r="K85" s="118"/>
    </row>
    <row r="86" spans="1:11">
      <c r="A86" s="118"/>
      <c r="B86" s="387"/>
      <c r="C86" s="387"/>
      <c r="D86" s="118"/>
      <c r="E86" s="118"/>
      <c r="F86" s="118"/>
      <c r="G86" s="118"/>
      <c r="H86" s="118"/>
      <c r="I86" s="118"/>
      <c r="J86" s="118"/>
      <c r="K86" s="118"/>
    </row>
    <row r="87" spans="1:11">
      <c r="A87" s="118"/>
      <c r="B87" s="387"/>
      <c r="C87" s="387"/>
      <c r="D87" s="118"/>
      <c r="E87" s="118"/>
      <c r="F87" s="118"/>
      <c r="G87" s="118"/>
      <c r="H87" s="118"/>
      <c r="I87" s="118"/>
      <c r="J87" s="118"/>
      <c r="K87" s="118"/>
    </row>
    <row r="88" spans="1:11">
      <c r="A88" s="118"/>
      <c r="B88" s="387"/>
      <c r="C88" s="387"/>
      <c r="D88" s="118"/>
      <c r="E88" s="118"/>
      <c r="F88" s="118"/>
      <c r="G88" s="118"/>
      <c r="H88" s="118"/>
      <c r="I88" s="118"/>
      <c r="J88" s="118"/>
      <c r="K88" s="118"/>
    </row>
    <row r="89" spans="1:11">
      <c r="A89" s="118"/>
      <c r="B89" s="387"/>
      <c r="C89" s="387"/>
      <c r="D89" s="118"/>
      <c r="E89" s="118"/>
      <c r="F89" s="118"/>
      <c r="G89" s="118"/>
      <c r="H89" s="118"/>
      <c r="I89" s="118"/>
      <c r="J89" s="118"/>
      <c r="K89" s="118"/>
    </row>
    <row r="90" spans="1:11">
      <c r="A90" s="118"/>
      <c r="B90" s="387"/>
      <c r="C90" s="387"/>
      <c r="D90" s="118"/>
      <c r="E90" s="118"/>
      <c r="F90" s="118"/>
      <c r="G90" s="118"/>
      <c r="H90" s="118"/>
      <c r="I90" s="118"/>
      <c r="J90" s="118"/>
      <c r="K90" s="118"/>
    </row>
    <row r="91" spans="1:11">
      <c r="A91" s="118"/>
      <c r="B91" s="387"/>
      <c r="C91" s="387"/>
      <c r="D91" s="118"/>
      <c r="E91" s="118"/>
      <c r="F91" s="118"/>
      <c r="G91" s="118"/>
      <c r="H91" s="118"/>
      <c r="I91" s="118"/>
      <c r="J91" s="118"/>
      <c r="K91" s="118"/>
    </row>
    <row r="92" spans="1:11">
      <c r="A92" s="118"/>
      <c r="B92" s="387"/>
      <c r="C92" s="387"/>
      <c r="D92" s="118"/>
      <c r="E92" s="118"/>
      <c r="F92" s="118"/>
      <c r="G92" s="118"/>
      <c r="H92" s="118"/>
      <c r="I92" s="118"/>
      <c r="J92" s="118"/>
      <c r="K92" s="118"/>
    </row>
    <row r="93" spans="1:11">
      <c r="A93" s="118"/>
      <c r="B93" s="387"/>
      <c r="C93" s="387"/>
      <c r="D93" s="118"/>
      <c r="E93" s="118"/>
      <c r="F93" s="118"/>
      <c r="G93" s="118"/>
      <c r="H93" s="118"/>
      <c r="I93" s="118"/>
      <c r="J93" s="118"/>
      <c r="K93" s="118"/>
    </row>
    <row r="94" spans="1:11">
      <c r="A94" s="118"/>
      <c r="B94" s="387"/>
      <c r="C94" s="387"/>
      <c r="D94" s="118"/>
      <c r="E94" s="118"/>
      <c r="F94" s="118"/>
      <c r="G94" s="118"/>
      <c r="H94" s="118"/>
      <c r="I94" s="118"/>
      <c r="J94" s="118"/>
      <c r="K94" s="118"/>
    </row>
    <row r="95" spans="1:11">
      <c r="A95" s="118"/>
      <c r="B95" s="387"/>
      <c r="C95" s="387"/>
      <c r="D95" s="118"/>
      <c r="E95" s="118"/>
      <c r="F95" s="118"/>
      <c r="G95" s="118"/>
      <c r="H95" s="118"/>
      <c r="I95" s="118"/>
      <c r="J95" s="118"/>
      <c r="K95" s="118"/>
    </row>
    <row r="96" spans="1:11">
      <c r="A96" s="118"/>
      <c r="B96" s="387"/>
      <c r="C96" s="387"/>
      <c r="D96" s="118"/>
      <c r="E96" s="118"/>
      <c r="F96" s="118"/>
      <c r="G96" s="118"/>
      <c r="H96" s="118"/>
      <c r="I96" s="118"/>
      <c r="J96" s="118"/>
      <c r="K96" s="118"/>
    </row>
    <row r="97" spans="1:11">
      <c r="A97" s="118"/>
      <c r="B97" s="387"/>
      <c r="C97" s="387"/>
      <c r="D97" s="118"/>
      <c r="E97" s="118"/>
      <c r="F97" s="118"/>
      <c r="G97" s="118"/>
      <c r="H97" s="118"/>
      <c r="I97" s="118"/>
      <c r="J97" s="118"/>
      <c r="K97" s="118"/>
    </row>
    <row r="98" spans="1:11">
      <c r="A98" s="118"/>
      <c r="B98" s="387"/>
      <c r="C98" s="387"/>
      <c r="D98" s="118"/>
      <c r="E98" s="118"/>
      <c r="F98" s="118"/>
      <c r="G98" s="118"/>
      <c r="H98" s="118"/>
      <c r="I98" s="118"/>
      <c r="J98" s="118"/>
      <c r="K98" s="118"/>
    </row>
    <row r="99" spans="1:11">
      <c r="A99" s="118"/>
      <c r="B99" s="387"/>
      <c r="C99" s="387"/>
      <c r="D99" s="118"/>
      <c r="E99" s="118"/>
      <c r="F99" s="118"/>
      <c r="G99" s="118"/>
      <c r="H99" s="118"/>
      <c r="I99" s="118"/>
      <c r="J99" s="118"/>
      <c r="K99" s="118"/>
    </row>
    <row r="100" spans="1:11">
      <c r="A100" s="118"/>
      <c r="B100" s="387"/>
      <c r="C100" s="387"/>
      <c r="D100" s="118"/>
      <c r="E100" s="118"/>
      <c r="F100" s="118"/>
      <c r="G100" s="118"/>
      <c r="H100" s="118"/>
      <c r="I100" s="118"/>
      <c r="J100" s="118"/>
      <c r="K100" s="118"/>
    </row>
  </sheetData>
  <phoneticPr fontId="0" type="noConversion"/>
  <pageMargins left="0.49" right="0.51" top="0.77" bottom="0.49" header="0.47" footer="0.4921259845"/>
  <pageSetup paperSize="9" scale="72" orientation="landscape" horizontalDpi="1200" verticalDpi="1200"/>
  <headerFooter alignWithMargins="0">
    <oddHeader>&amp;L&amp;"Arial,Bold"Zusatzinformationen zum Gesundheitswesen</oddHeader>
  </headerFooter>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75C3A-5410-E648-8A97-F3D94E70D5FE}">
  <sheetPr>
    <pageSetUpPr fitToPage="1"/>
  </sheetPr>
  <dimension ref="A1:L181"/>
  <sheetViews>
    <sheetView workbookViewId="0">
      <selection activeCell="A2" sqref="A2"/>
    </sheetView>
  </sheetViews>
  <sheetFormatPr baseColWidth="10" defaultColWidth="11.3984375" defaultRowHeight="11"/>
  <cols>
    <col min="1" max="4" width="11.3984375" style="898"/>
    <col min="5" max="6" width="10.19921875" style="898" customWidth="1"/>
    <col min="7" max="7" width="9.59765625" style="899" customWidth="1"/>
    <col min="8" max="10" width="11.3984375" style="899"/>
    <col min="11" max="12" width="11.3984375" style="898"/>
    <col min="13" max="16384" width="11.3984375" style="899"/>
  </cols>
  <sheetData>
    <row r="1" spans="1:12" ht="16">
      <c r="A1" s="897" t="s">
        <v>1305</v>
      </c>
      <c r="B1" s="900"/>
      <c r="C1" s="900"/>
    </row>
    <row r="2" spans="1:12">
      <c r="A2" s="899"/>
      <c r="B2" s="900"/>
      <c r="C2" s="900"/>
    </row>
    <row r="3" spans="1:12" ht="16">
      <c r="A3" s="897" t="s">
        <v>1306</v>
      </c>
      <c r="B3" s="900"/>
      <c r="C3" s="900"/>
    </row>
    <row r="4" spans="1:12" ht="15" customHeight="1">
      <c r="A4" s="901"/>
      <c r="B4" s="901"/>
      <c r="C4" s="901"/>
      <c r="D4" s="901"/>
      <c r="E4" s="900"/>
      <c r="F4" s="900"/>
      <c r="I4" s="902"/>
      <c r="J4" s="902"/>
      <c r="K4" s="900"/>
      <c r="L4" s="900"/>
    </row>
    <row r="5" spans="1:12" s="904" customFormat="1" ht="28.5" customHeight="1">
      <c r="A5" s="903" t="s">
        <v>1074</v>
      </c>
      <c r="B5" s="903" t="s">
        <v>1073</v>
      </c>
      <c r="C5" s="903" t="s">
        <v>1072</v>
      </c>
      <c r="D5" s="903" t="s">
        <v>1071</v>
      </c>
      <c r="E5" s="903" t="s">
        <v>1307</v>
      </c>
      <c r="F5" s="903" t="s">
        <v>1069</v>
      </c>
      <c r="G5" s="903" t="s">
        <v>1068</v>
      </c>
      <c r="H5" s="903" t="s">
        <v>1067</v>
      </c>
      <c r="I5" s="905"/>
      <c r="J5" s="905"/>
      <c r="K5" s="906"/>
      <c r="L5" s="906"/>
    </row>
    <row r="6" spans="1:12" ht="14.25" customHeight="1">
      <c r="A6" s="908"/>
      <c r="B6" s="908"/>
      <c r="C6" s="908"/>
      <c r="D6" s="908"/>
      <c r="E6" s="908"/>
      <c r="F6" s="908"/>
      <c r="G6" s="908"/>
      <c r="H6" s="908"/>
    </row>
    <row r="7" spans="1:12">
      <c r="A7" s="912" t="s">
        <v>1253</v>
      </c>
      <c r="B7" s="912" t="s">
        <v>1253</v>
      </c>
      <c r="C7" s="912" t="s">
        <v>1253</v>
      </c>
      <c r="D7" s="912" t="s">
        <v>1253</v>
      </c>
      <c r="E7" s="910">
        <v>8.01</v>
      </c>
      <c r="F7" s="909" t="s">
        <v>1308</v>
      </c>
      <c r="G7" s="909" t="s">
        <v>1308</v>
      </c>
      <c r="H7" s="909" t="s">
        <v>1308</v>
      </c>
    </row>
    <row r="8" spans="1:12">
      <c r="A8" s="912" t="s">
        <v>1275</v>
      </c>
      <c r="B8" s="912" t="s">
        <v>1275</v>
      </c>
      <c r="C8" s="912" t="s">
        <v>1275</v>
      </c>
      <c r="D8" s="912" t="s">
        <v>1275</v>
      </c>
      <c r="E8" s="910" t="s">
        <v>1013</v>
      </c>
      <c r="F8" s="909" t="s">
        <v>1013</v>
      </c>
      <c r="G8" s="909" t="s">
        <v>1013</v>
      </c>
      <c r="H8" s="909" t="s">
        <v>1013</v>
      </c>
    </row>
    <row r="9" spans="1:12">
      <c r="A9" s="912" t="s">
        <v>1276</v>
      </c>
      <c r="B9" s="912" t="s">
        <v>1276</v>
      </c>
      <c r="C9" s="912" t="s">
        <v>1276</v>
      </c>
      <c r="D9" s="912" t="s">
        <v>1276</v>
      </c>
      <c r="E9" s="910" t="s">
        <v>1013</v>
      </c>
      <c r="F9" s="909" t="s">
        <v>1013</v>
      </c>
      <c r="G9" s="909" t="s">
        <v>1013</v>
      </c>
      <c r="H9" s="909" t="s">
        <v>1013</v>
      </c>
    </row>
    <row r="10" spans="1:12">
      <c r="A10" s="915" t="s">
        <v>1099</v>
      </c>
      <c r="B10" s="915" t="s">
        <v>1099</v>
      </c>
      <c r="C10" s="915" t="s">
        <v>1099</v>
      </c>
      <c r="D10" s="915" t="s">
        <v>1099</v>
      </c>
      <c r="E10" s="914">
        <v>8.02</v>
      </c>
      <c r="F10" s="913">
        <v>1.42</v>
      </c>
      <c r="G10" s="913">
        <v>1.42</v>
      </c>
      <c r="H10" s="913">
        <v>1.42</v>
      </c>
    </row>
    <row r="11" spans="1:12">
      <c r="A11" s="915" t="s">
        <v>1277</v>
      </c>
      <c r="B11" s="915" t="s">
        <v>1277</v>
      </c>
      <c r="C11" s="915" t="s">
        <v>1277</v>
      </c>
      <c r="D11" s="915" t="s">
        <v>1277</v>
      </c>
      <c r="E11" s="914" t="s">
        <v>1013</v>
      </c>
      <c r="F11" s="913" t="s">
        <v>1013</v>
      </c>
      <c r="G11" s="913" t="s">
        <v>1013</v>
      </c>
      <c r="H11" s="913" t="s">
        <v>1013</v>
      </c>
    </row>
    <row r="12" spans="1:12">
      <c r="A12" s="915" t="s">
        <v>1254</v>
      </c>
      <c r="B12" s="915" t="s">
        <v>1254</v>
      </c>
      <c r="C12" s="915" t="s">
        <v>1254</v>
      </c>
      <c r="D12" s="915" t="s">
        <v>1254</v>
      </c>
      <c r="E12" s="914">
        <v>8.0299999999999994</v>
      </c>
      <c r="F12" s="913">
        <v>8.0299999999999994</v>
      </c>
      <c r="G12" s="913">
        <v>8.0299999999999994</v>
      </c>
      <c r="H12" s="913">
        <v>8.0299999999999994</v>
      </c>
    </row>
    <row r="13" spans="1:12">
      <c r="A13" s="915" t="s">
        <v>1278</v>
      </c>
      <c r="B13" s="915" t="s">
        <v>1278</v>
      </c>
      <c r="C13" s="915" t="s">
        <v>1278</v>
      </c>
      <c r="D13" s="915" t="s">
        <v>1278</v>
      </c>
      <c r="E13" s="914" t="s">
        <v>1013</v>
      </c>
      <c r="F13" s="913" t="s">
        <v>1013</v>
      </c>
      <c r="G13" s="913" t="s">
        <v>1013</v>
      </c>
      <c r="H13" s="913" t="s">
        <v>1013</v>
      </c>
    </row>
    <row r="14" spans="1:12">
      <c r="A14" s="915" t="s">
        <v>1255</v>
      </c>
      <c r="B14" s="915" t="s">
        <v>1255</v>
      </c>
      <c r="C14" s="915" t="s">
        <v>1255</v>
      </c>
      <c r="D14" s="915" t="s">
        <v>1255</v>
      </c>
      <c r="E14" s="914">
        <v>8.0399999999999991</v>
      </c>
      <c r="F14" s="913">
        <v>8.0399999999999991</v>
      </c>
      <c r="G14" s="913">
        <v>8.0399999999999991</v>
      </c>
      <c r="H14" s="913">
        <v>8.0399999999999991</v>
      </c>
    </row>
    <row r="15" spans="1:12">
      <c r="A15" s="915" t="s">
        <v>1279</v>
      </c>
      <c r="B15" s="915" t="s">
        <v>1279</v>
      </c>
      <c r="C15" s="915" t="s">
        <v>1279</v>
      </c>
      <c r="D15" s="915" t="s">
        <v>1279</v>
      </c>
      <c r="E15" s="914" t="s">
        <v>1013</v>
      </c>
      <c r="F15" s="913" t="s">
        <v>1013</v>
      </c>
      <c r="G15" s="913" t="s">
        <v>1013</v>
      </c>
      <c r="H15" s="913" t="s">
        <v>1013</v>
      </c>
    </row>
    <row r="16" spans="1:12">
      <c r="A16" s="915" t="s">
        <v>1256</v>
      </c>
      <c r="B16" s="915" t="s">
        <v>1256</v>
      </c>
      <c r="C16" s="915" t="s">
        <v>1256</v>
      </c>
      <c r="D16" s="915" t="s">
        <v>1256</v>
      </c>
      <c r="E16" s="914">
        <v>8.0500000000000007</v>
      </c>
      <c r="F16" s="913">
        <v>8.0500000000000007</v>
      </c>
      <c r="G16" s="913">
        <v>8.0500000000000007</v>
      </c>
      <c r="H16" s="913">
        <v>8.0500000000000007</v>
      </c>
    </row>
    <row r="17" spans="1:8">
      <c r="A17" s="915" t="s">
        <v>1257</v>
      </c>
      <c r="B17" s="915" t="s">
        <v>1257</v>
      </c>
      <c r="C17" s="915" t="s">
        <v>1257</v>
      </c>
      <c r="D17" s="915" t="s">
        <v>1257</v>
      </c>
      <c r="E17" s="914">
        <v>8.06</v>
      </c>
      <c r="F17" s="913">
        <v>8.06</v>
      </c>
      <c r="G17" s="913">
        <v>8.06</v>
      </c>
      <c r="H17" s="913">
        <v>8.06</v>
      </c>
    </row>
    <row r="18" spans="1:8">
      <c r="A18" s="915" t="s">
        <v>1280</v>
      </c>
      <c r="B18" s="915" t="s">
        <v>1280</v>
      </c>
      <c r="C18" s="915" t="s">
        <v>1280</v>
      </c>
      <c r="D18" s="915" t="s">
        <v>1280</v>
      </c>
      <c r="E18" s="914" t="s">
        <v>1013</v>
      </c>
      <c r="F18" s="913" t="s">
        <v>1013</v>
      </c>
      <c r="G18" s="913" t="s">
        <v>1013</v>
      </c>
      <c r="H18" s="913" t="s">
        <v>1013</v>
      </c>
    </row>
    <row r="19" spans="1:8">
      <c r="A19" s="915" t="s">
        <v>1281</v>
      </c>
      <c r="B19" s="915" t="s">
        <v>1281</v>
      </c>
      <c r="C19" s="915" t="s">
        <v>1281</v>
      </c>
      <c r="D19" s="915" t="s">
        <v>1281</v>
      </c>
      <c r="E19" s="914" t="s">
        <v>1013</v>
      </c>
      <c r="F19" s="913" t="s">
        <v>1013</v>
      </c>
      <c r="G19" s="913" t="s">
        <v>1013</v>
      </c>
      <c r="H19" s="913" t="s">
        <v>1013</v>
      </c>
    </row>
    <row r="20" spans="1:8">
      <c r="A20" s="915" t="s">
        <v>1258</v>
      </c>
      <c r="B20" s="915" t="s">
        <v>1258</v>
      </c>
      <c r="C20" s="915" t="s">
        <v>1258</v>
      </c>
      <c r="D20" s="915" t="s">
        <v>1258</v>
      </c>
      <c r="E20" s="914">
        <v>8.07</v>
      </c>
      <c r="F20" s="913">
        <v>8.07</v>
      </c>
      <c r="G20" s="913">
        <v>8.07</v>
      </c>
      <c r="H20" s="913">
        <v>8.07</v>
      </c>
    </row>
    <row r="21" spans="1:8">
      <c r="A21" s="915" t="s">
        <v>1282</v>
      </c>
      <c r="B21" s="915" t="s">
        <v>1282</v>
      </c>
      <c r="C21" s="915" t="s">
        <v>1282</v>
      </c>
      <c r="D21" s="915" t="s">
        <v>1282</v>
      </c>
      <c r="E21" s="914" t="s">
        <v>1013</v>
      </c>
      <c r="F21" s="913" t="s">
        <v>1013</v>
      </c>
      <c r="G21" s="913" t="s">
        <v>1013</v>
      </c>
      <c r="H21" s="913" t="s">
        <v>1013</v>
      </c>
    </row>
    <row r="22" spans="1:8">
      <c r="A22" s="915" t="s">
        <v>1260</v>
      </c>
      <c r="B22" s="915" t="s">
        <v>1260</v>
      </c>
      <c r="C22" s="915" t="s">
        <v>1260</v>
      </c>
      <c r="D22" s="915" t="s">
        <v>1260</v>
      </c>
      <c r="E22" s="914">
        <v>8.09</v>
      </c>
      <c r="F22" s="913">
        <v>8.09</v>
      </c>
      <c r="G22" s="913">
        <v>8.09</v>
      </c>
      <c r="H22" s="913">
        <v>8.09</v>
      </c>
    </row>
    <row r="23" spans="1:8">
      <c r="A23" s="915" t="s">
        <v>1261</v>
      </c>
      <c r="B23" s="915" t="s">
        <v>1261</v>
      </c>
      <c r="C23" s="915" t="s">
        <v>1261</v>
      </c>
      <c r="D23" s="915" t="s">
        <v>1261</v>
      </c>
      <c r="E23" s="914">
        <v>8.1</v>
      </c>
      <c r="F23" s="913">
        <v>8.1</v>
      </c>
      <c r="G23" s="913">
        <v>8.1</v>
      </c>
      <c r="H23" s="913">
        <v>8.1</v>
      </c>
    </row>
    <row r="24" spans="1:8">
      <c r="A24" s="915" t="s">
        <v>1259</v>
      </c>
      <c r="B24" s="915" t="s">
        <v>1259</v>
      </c>
      <c r="C24" s="915" t="s">
        <v>1259</v>
      </c>
      <c r="D24" s="915" t="s">
        <v>1259</v>
      </c>
      <c r="E24" s="914">
        <v>8.08</v>
      </c>
      <c r="F24" s="913">
        <v>8.08</v>
      </c>
      <c r="G24" s="913">
        <v>8.08</v>
      </c>
      <c r="H24" s="913">
        <v>8.08</v>
      </c>
    </row>
    <row r="25" spans="1:8">
      <c r="A25" s="915" t="s">
        <v>1283</v>
      </c>
      <c r="B25" s="915" t="s">
        <v>1283</v>
      </c>
      <c r="C25" s="915" t="s">
        <v>1283</v>
      </c>
      <c r="D25" s="915" t="s">
        <v>1283</v>
      </c>
      <c r="E25" s="914" t="s">
        <v>1013</v>
      </c>
      <c r="F25" s="913" t="s">
        <v>1013</v>
      </c>
      <c r="G25" s="913" t="s">
        <v>1013</v>
      </c>
      <c r="H25" s="913" t="s">
        <v>1013</v>
      </c>
    </row>
    <row r="26" spans="1:8">
      <c r="A26" s="915" t="s">
        <v>1284</v>
      </c>
      <c r="B26" s="915" t="s">
        <v>1284</v>
      </c>
      <c r="C26" s="915" t="s">
        <v>1284</v>
      </c>
      <c r="D26" s="915" t="s">
        <v>1284</v>
      </c>
      <c r="E26" s="914" t="s">
        <v>1013</v>
      </c>
      <c r="F26" s="913" t="s">
        <v>1013</v>
      </c>
      <c r="G26" s="913" t="s">
        <v>1013</v>
      </c>
      <c r="H26" s="913" t="s">
        <v>1013</v>
      </c>
    </row>
    <row r="27" spans="1:8">
      <c r="A27" s="915" t="s">
        <v>1285</v>
      </c>
      <c r="B27" s="915" t="s">
        <v>1285</v>
      </c>
      <c r="C27" s="915" t="s">
        <v>1285</v>
      </c>
      <c r="D27" s="915" t="s">
        <v>1285</v>
      </c>
      <c r="E27" s="914" t="s">
        <v>1013</v>
      </c>
      <c r="F27" s="913" t="s">
        <v>1013</v>
      </c>
      <c r="G27" s="913" t="s">
        <v>1013</v>
      </c>
      <c r="H27" s="913" t="s">
        <v>1013</v>
      </c>
    </row>
    <row r="28" spans="1:8">
      <c r="A28" s="915" t="s">
        <v>1075</v>
      </c>
      <c r="B28" s="915" t="s">
        <v>1075</v>
      </c>
      <c r="C28" s="915" t="s">
        <v>1075</v>
      </c>
      <c r="D28" s="915" t="s">
        <v>1075</v>
      </c>
      <c r="E28" s="914">
        <v>1.03</v>
      </c>
      <c r="F28" s="913">
        <v>1.03</v>
      </c>
      <c r="G28" s="913">
        <v>1.03</v>
      </c>
      <c r="H28" s="913">
        <v>1.03</v>
      </c>
    </row>
    <row r="29" spans="1:8">
      <c r="A29" s="915" t="s">
        <v>1076</v>
      </c>
      <c r="B29" s="915" t="s">
        <v>1076</v>
      </c>
      <c r="C29" s="915" t="s">
        <v>1076</v>
      </c>
      <c r="D29" s="915" t="s">
        <v>1076</v>
      </c>
      <c r="E29" s="914">
        <v>1.04</v>
      </c>
      <c r="F29" s="913">
        <v>1.04</v>
      </c>
      <c r="G29" s="913">
        <v>1.04</v>
      </c>
      <c r="H29" s="913">
        <v>1.04</v>
      </c>
    </row>
    <row r="30" spans="1:8">
      <c r="A30" s="915" t="s">
        <v>1286</v>
      </c>
      <c r="B30" s="915" t="s">
        <v>1286</v>
      </c>
      <c r="C30" s="915" t="s">
        <v>1286</v>
      </c>
      <c r="D30" s="915" t="s">
        <v>1286</v>
      </c>
      <c r="E30" s="914" t="s">
        <v>1013</v>
      </c>
      <c r="F30" s="913" t="s">
        <v>1013</v>
      </c>
      <c r="G30" s="913" t="s">
        <v>1013</v>
      </c>
      <c r="H30" s="913" t="s">
        <v>1013</v>
      </c>
    </row>
    <row r="31" spans="1:8">
      <c r="A31" s="915" t="s">
        <v>1287</v>
      </c>
      <c r="B31" s="915" t="s">
        <v>1287</v>
      </c>
      <c r="C31" s="915" t="s">
        <v>1287</v>
      </c>
      <c r="D31" s="915" t="s">
        <v>1287</v>
      </c>
      <c r="E31" s="914" t="s">
        <v>1013</v>
      </c>
      <c r="F31" s="913" t="s">
        <v>1013</v>
      </c>
      <c r="G31" s="913" t="s">
        <v>1013</v>
      </c>
      <c r="H31" s="913" t="s">
        <v>1013</v>
      </c>
    </row>
    <row r="32" spans="1:8">
      <c r="A32" s="915" t="s">
        <v>1077</v>
      </c>
      <c r="B32" s="915" t="s">
        <v>1077</v>
      </c>
      <c r="C32" s="915" t="s">
        <v>1077</v>
      </c>
      <c r="D32" s="915" t="s">
        <v>1077</v>
      </c>
      <c r="E32" s="914">
        <v>1.05</v>
      </c>
      <c r="F32" s="913">
        <v>1.05</v>
      </c>
      <c r="G32" s="913">
        <v>1.05</v>
      </c>
      <c r="H32" s="913">
        <v>1.05</v>
      </c>
    </row>
    <row r="33" spans="1:8">
      <c r="A33" s="915" t="s">
        <v>1078</v>
      </c>
      <c r="B33" s="915" t="s">
        <v>1078</v>
      </c>
      <c r="C33" s="915" t="s">
        <v>1078</v>
      </c>
      <c r="D33" s="915" t="s">
        <v>1078</v>
      </c>
      <c r="E33" s="914">
        <v>1.06</v>
      </c>
      <c r="F33" s="913">
        <v>1.06</v>
      </c>
      <c r="G33" s="913">
        <v>1.06</v>
      </c>
      <c r="H33" s="913">
        <v>1.06</v>
      </c>
    </row>
    <row r="34" spans="1:8">
      <c r="A34" s="915" t="s">
        <v>1081</v>
      </c>
      <c r="B34" s="915" t="s">
        <v>1081</v>
      </c>
      <c r="C34" s="915" t="s">
        <v>1081</v>
      </c>
      <c r="D34" s="915" t="s">
        <v>1081</v>
      </c>
      <c r="E34" s="914">
        <v>1.0900000000000001</v>
      </c>
      <c r="F34" s="913">
        <v>1.0900000000000001</v>
      </c>
      <c r="G34" s="913">
        <v>1.0900000000000001</v>
      </c>
      <c r="H34" s="913">
        <v>1.0900000000000001</v>
      </c>
    </row>
    <row r="35" spans="1:8">
      <c r="A35" s="915" t="s">
        <v>1083</v>
      </c>
      <c r="B35" s="915" t="s">
        <v>1083</v>
      </c>
      <c r="C35" s="915" t="s">
        <v>1083</v>
      </c>
      <c r="D35" s="915" t="s">
        <v>1083</v>
      </c>
      <c r="E35" s="914">
        <v>1.1100000000000001</v>
      </c>
      <c r="F35" s="913">
        <v>1.1100000000000001</v>
      </c>
      <c r="G35" s="913">
        <v>1.1100000000000001</v>
      </c>
      <c r="H35" s="913">
        <v>1.1100000000000001</v>
      </c>
    </row>
    <row r="36" spans="1:8">
      <c r="A36" s="915" t="s">
        <v>1082</v>
      </c>
      <c r="B36" s="915" t="s">
        <v>1082</v>
      </c>
      <c r="C36" s="915" t="s">
        <v>1082</v>
      </c>
      <c r="D36" s="915" t="s">
        <v>1082</v>
      </c>
      <c r="E36" s="914">
        <v>1.1000000000000001</v>
      </c>
      <c r="F36" s="913">
        <v>1.1000000000000001</v>
      </c>
      <c r="G36" s="913">
        <v>1.1000000000000001</v>
      </c>
      <c r="H36" s="913">
        <v>1.1000000000000001</v>
      </c>
    </row>
    <row r="37" spans="1:8">
      <c r="A37" s="915" t="s">
        <v>1084</v>
      </c>
      <c r="B37" s="915" t="s">
        <v>1084</v>
      </c>
      <c r="C37" s="915" t="s">
        <v>1084</v>
      </c>
      <c r="D37" s="915" t="s">
        <v>1084</v>
      </c>
      <c r="E37" s="914">
        <v>1.1200000000000001</v>
      </c>
      <c r="F37" s="913">
        <v>1.1200000000000001</v>
      </c>
      <c r="G37" s="913">
        <v>1.1200000000000001</v>
      </c>
      <c r="H37" s="913">
        <v>1.1200000000000001</v>
      </c>
    </row>
    <row r="38" spans="1:8">
      <c r="A38" s="915" t="s">
        <v>1085</v>
      </c>
      <c r="B38" s="915" t="s">
        <v>1085</v>
      </c>
      <c r="C38" s="915" t="s">
        <v>1085</v>
      </c>
      <c r="D38" s="915" t="s">
        <v>1085</v>
      </c>
      <c r="E38" s="914">
        <v>1.1299999999999999</v>
      </c>
      <c r="F38" s="913">
        <v>1.1299999999999999</v>
      </c>
      <c r="G38" s="913">
        <v>1.1299999999999999</v>
      </c>
      <c r="H38" s="913">
        <v>1.1299999999999999</v>
      </c>
    </row>
    <row r="39" spans="1:8">
      <c r="A39" s="915" t="s">
        <v>1097</v>
      </c>
      <c r="B39" s="915" t="s">
        <v>1097</v>
      </c>
      <c r="C39" s="915" t="s">
        <v>1097</v>
      </c>
      <c r="D39" s="915" t="s">
        <v>1097</v>
      </c>
      <c r="E39" s="914" t="s">
        <v>1013</v>
      </c>
      <c r="F39" s="913">
        <v>1.39</v>
      </c>
      <c r="G39" s="913">
        <v>1.39</v>
      </c>
      <c r="H39" s="913">
        <v>1.39</v>
      </c>
    </row>
    <row r="40" spans="1:8">
      <c r="A40" s="915" t="s">
        <v>1086</v>
      </c>
      <c r="B40" s="915" t="s">
        <v>1086</v>
      </c>
      <c r="C40" s="915" t="s">
        <v>1086</v>
      </c>
      <c r="D40" s="915" t="s">
        <v>1086</v>
      </c>
      <c r="E40" s="914">
        <v>1.1399999999999999</v>
      </c>
      <c r="F40" s="913">
        <v>1.1399999999999999</v>
      </c>
      <c r="G40" s="913">
        <v>1.1399999999999999</v>
      </c>
      <c r="H40" s="913">
        <v>1.1399999999999999</v>
      </c>
    </row>
    <row r="41" spans="1:8">
      <c r="A41" s="915" t="s">
        <v>1098</v>
      </c>
      <c r="B41" s="915" t="s">
        <v>1098</v>
      </c>
      <c r="C41" s="915" t="s">
        <v>1098</v>
      </c>
      <c r="D41" s="915" t="s">
        <v>1098</v>
      </c>
      <c r="E41" s="914" t="s">
        <v>1013</v>
      </c>
      <c r="F41" s="913">
        <v>1.4</v>
      </c>
      <c r="G41" s="913">
        <v>1.4</v>
      </c>
      <c r="H41" s="913">
        <v>1.4</v>
      </c>
    </row>
    <row r="42" spans="1:8">
      <c r="A42" s="915" t="s">
        <v>1087</v>
      </c>
      <c r="B42" s="915" t="s">
        <v>1087</v>
      </c>
      <c r="C42" s="915" t="s">
        <v>1087</v>
      </c>
      <c r="D42" s="915" t="s">
        <v>1087</v>
      </c>
      <c r="E42" s="914">
        <v>1.1499999999999999</v>
      </c>
      <c r="F42" s="913">
        <v>1.1499999999999999</v>
      </c>
      <c r="G42" s="913">
        <v>1.1499999999999999</v>
      </c>
      <c r="H42" s="913">
        <v>1.1499999999999999</v>
      </c>
    </row>
    <row r="43" spans="1:8">
      <c r="A43" s="915" t="s">
        <v>1088</v>
      </c>
      <c r="B43" s="915" t="s">
        <v>1088</v>
      </c>
      <c r="C43" s="915" t="s">
        <v>1088</v>
      </c>
      <c r="D43" s="915" t="s">
        <v>1088</v>
      </c>
      <c r="E43" s="914">
        <v>1.1599999999999999</v>
      </c>
      <c r="F43" s="913">
        <v>1.1599999999999999</v>
      </c>
      <c r="G43" s="913">
        <v>1.1599999999999999</v>
      </c>
      <c r="H43" s="913">
        <v>1.1599999999999999</v>
      </c>
    </row>
    <row r="44" spans="1:8">
      <c r="A44" s="915" t="s">
        <v>1089</v>
      </c>
      <c r="B44" s="915" t="s">
        <v>1089</v>
      </c>
      <c r="C44" s="915" t="s">
        <v>1089</v>
      </c>
      <c r="D44" s="915" t="s">
        <v>1089</v>
      </c>
      <c r="E44" s="914">
        <v>1.17</v>
      </c>
      <c r="F44" s="913">
        <v>1.17</v>
      </c>
      <c r="G44" s="913">
        <v>1.17</v>
      </c>
      <c r="H44" s="913">
        <v>1.17</v>
      </c>
    </row>
    <row r="45" spans="1:8">
      <c r="A45" s="915" t="s">
        <v>1090</v>
      </c>
      <c r="B45" s="915" t="s">
        <v>1090</v>
      </c>
      <c r="C45" s="915" t="s">
        <v>1090</v>
      </c>
      <c r="D45" s="915" t="s">
        <v>1090</v>
      </c>
      <c r="E45" s="914">
        <v>1.18</v>
      </c>
      <c r="F45" s="913">
        <v>1.18</v>
      </c>
      <c r="G45" s="913">
        <v>1.18</v>
      </c>
      <c r="H45" s="913">
        <v>1.18</v>
      </c>
    </row>
    <row r="46" spans="1:8">
      <c r="A46" s="915" t="s">
        <v>1288</v>
      </c>
      <c r="B46" s="915" t="s">
        <v>1288</v>
      </c>
      <c r="C46" s="915" t="s">
        <v>1288</v>
      </c>
      <c r="D46" s="915" t="s">
        <v>1288</v>
      </c>
      <c r="E46" s="914" t="s">
        <v>1013</v>
      </c>
      <c r="F46" s="913" t="s">
        <v>1013</v>
      </c>
      <c r="G46" s="913" t="s">
        <v>1013</v>
      </c>
      <c r="H46" s="913" t="s">
        <v>1013</v>
      </c>
    </row>
    <row r="47" spans="1:8">
      <c r="A47" s="915" t="s">
        <v>1289</v>
      </c>
      <c r="B47" s="915" t="s">
        <v>1289</v>
      </c>
      <c r="C47" s="915" t="s">
        <v>1289</v>
      </c>
      <c r="D47" s="915" t="s">
        <v>1289</v>
      </c>
      <c r="E47" s="914" t="s">
        <v>1013</v>
      </c>
      <c r="F47" s="913" t="s">
        <v>1013</v>
      </c>
      <c r="G47" s="913" t="s">
        <v>1013</v>
      </c>
      <c r="H47" s="913" t="s">
        <v>1013</v>
      </c>
    </row>
    <row r="48" spans="1:8">
      <c r="A48" s="915" t="s">
        <v>1079</v>
      </c>
      <c r="B48" s="915" t="s">
        <v>1079</v>
      </c>
      <c r="C48" s="915" t="s">
        <v>1079</v>
      </c>
      <c r="D48" s="915" t="s">
        <v>1079</v>
      </c>
      <c r="E48" s="914">
        <v>1.07</v>
      </c>
      <c r="F48" s="913">
        <v>1.07</v>
      </c>
      <c r="G48" s="913">
        <v>1.07</v>
      </c>
      <c r="H48" s="913">
        <v>1.07</v>
      </c>
    </row>
    <row r="49" spans="1:8">
      <c r="A49" s="915" t="s">
        <v>1080</v>
      </c>
      <c r="B49" s="915" t="s">
        <v>1080</v>
      </c>
      <c r="C49" s="915" t="s">
        <v>1080</v>
      </c>
      <c r="D49" s="915" t="s">
        <v>1080</v>
      </c>
      <c r="E49" s="914">
        <v>1.08</v>
      </c>
      <c r="F49" s="913">
        <v>1.08</v>
      </c>
      <c r="G49" s="913">
        <v>1.08</v>
      </c>
      <c r="H49" s="913">
        <v>1.08</v>
      </c>
    </row>
    <row r="50" spans="1:8">
      <c r="A50" s="915" t="s">
        <v>1096</v>
      </c>
      <c r="B50" s="915" t="s">
        <v>1096</v>
      </c>
      <c r="C50" s="915" t="s">
        <v>1096</v>
      </c>
      <c r="D50" s="915" t="s">
        <v>1096</v>
      </c>
      <c r="E50" s="914">
        <v>1.32</v>
      </c>
      <c r="F50" s="913">
        <v>1.32</v>
      </c>
      <c r="G50" s="913">
        <v>1.32</v>
      </c>
      <c r="H50" s="913">
        <v>1.32</v>
      </c>
    </row>
    <row r="51" spans="1:8">
      <c r="A51" s="915" t="s">
        <v>1290</v>
      </c>
      <c r="B51" s="915" t="s">
        <v>1290</v>
      </c>
      <c r="C51" s="915" t="s">
        <v>1290</v>
      </c>
      <c r="D51" s="915" t="s">
        <v>1290</v>
      </c>
      <c r="E51" s="914" t="s">
        <v>1013</v>
      </c>
      <c r="F51" s="913" t="s">
        <v>1013</v>
      </c>
      <c r="G51" s="913" t="s">
        <v>1013</v>
      </c>
      <c r="H51" s="913" t="s">
        <v>1013</v>
      </c>
    </row>
    <row r="52" spans="1:8">
      <c r="A52" s="915" t="s">
        <v>1091</v>
      </c>
      <c r="B52" s="915" t="s">
        <v>1091</v>
      </c>
      <c r="C52" s="915" t="s">
        <v>1091</v>
      </c>
      <c r="D52" s="915" t="s">
        <v>1091</v>
      </c>
      <c r="E52" s="914">
        <v>1.27</v>
      </c>
      <c r="F52" s="913">
        <v>1.27</v>
      </c>
      <c r="G52" s="913">
        <v>1.27</v>
      </c>
      <c r="H52" s="913">
        <v>1.27</v>
      </c>
    </row>
    <row r="53" spans="1:8">
      <c r="A53" s="915" t="s">
        <v>1092</v>
      </c>
      <c r="B53" s="915" t="s">
        <v>1092</v>
      </c>
      <c r="C53" s="915" t="s">
        <v>1092</v>
      </c>
      <c r="D53" s="915" t="s">
        <v>1092</v>
      </c>
      <c r="E53" s="914">
        <v>1.28</v>
      </c>
      <c r="F53" s="913">
        <v>1.28</v>
      </c>
      <c r="G53" s="913">
        <v>1.28</v>
      </c>
      <c r="H53" s="913">
        <v>1.28</v>
      </c>
    </row>
    <row r="54" spans="1:8">
      <c r="A54" s="915" t="s">
        <v>1093</v>
      </c>
      <c r="B54" s="915" t="s">
        <v>1093</v>
      </c>
      <c r="C54" s="915" t="s">
        <v>1093</v>
      </c>
      <c r="D54" s="915" t="s">
        <v>1093</v>
      </c>
      <c r="E54" s="914">
        <v>1.29</v>
      </c>
      <c r="F54" s="913">
        <v>1.29</v>
      </c>
      <c r="G54" s="913">
        <v>1.29</v>
      </c>
      <c r="H54" s="913">
        <v>1.29</v>
      </c>
    </row>
    <row r="55" spans="1:8">
      <c r="A55" s="915" t="s">
        <v>1094</v>
      </c>
      <c r="B55" s="915" t="s">
        <v>1094</v>
      </c>
      <c r="C55" s="915" t="s">
        <v>1094</v>
      </c>
      <c r="D55" s="915" t="s">
        <v>1094</v>
      </c>
      <c r="E55" s="914">
        <v>1.3</v>
      </c>
      <c r="F55" s="913">
        <v>1.3</v>
      </c>
      <c r="G55" s="913">
        <v>1.3</v>
      </c>
      <c r="H55" s="913">
        <v>1.3</v>
      </c>
    </row>
    <row r="56" spans="1:8">
      <c r="A56" s="915" t="s">
        <v>1095</v>
      </c>
      <c r="B56" s="915" t="s">
        <v>1095</v>
      </c>
      <c r="C56" s="915" t="s">
        <v>1095</v>
      </c>
      <c r="D56" s="915" t="s">
        <v>1095</v>
      </c>
      <c r="E56" s="914">
        <v>1.31</v>
      </c>
      <c r="F56" s="913">
        <v>1.31</v>
      </c>
      <c r="G56" s="913">
        <v>1.31</v>
      </c>
      <c r="H56" s="913">
        <v>1.31</v>
      </c>
    </row>
    <row r="57" spans="1:8">
      <c r="A57" s="915" t="s">
        <v>1242</v>
      </c>
      <c r="B57" s="915" t="s">
        <v>1242</v>
      </c>
      <c r="C57" s="915" t="s">
        <v>1242</v>
      </c>
      <c r="D57" s="915" t="s">
        <v>1242</v>
      </c>
      <c r="E57" s="915">
        <v>6.01</v>
      </c>
      <c r="F57" s="917">
        <v>6.01</v>
      </c>
      <c r="G57" s="917">
        <v>6.01</v>
      </c>
      <c r="H57" s="917">
        <v>6.01</v>
      </c>
    </row>
    <row r="58" spans="1:8">
      <c r="A58" s="915" t="s">
        <v>1244</v>
      </c>
      <c r="B58" s="915" t="s">
        <v>1244</v>
      </c>
      <c r="C58" s="915" t="s">
        <v>1244</v>
      </c>
      <c r="D58" s="915" t="s">
        <v>1244</v>
      </c>
      <c r="E58" s="915">
        <v>6.03</v>
      </c>
      <c r="F58" s="917">
        <v>6.03</v>
      </c>
      <c r="G58" s="917">
        <v>6.03</v>
      </c>
      <c r="H58" s="917">
        <v>6.03</v>
      </c>
    </row>
    <row r="59" spans="1:8">
      <c r="A59" s="915" t="s">
        <v>1243</v>
      </c>
      <c r="B59" s="915" t="s">
        <v>1243</v>
      </c>
      <c r="C59" s="915" t="s">
        <v>1243</v>
      </c>
      <c r="D59" s="915" t="s">
        <v>1243</v>
      </c>
      <c r="E59" s="915">
        <v>6.02</v>
      </c>
      <c r="F59" s="917">
        <v>6.02</v>
      </c>
      <c r="G59" s="917">
        <v>6.02</v>
      </c>
      <c r="H59" s="917">
        <v>6.02</v>
      </c>
    </row>
    <row r="60" spans="1:8">
      <c r="A60" s="915" t="s">
        <v>1291</v>
      </c>
      <c r="B60" s="915" t="s">
        <v>1291</v>
      </c>
      <c r="C60" s="915" t="s">
        <v>1291</v>
      </c>
      <c r="D60" s="915" t="s">
        <v>1291</v>
      </c>
      <c r="E60" s="914" t="s">
        <v>1013</v>
      </c>
      <c r="F60" s="913" t="s">
        <v>1013</v>
      </c>
      <c r="G60" s="913" t="s">
        <v>1013</v>
      </c>
      <c r="H60" s="913" t="s">
        <v>1013</v>
      </c>
    </row>
    <row r="61" spans="1:8">
      <c r="A61" s="915" t="s">
        <v>1245</v>
      </c>
      <c r="B61" s="915" t="s">
        <v>1245</v>
      </c>
      <c r="C61" s="915" t="s">
        <v>1245</v>
      </c>
      <c r="D61" s="915" t="s">
        <v>1245</v>
      </c>
      <c r="E61" s="915">
        <v>6.04</v>
      </c>
      <c r="F61" s="917">
        <v>6.04</v>
      </c>
      <c r="G61" s="917">
        <v>6.04</v>
      </c>
      <c r="H61" s="917">
        <v>6.04</v>
      </c>
    </row>
    <row r="62" spans="1:8">
      <c r="A62" s="915" t="s">
        <v>1246</v>
      </c>
      <c r="B62" s="915" t="s">
        <v>1246</v>
      </c>
      <c r="C62" s="915" t="s">
        <v>1246</v>
      </c>
      <c r="D62" s="915" t="s">
        <v>1246</v>
      </c>
      <c r="E62" s="915">
        <v>6.05</v>
      </c>
      <c r="F62" s="917">
        <v>6.05</v>
      </c>
      <c r="G62" s="917">
        <v>6.05</v>
      </c>
      <c r="H62" s="917">
        <v>6.05</v>
      </c>
    </row>
    <row r="63" spans="1:8">
      <c r="A63" s="915" t="s">
        <v>1247</v>
      </c>
      <c r="B63" s="915" t="s">
        <v>1247</v>
      </c>
      <c r="C63" s="915" t="s">
        <v>1247</v>
      </c>
      <c r="D63" s="915" t="s">
        <v>1247</v>
      </c>
      <c r="E63" s="915">
        <v>6.06</v>
      </c>
      <c r="F63" s="917">
        <v>6.06</v>
      </c>
      <c r="G63" s="917">
        <v>6.06</v>
      </c>
      <c r="H63" s="917">
        <v>6.06</v>
      </c>
    </row>
    <row r="64" spans="1:8">
      <c r="A64" s="915" t="s">
        <v>1248</v>
      </c>
      <c r="B64" s="915" t="s">
        <v>1248</v>
      </c>
      <c r="C64" s="915" t="s">
        <v>1248</v>
      </c>
      <c r="D64" s="915" t="s">
        <v>1248</v>
      </c>
      <c r="E64" s="915">
        <v>7.01</v>
      </c>
      <c r="F64" s="917">
        <v>7.01</v>
      </c>
      <c r="G64" s="917">
        <v>7.01</v>
      </c>
      <c r="H64" s="917">
        <v>7.01</v>
      </c>
    </row>
    <row r="65" spans="1:8">
      <c r="A65" s="915" t="s">
        <v>1249</v>
      </c>
      <c r="B65" s="915" t="s">
        <v>1249</v>
      </c>
      <c r="C65" s="915" t="s">
        <v>1249</v>
      </c>
      <c r="D65" s="915" t="s">
        <v>1249</v>
      </c>
      <c r="E65" s="915">
        <v>7.02</v>
      </c>
      <c r="F65" s="917">
        <v>7.02</v>
      </c>
      <c r="G65" s="917">
        <v>7.02</v>
      </c>
      <c r="H65" s="917">
        <v>7.02</v>
      </c>
    </row>
    <row r="66" spans="1:8">
      <c r="A66" s="915" t="s">
        <v>1250</v>
      </c>
      <c r="B66" s="915" t="s">
        <v>1250</v>
      </c>
      <c r="C66" s="915" t="s">
        <v>1250</v>
      </c>
      <c r="D66" s="915" t="s">
        <v>1250</v>
      </c>
      <c r="E66" s="915">
        <v>7.03</v>
      </c>
      <c r="F66" s="917">
        <v>7.03</v>
      </c>
      <c r="G66" s="917">
        <v>7.03</v>
      </c>
      <c r="H66" s="917">
        <v>7.03</v>
      </c>
    </row>
    <row r="67" spans="1:8">
      <c r="A67" s="915" t="s">
        <v>1251</v>
      </c>
      <c r="B67" s="915" t="s">
        <v>1251</v>
      </c>
      <c r="C67" s="915" t="s">
        <v>1251</v>
      </c>
      <c r="D67" s="915" t="s">
        <v>1251</v>
      </c>
      <c r="E67" s="915">
        <v>7.04</v>
      </c>
      <c r="F67" s="917">
        <v>7.04</v>
      </c>
      <c r="G67" s="917">
        <v>7.04</v>
      </c>
      <c r="H67" s="917">
        <v>7.04</v>
      </c>
    </row>
    <row r="68" spans="1:8">
      <c r="A68" s="915" t="s">
        <v>1252</v>
      </c>
      <c r="B68" s="915" t="s">
        <v>1252</v>
      </c>
      <c r="C68" s="915" t="s">
        <v>1252</v>
      </c>
      <c r="D68" s="915" t="s">
        <v>1252</v>
      </c>
      <c r="E68" s="915">
        <v>7.05</v>
      </c>
      <c r="F68" s="917">
        <v>7.05</v>
      </c>
      <c r="G68" s="917">
        <v>7.05</v>
      </c>
      <c r="H68" s="917">
        <v>7.05</v>
      </c>
    </row>
    <row r="69" spans="1:8">
      <c r="A69" s="912" t="s">
        <v>1013</v>
      </c>
      <c r="B69" s="912" t="s">
        <v>1013</v>
      </c>
      <c r="C69" s="912" t="s">
        <v>1237</v>
      </c>
      <c r="D69" s="912" t="s">
        <v>1237</v>
      </c>
      <c r="E69" s="912">
        <v>4.07</v>
      </c>
      <c r="F69" s="920">
        <v>4.07</v>
      </c>
      <c r="G69" s="920">
        <v>4.07</v>
      </c>
      <c r="H69" s="920">
        <v>4.07</v>
      </c>
    </row>
    <row r="70" spans="1:8">
      <c r="A70" s="912" t="s">
        <v>1013</v>
      </c>
      <c r="B70" s="912" t="s">
        <v>1013</v>
      </c>
      <c r="C70" s="915" t="s">
        <v>1230</v>
      </c>
      <c r="D70" s="915" t="s">
        <v>1230</v>
      </c>
      <c r="E70" s="915">
        <v>4.01</v>
      </c>
      <c r="F70" s="917">
        <v>4.01</v>
      </c>
      <c r="G70" s="917">
        <v>4.01</v>
      </c>
      <c r="H70" s="917">
        <v>4.01</v>
      </c>
    </row>
    <row r="71" spans="1:8">
      <c r="A71" s="915" t="s">
        <v>1239</v>
      </c>
      <c r="B71" s="915" t="s">
        <v>1239</v>
      </c>
      <c r="C71" s="915" t="s">
        <v>1238</v>
      </c>
      <c r="D71" s="915" t="s">
        <v>1238</v>
      </c>
      <c r="E71" s="915">
        <v>4.08</v>
      </c>
      <c r="F71" s="917">
        <v>4.08</v>
      </c>
      <c r="G71" s="917">
        <v>4.08</v>
      </c>
      <c r="H71" s="917">
        <v>4.08</v>
      </c>
    </row>
    <row r="72" spans="1:8">
      <c r="A72" s="915" t="s">
        <v>1238</v>
      </c>
      <c r="B72" s="915" t="s">
        <v>1238</v>
      </c>
      <c r="C72" s="915" t="s">
        <v>1240</v>
      </c>
      <c r="D72" s="915" t="s">
        <v>1240</v>
      </c>
      <c r="E72" s="915">
        <v>4.09</v>
      </c>
      <c r="F72" s="917">
        <v>4.09</v>
      </c>
      <c r="G72" s="917">
        <v>4.09</v>
      </c>
      <c r="H72" s="917">
        <v>4.09</v>
      </c>
    </row>
    <row r="73" spans="1:8">
      <c r="A73" s="915" t="s">
        <v>1240</v>
      </c>
      <c r="B73" s="915" t="s">
        <v>1240</v>
      </c>
      <c r="C73" s="915" t="s">
        <v>1232</v>
      </c>
      <c r="D73" s="915" t="s">
        <v>1232</v>
      </c>
      <c r="E73" s="914">
        <v>4.0999999999999996</v>
      </c>
      <c r="F73" s="913">
        <v>4.0999999999999996</v>
      </c>
      <c r="G73" s="913">
        <v>4.0999999999999996</v>
      </c>
      <c r="H73" s="913">
        <v>4.0999999999999996</v>
      </c>
    </row>
    <row r="74" spans="1:8">
      <c r="A74" s="915" t="s">
        <v>1232</v>
      </c>
      <c r="B74" s="915" t="s">
        <v>1232</v>
      </c>
      <c r="C74" s="915" t="s">
        <v>1231</v>
      </c>
      <c r="D74" s="915" t="s">
        <v>1231</v>
      </c>
      <c r="E74" s="915">
        <v>4.0199999999999996</v>
      </c>
      <c r="F74" s="917">
        <v>4.0199999999999996</v>
      </c>
      <c r="G74" s="917">
        <v>4.0199999999999996</v>
      </c>
      <c r="H74" s="917">
        <v>4.0199999999999996</v>
      </c>
    </row>
    <row r="75" spans="1:8">
      <c r="A75" s="915" t="s">
        <v>1231</v>
      </c>
      <c r="B75" s="915" t="s">
        <v>1231</v>
      </c>
      <c r="C75" s="915" t="s">
        <v>1292</v>
      </c>
      <c r="D75" s="915" t="s">
        <v>1292</v>
      </c>
      <c r="E75" s="914" t="s">
        <v>1013</v>
      </c>
      <c r="F75" s="913" t="s">
        <v>1013</v>
      </c>
      <c r="G75" s="913" t="s">
        <v>1013</v>
      </c>
      <c r="H75" s="913" t="s">
        <v>1013</v>
      </c>
    </row>
    <row r="76" spans="1:8">
      <c r="A76" s="915" t="s">
        <v>1292</v>
      </c>
      <c r="B76" s="915" t="s">
        <v>1292</v>
      </c>
      <c r="C76" s="915" t="s">
        <v>1293</v>
      </c>
      <c r="D76" s="915" t="s">
        <v>1293</v>
      </c>
      <c r="E76" s="914" t="s">
        <v>1013</v>
      </c>
      <c r="F76" s="913" t="s">
        <v>1013</v>
      </c>
      <c r="G76" s="913" t="s">
        <v>1013</v>
      </c>
      <c r="H76" s="913" t="s">
        <v>1013</v>
      </c>
    </row>
    <row r="77" spans="1:8">
      <c r="A77" s="915" t="s">
        <v>1293</v>
      </c>
      <c r="B77" s="915" t="s">
        <v>1293</v>
      </c>
      <c r="C77" s="915" t="s">
        <v>1234</v>
      </c>
      <c r="D77" s="915" t="s">
        <v>1234</v>
      </c>
      <c r="E77" s="914" t="s">
        <v>1013</v>
      </c>
      <c r="F77" s="913" t="s">
        <v>1013</v>
      </c>
      <c r="G77" s="913" t="s">
        <v>1013</v>
      </c>
      <c r="H77" s="913" t="s">
        <v>1013</v>
      </c>
    </row>
    <row r="78" spans="1:8">
      <c r="A78" s="915" t="s">
        <v>1234</v>
      </c>
      <c r="B78" s="915" t="s">
        <v>1234</v>
      </c>
      <c r="C78" s="915" t="s">
        <v>1233</v>
      </c>
      <c r="D78" s="915" t="s">
        <v>1233</v>
      </c>
      <c r="E78" s="915">
        <v>4.04</v>
      </c>
      <c r="F78" s="917">
        <v>4.04</v>
      </c>
      <c r="G78" s="917">
        <v>4.04</v>
      </c>
      <c r="H78" s="917">
        <v>4.04</v>
      </c>
    </row>
    <row r="79" spans="1:8">
      <c r="A79" s="915" t="s">
        <v>1233</v>
      </c>
      <c r="B79" s="915" t="s">
        <v>1233</v>
      </c>
      <c r="C79" s="915" t="s">
        <v>1235</v>
      </c>
      <c r="D79" s="915" t="s">
        <v>1235</v>
      </c>
      <c r="E79" s="915">
        <v>4.05</v>
      </c>
      <c r="F79" s="917">
        <v>4.05</v>
      </c>
      <c r="G79" s="917">
        <v>4.05</v>
      </c>
      <c r="H79" s="917">
        <v>4.05</v>
      </c>
    </row>
    <row r="80" spans="1:8">
      <c r="A80" s="915" t="s">
        <v>1235</v>
      </c>
      <c r="B80" s="915" t="s">
        <v>1235</v>
      </c>
      <c r="C80" s="915" t="s">
        <v>1236</v>
      </c>
      <c r="D80" s="915" t="s">
        <v>1236</v>
      </c>
      <c r="E80" s="915">
        <v>4.0599999999999996</v>
      </c>
      <c r="F80" s="917">
        <v>4.0599999999999996</v>
      </c>
      <c r="G80" s="917">
        <v>4.0599999999999996</v>
      </c>
      <c r="H80" s="917">
        <v>4.0599999999999996</v>
      </c>
    </row>
    <row r="81" spans="1:8">
      <c r="A81" s="915" t="s">
        <v>1222</v>
      </c>
      <c r="B81" s="915" t="s">
        <v>1223</v>
      </c>
      <c r="C81" s="915" t="s">
        <v>1222</v>
      </c>
      <c r="D81" s="915" t="s">
        <v>1222</v>
      </c>
      <c r="E81" s="915">
        <v>3.01</v>
      </c>
      <c r="F81" s="917">
        <v>3.01</v>
      </c>
      <c r="G81" s="917">
        <v>3.01</v>
      </c>
      <c r="H81" s="917">
        <v>3.01</v>
      </c>
    </row>
    <row r="82" spans="1:8">
      <c r="A82" s="915" t="s">
        <v>1223</v>
      </c>
      <c r="B82" s="915" t="s">
        <v>1224</v>
      </c>
      <c r="C82" s="915" t="s">
        <v>1222</v>
      </c>
      <c r="D82" s="915" t="s">
        <v>1222</v>
      </c>
      <c r="E82" s="915">
        <v>3.01</v>
      </c>
      <c r="F82" s="917">
        <v>3.01</v>
      </c>
      <c r="G82" s="917">
        <v>3.01</v>
      </c>
      <c r="H82" s="917">
        <v>3.01</v>
      </c>
    </row>
    <row r="83" spans="1:8">
      <c r="A83" s="915" t="s">
        <v>1224</v>
      </c>
      <c r="B83" s="915" t="s">
        <v>1225</v>
      </c>
      <c r="C83" s="915" t="s">
        <v>1222</v>
      </c>
      <c r="D83" s="915" t="s">
        <v>1222</v>
      </c>
      <c r="E83" s="915">
        <v>3.01</v>
      </c>
      <c r="F83" s="917">
        <v>3.01</v>
      </c>
      <c r="G83" s="917">
        <v>3.01</v>
      </c>
      <c r="H83" s="917">
        <v>3.01</v>
      </c>
    </row>
    <row r="84" spans="1:8">
      <c r="A84" s="915" t="s">
        <v>1225</v>
      </c>
      <c r="B84" s="915" t="s">
        <v>1222</v>
      </c>
      <c r="C84" s="915" t="s">
        <v>1013</v>
      </c>
      <c r="D84" s="915" t="s">
        <v>1013</v>
      </c>
      <c r="E84" s="915" t="s">
        <v>1013</v>
      </c>
      <c r="F84" s="917" t="s">
        <v>1013</v>
      </c>
      <c r="G84" s="917" t="s">
        <v>1013</v>
      </c>
      <c r="H84" s="917" t="s">
        <v>1013</v>
      </c>
    </row>
    <row r="85" spans="1:8">
      <c r="A85" s="915" t="s">
        <v>1013</v>
      </c>
      <c r="B85" s="915" t="s">
        <v>1226</v>
      </c>
      <c r="C85" s="915" t="s">
        <v>1222</v>
      </c>
      <c r="D85" s="915" t="s">
        <v>1222</v>
      </c>
      <c r="E85" s="915">
        <v>3.01</v>
      </c>
      <c r="F85" s="917">
        <v>3.01</v>
      </c>
      <c r="G85" s="917">
        <v>3.01</v>
      </c>
      <c r="H85" s="917">
        <v>3.01</v>
      </c>
    </row>
    <row r="86" spans="1:8">
      <c r="A86" s="915" t="s">
        <v>1013</v>
      </c>
      <c r="B86" s="915" t="s">
        <v>1013</v>
      </c>
      <c r="C86" s="915" t="s">
        <v>1223</v>
      </c>
      <c r="D86" s="915" t="s">
        <v>1223</v>
      </c>
      <c r="E86" s="915">
        <v>3.03</v>
      </c>
      <c r="F86" s="917">
        <v>3.03</v>
      </c>
      <c r="G86" s="917">
        <v>3.03</v>
      </c>
      <c r="H86" s="917">
        <v>3.03</v>
      </c>
    </row>
    <row r="87" spans="1:8">
      <c r="A87" s="915" t="s">
        <v>1013</v>
      </c>
      <c r="B87" s="915" t="s">
        <v>1013</v>
      </c>
      <c r="C87" s="915" t="s">
        <v>1224</v>
      </c>
      <c r="D87" s="915" t="s">
        <v>1224</v>
      </c>
      <c r="E87" s="915">
        <v>3.05</v>
      </c>
      <c r="F87" s="917">
        <v>3.05</v>
      </c>
      <c r="G87" s="917">
        <v>3.05</v>
      </c>
      <c r="H87" s="917">
        <v>3.05</v>
      </c>
    </row>
    <row r="88" spans="1:8">
      <c r="A88" s="915" t="s">
        <v>1013</v>
      </c>
      <c r="B88" s="915" t="s">
        <v>1013</v>
      </c>
      <c r="C88" s="915" t="s">
        <v>1225</v>
      </c>
      <c r="D88" s="915" t="s">
        <v>1013</v>
      </c>
      <c r="E88" s="915" t="s">
        <v>1013</v>
      </c>
      <c r="F88" s="917" t="s">
        <v>1013</v>
      </c>
      <c r="G88" s="923" t="s">
        <v>947</v>
      </c>
      <c r="H88" s="923" t="s">
        <v>947</v>
      </c>
    </row>
    <row r="89" spans="1:8">
      <c r="A89" s="915" t="s">
        <v>1274</v>
      </c>
      <c r="B89" s="915" t="s">
        <v>1273</v>
      </c>
      <c r="C89" s="915" t="s">
        <v>1273</v>
      </c>
      <c r="D89" s="915" t="s">
        <v>1273</v>
      </c>
      <c r="E89" s="914">
        <v>9.06</v>
      </c>
      <c r="F89" s="913">
        <v>9.14</v>
      </c>
      <c r="G89" s="913">
        <v>9.14</v>
      </c>
      <c r="H89" s="913">
        <v>9.14</v>
      </c>
    </row>
    <row r="90" spans="1:8">
      <c r="A90" s="915" t="s">
        <v>1270</v>
      </c>
      <c r="B90" s="915" t="s">
        <v>1269</v>
      </c>
      <c r="C90" s="915" t="s">
        <v>1269</v>
      </c>
      <c r="D90" s="915" t="s">
        <v>1269</v>
      </c>
      <c r="E90" s="914">
        <v>9.0399999999999991</v>
      </c>
      <c r="F90" s="913">
        <v>9.1199999999999992</v>
      </c>
      <c r="G90" s="913">
        <v>9.1199999999999992</v>
      </c>
      <c r="H90" s="913">
        <v>9.1199999999999992</v>
      </c>
    </row>
    <row r="91" spans="1:8">
      <c r="A91" s="915" t="s">
        <v>1272</v>
      </c>
      <c r="B91" s="915" t="s">
        <v>1271</v>
      </c>
      <c r="C91" s="915" t="s">
        <v>1271</v>
      </c>
      <c r="D91" s="915" t="s">
        <v>1271</v>
      </c>
      <c r="E91" s="914">
        <v>9.0500000000000007</v>
      </c>
      <c r="F91" s="913">
        <v>9.1300000000000008</v>
      </c>
      <c r="G91" s="913">
        <v>9.1300000000000008</v>
      </c>
      <c r="H91" s="913">
        <v>9.1300000000000008</v>
      </c>
    </row>
    <row r="92" spans="1:8">
      <c r="A92" s="915" t="s">
        <v>1298</v>
      </c>
      <c r="B92" s="915" t="s">
        <v>1297</v>
      </c>
      <c r="C92" s="915" t="s">
        <v>1297</v>
      </c>
      <c r="D92" s="915" t="s">
        <v>1297</v>
      </c>
      <c r="E92" s="914" t="s">
        <v>1013</v>
      </c>
      <c r="F92" s="913" t="s">
        <v>1013</v>
      </c>
      <c r="G92" s="913" t="s">
        <v>1013</v>
      </c>
      <c r="H92" s="913" t="s">
        <v>1013</v>
      </c>
    </row>
    <row r="93" spans="1:8">
      <c r="A93" s="915" t="s">
        <v>1300</v>
      </c>
      <c r="B93" s="915" t="s">
        <v>1299</v>
      </c>
      <c r="C93" s="915" t="s">
        <v>1299</v>
      </c>
      <c r="D93" s="915" t="s">
        <v>1299</v>
      </c>
      <c r="E93" s="914" t="s">
        <v>1013</v>
      </c>
      <c r="F93" s="913" t="s">
        <v>1013</v>
      </c>
      <c r="G93" s="913" t="s">
        <v>1013</v>
      </c>
      <c r="H93" s="913" t="s">
        <v>1013</v>
      </c>
    </row>
    <row r="94" spans="1:8">
      <c r="A94" s="915" t="s">
        <v>1302</v>
      </c>
      <c r="B94" s="915" t="s">
        <v>1301</v>
      </c>
      <c r="C94" s="915" t="s">
        <v>1301</v>
      </c>
      <c r="D94" s="915" t="s">
        <v>1301</v>
      </c>
      <c r="E94" s="914" t="s">
        <v>1013</v>
      </c>
      <c r="F94" s="913" t="s">
        <v>1013</v>
      </c>
      <c r="G94" s="913" t="s">
        <v>1013</v>
      </c>
      <c r="H94" s="913" t="s">
        <v>1013</v>
      </c>
    </row>
    <row r="95" spans="1:8">
      <c r="A95" s="915" t="s">
        <v>1215</v>
      </c>
      <c r="B95" s="915" t="s">
        <v>1303</v>
      </c>
      <c r="C95" s="915" t="s">
        <v>1303</v>
      </c>
      <c r="D95" s="915" t="s">
        <v>1303</v>
      </c>
      <c r="E95" s="914" t="s">
        <v>1013</v>
      </c>
      <c r="F95" s="913" t="s">
        <v>1013</v>
      </c>
      <c r="G95" s="913" t="s">
        <v>1013</v>
      </c>
      <c r="H95" s="913" t="s">
        <v>1013</v>
      </c>
    </row>
    <row r="96" spans="1:8">
      <c r="A96" s="915" t="s">
        <v>1264</v>
      </c>
      <c r="B96" s="915" t="s">
        <v>1263</v>
      </c>
      <c r="C96" s="915" t="s">
        <v>1263</v>
      </c>
      <c r="D96" s="915" t="s">
        <v>1262</v>
      </c>
      <c r="E96" s="914">
        <v>9.09</v>
      </c>
      <c r="F96" s="913">
        <v>9.09</v>
      </c>
      <c r="G96" s="913">
        <v>9.09</v>
      </c>
      <c r="H96" s="913">
        <v>9.09</v>
      </c>
    </row>
    <row r="97" spans="1:8">
      <c r="A97" s="915" t="s">
        <v>1266</v>
      </c>
      <c r="B97" s="915" t="s">
        <v>1265</v>
      </c>
      <c r="C97" s="915" t="s">
        <v>1265</v>
      </c>
      <c r="D97" s="915" t="s">
        <v>1265</v>
      </c>
      <c r="E97" s="914">
        <v>9.09</v>
      </c>
      <c r="F97" s="913">
        <v>9.09</v>
      </c>
      <c r="G97" s="913">
        <v>9.09</v>
      </c>
      <c r="H97" s="913">
        <v>9.09</v>
      </c>
    </row>
    <row r="98" spans="1:8">
      <c r="A98" s="915" t="s">
        <v>1217</v>
      </c>
      <c r="B98" s="915" t="s">
        <v>1268</v>
      </c>
      <c r="C98" s="915" t="s">
        <v>1268</v>
      </c>
      <c r="D98" s="915" t="s">
        <v>1267</v>
      </c>
      <c r="E98" s="914">
        <v>9.09</v>
      </c>
      <c r="F98" s="913">
        <v>9.09</v>
      </c>
      <c r="G98" s="913">
        <v>9.09</v>
      </c>
      <c r="H98" s="913">
        <v>9.09</v>
      </c>
    </row>
    <row r="99" spans="1:8">
      <c r="A99" s="915" t="s">
        <v>1218</v>
      </c>
      <c r="B99" s="915" t="s">
        <v>1267</v>
      </c>
      <c r="C99" s="915" t="s">
        <v>1267</v>
      </c>
      <c r="D99" s="915" t="s">
        <v>1267</v>
      </c>
      <c r="E99" s="914">
        <v>9.1</v>
      </c>
      <c r="F99" s="913">
        <v>9.16</v>
      </c>
      <c r="G99" s="913">
        <v>9.16</v>
      </c>
      <c r="H99" s="913">
        <v>9.16</v>
      </c>
    </row>
    <row r="100" spans="1:8">
      <c r="A100" s="915" t="s">
        <v>1013</v>
      </c>
      <c r="B100" s="915" t="s">
        <v>1213</v>
      </c>
      <c r="C100" s="915" t="s">
        <v>1213</v>
      </c>
      <c r="D100" s="915" t="s">
        <v>1213</v>
      </c>
      <c r="E100" s="915" t="s">
        <v>1309</v>
      </c>
      <c r="F100" s="917" t="s">
        <v>1309</v>
      </c>
      <c r="G100" s="917" t="s">
        <v>1309</v>
      </c>
      <c r="H100" s="917" t="s">
        <v>1309</v>
      </c>
    </row>
    <row r="101" spans="1:8">
      <c r="A101" s="915" t="s">
        <v>1013</v>
      </c>
      <c r="B101" s="915" t="s">
        <v>1270</v>
      </c>
      <c r="C101" s="915" t="s">
        <v>1270</v>
      </c>
      <c r="D101" s="915" t="s">
        <v>1270</v>
      </c>
      <c r="E101" s="914" t="s">
        <v>1013</v>
      </c>
      <c r="F101" s="913" t="s">
        <v>1013</v>
      </c>
      <c r="G101" s="913" t="s">
        <v>1013</v>
      </c>
      <c r="H101" s="913" t="s">
        <v>1013</v>
      </c>
    </row>
    <row r="102" spans="1:8">
      <c r="A102" s="915" t="s">
        <v>1013</v>
      </c>
      <c r="B102" s="915" t="s">
        <v>1272</v>
      </c>
      <c r="C102" s="915" t="s">
        <v>1272</v>
      </c>
      <c r="D102" s="915" t="s">
        <v>1272</v>
      </c>
      <c r="E102" s="914" t="s">
        <v>1013</v>
      </c>
      <c r="F102" s="913" t="s">
        <v>1013</v>
      </c>
      <c r="G102" s="913" t="s">
        <v>1013</v>
      </c>
      <c r="H102" s="913" t="s">
        <v>1013</v>
      </c>
    </row>
    <row r="103" spans="1:8">
      <c r="A103" s="915" t="s">
        <v>1013</v>
      </c>
      <c r="B103" s="915" t="s">
        <v>1294</v>
      </c>
      <c r="C103" s="915" t="s">
        <v>1294</v>
      </c>
      <c r="D103" s="915" t="s">
        <v>1294</v>
      </c>
      <c r="E103" s="914" t="s">
        <v>1013</v>
      </c>
      <c r="F103" s="913" t="s">
        <v>1013</v>
      </c>
      <c r="G103" s="913" t="s">
        <v>1013</v>
      </c>
      <c r="H103" s="913" t="s">
        <v>1013</v>
      </c>
    </row>
    <row r="104" spans="1:8">
      <c r="A104" s="915" t="s">
        <v>1013</v>
      </c>
      <c r="B104" s="915" t="s">
        <v>1295</v>
      </c>
      <c r="C104" s="915" t="s">
        <v>1295</v>
      </c>
      <c r="D104" s="915" t="s">
        <v>1295</v>
      </c>
      <c r="E104" s="914" t="s">
        <v>1013</v>
      </c>
      <c r="F104" s="913" t="s">
        <v>1013</v>
      </c>
      <c r="G104" s="913" t="s">
        <v>1013</v>
      </c>
      <c r="H104" s="913" t="s">
        <v>1013</v>
      </c>
    </row>
    <row r="105" spans="1:8">
      <c r="A105" s="915" t="s">
        <v>1013</v>
      </c>
      <c r="B105" s="915" t="s">
        <v>1214</v>
      </c>
      <c r="C105" s="915" t="s">
        <v>1214</v>
      </c>
      <c r="D105" s="915" t="s">
        <v>1214</v>
      </c>
      <c r="E105" s="915">
        <v>2.0299999999999998</v>
      </c>
      <c r="F105" s="917">
        <v>2.0299999999999998</v>
      </c>
      <c r="G105" s="917">
        <v>2.0299999999999998</v>
      </c>
      <c r="H105" s="917">
        <v>2.0299999999999998</v>
      </c>
    </row>
    <row r="106" spans="1:8">
      <c r="A106" s="915" t="s">
        <v>1013</v>
      </c>
      <c r="B106" s="915" t="s">
        <v>1013</v>
      </c>
      <c r="C106" s="915" t="s">
        <v>1215</v>
      </c>
      <c r="D106" s="915" t="s">
        <v>1215</v>
      </c>
      <c r="E106" s="915">
        <v>2.04</v>
      </c>
      <c r="F106" s="917">
        <v>2.04</v>
      </c>
      <c r="G106" s="917">
        <v>2.04</v>
      </c>
      <c r="H106" s="917">
        <v>2.04</v>
      </c>
    </row>
    <row r="107" spans="1:8">
      <c r="A107" s="915" t="s">
        <v>1013</v>
      </c>
      <c r="B107" s="915" t="s">
        <v>1013</v>
      </c>
      <c r="C107" s="915" t="s">
        <v>1216</v>
      </c>
      <c r="D107" s="915" t="s">
        <v>1216</v>
      </c>
      <c r="E107" s="915">
        <v>2.0499999999999998</v>
      </c>
      <c r="F107" s="917">
        <v>2.0499999999999998</v>
      </c>
      <c r="G107" s="917">
        <v>2.0499999999999998</v>
      </c>
      <c r="H107" s="917">
        <v>2.0499999999999998</v>
      </c>
    </row>
    <row r="108" spans="1:8">
      <c r="A108" s="915" t="s">
        <v>1013</v>
      </c>
      <c r="B108" s="915" t="s">
        <v>1013</v>
      </c>
      <c r="C108" s="915" t="s">
        <v>1266</v>
      </c>
      <c r="D108" s="915" t="s">
        <v>1266</v>
      </c>
      <c r="E108" s="914" t="s">
        <v>1013</v>
      </c>
      <c r="F108" s="913" t="s">
        <v>1013</v>
      </c>
      <c r="G108" s="913" t="s">
        <v>1013</v>
      </c>
      <c r="H108" s="913" t="s">
        <v>1013</v>
      </c>
    </row>
    <row r="109" spans="1:8">
      <c r="A109" s="915" t="s">
        <v>1013</v>
      </c>
      <c r="B109" s="915" t="s">
        <v>1013</v>
      </c>
      <c r="C109" s="915" t="s">
        <v>1217</v>
      </c>
      <c r="D109" s="915" t="s">
        <v>1217</v>
      </c>
      <c r="E109" s="915">
        <v>2.06</v>
      </c>
      <c r="F109" s="917">
        <v>2.06</v>
      </c>
      <c r="G109" s="917">
        <v>2.06</v>
      </c>
      <c r="H109" s="917">
        <v>2.06</v>
      </c>
    </row>
    <row r="110" spans="1:8">
      <c r="A110" s="915" t="s">
        <v>1013</v>
      </c>
      <c r="B110" s="915" t="s">
        <v>1215</v>
      </c>
      <c r="C110" s="915" t="s">
        <v>1218</v>
      </c>
      <c r="D110" s="915" t="s">
        <v>1218</v>
      </c>
      <c r="E110" s="915">
        <v>2.0699999999999998</v>
      </c>
      <c r="F110" s="917">
        <v>2.0699999999999998</v>
      </c>
      <c r="G110" s="917">
        <v>2.0699999999999998</v>
      </c>
      <c r="H110" s="917">
        <v>2.0699999999999998</v>
      </c>
    </row>
    <row r="111" spans="1:8">
      <c r="A111" s="915" t="s">
        <v>1013</v>
      </c>
      <c r="B111" s="915" t="s">
        <v>1216</v>
      </c>
      <c r="C111" s="915" t="s">
        <v>1219</v>
      </c>
      <c r="D111" s="915" t="s">
        <v>1219</v>
      </c>
      <c r="E111" s="915">
        <v>2.08</v>
      </c>
      <c r="F111" s="917">
        <v>2.08</v>
      </c>
      <c r="G111" s="917">
        <v>2.08</v>
      </c>
      <c r="H111" s="917">
        <v>2.08</v>
      </c>
    </row>
    <row r="112" spans="1:8">
      <c r="A112" s="915" t="s">
        <v>1013</v>
      </c>
      <c r="B112" s="915" t="s">
        <v>1013</v>
      </c>
      <c r="C112" s="915" t="s">
        <v>1013</v>
      </c>
      <c r="D112" s="915" t="s">
        <v>1296</v>
      </c>
      <c r="E112" s="914" t="s">
        <v>1013</v>
      </c>
      <c r="F112" s="913" t="s">
        <v>1013</v>
      </c>
      <c r="G112" s="913" t="s">
        <v>1013</v>
      </c>
      <c r="H112" s="913" t="s">
        <v>1013</v>
      </c>
    </row>
    <row r="113" spans="1:8">
      <c r="A113" s="915" t="s">
        <v>1013</v>
      </c>
      <c r="B113" s="915" t="s">
        <v>1013</v>
      </c>
      <c r="C113" s="915" t="s">
        <v>1013</v>
      </c>
      <c r="D113" s="915" t="s">
        <v>1220</v>
      </c>
      <c r="E113" s="915">
        <v>2.09</v>
      </c>
      <c r="F113" s="917">
        <v>2.09</v>
      </c>
      <c r="G113" s="917">
        <v>2.09</v>
      </c>
      <c r="H113" s="917">
        <v>2.09</v>
      </c>
    </row>
    <row r="114" spans="1:8">
      <c r="A114" s="916" t="s">
        <v>1013</v>
      </c>
      <c r="B114" s="916" t="s">
        <v>1013</v>
      </c>
      <c r="C114" s="916" t="s">
        <v>1013</v>
      </c>
      <c r="D114" s="916" t="s">
        <v>1013</v>
      </c>
      <c r="E114" s="914">
        <v>1.01</v>
      </c>
      <c r="F114" s="913">
        <v>1.01</v>
      </c>
      <c r="G114" s="913">
        <v>1.01</v>
      </c>
      <c r="H114" s="913">
        <v>1.01</v>
      </c>
    </row>
    <row r="115" spans="1:8">
      <c r="A115" s="916" t="s">
        <v>1013</v>
      </c>
      <c r="B115" s="916" t="s">
        <v>1013</v>
      </c>
      <c r="C115" s="916" t="s">
        <v>1013</v>
      </c>
      <c r="D115" s="916" t="s">
        <v>1013</v>
      </c>
      <c r="E115" s="914">
        <v>1.02</v>
      </c>
      <c r="F115" s="913">
        <v>1.02</v>
      </c>
      <c r="G115" s="913">
        <v>1.02</v>
      </c>
      <c r="H115" s="913">
        <v>1.02</v>
      </c>
    </row>
    <row r="116" spans="1:8">
      <c r="A116" s="916" t="s">
        <v>1013</v>
      </c>
      <c r="B116" s="916" t="s">
        <v>1013</v>
      </c>
      <c r="C116" s="916" t="s">
        <v>1013</v>
      </c>
      <c r="D116" s="916" t="s">
        <v>1013</v>
      </c>
      <c r="E116" s="914">
        <v>1.19</v>
      </c>
      <c r="F116" s="913">
        <v>1.19</v>
      </c>
      <c r="G116" s="913">
        <v>1.19</v>
      </c>
      <c r="H116" s="913">
        <v>1.19</v>
      </c>
    </row>
    <row r="117" spans="1:8">
      <c r="A117" s="916" t="s">
        <v>1013</v>
      </c>
      <c r="B117" s="916" t="s">
        <v>1013</v>
      </c>
      <c r="C117" s="916" t="s">
        <v>1013</v>
      </c>
      <c r="D117" s="916" t="s">
        <v>1013</v>
      </c>
      <c r="E117" s="914">
        <v>1.2</v>
      </c>
      <c r="F117" s="913">
        <v>1.2</v>
      </c>
      <c r="G117" s="913">
        <v>1.2</v>
      </c>
      <c r="H117" s="913">
        <v>1.2</v>
      </c>
    </row>
    <row r="118" spans="1:8">
      <c r="A118" s="916" t="s">
        <v>1013</v>
      </c>
      <c r="B118" s="916" t="s">
        <v>1013</v>
      </c>
      <c r="C118" s="916" t="s">
        <v>1013</v>
      </c>
      <c r="D118" s="916" t="s">
        <v>1013</v>
      </c>
      <c r="E118" s="914">
        <v>1.21</v>
      </c>
      <c r="F118" s="913">
        <v>1.21</v>
      </c>
      <c r="G118" s="913">
        <v>1.21</v>
      </c>
      <c r="H118" s="913">
        <v>1.21</v>
      </c>
    </row>
    <row r="119" spans="1:8">
      <c r="A119" s="916" t="s">
        <v>1013</v>
      </c>
      <c r="B119" s="916" t="s">
        <v>1013</v>
      </c>
      <c r="C119" s="916" t="s">
        <v>1013</v>
      </c>
      <c r="D119" s="916" t="s">
        <v>1013</v>
      </c>
      <c r="E119" s="914">
        <v>1.22</v>
      </c>
      <c r="F119" s="913">
        <v>1.22</v>
      </c>
      <c r="G119" s="913">
        <v>1.22</v>
      </c>
      <c r="H119" s="913">
        <v>1.22</v>
      </c>
    </row>
    <row r="120" spans="1:8">
      <c r="A120" s="916" t="s">
        <v>1013</v>
      </c>
      <c r="B120" s="916" t="s">
        <v>1013</v>
      </c>
      <c r="C120" s="916" t="s">
        <v>1013</v>
      </c>
      <c r="D120" s="916" t="s">
        <v>1013</v>
      </c>
      <c r="E120" s="914">
        <v>1.23</v>
      </c>
      <c r="F120" s="913">
        <v>1.23</v>
      </c>
      <c r="G120" s="913">
        <v>1.23</v>
      </c>
      <c r="H120" s="913">
        <v>1.23</v>
      </c>
    </row>
    <row r="121" spans="1:8">
      <c r="A121" s="916" t="s">
        <v>1013</v>
      </c>
      <c r="B121" s="916" t="s">
        <v>1013</v>
      </c>
      <c r="C121" s="916" t="s">
        <v>1013</v>
      </c>
      <c r="D121" s="916" t="s">
        <v>1013</v>
      </c>
      <c r="E121" s="914">
        <v>1.24</v>
      </c>
      <c r="F121" s="913">
        <v>1.24</v>
      </c>
      <c r="G121" s="913">
        <v>1.24</v>
      </c>
      <c r="H121" s="913">
        <v>1.24</v>
      </c>
    </row>
    <row r="122" spans="1:8">
      <c r="A122" s="916" t="s">
        <v>1013</v>
      </c>
      <c r="B122" s="916" t="s">
        <v>1013</v>
      </c>
      <c r="C122" s="916" t="s">
        <v>1013</v>
      </c>
      <c r="D122" s="916" t="s">
        <v>1013</v>
      </c>
      <c r="E122" s="914">
        <v>1.25</v>
      </c>
      <c r="F122" s="913">
        <v>1.25</v>
      </c>
      <c r="G122" s="913">
        <v>1.25</v>
      </c>
      <c r="H122" s="913">
        <v>1.25</v>
      </c>
    </row>
    <row r="123" spans="1:8">
      <c r="A123" s="916" t="s">
        <v>1013</v>
      </c>
      <c r="B123" s="916" t="s">
        <v>1013</v>
      </c>
      <c r="C123" s="916" t="s">
        <v>1013</v>
      </c>
      <c r="D123" s="916" t="s">
        <v>1013</v>
      </c>
      <c r="E123" s="914">
        <v>1.26</v>
      </c>
      <c r="F123" s="913">
        <v>1.26</v>
      </c>
      <c r="G123" s="913">
        <v>1.26</v>
      </c>
      <c r="H123" s="913">
        <v>1.26</v>
      </c>
    </row>
    <row r="124" spans="1:8">
      <c r="A124" s="916" t="s">
        <v>1013</v>
      </c>
      <c r="B124" s="916" t="s">
        <v>1013</v>
      </c>
      <c r="C124" s="916" t="s">
        <v>1013</v>
      </c>
      <c r="D124" s="916" t="s">
        <v>1013</v>
      </c>
      <c r="E124" s="914">
        <v>1.33</v>
      </c>
      <c r="F124" s="913">
        <v>1.33</v>
      </c>
      <c r="G124" s="913">
        <v>1.33</v>
      </c>
      <c r="H124" s="913">
        <v>1.33</v>
      </c>
    </row>
    <row r="125" spans="1:8">
      <c r="A125" s="916" t="s">
        <v>1013</v>
      </c>
      <c r="B125" s="916" t="s">
        <v>1013</v>
      </c>
      <c r="C125" s="916" t="s">
        <v>1013</v>
      </c>
      <c r="D125" s="916" t="s">
        <v>1013</v>
      </c>
      <c r="E125" s="914" t="s">
        <v>1013</v>
      </c>
      <c r="F125" s="913">
        <v>1.34</v>
      </c>
      <c r="G125" s="913">
        <v>1.34</v>
      </c>
      <c r="H125" s="913">
        <v>1.34</v>
      </c>
    </row>
    <row r="126" spans="1:8">
      <c r="A126" s="916" t="s">
        <v>1013</v>
      </c>
      <c r="B126" s="916" t="s">
        <v>1013</v>
      </c>
      <c r="C126" s="916" t="s">
        <v>1013</v>
      </c>
      <c r="D126" s="916" t="s">
        <v>1013</v>
      </c>
      <c r="E126" s="914" t="s">
        <v>1013</v>
      </c>
      <c r="F126" s="913">
        <v>1.35</v>
      </c>
      <c r="G126" s="913">
        <v>1.35</v>
      </c>
      <c r="H126" s="913">
        <v>1.35</v>
      </c>
    </row>
    <row r="127" spans="1:8">
      <c r="A127" s="916" t="s">
        <v>1013</v>
      </c>
      <c r="B127" s="916" t="s">
        <v>1013</v>
      </c>
      <c r="C127" s="916" t="s">
        <v>1013</v>
      </c>
      <c r="D127" s="916" t="s">
        <v>1013</v>
      </c>
      <c r="E127" s="914" t="s">
        <v>1013</v>
      </c>
      <c r="F127" s="913">
        <v>1.36</v>
      </c>
      <c r="G127" s="913">
        <v>1.36</v>
      </c>
      <c r="H127" s="913">
        <v>1.36</v>
      </c>
    </row>
    <row r="128" spans="1:8">
      <c r="A128" s="916" t="s">
        <v>1013</v>
      </c>
      <c r="B128" s="916" t="s">
        <v>1013</v>
      </c>
      <c r="C128" s="916" t="s">
        <v>1013</v>
      </c>
      <c r="D128" s="916" t="s">
        <v>1013</v>
      </c>
      <c r="E128" s="914" t="s">
        <v>1013</v>
      </c>
      <c r="F128" s="913">
        <v>1.37</v>
      </c>
      <c r="G128" s="913">
        <v>1.37</v>
      </c>
      <c r="H128" s="913">
        <v>1.37</v>
      </c>
    </row>
    <row r="129" spans="1:8">
      <c r="A129" s="916" t="s">
        <v>1013</v>
      </c>
      <c r="B129" s="916" t="s">
        <v>1013</v>
      </c>
      <c r="C129" s="916" t="s">
        <v>1013</v>
      </c>
      <c r="D129" s="916" t="s">
        <v>1013</v>
      </c>
      <c r="E129" s="914" t="s">
        <v>1013</v>
      </c>
      <c r="F129" s="913">
        <v>1.38</v>
      </c>
      <c r="G129" s="913">
        <v>1.38</v>
      </c>
      <c r="H129" s="913">
        <v>1.38</v>
      </c>
    </row>
    <row r="130" spans="1:8">
      <c r="A130" s="916" t="s">
        <v>1013</v>
      </c>
      <c r="B130" s="916" t="s">
        <v>1013</v>
      </c>
      <c r="C130" s="916" t="s">
        <v>1013</v>
      </c>
      <c r="D130" s="916" t="s">
        <v>1013</v>
      </c>
      <c r="E130" s="914" t="s">
        <v>1013</v>
      </c>
      <c r="F130" s="913">
        <v>1.43</v>
      </c>
      <c r="G130" s="913">
        <v>1.43</v>
      </c>
      <c r="H130" s="913">
        <v>1.43</v>
      </c>
    </row>
    <row r="131" spans="1:8">
      <c r="A131" s="916" t="s">
        <v>1013</v>
      </c>
      <c r="B131" s="916" t="s">
        <v>1013</v>
      </c>
      <c r="C131" s="916" t="s">
        <v>1013</v>
      </c>
      <c r="D131" s="916" t="s">
        <v>1013</v>
      </c>
      <c r="E131" s="914" t="s">
        <v>1013</v>
      </c>
      <c r="F131" s="918" t="s">
        <v>1221</v>
      </c>
      <c r="G131" s="918" t="s">
        <v>1221</v>
      </c>
      <c r="H131" s="918" t="s">
        <v>1221</v>
      </c>
    </row>
    <row r="132" spans="1:8">
      <c r="A132" s="916" t="s">
        <v>1013</v>
      </c>
      <c r="B132" s="916" t="s">
        <v>1013</v>
      </c>
      <c r="C132" s="916" t="s">
        <v>1013</v>
      </c>
      <c r="D132" s="916" t="s">
        <v>1013</v>
      </c>
      <c r="E132" s="914" t="s">
        <v>1013</v>
      </c>
      <c r="F132" s="913">
        <v>2.11</v>
      </c>
      <c r="G132" s="913">
        <v>2.11</v>
      </c>
      <c r="H132" s="913">
        <v>2.11</v>
      </c>
    </row>
    <row r="133" spans="1:8">
      <c r="A133" s="916" t="s">
        <v>1013</v>
      </c>
      <c r="B133" s="916" t="s">
        <v>1013</v>
      </c>
      <c r="C133" s="916" t="s">
        <v>1013</v>
      </c>
      <c r="D133" s="916" t="s">
        <v>1013</v>
      </c>
      <c r="E133" s="915">
        <v>3.02</v>
      </c>
      <c r="F133" s="917">
        <v>3.02</v>
      </c>
      <c r="G133" s="917">
        <v>3.02</v>
      </c>
      <c r="H133" s="917">
        <v>3.02</v>
      </c>
    </row>
    <row r="134" spans="1:8">
      <c r="A134" s="916" t="s">
        <v>1013</v>
      </c>
      <c r="B134" s="916" t="s">
        <v>1013</v>
      </c>
      <c r="C134" s="916" t="s">
        <v>1013</v>
      </c>
      <c r="D134" s="916" t="s">
        <v>1013</v>
      </c>
      <c r="E134" s="915">
        <v>3.06</v>
      </c>
      <c r="F134" s="917">
        <v>3.06</v>
      </c>
      <c r="G134" s="917">
        <v>3.06</v>
      </c>
      <c r="H134" s="917">
        <v>3.06</v>
      </c>
    </row>
    <row r="135" spans="1:8">
      <c r="A135" s="916" t="s">
        <v>1013</v>
      </c>
      <c r="B135" s="916" t="s">
        <v>1013</v>
      </c>
      <c r="C135" s="916" t="s">
        <v>1013</v>
      </c>
      <c r="D135" s="916" t="s">
        <v>1013</v>
      </c>
      <c r="E135" s="915" t="s">
        <v>1013</v>
      </c>
      <c r="F135" s="917">
        <v>3.07</v>
      </c>
      <c r="G135" s="917">
        <v>3.07</v>
      </c>
      <c r="H135" s="917">
        <v>3.07</v>
      </c>
    </row>
    <row r="136" spans="1:8">
      <c r="A136" s="916" t="s">
        <v>1013</v>
      </c>
      <c r="B136" s="916" t="s">
        <v>1013</v>
      </c>
      <c r="C136" s="916" t="s">
        <v>1013</v>
      </c>
      <c r="D136" s="916" t="s">
        <v>1013</v>
      </c>
      <c r="E136" s="915" t="s">
        <v>1013</v>
      </c>
      <c r="F136" s="917">
        <v>3.08</v>
      </c>
      <c r="G136" s="917">
        <v>3.08</v>
      </c>
      <c r="H136" s="917">
        <v>3.08</v>
      </c>
    </row>
    <row r="137" spans="1:8">
      <c r="A137" s="916" t="s">
        <v>1013</v>
      </c>
      <c r="B137" s="916" t="s">
        <v>1013</v>
      </c>
      <c r="C137" s="916" t="s">
        <v>1013</v>
      </c>
      <c r="D137" s="916" t="s">
        <v>1013</v>
      </c>
      <c r="E137" s="915" t="s">
        <v>1013</v>
      </c>
      <c r="F137" s="917">
        <v>3.09</v>
      </c>
      <c r="G137" s="917">
        <v>3.09</v>
      </c>
      <c r="H137" s="917">
        <v>3.09</v>
      </c>
    </row>
    <row r="138" spans="1:8">
      <c r="A138" s="916" t="s">
        <v>1013</v>
      </c>
      <c r="B138" s="916" t="s">
        <v>1013</v>
      </c>
      <c r="C138" s="916" t="s">
        <v>1013</v>
      </c>
      <c r="D138" s="916" t="s">
        <v>1013</v>
      </c>
      <c r="E138" s="915">
        <v>4.03</v>
      </c>
      <c r="F138" s="917">
        <v>4.03</v>
      </c>
      <c r="G138" s="917">
        <v>4.03</v>
      </c>
      <c r="H138" s="917">
        <v>4.03</v>
      </c>
    </row>
    <row r="139" spans="1:8">
      <c r="A139" s="916" t="s">
        <v>1013</v>
      </c>
      <c r="B139" s="916" t="s">
        <v>1013</v>
      </c>
      <c r="C139" s="916" t="s">
        <v>1013</v>
      </c>
      <c r="D139" s="916" t="s">
        <v>1013</v>
      </c>
      <c r="E139" s="915">
        <v>5.01</v>
      </c>
      <c r="F139" s="917">
        <v>5.0199999999999996</v>
      </c>
      <c r="G139" s="917">
        <v>5.01</v>
      </c>
      <c r="H139" s="917">
        <v>5.01</v>
      </c>
    </row>
    <row r="140" spans="1:8">
      <c r="A140" s="916" t="s">
        <v>1013</v>
      </c>
      <c r="B140" s="916" t="s">
        <v>1013</v>
      </c>
      <c r="C140" s="916" t="s">
        <v>1013</v>
      </c>
      <c r="D140" s="916" t="s">
        <v>1013</v>
      </c>
      <c r="E140" s="915">
        <v>5.0199999999999996</v>
      </c>
      <c r="F140" s="917">
        <v>5.0199999999999996</v>
      </c>
      <c r="G140" s="917">
        <v>5.01</v>
      </c>
      <c r="H140" s="917">
        <v>5.01</v>
      </c>
    </row>
    <row r="141" spans="1:8">
      <c r="A141" s="916" t="s">
        <v>1013</v>
      </c>
      <c r="B141" s="916" t="s">
        <v>1013</v>
      </c>
      <c r="C141" s="916" t="s">
        <v>1013</v>
      </c>
      <c r="D141" s="916" t="s">
        <v>1013</v>
      </c>
      <c r="E141" s="915">
        <v>5.03</v>
      </c>
      <c r="F141" s="917">
        <v>5.0199999999999996</v>
      </c>
      <c r="G141" s="917">
        <v>5.01</v>
      </c>
      <c r="H141" s="917">
        <v>5.01</v>
      </c>
    </row>
    <row r="142" spans="1:8">
      <c r="A142" s="916" t="s">
        <v>1013</v>
      </c>
      <c r="B142" s="916" t="s">
        <v>1013</v>
      </c>
      <c r="C142" s="916" t="s">
        <v>1013</v>
      </c>
      <c r="D142" s="916" t="s">
        <v>1013</v>
      </c>
      <c r="E142" s="914">
        <v>9.01</v>
      </c>
      <c r="F142" s="913">
        <v>9.01</v>
      </c>
      <c r="G142" s="913">
        <v>9.01</v>
      </c>
      <c r="H142" s="913">
        <v>9.19</v>
      </c>
    </row>
    <row r="143" spans="1:8">
      <c r="A143" s="916" t="s">
        <v>1013</v>
      </c>
      <c r="B143" s="916" t="s">
        <v>1013</v>
      </c>
      <c r="C143" s="916" t="s">
        <v>1013</v>
      </c>
      <c r="D143" s="916" t="s">
        <v>1013</v>
      </c>
      <c r="E143" s="914">
        <v>9.02</v>
      </c>
      <c r="F143" s="913">
        <v>9.02</v>
      </c>
      <c r="G143" s="913">
        <v>9.02</v>
      </c>
      <c r="H143" s="913">
        <v>9.02</v>
      </c>
    </row>
    <row r="144" spans="1:8">
      <c r="A144" s="916" t="s">
        <v>1013</v>
      </c>
      <c r="B144" s="916" t="s">
        <v>1013</v>
      </c>
      <c r="C144" s="916" t="s">
        <v>1013</v>
      </c>
      <c r="D144" s="916" t="s">
        <v>1013</v>
      </c>
      <c r="E144" s="914">
        <v>9.0299999999999994</v>
      </c>
      <c r="F144" s="913">
        <v>9.0299999999999994</v>
      </c>
      <c r="G144" s="913">
        <v>9.0299999999999994</v>
      </c>
      <c r="H144" s="913">
        <v>9.0299999999999994</v>
      </c>
    </row>
    <row r="145" spans="1:8">
      <c r="A145" s="916" t="s">
        <v>1013</v>
      </c>
      <c r="B145" s="916" t="s">
        <v>1013</v>
      </c>
      <c r="C145" s="916" t="s">
        <v>1013</v>
      </c>
      <c r="D145" s="916" t="s">
        <v>1013</v>
      </c>
      <c r="E145" s="921" t="s">
        <v>1013</v>
      </c>
      <c r="F145" s="913">
        <v>9.0399999999999991</v>
      </c>
      <c r="G145" s="913">
        <v>9.0399999999999991</v>
      </c>
      <c r="H145" s="913">
        <v>9.0399999999999991</v>
      </c>
    </row>
    <row r="146" spans="1:8">
      <c r="A146" s="916" t="s">
        <v>1013</v>
      </c>
      <c r="B146" s="916" t="s">
        <v>1013</v>
      </c>
      <c r="C146" s="916" t="s">
        <v>1013</v>
      </c>
      <c r="D146" s="916" t="s">
        <v>1013</v>
      </c>
      <c r="E146" s="921" t="s">
        <v>1013</v>
      </c>
      <c r="F146" s="913">
        <v>9.0500000000000007</v>
      </c>
      <c r="G146" s="913">
        <v>9.0500000000000007</v>
      </c>
      <c r="H146" s="913">
        <v>9.0500000000000007</v>
      </c>
    </row>
    <row r="147" spans="1:8">
      <c r="A147" s="915" t="s">
        <v>1013</v>
      </c>
      <c r="B147" s="915" t="s">
        <v>1013</v>
      </c>
      <c r="C147" s="915" t="s">
        <v>1013</v>
      </c>
      <c r="D147" s="915" t="s">
        <v>1013</v>
      </c>
      <c r="E147" s="914" t="s">
        <v>1013</v>
      </c>
      <c r="F147" s="913">
        <v>9.06</v>
      </c>
      <c r="G147" s="913">
        <v>9.06</v>
      </c>
      <c r="H147" s="913">
        <v>9.06</v>
      </c>
    </row>
    <row r="148" spans="1:8">
      <c r="A148" s="915" t="s">
        <v>1013</v>
      </c>
      <c r="B148" s="915" t="s">
        <v>1013</v>
      </c>
      <c r="C148" s="915" t="s">
        <v>1013</v>
      </c>
      <c r="D148" s="915" t="s">
        <v>1013</v>
      </c>
      <c r="E148" s="914" t="s">
        <v>1013</v>
      </c>
      <c r="F148" s="913">
        <v>9.07</v>
      </c>
      <c r="G148" s="913">
        <v>9.07</v>
      </c>
      <c r="H148" s="913">
        <v>9.07</v>
      </c>
    </row>
    <row r="149" spans="1:8">
      <c r="A149" s="915" t="s">
        <v>1013</v>
      </c>
      <c r="B149" s="915" t="s">
        <v>1013</v>
      </c>
      <c r="C149" s="915" t="s">
        <v>1013</v>
      </c>
      <c r="D149" s="915" t="s">
        <v>1013</v>
      </c>
      <c r="E149" s="914" t="s">
        <v>1013</v>
      </c>
      <c r="F149" s="913">
        <v>9.08</v>
      </c>
      <c r="G149" s="913">
        <v>9.08</v>
      </c>
      <c r="H149" s="913">
        <v>9.08</v>
      </c>
    </row>
    <row r="150" spans="1:8">
      <c r="A150" s="916" t="s">
        <v>1013</v>
      </c>
      <c r="B150" s="916" t="s">
        <v>1013</v>
      </c>
      <c r="C150" s="916" t="s">
        <v>1013</v>
      </c>
      <c r="D150" s="916" t="s">
        <v>1013</v>
      </c>
      <c r="E150" s="914">
        <v>9.07</v>
      </c>
      <c r="F150" s="913">
        <v>1.41</v>
      </c>
      <c r="G150" s="913">
        <v>1.41</v>
      </c>
      <c r="H150" s="913">
        <v>1.41</v>
      </c>
    </row>
    <row r="151" spans="1:8">
      <c r="A151" s="916" t="s">
        <v>1013</v>
      </c>
      <c r="B151" s="916" t="s">
        <v>1013</v>
      </c>
      <c r="C151" s="916" t="s">
        <v>1013</v>
      </c>
      <c r="D151" s="916" t="s">
        <v>1013</v>
      </c>
      <c r="E151" s="914">
        <v>9.11</v>
      </c>
      <c r="F151" s="913">
        <v>9.11</v>
      </c>
      <c r="G151" s="913">
        <v>9.11</v>
      </c>
      <c r="H151" s="913">
        <v>9.11</v>
      </c>
    </row>
    <row r="152" spans="1:8">
      <c r="A152" s="916" t="s">
        <v>1013</v>
      </c>
      <c r="B152" s="916" t="s">
        <v>1013</v>
      </c>
      <c r="C152" s="916" t="s">
        <v>1013</v>
      </c>
      <c r="D152" s="916" t="s">
        <v>1013</v>
      </c>
      <c r="E152" s="914" t="s">
        <v>1013</v>
      </c>
      <c r="F152" s="913">
        <v>9.15</v>
      </c>
      <c r="G152" s="913">
        <v>9.15</v>
      </c>
      <c r="H152" s="913">
        <v>9.15</v>
      </c>
    </row>
    <row r="153" spans="1:8">
      <c r="A153" s="916" t="s">
        <v>1013</v>
      </c>
      <c r="B153" s="916" t="s">
        <v>1013</v>
      </c>
      <c r="C153" s="916" t="s">
        <v>1013</v>
      </c>
      <c r="D153" s="916" t="s">
        <v>1013</v>
      </c>
      <c r="E153" s="921" t="s">
        <v>1013</v>
      </c>
      <c r="F153" s="913">
        <v>9.17</v>
      </c>
      <c r="G153" s="913">
        <v>9.17</v>
      </c>
      <c r="H153" s="913">
        <v>9.17</v>
      </c>
    </row>
    <row r="154" spans="1:8">
      <c r="A154" s="916" t="s">
        <v>1013</v>
      </c>
      <c r="B154" s="916" t="s">
        <v>1013</v>
      </c>
      <c r="C154" s="916" t="s">
        <v>1013</v>
      </c>
      <c r="D154" s="916" t="s">
        <v>1013</v>
      </c>
      <c r="E154" s="921" t="s">
        <v>1013</v>
      </c>
      <c r="F154" s="913">
        <v>9.18</v>
      </c>
      <c r="G154" s="913">
        <v>9.18</v>
      </c>
      <c r="H154" s="913">
        <v>9.18</v>
      </c>
    </row>
    <row r="155" spans="1:8">
      <c r="A155" s="916" t="s">
        <v>1013</v>
      </c>
      <c r="B155" s="916" t="s">
        <v>1013</v>
      </c>
      <c r="C155" s="916" t="s">
        <v>1013</v>
      </c>
      <c r="D155" s="916" t="s">
        <v>1013</v>
      </c>
      <c r="E155" s="921" t="s">
        <v>1013</v>
      </c>
      <c r="F155" s="913">
        <v>5.01</v>
      </c>
      <c r="G155" s="913">
        <v>5.0199999999999996</v>
      </c>
      <c r="H155" s="913">
        <v>5.0199999999999996</v>
      </c>
    </row>
    <row r="156" spans="1:8">
      <c r="A156" s="916" t="s">
        <v>1013</v>
      </c>
      <c r="B156" s="916" t="s">
        <v>1013</v>
      </c>
      <c r="C156" s="916" t="s">
        <v>1013</v>
      </c>
      <c r="D156" s="916" t="s">
        <v>1013</v>
      </c>
      <c r="E156" s="921" t="s">
        <v>1013</v>
      </c>
      <c r="F156" s="913" t="s">
        <v>1013</v>
      </c>
      <c r="G156" s="913">
        <v>1.44</v>
      </c>
      <c r="H156" s="913">
        <v>1.44</v>
      </c>
    </row>
    <row r="157" spans="1:8">
      <c r="A157" s="916" t="s">
        <v>1013</v>
      </c>
      <c r="B157" s="916" t="s">
        <v>1013</v>
      </c>
      <c r="C157" s="916" t="s">
        <v>1013</v>
      </c>
      <c r="D157" s="916" t="s">
        <v>1013</v>
      </c>
      <c r="E157" s="921" t="s">
        <v>1013</v>
      </c>
      <c r="F157" s="913" t="s">
        <v>1013</v>
      </c>
      <c r="G157" s="913" t="s">
        <v>1013</v>
      </c>
      <c r="H157" s="913">
        <v>1.45</v>
      </c>
    </row>
    <row r="158" spans="1:8">
      <c r="A158" s="916" t="s">
        <v>1013</v>
      </c>
      <c r="B158" s="916" t="s">
        <v>1013</v>
      </c>
      <c r="C158" s="916" t="s">
        <v>1013</v>
      </c>
      <c r="D158" s="916" t="s">
        <v>1013</v>
      </c>
      <c r="E158" s="921" t="s">
        <v>1013</v>
      </c>
      <c r="F158" s="913" t="s">
        <v>1013</v>
      </c>
      <c r="G158" s="913" t="s">
        <v>1013</v>
      </c>
      <c r="H158" s="913">
        <v>1.46</v>
      </c>
    </row>
    <row r="159" spans="1:8">
      <c r="A159" s="916" t="s">
        <v>1013</v>
      </c>
      <c r="B159" s="916" t="s">
        <v>1013</v>
      </c>
      <c r="C159" s="916" t="s">
        <v>1013</v>
      </c>
      <c r="D159" s="916" t="s">
        <v>1013</v>
      </c>
      <c r="E159" s="921" t="s">
        <v>1013</v>
      </c>
      <c r="F159" s="913" t="s">
        <v>1013</v>
      </c>
      <c r="G159" s="913" t="s">
        <v>1013</v>
      </c>
      <c r="H159" s="913">
        <v>1.47</v>
      </c>
    </row>
    <row r="160" spans="1:8">
      <c r="A160" s="916" t="s">
        <v>1013</v>
      </c>
      <c r="B160" s="916" t="s">
        <v>1013</v>
      </c>
      <c r="C160" s="916" t="s">
        <v>1013</v>
      </c>
      <c r="D160" s="916" t="s">
        <v>1013</v>
      </c>
      <c r="E160" s="921" t="s">
        <v>1013</v>
      </c>
      <c r="F160" s="913" t="s">
        <v>1013</v>
      </c>
      <c r="G160" s="913" t="s">
        <v>1013</v>
      </c>
      <c r="H160" s="913">
        <v>1.48</v>
      </c>
    </row>
    <row r="161" spans="1:8">
      <c r="A161" s="916" t="s">
        <v>1013</v>
      </c>
      <c r="B161" s="916" t="s">
        <v>1013</v>
      </c>
      <c r="C161" s="916" t="s">
        <v>1013</v>
      </c>
      <c r="D161" s="916" t="s">
        <v>1013</v>
      </c>
      <c r="E161" s="921" t="s">
        <v>1013</v>
      </c>
      <c r="F161" s="913" t="s">
        <v>1013</v>
      </c>
      <c r="G161" s="913" t="s">
        <v>1013</v>
      </c>
      <c r="H161" s="913">
        <v>1.49</v>
      </c>
    </row>
    <row r="162" spans="1:8">
      <c r="A162" s="916" t="s">
        <v>1013</v>
      </c>
      <c r="B162" s="916" t="s">
        <v>1013</v>
      </c>
      <c r="C162" s="916" t="s">
        <v>1013</v>
      </c>
      <c r="D162" s="916" t="s">
        <v>1013</v>
      </c>
      <c r="E162" s="921" t="s">
        <v>1013</v>
      </c>
      <c r="F162" s="913" t="s">
        <v>1013</v>
      </c>
      <c r="G162" s="913">
        <v>2.12</v>
      </c>
      <c r="H162" s="913">
        <v>2.12</v>
      </c>
    </row>
    <row r="163" spans="1:8">
      <c r="A163" s="916" t="s">
        <v>1013</v>
      </c>
      <c r="B163" s="916" t="s">
        <v>1013</v>
      </c>
      <c r="C163" s="916" t="s">
        <v>1013</v>
      </c>
      <c r="D163" s="916" t="s">
        <v>1013</v>
      </c>
      <c r="E163" s="921" t="s">
        <v>1013</v>
      </c>
      <c r="F163" s="913" t="s">
        <v>1013</v>
      </c>
      <c r="G163" s="913" t="s">
        <v>1013</v>
      </c>
      <c r="H163" s="913">
        <v>2.13</v>
      </c>
    </row>
    <row r="164" spans="1:8">
      <c r="A164" s="916" t="s">
        <v>1013</v>
      </c>
      <c r="B164" s="916" t="s">
        <v>1013</v>
      </c>
      <c r="C164" s="916" t="s">
        <v>1013</v>
      </c>
      <c r="D164" s="916" t="s">
        <v>1013</v>
      </c>
      <c r="E164" s="921" t="s">
        <v>1013</v>
      </c>
      <c r="F164" s="913" t="s">
        <v>1013</v>
      </c>
      <c r="G164" s="913">
        <v>3.11</v>
      </c>
      <c r="H164" s="913">
        <v>3.11</v>
      </c>
    </row>
    <row r="165" spans="1:8">
      <c r="A165" s="916" t="s">
        <v>1013</v>
      </c>
      <c r="B165" s="916" t="s">
        <v>1013</v>
      </c>
      <c r="C165" s="916" t="s">
        <v>1013</v>
      </c>
      <c r="D165" s="916" t="s">
        <v>1013</v>
      </c>
      <c r="E165" s="921" t="s">
        <v>1013</v>
      </c>
      <c r="F165" s="913" t="s">
        <v>1013</v>
      </c>
      <c r="G165" s="913">
        <v>3.12</v>
      </c>
      <c r="H165" s="913">
        <v>3.12</v>
      </c>
    </row>
    <row r="166" spans="1:8">
      <c r="A166" s="916" t="s">
        <v>1013</v>
      </c>
      <c r="B166" s="916" t="s">
        <v>1013</v>
      </c>
      <c r="C166" s="916" t="s">
        <v>1013</v>
      </c>
      <c r="D166" s="916" t="s">
        <v>1013</v>
      </c>
      <c r="E166" s="921" t="s">
        <v>1013</v>
      </c>
      <c r="F166" s="913" t="s">
        <v>1013</v>
      </c>
      <c r="G166" s="913">
        <v>3.13</v>
      </c>
      <c r="H166" s="913">
        <v>3.13</v>
      </c>
    </row>
    <row r="167" spans="1:8">
      <c r="A167" s="916" t="s">
        <v>1013</v>
      </c>
      <c r="B167" s="916" t="s">
        <v>1013</v>
      </c>
      <c r="C167" s="916" t="s">
        <v>1013</v>
      </c>
      <c r="D167" s="916" t="s">
        <v>1013</v>
      </c>
      <c r="E167" s="921" t="s">
        <v>1013</v>
      </c>
      <c r="F167" s="913" t="s">
        <v>1013</v>
      </c>
      <c r="G167" s="913">
        <v>4.1100000000000003</v>
      </c>
      <c r="H167" s="913">
        <v>4.1100000000000003</v>
      </c>
    </row>
    <row r="168" spans="1:8">
      <c r="A168" s="916" t="s">
        <v>1013</v>
      </c>
      <c r="B168" s="916" t="s">
        <v>1013</v>
      </c>
      <c r="C168" s="916" t="s">
        <v>1013</v>
      </c>
      <c r="D168" s="916" t="s">
        <v>1013</v>
      </c>
      <c r="E168" s="921" t="s">
        <v>1013</v>
      </c>
      <c r="F168" s="913" t="s">
        <v>1013</v>
      </c>
      <c r="G168" s="913">
        <v>4.12</v>
      </c>
      <c r="H168" s="913">
        <v>4.12</v>
      </c>
    </row>
    <row r="169" spans="1:8">
      <c r="A169" s="916" t="s">
        <v>1013</v>
      </c>
      <c r="B169" s="916" t="s">
        <v>1013</v>
      </c>
      <c r="C169" s="916" t="s">
        <v>1013</v>
      </c>
      <c r="D169" s="916" t="s">
        <v>1013</v>
      </c>
      <c r="E169" s="921" t="s">
        <v>1013</v>
      </c>
      <c r="F169" s="913" t="s">
        <v>1013</v>
      </c>
      <c r="G169" s="913">
        <v>4.13</v>
      </c>
      <c r="H169" s="913">
        <v>4.13</v>
      </c>
    </row>
    <row r="170" spans="1:8">
      <c r="A170" s="916" t="s">
        <v>1013</v>
      </c>
      <c r="B170" s="916" t="s">
        <v>1013</v>
      </c>
      <c r="C170" s="916" t="s">
        <v>1013</v>
      </c>
      <c r="D170" s="916" t="s">
        <v>1013</v>
      </c>
      <c r="E170" s="921" t="s">
        <v>1013</v>
      </c>
      <c r="F170" s="913" t="s">
        <v>1013</v>
      </c>
      <c r="G170" s="913">
        <v>5.03</v>
      </c>
      <c r="H170" s="913">
        <v>5.03</v>
      </c>
    </row>
    <row r="171" spans="1:8">
      <c r="A171" s="916" t="s">
        <v>1013</v>
      </c>
      <c r="B171" s="916" t="s">
        <v>1013</v>
      </c>
      <c r="C171" s="916" t="s">
        <v>1013</v>
      </c>
      <c r="D171" s="916" t="s">
        <v>1013</v>
      </c>
      <c r="E171" s="921" t="s">
        <v>1013</v>
      </c>
      <c r="F171" s="913" t="s">
        <v>1013</v>
      </c>
      <c r="G171" s="913">
        <v>5.04</v>
      </c>
      <c r="H171" s="913">
        <v>5.04</v>
      </c>
    </row>
    <row r="172" spans="1:8">
      <c r="A172" s="916" t="s">
        <v>1013</v>
      </c>
      <c r="B172" s="916" t="s">
        <v>1013</v>
      </c>
      <c r="C172" s="916" t="s">
        <v>1013</v>
      </c>
      <c r="D172" s="916" t="s">
        <v>1013</v>
      </c>
      <c r="E172" s="921" t="s">
        <v>1013</v>
      </c>
      <c r="F172" s="913" t="s">
        <v>1013</v>
      </c>
      <c r="G172" s="913">
        <v>7.06</v>
      </c>
      <c r="H172" s="913">
        <v>7.06</v>
      </c>
    </row>
    <row r="173" spans="1:8">
      <c r="A173" s="916" t="s">
        <v>1013</v>
      </c>
      <c r="B173" s="916" t="s">
        <v>1013</v>
      </c>
      <c r="C173" s="916" t="s">
        <v>1013</v>
      </c>
      <c r="D173" s="916" t="s">
        <v>1013</v>
      </c>
      <c r="E173" s="921" t="s">
        <v>1013</v>
      </c>
      <c r="F173" s="913" t="s">
        <v>1013</v>
      </c>
      <c r="G173" s="913" t="s">
        <v>1013</v>
      </c>
      <c r="H173" s="913">
        <v>8.11</v>
      </c>
    </row>
    <row r="174" spans="1:8">
      <c r="A174" s="916" t="s">
        <v>1013</v>
      </c>
      <c r="B174" s="916" t="s">
        <v>1013</v>
      </c>
      <c r="C174" s="916" t="s">
        <v>1013</v>
      </c>
      <c r="D174" s="916" t="s">
        <v>1013</v>
      </c>
      <c r="E174" s="921" t="s">
        <v>1013</v>
      </c>
      <c r="F174" s="913" t="s">
        <v>1013</v>
      </c>
      <c r="G174" s="913" t="s">
        <v>1013</v>
      </c>
      <c r="H174" s="913">
        <v>8.1199999999999992</v>
      </c>
    </row>
    <row r="175" spans="1:8">
      <c r="A175" s="916" t="s">
        <v>1013</v>
      </c>
      <c r="B175" s="916" t="s">
        <v>1013</v>
      </c>
      <c r="C175" s="916" t="s">
        <v>1013</v>
      </c>
      <c r="D175" s="916" t="s">
        <v>1013</v>
      </c>
      <c r="E175" s="921" t="s">
        <v>1013</v>
      </c>
      <c r="F175" s="913" t="s">
        <v>1013</v>
      </c>
      <c r="G175" s="913" t="s">
        <v>1013</v>
      </c>
      <c r="H175" s="913">
        <v>9.01</v>
      </c>
    </row>
    <row r="176" spans="1:8">
      <c r="A176" s="916" t="s">
        <v>1013</v>
      </c>
      <c r="B176" s="916" t="s">
        <v>1013</v>
      </c>
      <c r="C176" s="916" t="s">
        <v>1013</v>
      </c>
      <c r="D176" s="916" t="s">
        <v>1013</v>
      </c>
      <c r="E176" s="921" t="s">
        <v>1013</v>
      </c>
      <c r="F176" s="913" t="s">
        <v>1013</v>
      </c>
      <c r="G176" s="913" t="s">
        <v>1013</v>
      </c>
      <c r="H176" s="913">
        <v>9.1999999999999993</v>
      </c>
    </row>
    <row r="178" spans="1:1">
      <c r="A178" s="899" t="s">
        <v>1304</v>
      </c>
    </row>
    <row r="181" spans="1:1">
      <c r="A181" s="924" t="s">
        <v>256</v>
      </c>
    </row>
  </sheetData>
  <phoneticPr fontId="21" type="noConversion"/>
  <pageMargins left="0.55000000000000004" right="0.35" top="0.46" bottom="0.56000000000000005" header="0.36" footer="0.28000000000000003"/>
  <pageSetup paperSize="9" scale="92" fitToHeight="2" orientation="portrait"/>
  <headerFooter alignWithMargins="0">
    <oddFooter>&amp;R&amp;P/&amp;N</oddFooter>
  </headerFooter>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CEBD1-FC20-CF48-8CE2-8C6D7CBD8613}">
  <sheetPr>
    <pageSetUpPr fitToPage="1"/>
  </sheetPr>
  <dimension ref="A1:M184"/>
  <sheetViews>
    <sheetView workbookViewId="0">
      <selection activeCell="A2" sqref="A2"/>
    </sheetView>
  </sheetViews>
  <sheetFormatPr baseColWidth="10" defaultColWidth="11.3984375" defaultRowHeight="11"/>
  <cols>
    <col min="1" max="1" width="11.3984375" style="899"/>
    <col min="2" max="2" width="11.19921875" style="898" customWidth="1"/>
    <col min="3" max="3" width="10.19921875" style="898" customWidth="1"/>
    <col min="4" max="6" width="11.3984375" style="898"/>
    <col min="7" max="7" width="10.796875" style="898" customWidth="1"/>
    <col min="8" max="8" width="9.796875" style="899" customWidth="1"/>
    <col min="9" max="9" width="8.796875" style="899" customWidth="1"/>
    <col min="10" max="11" width="11.3984375" style="899"/>
    <col min="12" max="13" width="11.3984375" style="898"/>
    <col min="14" max="16384" width="11.3984375" style="899"/>
  </cols>
  <sheetData>
    <row r="1" spans="1:13" ht="16">
      <c r="A1" s="897" t="s">
        <v>1066</v>
      </c>
    </row>
    <row r="2" spans="1:13" ht="12.75" customHeight="1">
      <c r="E2" s="900"/>
      <c r="F2" s="900"/>
    </row>
    <row r="3" spans="1:13" ht="16">
      <c r="A3" s="897" t="s">
        <v>1061</v>
      </c>
      <c r="E3" s="900"/>
      <c r="F3" s="900"/>
    </row>
    <row r="4" spans="1:13" ht="15" customHeight="1">
      <c r="B4" s="900"/>
      <c r="C4" s="900"/>
      <c r="D4" s="901"/>
      <c r="E4" s="901"/>
      <c r="F4" s="901"/>
      <c r="G4" s="901"/>
      <c r="J4" s="902"/>
      <c r="K4" s="902"/>
      <c r="L4" s="900"/>
      <c r="M4" s="900"/>
    </row>
    <row r="5" spans="1:13" s="904" customFormat="1" ht="28.5" customHeight="1">
      <c r="A5" s="903" t="s">
        <v>1067</v>
      </c>
      <c r="B5" s="903" t="s">
        <v>1068</v>
      </c>
      <c r="C5" s="903" t="s">
        <v>1069</v>
      </c>
      <c r="D5" s="903" t="s">
        <v>1070</v>
      </c>
      <c r="E5" s="903" t="s">
        <v>1071</v>
      </c>
      <c r="F5" s="903" t="s">
        <v>1072</v>
      </c>
      <c r="G5" s="903" t="s">
        <v>1073</v>
      </c>
      <c r="H5" s="903" t="s">
        <v>1074</v>
      </c>
      <c r="J5" s="905"/>
      <c r="K5" s="905"/>
      <c r="L5" s="906"/>
      <c r="M5" s="906"/>
    </row>
    <row r="6" spans="1:13" ht="14.25" customHeight="1">
      <c r="A6" s="907"/>
      <c r="B6" s="907"/>
      <c r="C6" s="908"/>
      <c r="D6" s="908"/>
      <c r="E6" s="908"/>
      <c r="F6" s="908"/>
      <c r="G6" s="908"/>
      <c r="H6" s="908"/>
    </row>
    <row r="7" spans="1:13">
      <c r="A7" s="909">
        <v>1.01</v>
      </c>
      <c r="B7" s="909">
        <v>1.01</v>
      </c>
      <c r="C7" s="909">
        <v>1.01</v>
      </c>
      <c r="D7" s="910">
        <v>1.01</v>
      </c>
      <c r="E7" s="911" t="s">
        <v>1013</v>
      </c>
      <c r="F7" s="911" t="s">
        <v>1013</v>
      </c>
      <c r="G7" s="911" t="s">
        <v>1013</v>
      </c>
      <c r="H7" s="911" t="s">
        <v>1013</v>
      </c>
    </row>
    <row r="8" spans="1:13">
      <c r="A8" s="909">
        <v>1.02</v>
      </c>
      <c r="B8" s="909">
        <v>1.02</v>
      </c>
      <c r="C8" s="909">
        <v>1.02</v>
      </c>
      <c r="D8" s="910">
        <v>1.02</v>
      </c>
      <c r="E8" s="911" t="s">
        <v>1013</v>
      </c>
      <c r="F8" s="911" t="s">
        <v>1013</v>
      </c>
      <c r="G8" s="911" t="s">
        <v>1013</v>
      </c>
      <c r="H8" s="911" t="s">
        <v>1013</v>
      </c>
    </row>
    <row r="9" spans="1:13">
      <c r="A9" s="909">
        <v>1.03</v>
      </c>
      <c r="B9" s="909">
        <v>1.03</v>
      </c>
      <c r="C9" s="909">
        <v>1.03</v>
      </c>
      <c r="D9" s="910">
        <v>1.03</v>
      </c>
      <c r="E9" s="912" t="s">
        <v>1075</v>
      </c>
      <c r="F9" s="912" t="s">
        <v>1075</v>
      </c>
      <c r="G9" s="912" t="s">
        <v>1075</v>
      </c>
      <c r="H9" s="912" t="s">
        <v>1075</v>
      </c>
    </row>
    <row r="10" spans="1:13">
      <c r="A10" s="913">
        <v>1.04</v>
      </c>
      <c r="B10" s="913">
        <v>1.04</v>
      </c>
      <c r="C10" s="913">
        <v>1.04</v>
      </c>
      <c r="D10" s="914">
        <v>1.04</v>
      </c>
      <c r="E10" s="915" t="s">
        <v>1076</v>
      </c>
      <c r="F10" s="915" t="s">
        <v>1076</v>
      </c>
      <c r="G10" s="915" t="s">
        <v>1076</v>
      </c>
      <c r="H10" s="915" t="s">
        <v>1076</v>
      </c>
    </row>
    <row r="11" spans="1:13">
      <c r="A11" s="913">
        <v>1.05</v>
      </c>
      <c r="B11" s="913">
        <v>1.05</v>
      </c>
      <c r="C11" s="913">
        <v>1.05</v>
      </c>
      <c r="D11" s="914">
        <v>1.05</v>
      </c>
      <c r="E11" s="915" t="s">
        <v>1077</v>
      </c>
      <c r="F11" s="915" t="s">
        <v>1077</v>
      </c>
      <c r="G11" s="915" t="s">
        <v>1077</v>
      </c>
      <c r="H11" s="915" t="s">
        <v>1077</v>
      </c>
    </row>
    <row r="12" spans="1:13">
      <c r="A12" s="913">
        <v>1.06</v>
      </c>
      <c r="B12" s="913">
        <v>1.06</v>
      </c>
      <c r="C12" s="913">
        <v>1.06</v>
      </c>
      <c r="D12" s="914">
        <v>1.06</v>
      </c>
      <c r="E12" s="915" t="s">
        <v>1078</v>
      </c>
      <c r="F12" s="915" t="s">
        <v>1078</v>
      </c>
      <c r="G12" s="915" t="s">
        <v>1078</v>
      </c>
      <c r="H12" s="915" t="s">
        <v>1078</v>
      </c>
    </row>
    <row r="13" spans="1:13">
      <c r="A13" s="913">
        <v>1.07</v>
      </c>
      <c r="B13" s="913">
        <v>1.07</v>
      </c>
      <c r="C13" s="913">
        <v>1.07</v>
      </c>
      <c r="D13" s="914">
        <v>1.07</v>
      </c>
      <c r="E13" s="915" t="s">
        <v>1079</v>
      </c>
      <c r="F13" s="915" t="s">
        <v>1079</v>
      </c>
      <c r="G13" s="915" t="s">
        <v>1079</v>
      </c>
      <c r="H13" s="915" t="s">
        <v>1079</v>
      </c>
    </row>
    <row r="14" spans="1:13">
      <c r="A14" s="913">
        <v>1.08</v>
      </c>
      <c r="B14" s="913">
        <v>1.08</v>
      </c>
      <c r="C14" s="913">
        <v>1.08</v>
      </c>
      <c r="D14" s="914">
        <v>1.08</v>
      </c>
      <c r="E14" s="915" t="s">
        <v>1080</v>
      </c>
      <c r="F14" s="915" t="s">
        <v>1080</v>
      </c>
      <c r="G14" s="915" t="s">
        <v>1080</v>
      </c>
      <c r="H14" s="915" t="s">
        <v>1080</v>
      </c>
    </row>
    <row r="15" spans="1:13">
      <c r="A15" s="913">
        <v>1.0900000000000001</v>
      </c>
      <c r="B15" s="913">
        <v>1.0900000000000001</v>
      </c>
      <c r="C15" s="913">
        <v>1.0900000000000001</v>
      </c>
      <c r="D15" s="914">
        <v>1.0900000000000001</v>
      </c>
      <c r="E15" s="915" t="s">
        <v>1081</v>
      </c>
      <c r="F15" s="915" t="s">
        <v>1081</v>
      </c>
      <c r="G15" s="915" t="s">
        <v>1081</v>
      </c>
      <c r="H15" s="915" t="s">
        <v>1081</v>
      </c>
    </row>
    <row r="16" spans="1:13">
      <c r="A16" s="913">
        <v>1.1000000000000001</v>
      </c>
      <c r="B16" s="913">
        <v>1.1000000000000001</v>
      </c>
      <c r="C16" s="913">
        <v>1.1000000000000001</v>
      </c>
      <c r="D16" s="914">
        <v>1.1000000000000001</v>
      </c>
      <c r="E16" s="915" t="s">
        <v>1082</v>
      </c>
      <c r="F16" s="915" t="s">
        <v>1082</v>
      </c>
      <c r="G16" s="915" t="s">
        <v>1082</v>
      </c>
      <c r="H16" s="915" t="s">
        <v>1082</v>
      </c>
    </row>
    <row r="17" spans="1:8">
      <c r="A17" s="913">
        <v>1.1100000000000001</v>
      </c>
      <c r="B17" s="913">
        <v>1.1100000000000001</v>
      </c>
      <c r="C17" s="913">
        <v>1.1100000000000001</v>
      </c>
      <c r="D17" s="914">
        <v>1.1100000000000001</v>
      </c>
      <c r="E17" s="915" t="s">
        <v>1083</v>
      </c>
      <c r="F17" s="915" t="s">
        <v>1083</v>
      </c>
      <c r="G17" s="915" t="s">
        <v>1083</v>
      </c>
      <c r="H17" s="915" t="s">
        <v>1083</v>
      </c>
    </row>
    <row r="18" spans="1:8">
      <c r="A18" s="913">
        <v>1.1200000000000001</v>
      </c>
      <c r="B18" s="913">
        <v>1.1200000000000001</v>
      </c>
      <c r="C18" s="913">
        <v>1.1200000000000001</v>
      </c>
      <c r="D18" s="914">
        <v>1.1200000000000001</v>
      </c>
      <c r="E18" s="915" t="s">
        <v>1084</v>
      </c>
      <c r="F18" s="915" t="s">
        <v>1084</v>
      </c>
      <c r="G18" s="915" t="s">
        <v>1084</v>
      </c>
      <c r="H18" s="915" t="s">
        <v>1084</v>
      </c>
    </row>
    <row r="19" spans="1:8">
      <c r="A19" s="913">
        <v>1.1299999999999999</v>
      </c>
      <c r="B19" s="913">
        <v>1.1299999999999999</v>
      </c>
      <c r="C19" s="913">
        <v>1.1299999999999999</v>
      </c>
      <c r="D19" s="914">
        <v>1.1299999999999999</v>
      </c>
      <c r="E19" s="915" t="s">
        <v>1085</v>
      </c>
      <c r="F19" s="915" t="s">
        <v>1085</v>
      </c>
      <c r="G19" s="915" t="s">
        <v>1085</v>
      </c>
      <c r="H19" s="915" t="s">
        <v>1085</v>
      </c>
    </row>
    <row r="20" spans="1:8">
      <c r="A20" s="913">
        <v>1.1399999999999999</v>
      </c>
      <c r="B20" s="913">
        <v>1.1399999999999999</v>
      </c>
      <c r="C20" s="913">
        <v>1.1399999999999999</v>
      </c>
      <c r="D20" s="914">
        <v>1.1399999999999999</v>
      </c>
      <c r="E20" s="915" t="s">
        <v>1086</v>
      </c>
      <c r="F20" s="915" t="s">
        <v>1086</v>
      </c>
      <c r="G20" s="915" t="s">
        <v>1086</v>
      </c>
      <c r="H20" s="915" t="s">
        <v>1086</v>
      </c>
    </row>
    <row r="21" spans="1:8">
      <c r="A21" s="913">
        <v>1.1499999999999999</v>
      </c>
      <c r="B21" s="913">
        <v>1.1499999999999999</v>
      </c>
      <c r="C21" s="913">
        <v>1.1499999999999999</v>
      </c>
      <c r="D21" s="914">
        <v>1.1499999999999999</v>
      </c>
      <c r="E21" s="915" t="s">
        <v>1087</v>
      </c>
      <c r="F21" s="915" t="s">
        <v>1087</v>
      </c>
      <c r="G21" s="915" t="s">
        <v>1087</v>
      </c>
      <c r="H21" s="915" t="s">
        <v>1087</v>
      </c>
    </row>
    <row r="22" spans="1:8">
      <c r="A22" s="913">
        <v>1.1599999999999999</v>
      </c>
      <c r="B22" s="913">
        <v>1.1599999999999999</v>
      </c>
      <c r="C22" s="913">
        <v>1.1599999999999999</v>
      </c>
      <c r="D22" s="914">
        <v>1.1599999999999999</v>
      </c>
      <c r="E22" s="915" t="s">
        <v>1088</v>
      </c>
      <c r="F22" s="915" t="s">
        <v>1088</v>
      </c>
      <c r="G22" s="915" t="s">
        <v>1088</v>
      </c>
      <c r="H22" s="915" t="s">
        <v>1088</v>
      </c>
    </row>
    <row r="23" spans="1:8">
      <c r="A23" s="913">
        <v>1.17</v>
      </c>
      <c r="B23" s="913">
        <v>1.17</v>
      </c>
      <c r="C23" s="913">
        <v>1.17</v>
      </c>
      <c r="D23" s="914">
        <v>1.17</v>
      </c>
      <c r="E23" s="915" t="s">
        <v>1089</v>
      </c>
      <c r="F23" s="915" t="s">
        <v>1089</v>
      </c>
      <c r="G23" s="915" t="s">
        <v>1089</v>
      </c>
      <c r="H23" s="915" t="s">
        <v>1089</v>
      </c>
    </row>
    <row r="24" spans="1:8">
      <c r="A24" s="913">
        <v>1.18</v>
      </c>
      <c r="B24" s="913">
        <v>1.18</v>
      </c>
      <c r="C24" s="913">
        <v>1.18</v>
      </c>
      <c r="D24" s="914">
        <v>1.18</v>
      </c>
      <c r="E24" s="915" t="s">
        <v>1090</v>
      </c>
      <c r="F24" s="915" t="s">
        <v>1090</v>
      </c>
      <c r="G24" s="915" t="s">
        <v>1090</v>
      </c>
      <c r="H24" s="915" t="s">
        <v>1090</v>
      </c>
    </row>
    <row r="25" spans="1:8">
      <c r="A25" s="913">
        <v>1.19</v>
      </c>
      <c r="B25" s="913">
        <v>1.19</v>
      </c>
      <c r="C25" s="913">
        <v>1.19</v>
      </c>
      <c r="D25" s="914">
        <v>1.19</v>
      </c>
      <c r="E25" s="916" t="s">
        <v>1013</v>
      </c>
      <c r="F25" s="916" t="s">
        <v>1013</v>
      </c>
      <c r="G25" s="916" t="s">
        <v>1013</v>
      </c>
      <c r="H25" s="916" t="s">
        <v>1013</v>
      </c>
    </row>
    <row r="26" spans="1:8">
      <c r="A26" s="913">
        <v>1.2</v>
      </c>
      <c r="B26" s="913">
        <v>1.2</v>
      </c>
      <c r="C26" s="913">
        <v>1.2</v>
      </c>
      <c r="D26" s="914">
        <v>1.2</v>
      </c>
      <c r="E26" s="916" t="s">
        <v>1013</v>
      </c>
      <c r="F26" s="916" t="s">
        <v>1013</v>
      </c>
      <c r="G26" s="916" t="s">
        <v>1013</v>
      </c>
      <c r="H26" s="916" t="s">
        <v>1013</v>
      </c>
    </row>
    <row r="27" spans="1:8">
      <c r="A27" s="913">
        <v>1.21</v>
      </c>
      <c r="B27" s="913">
        <v>1.21</v>
      </c>
      <c r="C27" s="913">
        <v>1.21</v>
      </c>
      <c r="D27" s="914">
        <v>1.21</v>
      </c>
      <c r="E27" s="916" t="s">
        <v>1013</v>
      </c>
      <c r="F27" s="916" t="s">
        <v>1013</v>
      </c>
      <c r="G27" s="916" t="s">
        <v>1013</v>
      </c>
      <c r="H27" s="916" t="s">
        <v>1013</v>
      </c>
    </row>
    <row r="28" spans="1:8">
      <c r="A28" s="913">
        <v>1.22</v>
      </c>
      <c r="B28" s="913">
        <v>1.22</v>
      </c>
      <c r="C28" s="913">
        <v>1.22</v>
      </c>
      <c r="D28" s="914">
        <v>1.22</v>
      </c>
      <c r="E28" s="916" t="s">
        <v>1013</v>
      </c>
      <c r="F28" s="916" t="s">
        <v>1013</v>
      </c>
      <c r="G28" s="916" t="s">
        <v>1013</v>
      </c>
      <c r="H28" s="916" t="s">
        <v>1013</v>
      </c>
    </row>
    <row r="29" spans="1:8">
      <c r="A29" s="913">
        <v>1.23</v>
      </c>
      <c r="B29" s="913">
        <v>1.23</v>
      </c>
      <c r="C29" s="913">
        <v>1.23</v>
      </c>
      <c r="D29" s="914">
        <v>1.23</v>
      </c>
      <c r="E29" s="916" t="s">
        <v>1013</v>
      </c>
      <c r="F29" s="916" t="s">
        <v>1013</v>
      </c>
      <c r="G29" s="916" t="s">
        <v>1013</v>
      </c>
      <c r="H29" s="916" t="s">
        <v>1013</v>
      </c>
    </row>
    <row r="30" spans="1:8">
      <c r="A30" s="913">
        <v>1.24</v>
      </c>
      <c r="B30" s="913">
        <v>1.24</v>
      </c>
      <c r="C30" s="913">
        <v>1.24</v>
      </c>
      <c r="D30" s="914">
        <v>1.24</v>
      </c>
      <c r="E30" s="916" t="s">
        <v>1013</v>
      </c>
      <c r="F30" s="916" t="s">
        <v>1013</v>
      </c>
      <c r="G30" s="916" t="s">
        <v>1013</v>
      </c>
      <c r="H30" s="916" t="s">
        <v>1013</v>
      </c>
    </row>
    <row r="31" spans="1:8">
      <c r="A31" s="913">
        <v>1.25</v>
      </c>
      <c r="B31" s="913">
        <v>1.25</v>
      </c>
      <c r="C31" s="913">
        <v>1.25</v>
      </c>
      <c r="D31" s="914">
        <v>1.25</v>
      </c>
      <c r="E31" s="916" t="s">
        <v>1013</v>
      </c>
      <c r="F31" s="916" t="s">
        <v>1013</v>
      </c>
      <c r="G31" s="916" t="s">
        <v>1013</v>
      </c>
      <c r="H31" s="916" t="s">
        <v>1013</v>
      </c>
    </row>
    <row r="32" spans="1:8">
      <c r="A32" s="913">
        <v>1.26</v>
      </c>
      <c r="B32" s="913">
        <v>1.26</v>
      </c>
      <c r="C32" s="913">
        <v>1.26</v>
      </c>
      <c r="D32" s="914">
        <v>1.26</v>
      </c>
      <c r="E32" s="916" t="s">
        <v>1013</v>
      </c>
      <c r="F32" s="916" t="s">
        <v>1013</v>
      </c>
      <c r="G32" s="916" t="s">
        <v>1013</v>
      </c>
      <c r="H32" s="916" t="s">
        <v>1013</v>
      </c>
    </row>
    <row r="33" spans="1:8">
      <c r="A33" s="913">
        <v>1.27</v>
      </c>
      <c r="B33" s="913">
        <v>1.27</v>
      </c>
      <c r="C33" s="913">
        <v>1.27</v>
      </c>
      <c r="D33" s="914">
        <v>1.27</v>
      </c>
      <c r="E33" s="915" t="s">
        <v>1091</v>
      </c>
      <c r="F33" s="915" t="s">
        <v>1091</v>
      </c>
      <c r="G33" s="915" t="s">
        <v>1091</v>
      </c>
      <c r="H33" s="915" t="s">
        <v>1091</v>
      </c>
    </row>
    <row r="34" spans="1:8">
      <c r="A34" s="913">
        <v>1.28</v>
      </c>
      <c r="B34" s="913">
        <v>1.28</v>
      </c>
      <c r="C34" s="913">
        <v>1.28</v>
      </c>
      <c r="D34" s="914">
        <v>1.28</v>
      </c>
      <c r="E34" s="915" t="s">
        <v>1092</v>
      </c>
      <c r="F34" s="915" t="s">
        <v>1092</v>
      </c>
      <c r="G34" s="915" t="s">
        <v>1092</v>
      </c>
      <c r="H34" s="915" t="s">
        <v>1092</v>
      </c>
    </row>
    <row r="35" spans="1:8">
      <c r="A35" s="913">
        <v>1.29</v>
      </c>
      <c r="B35" s="913">
        <v>1.29</v>
      </c>
      <c r="C35" s="913">
        <v>1.29</v>
      </c>
      <c r="D35" s="914">
        <v>1.29</v>
      </c>
      <c r="E35" s="915" t="s">
        <v>1093</v>
      </c>
      <c r="F35" s="915" t="s">
        <v>1093</v>
      </c>
      <c r="G35" s="915" t="s">
        <v>1093</v>
      </c>
      <c r="H35" s="915" t="s">
        <v>1093</v>
      </c>
    </row>
    <row r="36" spans="1:8">
      <c r="A36" s="913">
        <v>1.3</v>
      </c>
      <c r="B36" s="913">
        <v>1.3</v>
      </c>
      <c r="C36" s="913">
        <v>1.3</v>
      </c>
      <c r="D36" s="914">
        <v>1.3</v>
      </c>
      <c r="E36" s="915" t="s">
        <v>1094</v>
      </c>
      <c r="F36" s="915" t="s">
        <v>1094</v>
      </c>
      <c r="G36" s="915" t="s">
        <v>1094</v>
      </c>
      <c r="H36" s="915" t="s">
        <v>1094</v>
      </c>
    </row>
    <row r="37" spans="1:8">
      <c r="A37" s="913">
        <v>1.31</v>
      </c>
      <c r="B37" s="913">
        <v>1.31</v>
      </c>
      <c r="C37" s="913">
        <v>1.31</v>
      </c>
      <c r="D37" s="914">
        <v>1.31</v>
      </c>
      <c r="E37" s="915" t="s">
        <v>1095</v>
      </c>
      <c r="F37" s="915" t="s">
        <v>1095</v>
      </c>
      <c r="G37" s="915" t="s">
        <v>1095</v>
      </c>
      <c r="H37" s="915" t="s">
        <v>1095</v>
      </c>
    </row>
    <row r="38" spans="1:8">
      <c r="A38" s="913">
        <v>1.32</v>
      </c>
      <c r="B38" s="913">
        <v>1.32</v>
      </c>
      <c r="C38" s="913">
        <v>1.32</v>
      </c>
      <c r="D38" s="914">
        <v>1.32</v>
      </c>
      <c r="E38" s="915" t="s">
        <v>1096</v>
      </c>
      <c r="F38" s="915" t="s">
        <v>1096</v>
      </c>
      <c r="G38" s="915" t="s">
        <v>1096</v>
      </c>
      <c r="H38" s="915" t="s">
        <v>1096</v>
      </c>
    </row>
    <row r="39" spans="1:8">
      <c r="A39" s="913">
        <v>1.33</v>
      </c>
      <c r="B39" s="913">
        <v>1.33</v>
      </c>
      <c r="C39" s="913">
        <v>1.33</v>
      </c>
      <c r="D39" s="914">
        <v>1.33</v>
      </c>
      <c r="E39" s="916" t="s">
        <v>1013</v>
      </c>
      <c r="F39" s="916" t="s">
        <v>1013</v>
      </c>
      <c r="G39" s="916" t="s">
        <v>1013</v>
      </c>
      <c r="H39" s="916" t="s">
        <v>1013</v>
      </c>
    </row>
    <row r="40" spans="1:8">
      <c r="A40" s="913">
        <v>1.34</v>
      </c>
      <c r="B40" s="913">
        <v>1.34</v>
      </c>
      <c r="C40" s="913">
        <v>1.34</v>
      </c>
      <c r="D40" s="914" t="s">
        <v>1013</v>
      </c>
      <c r="E40" s="916" t="s">
        <v>1013</v>
      </c>
      <c r="F40" s="916" t="s">
        <v>1013</v>
      </c>
      <c r="G40" s="916" t="s">
        <v>1013</v>
      </c>
      <c r="H40" s="916" t="s">
        <v>1013</v>
      </c>
    </row>
    <row r="41" spans="1:8">
      <c r="A41" s="913">
        <v>1.35</v>
      </c>
      <c r="B41" s="913">
        <v>1.35</v>
      </c>
      <c r="C41" s="913">
        <v>1.35</v>
      </c>
      <c r="D41" s="914" t="s">
        <v>1013</v>
      </c>
      <c r="E41" s="916" t="s">
        <v>1013</v>
      </c>
      <c r="F41" s="916" t="s">
        <v>1013</v>
      </c>
      <c r="G41" s="916" t="s">
        <v>1013</v>
      </c>
      <c r="H41" s="916" t="s">
        <v>1013</v>
      </c>
    </row>
    <row r="42" spans="1:8">
      <c r="A42" s="913">
        <v>1.36</v>
      </c>
      <c r="B42" s="913">
        <v>1.36</v>
      </c>
      <c r="C42" s="913">
        <v>1.36</v>
      </c>
      <c r="D42" s="914" t="s">
        <v>1013</v>
      </c>
      <c r="E42" s="916" t="s">
        <v>1013</v>
      </c>
      <c r="F42" s="916" t="s">
        <v>1013</v>
      </c>
      <c r="G42" s="916" t="s">
        <v>1013</v>
      </c>
      <c r="H42" s="916" t="s">
        <v>1013</v>
      </c>
    </row>
    <row r="43" spans="1:8">
      <c r="A43" s="913">
        <v>1.37</v>
      </c>
      <c r="B43" s="913">
        <v>1.37</v>
      </c>
      <c r="C43" s="913">
        <v>1.37</v>
      </c>
      <c r="D43" s="914" t="s">
        <v>1013</v>
      </c>
      <c r="E43" s="916" t="s">
        <v>1013</v>
      </c>
      <c r="F43" s="916" t="s">
        <v>1013</v>
      </c>
      <c r="G43" s="916" t="s">
        <v>1013</v>
      </c>
      <c r="H43" s="916" t="s">
        <v>1013</v>
      </c>
    </row>
    <row r="44" spans="1:8">
      <c r="A44" s="913">
        <v>1.38</v>
      </c>
      <c r="B44" s="913">
        <v>1.38</v>
      </c>
      <c r="C44" s="913">
        <v>1.38</v>
      </c>
      <c r="D44" s="914" t="s">
        <v>1013</v>
      </c>
      <c r="E44" s="916" t="s">
        <v>1013</v>
      </c>
      <c r="F44" s="916" t="s">
        <v>1013</v>
      </c>
      <c r="G44" s="916" t="s">
        <v>1013</v>
      </c>
      <c r="H44" s="916" t="s">
        <v>1013</v>
      </c>
    </row>
    <row r="45" spans="1:8">
      <c r="A45" s="913">
        <v>1.39</v>
      </c>
      <c r="B45" s="913">
        <v>1.39</v>
      </c>
      <c r="C45" s="913">
        <v>1.39</v>
      </c>
      <c r="D45" s="914" t="s">
        <v>1013</v>
      </c>
      <c r="E45" s="915" t="s">
        <v>1097</v>
      </c>
      <c r="F45" s="915" t="s">
        <v>1097</v>
      </c>
      <c r="G45" s="915" t="s">
        <v>1097</v>
      </c>
      <c r="H45" s="915" t="s">
        <v>1097</v>
      </c>
    </row>
    <row r="46" spans="1:8">
      <c r="A46" s="913">
        <v>1.4</v>
      </c>
      <c r="B46" s="913">
        <v>1.4</v>
      </c>
      <c r="C46" s="913">
        <v>1.4</v>
      </c>
      <c r="D46" s="914" t="s">
        <v>1013</v>
      </c>
      <c r="E46" s="915" t="s">
        <v>1098</v>
      </c>
      <c r="F46" s="915" t="s">
        <v>1098</v>
      </c>
      <c r="G46" s="915" t="s">
        <v>1098</v>
      </c>
      <c r="H46" s="915" t="s">
        <v>1098</v>
      </c>
    </row>
    <row r="47" spans="1:8">
      <c r="A47" s="913">
        <v>1.41</v>
      </c>
      <c r="B47" s="913">
        <v>1.41</v>
      </c>
      <c r="C47" s="913">
        <v>1.41</v>
      </c>
      <c r="D47" s="914">
        <v>9.07</v>
      </c>
      <c r="E47" s="916" t="s">
        <v>1013</v>
      </c>
      <c r="F47" s="916" t="s">
        <v>1013</v>
      </c>
      <c r="G47" s="916" t="s">
        <v>1013</v>
      </c>
      <c r="H47" s="916" t="s">
        <v>1013</v>
      </c>
    </row>
    <row r="48" spans="1:8">
      <c r="A48" s="913">
        <v>1.42</v>
      </c>
      <c r="B48" s="913">
        <v>1.42</v>
      </c>
      <c r="C48" s="913">
        <v>1.42</v>
      </c>
      <c r="D48" s="914">
        <v>8.02</v>
      </c>
      <c r="E48" s="915" t="s">
        <v>1099</v>
      </c>
      <c r="F48" s="915" t="s">
        <v>1099</v>
      </c>
      <c r="G48" s="915" t="s">
        <v>1099</v>
      </c>
      <c r="H48" s="915" t="s">
        <v>1099</v>
      </c>
    </row>
    <row r="49" spans="1:8">
      <c r="A49" s="913">
        <v>1.43</v>
      </c>
      <c r="B49" s="913">
        <v>1.43</v>
      </c>
      <c r="C49" s="913">
        <v>1.43</v>
      </c>
      <c r="D49" s="914" t="s">
        <v>1013</v>
      </c>
      <c r="E49" s="916" t="s">
        <v>1013</v>
      </c>
      <c r="F49" s="916" t="s">
        <v>1013</v>
      </c>
      <c r="G49" s="916" t="s">
        <v>1013</v>
      </c>
      <c r="H49" s="916" t="s">
        <v>1013</v>
      </c>
    </row>
    <row r="50" spans="1:8">
      <c r="A50" s="913">
        <v>1.44</v>
      </c>
      <c r="B50" s="913">
        <v>1.44</v>
      </c>
      <c r="C50" s="913" t="s">
        <v>1013</v>
      </c>
      <c r="D50" s="913" t="s">
        <v>1013</v>
      </c>
      <c r="E50" s="913" t="s">
        <v>1013</v>
      </c>
      <c r="F50" s="913" t="s">
        <v>1013</v>
      </c>
      <c r="G50" s="913" t="s">
        <v>1013</v>
      </c>
      <c r="H50" s="913" t="s">
        <v>1013</v>
      </c>
    </row>
    <row r="51" spans="1:8">
      <c r="A51" s="913">
        <v>1.45</v>
      </c>
      <c r="B51" s="913" t="s">
        <v>1013</v>
      </c>
      <c r="C51" s="913" t="s">
        <v>1013</v>
      </c>
      <c r="D51" s="913" t="s">
        <v>1013</v>
      </c>
      <c r="E51" s="913" t="s">
        <v>1013</v>
      </c>
      <c r="F51" s="913" t="s">
        <v>1013</v>
      </c>
      <c r="G51" s="913" t="s">
        <v>1013</v>
      </c>
      <c r="H51" s="913" t="s">
        <v>1013</v>
      </c>
    </row>
    <row r="52" spans="1:8">
      <c r="A52" s="913">
        <v>1.46</v>
      </c>
      <c r="B52" s="913" t="s">
        <v>1013</v>
      </c>
      <c r="C52" s="913" t="s">
        <v>1013</v>
      </c>
      <c r="D52" s="913" t="s">
        <v>1013</v>
      </c>
      <c r="E52" s="913" t="s">
        <v>1013</v>
      </c>
      <c r="F52" s="913" t="s">
        <v>1013</v>
      </c>
      <c r="G52" s="913" t="s">
        <v>1013</v>
      </c>
      <c r="H52" s="913" t="s">
        <v>1013</v>
      </c>
    </row>
    <row r="53" spans="1:8">
      <c r="A53" s="913">
        <v>1.47</v>
      </c>
      <c r="B53" s="913" t="s">
        <v>1013</v>
      </c>
      <c r="C53" s="913" t="s">
        <v>1013</v>
      </c>
      <c r="D53" s="913" t="s">
        <v>1013</v>
      </c>
      <c r="E53" s="913" t="s">
        <v>1013</v>
      </c>
      <c r="F53" s="913" t="s">
        <v>1013</v>
      </c>
      <c r="G53" s="913" t="s">
        <v>1013</v>
      </c>
      <c r="H53" s="913" t="s">
        <v>1013</v>
      </c>
    </row>
    <row r="54" spans="1:8">
      <c r="A54" s="913">
        <v>1.48</v>
      </c>
      <c r="B54" s="913" t="s">
        <v>1013</v>
      </c>
      <c r="C54" s="913" t="s">
        <v>1013</v>
      </c>
      <c r="D54" s="913" t="s">
        <v>1013</v>
      </c>
      <c r="E54" s="913" t="s">
        <v>1013</v>
      </c>
      <c r="F54" s="913" t="s">
        <v>1013</v>
      </c>
      <c r="G54" s="913" t="s">
        <v>1013</v>
      </c>
      <c r="H54" s="913" t="s">
        <v>1013</v>
      </c>
    </row>
    <row r="55" spans="1:8">
      <c r="A55" s="913">
        <v>1.49</v>
      </c>
      <c r="B55" s="913" t="s">
        <v>1013</v>
      </c>
      <c r="C55" s="913" t="s">
        <v>1013</v>
      </c>
      <c r="D55" s="913" t="s">
        <v>1013</v>
      </c>
      <c r="E55" s="913" t="s">
        <v>1013</v>
      </c>
      <c r="F55" s="913" t="s">
        <v>1013</v>
      </c>
      <c r="G55" s="913" t="s">
        <v>1013</v>
      </c>
      <c r="H55" s="913" t="s">
        <v>1013</v>
      </c>
    </row>
    <row r="56" spans="1:8" ht="9.75" customHeight="1">
      <c r="A56" s="917">
        <v>2.0099999999999998</v>
      </c>
      <c r="B56" s="917">
        <v>2.0099999999999998</v>
      </c>
      <c r="C56" s="917">
        <v>2.0099999999999998</v>
      </c>
      <c r="D56" s="917">
        <v>2.0099999999999998</v>
      </c>
      <c r="E56" s="915" t="s">
        <v>1213</v>
      </c>
      <c r="F56" s="915" t="s">
        <v>1213</v>
      </c>
      <c r="G56" s="915" t="s">
        <v>1213</v>
      </c>
      <c r="H56" s="915" t="s">
        <v>1013</v>
      </c>
    </row>
    <row r="57" spans="1:8" ht="9.75" customHeight="1">
      <c r="A57" s="917">
        <v>2.02</v>
      </c>
      <c r="B57" s="917">
        <v>2.02</v>
      </c>
      <c r="C57" s="917">
        <v>2.02</v>
      </c>
      <c r="D57" s="917">
        <v>2.02</v>
      </c>
      <c r="E57" s="915" t="s">
        <v>1213</v>
      </c>
      <c r="F57" s="915" t="s">
        <v>1213</v>
      </c>
      <c r="G57" s="915" t="s">
        <v>1213</v>
      </c>
      <c r="H57" s="915" t="s">
        <v>1013</v>
      </c>
    </row>
    <row r="58" spans="1:8">
      <c r="A58" s="917">
        <v>2.0299999999999998</v>
      </c>
      <c r="B58" s="917">
        <v>2.0299999999999998</v>
      </c>
      <c r="C58" s="917">
        <v>2.0299999999999998</v>
      </c>
      <c r="D58" s="915">
        <v>2.0299999999999998</v>
      </c>
      <c r="E58" s="915" t="s">
        <v>1214</v>
      </c>
      <c r="F58" s="915" t="s">
        <v>1214</v>
      </c>
      <c r="G58" s="915" t="s">
        <v>1214</v>
      </c>
      <c r="H58" s="915" t="s">
        <v>1013</v>
      </c>
    </row>
    <row r="59" spans="1:8">
      <c r="A59" s="917">
        <v>2.04</v>
      </c>
      <c r="B59" s="917">
        <v>2.04</v>
      </c>
      <c r="C59" s="917">
        <v>2.04</v>
      </c>
      <c r="D59" s="915">
        <v>2.04</v>
      </c>
      <c r="E59" s="915" t="s">
        <v>1215</v>
      </c>
      <c r="F59" s="915" t="s">
        <v>1215</v>
      </c>
      <c r="G59" s="915" t="s">
        <v>1013</v>
      </c>
      <c r="H59" s="915" t="s">
        <v>1013</v>
      </c>
    </row>
    <row r="60" spans="1:8">
      <c r="A60" s="917">
        <v>2.0499999999999998</v>
      </c>
      <c r="B60" s="917">
        <v>2.0499999999999998</v>
      </c>
      <c r="C60" s="917">
        <v>2.0499999999999998</v>
      </c>
      <c r="D60" s="915">
        <v>2.0499999999999998</v>
      </c>
      <c r="E60" s="915" t="s">
        <v>1216</v>
      </c>
      <c r="F60" s="915" t="s">
        <v>1216</v>
      </c>
      <c r="G60" s="915" t="s">
        <v>1013</v>
      </c>
      <c r="H60" s="915" t="s">
        <v>1013</v>
      </c>
    </row>
    <row r="61" spans="1:8">
      <c r="A61" s="917">
        <v>2.06</v>
      </c>
      <c r="B61" s="917">
        <v>2.06</v>
      </c>
      <c r="C61" s="917">
        <v>2.06</v>
      </c>
      <c r="D61" s="915">
        <v>2.06</v>
      </c>
      <c r="E61" s="915" t="s">
        <v>1217</v>
      </c>
      <c r="F61" s="915" t="s">
        <v>1217</v>
      </c>
      <c r="G61" s="915" t="s">
        <v>1013</v>
      </c>
      <c r="H61" s="915" t="s">
        <v>1013</v>
      </c>
    </row>
    <row r="62" spans="1:8">
      <c r="A62" s="917">
        <v>2.0699999999999998</v>
      </c>
      <c r="B62" s="917">
        <v>2.0699999999999998</v>
      </c>
      <c r="C62" s="917">
        <v>2.0699999999999998</v>
      </c>
      <c r="D62" s="915">
        <v>2.0699999999999998</v>
      </c>
      <c r="E62" s="915" t="s">
        <v>1218</v>
      </c>
      <c r="F62" s="915" t="s">
        <v>1218</v>
      </c>
      <c r="G62" s="915" t="s">
        <v>1215</v>
      </c>
      <c r="H62" s="915" t="s">
        <v>1013</v>
      </c>
    </row>
    <row r="63" spans="1:8">
      <c r="A63" s="917">
        <v>2.08</v>
      </c>
      <c r="B63" s="917">
        <v>2.08</v>
      </c>
      <c r="C63" s="917">
        <v>2.08</v>
      </c>
      <c r="D63" s="915">
        <v>2.08</v>
      </c>
      <c r="E63" s="915" t="s">
        <v>1219</v>
      </c>
      <c r="F63" s="915" t="s">
        <v>1219</v>
      </c>
      <c r="G63" s="915" t="s">
        <v>1216</v>
      </c>
      <c r="H63" s="915" t="s">
        <v>1013</v>
      </c>
    </row>
    <row r="64" spans="1:8">
      <c r="A64" s="917">
        <v>2.09</v>
      </c>
      <c r="B64" s="917">
        <v>2.09</v>
      </c>
      <c r="C64" s="917">
        <v>2.09</v>
      </c>
      <c r="D64" s="915">
        <v>2.09</v>
      </c>
      <c r="E64" s="915" t="s">
        <v>1220</v>
      </c>
      <c r="F64" s="915" t="s">
        <v>1013</v>
      </c>
      <c r="G64" s="915" t="s">
        <v>1013</v>
      </c>
      <c r="H64" s="915" t="s">
        <v>1013</v>
      </c>
    </row>
    <row r="65" spans="1:8">
      <c r="A65" s="918" t="s">
        <v>1221</v>
      </c>
      <c r="B65" s="918" t="s">
        <v>1221</v>
      </c>
      <c r="C65" s="918" t="s">
        <v>1221</v>
      </c>
      <c r="D65" s="914" t="s">
        <v>1013</v>
      </c>
      <c r="E65" s="916" t="s">
        <v>1013</v>
      </c>
      <c r="F65" s="916" t="s">
        <v>1013</v>
      </c>
      <c r="G65" s="916" t="s">
        <v>1013</v>
      </c>
      <c r="H65" s="916" t="s">
        <v>1013</v>
      </c>
    </row>
    <row r="66" spans="1:8">
      <c r="A66" s="913">
        <v>2.11</v>
      </c>
      <c r="B66" s="913">
        <v>2.11</v>
      </c>
      <c r="C66" s="913">
        <v>2.11</v>
      </c>
      <c r="D66" s="914" t="s">
        <v>1013</v>
      </c>
      <c r="E66" s="916" t="s">
        <v>1013</v>
      </c>
      <c r="F66" s="916" t="s">
        <v>1013</v>
      </c>
      <c r="G66" s="916" t="s">
        <v>1013</v>
      </c>
      <c r="H66" s="916" t="s">
        <v>1013</v>
      </c>
    </row>
    <row r="67" spans="1:8">
      <c r="A67" s="913">
        <v>2.12</v>
      </c>
      <c r="B67" s="913">
        <v>2.12</v>
      </c>
      <c r="C67" s="913" t="s">
        <v>1013</v>
      </c>
      <c r="D67" s="913" t="s">
        <v>1013</v>
      </c>
      <c r="E67" s="913" t="s">
        <v>1013</v>
      </c>
      <c r="F67" s="913" t="s">
        <v>1013</v>
      </c>
      <c r="G67" s="913" t="s">
        <v>1013</v>
      </c>
      <c r="H67" s="913" t="s">
        <v>1013</v>
      </c>
    </row>
    <row r="68" spans="1:8">
      <c r="A68" s="913">
        <v>2.13</v>
      </c>
      <c r="B68" s="913" t="s">
        <v>1013</v>
      </c>
      <c r="C68" s="913" t="s">
        <v>1013</v>
      </c>
      <c r="D68" s="913" t="s">
        <v>1013</v>
      </c>
      <c r="E68" s="913" t="s">
        <v>1013</v>
      </c>
      <c r="F68" s="913" t="s">
        <v>1013</v>
      </c>
      <c r="G68" s="913" t="s">
        <v>1013</v>
      </c>
      <c r="H68" s="913" t="s">
        <v>1013</v>
      </c>
    </row>
    <row r="69" spans="1:8">
      <c r="A69" s="917">
        <v>3.01</v>
      </c>
      <c r="B69" s="917">
        <v>3.01</v>
      </c>
      <c r="C69" s="917">
        <v>3.01</v>
      </c>
      <c r="D69" s="915">
        <v>3.01</v>
      </c>
      <c r="E69" s="915" t="s">
        <v>1222</v>
      </c>
      <c r="F69" s="915" t="s">
        <v>1222</v>
      </c>
      <c r="G69" s="915" t="s">
        <v>1223</v>
      </c>
      <c r="H69" s="915" t="s">
        <v>1222</v>
      </c>
    </row>
    <row r="70" spans="1:8">
      <c r="A70" s="917">
        <v>3.01</v>
      </c>
      <c r="B70" s="917">
        <v>3.01</v>
      </c>
      <c r="C70" s="917">
        <v>3.01</v>
      </c>
      <c r="D70" s="915">
        <v>3.01</v>
      </c>
      <c r="E70" s="915" t="s">
        <v>1222</v>
      </c>
      <c r="F70" s="915" t="s">
        <v>1222</v>
      </c>
      <c r="G70" s="915" t="s">
        <v>1224</v>
      </c>
      <c r="H70" s="915" t="s">
        <v>1223</v>
      </c>
    </row>
    <row r="71" spans="1:8">
      <c r="A71" s="917">
        <v>3.01</v>
      </c>
      <c r="B71" s="917">
        <v>3.01</v>
      </c>
      <c r="C71" s="917">
        <v>3.01</v>
      </c>
      <c r="D71" s="915">
        <v>3.01</v>
      </c>
      <c r="E71" s="915" t="s">
        <v>1222</v>
      </c>
      <c r="F71" s="915" t="s">
        <v>1222</v>
      </c>
      <c r="G71" s="915" t="s">
        <v>1225</v>
      </c>
      <c r="H71" s="915" t="s">
        <v>1224</v>
      </c>
    </row>
    <row r="72" spans="1:8">
      <c r="A72" s="917">
        <v>3.01</v>
      </c>
      <c r="B72" s="917">
        <v>3.01</v>
      </c>
      <c r="C72" s="917">
        <v>3.01</v>
      </c>
      <c r="D72" s="915">
        <v>3.01</v>
      </c>
      <c r="E72" s="915" t="s">
        <v>1222</v>
      </c>
      <c r="F72" s="915" t="s">
        <v>1222</v>
      </c>
      <c r="G72" s="915" t="s">
        <v>1226</v>
      </c>
      <c r="H72" s="915" t="s">
        <v>1013</v>
      </c>
    </row>
    <row r="73" spans="1:8">
      <c r="A73" s="917">
        <v>3.02</v>
      </c>
      <c r="B73" s="917">
        <v>3.02</v>
      </c>
      <c r="C73" s="917">
        <v>3.02</v>
      </c>
      <c r="D73" s="915">
        <v>3.02</v>
      </c>
      <c r="E73" s="916" t="s">
        <v>1013</v>
      </c>
      <c r="F73" s="916" t="s">
        <v>1013</v>
      </c>
      <c r="G73" s="916" t="s">
        <v>1013</v>
      </c>
      <c r="H73" s="916" t="s">
        <v>1013</v>
      </c>
    </row>
    <row r="74" spans="1:8">
      <c r="A74" s="917">
        <v>3.03</v>
      </c>
      <c r="B74" s="917">
        <v>3.03</v>
      </c>
      <c r="C74" s="917">
        <v>3.03</v>
      </c>
      <c r="D74" s="915">
        <v>3.03</v>
      </c>
      <c r="E74" s="915" t="s">
        <v>1223</v>
      </c>
      <c r="F74" s="915" t="s">
        <v>1223</v>
      </c>
      <c r="G74" s="915" t="s">
        <v>1013</v>
      </c>
      <c r="H74" s="915" t="s">
        <v>1013</v>
      </c>
    </row>
    <row r="75" spans="1:8">
      <c r="A75" s="917">
        <v>3.05</v>
      </c>
      <c r="B75" s="917">
        <v>3.05</v>
      </c>
      <c r="C75" s="917">
        <v>3.05</v>
      </c>
      <c r="D75" s="915">
        <v>3.05</v>
      </c>
      <c r="E75" s="915" t="s">
        <v>1224</v>
      </c>
      <c r="F75" s="915" t="s">
        <v>1224</v>
      </c>
      <c r="G75" s="915" t="s">
        <v>1013</v>
      </c>
      <c r="H75" s="915" t="s">
        <v>1013</v>
      </c>
    </row>
    <row r="76" spans="1:8">
      <c r="A76" s="917">
        <v>3.06</v>
      </c>
      <c r="B76" s="917">
        <v>3.06</v>
      </c>
      <c r="C76" s="917">
        <v>3.06</v>
      </c>
      <c r="D76" s="915">
        <v>3.06</v>
      </c>
      <c r="E76" s="916" t="s">
        <v>1013</v>
      </c>
      <c r="F76" s="916" t="s">
        <v>1013</v>
      </c>
      <c r="G76" s="916" t="s">
        <v>1013</v>
      </c>
      <c r="H76" s="916" t="s">
        <v>1013</v>
      </c>
    </row>
    <row r="77" spans="1:8">
      <c r="A77" s="917">
        <v>3.07</v>
      </c>
      <c r="B77" s="917">
        <v>3.07</v>
      </c>
      <c r="C77" s="917">
        <v>3.07</v>
      </c>
      <c r="D77" s="915" t="s">
        <v>1013</v>
      </c>
      <c r="E77" s="916" t="s">
        <v>1013</v>
      </c>
      <c r="F77" s="916" t="s">
        <v>1013</v>
      </c>
      <c r="G77" s="916" t="s">
        <v>1013</v>
      </c>
      <c r="H77" s="916" t="s">
        <v>1013</v>
      </c>
    </row>
    <row r="78" spans="1:8">
      <c r="A78" s="917">
        <v>3.08</v>
      </c>
      <c r="B78" s="917">
        <v>3.08</v>
      </c>
      <c r="C78" s="917">
        <v>3.08</v>
      </c>
      <c r="D78" s="915" t="s">
        <v>1013</v>
      </c>
      <c r="E78" s="916" t="s">
        <v>1013</v>
      </c>
      <c r="F78" s="916" t="s">
        <v>1013</v>
      </c>
      <c r="G78" s="916" t="s">
        <v>1013</v>
      </c>
      <c r="H78" s="916" t="s">
        <v>1013</v>
      </c>
    </row>
    <row r="79" spans="1:8">
      <c r="A79" s="917">
        <v>3.09</v>
      </c>
      <c r="B79" s="917">
        <v>3.09</v>
      </c>
      <c r="C79" s="917">
        <v>3.09</v>
      </c>
      <c r="D79" s="915" t="s">
        <v>1013</v>
      </c>
      <c r="E79" s="916" t="s">
        <v>1013</v>
      </c>
      <c r="F79" s="916" t="s">
        <v>1013</v>
      </c>
      <c r="G79" s="916" t="s">
        <v>1013</v>
      </c>
      <c r="H79" s="916" t="s">
        <v>1013</v>
      </c>
    </row>
    <row r="80" spans="1:8">
      <c r="A80" s="919" t="s">
        <v>947</v>
      </c>
      <c r="B80" s="919" t="s">
        <v>947</v>
      </c>
      <c r="C80" s="920" t="s">
        <v>1013</v>
      </c>
      <c r="D80" s="920" t="s">
        <v>1013</v>
      </c>
      <c r="E80" s="920" t="s">
        <v>1013</v>
      </c>
      <c r="F80" s="920" t="s">
        <v>1225</v>
      </c>
      <c r="G80" s="920" t="s">
        <v>1013</v>
      </c>
      <c r="H80" s="920" t="s">
        <v>1013</v>
      </c>
    </row>
    <row r="81" spans="1:8">
      <c r="A81" s="919" t="s">
        <v>1227</v>
      </c>
      <c r="B81" s="919" t="s">
        <v>1227</v>
      </c>
      <c r="C81" s="920" t="s">
        <v>1013</v>
      </c>
      <c r="D81" s="920" t="s">
        <v>1013</v>
      </c>
      <c r="E81" s="920" t="s">
        <v>1013</v>
      </c>
      <c r="F81" s="920" t="s">
        <v>1013</v>
      </c>
      <c r="G81" s="920" t="s">
        <v>1013</v>
      </c>
      <c r="H81" s="920" t="s">
        <v>1013</v>
      </c>
    </row>
    <row r="82" spans="1:8">
      <c r="A82" s="919" t="s">
        <v>1228</v>
      </c>
      <c r="B82" s="919" t="s">
        <v>1228</v>
      </c>
      <c r="C82" s="920" t="s">
        <v>1013</v>
      </c>
      <c r="D82" s="920" t="s">
        <v>1013</v>
      </c>
      <c r="E82" s="920" t="s">
        <v>1013</v>
      </c>
      <c r="F82" s="920" t="s">
        <v>1013</v>
      </c>
      <c r="G82" s="920" t="s">
        <v>1013</v>
      </c>
      <c r="H82" s="920" t="s">
        <v>1013</v>
      </c>
    </row>
    <row r="83" spans="1:8">
      <c r="A83" s="919" t="s">
        <v>1229</v>
      </c>
      <c r="B83" s="919" t="s">
        <v>1229</v>
      </c>
      <c r="C83" s="920" t="s">
        <v>1013</v>
      </c>
      <c r="D83" s="920" t="s">
        <v>1013</v>
      </c>
      <c r="E83" s="920" t="s">
        <v>1013</v>
      </c>
      <c r="F83" s="920" t="s">
        <v>1013</v>
      </c>
      <c r="G83" s="920" t="s">
        <v>1013</v>
      </c>
      <c r="H83" s="920" t="s">
        <v>1013</v>
      </c>
    </row>
    <row r="84" spans="1:8">
      <c r="A84" s="920">
        <v>4.01</v>
      </c>
      <c r="B84" s="920">
        <v>4.01</v>
      </c>
      <c r="C84" s="920">
        <v>4.01</v>
      </c>
      <c r="D84" s="912">
        <v>4.01</v>
      </c>
      <c r="E84" s="912" t="s">
        <v>1230</v>
      </c>
      <c r="F84" s="912" t="s">
        <v>1230</v>
      </c>
      <c r="G84" s="912" t="s">
        <v>1013</v>
      </c>
      <c r="H84" s="912" t="s">
        <v>1013</v>
      </c>
    </row>
    <row r="85" spans="1:8">
      <c r="A85" s="917">
        <v>4.0199999999999996</v>
      </c>
      <c r="B85" s="917">
        <v>4.0199999999999996</v>
      </c>
      <c r="C85" s="917">
        <v>4.0199999999999996</v>
      </c>
      <c r="D85" s="915">
        <v>4.0199999999999996</v>
      </c>
      <c r="E85" s="915" t="s">
        <v>1231</v>
      </c>
      <c r="F85" s="915" t="s">
        <v>1231</v>
      </c>
      <c r="G85" s="912" t="s">
        <v>1232</v>
      </c>
      <c r="H85" s="912" t="s">
        <v>1232</v>
      </c>
    </row>
    <row r="86" spans="1:8">
      <c r="A86" s="917">
        <v>4.03</v>
      </c>
      <c r="B86" s="917">
        <v>4.03</v>
      </c>
      <c r="C86" s="917">
        <v>4.03</v>
      </c>
      <c r="D86" s="915">
        <v>4.03</v>
      </c>
      <c r="E86" s="916" t="s">
        <v>1013</v>
      </c>
      <c r="F86" s="916" t="s">
        <v>1013</v>
      </c>
      <c r="G86" s="916" t="s">
        <v>1013</v>
      </c>
      <c r="H86" s="916" t="s">
        <v>1013</v>
      </c>
    </row>
    <row r="87" spans="1:8">
      <c r="A87" s="917">
        <v>4.04</v>
      </c>
      <c r="B87" s="917">
        <v>4.04</v>
      </c>
      <c r="C87" s="917">
        <v>4.04</v>
      </c>
      <c r="D87" s="915">
        <v>4.04</v>
      </c>
      <c r="E87" s="915" t="s">
        <v>1233</v>
      </c>
      <c r="F87" s="915" t="s">
        <v>1233</v>
      </c>
      <c r="G87" s="915" t="s">
        <v>1234</v>
      </c>
      <c r="H87" s="915" t="s">
        <v>1234</v>
      </c>
    </row>
    <row r="88" spans="1:8">
      <c r="A88" s="917">
        <v>4.05</v>
      </c>
      <c r="B88" s="917">
        <v>4.05</v>
      </c>
      <c r="C88" s="917">
        <v>4.05</v>
      </c>
      <c r="D88" s="915">
        <v>4.05</v>
      </c>
      <c r="E88" s="915" t="s">
        <v>1235</v>
      </c>
      <c r="F88" s="915" t="s">
        <v>1235</v>
      </c>
      <c r="G88" s="915" t="s">
        <v>1233</v>
      </c>
      <c r="H88" s="915" t="s">
        <v>1233</v>
      </c>
    </row>
    <row r="89" spans="1:8">
      <c r="A89" s="917">
        <v>4.0599999999999996</v>
      </c>
      <c r="B89" s="917">
        <v>4.0599999999999996</v>
      </c>
      <c r="C89" s="917">
        <v>4.0599999999999996</v>
      </c>
      <c r="D89" s="915">
        <v>4.0599999999999996</v>
      </c>
      <c r="E89" s="915" t="s">
        <v>1236</v>
      </c>
      <c r="F89" s="915" t="s">
        <v>1236</v>
      </c>
      <c r="G89" s="915" t="s">
        <v>1235</v>
      </c>
      <c r="H89" s="915" t="s">
        <v>1235</v>
      </c>
    </row>
    <row r="90" spans="1:8">
      <c r="A90" s="917">
        <v>4.07</v>
      </c>
      <c r="B90" s="917">
        <v>4.07</v>
      </c>
      <c r="C90" s="917">
        <v>4.07</v>
      </c>
      <c r="D90" s="915">
        <v>4.07</v>
      </c>
      <c r="E90" s="915" t="s">
        <v>1237</v>
      </c>
      <c r="F90" s="915" t="s">
        <v>1237</v>
      </c>
      <c r="G90" s="915" t="s">
        <v>1013</v>
      </c>
      <c r="H90" s="915" t="s">
        <v>1013</v>
      </c>
    </row>
    <row r="91" spans="1:8">
      <c r="A91" s="917">
        <v>4.08</v>
      </c>
      <c r="B91" s="917">
        <v>4.08</v>
      </c>
      <c r="C91" s="917">
        <v>4.08</v>
      </c>
      <c r="D91" s="915">
        <v>4.08</v>
      </c>
      <c r="E91" s="915" t="s">
        <v>1238</v>
      </c>
      <c r="F91" s="915" t="s">
        <v>1238</v>
      </c>
      <c r="G91" s="915" t="s">
        <v>1239</v>
      </c>
      <c r="H91" s="915" t="s">
        <v>1239</v>
      </c>
    </row>
    <row r="92" spans="1:8">
      <c r="A92" s="917">
        <v>4.09</v>
      </c>
      <c r="B92" s="917">
        <v>4.09</v>
      </c>
      <c r="C92" s="917">
        <v>4.09</v>
      </c>
      <c r="D92" s="915">
        <v>4.09</v>
      </c>
      <c r="E92" s="915" t="s">
        <v>1240</v>
      </c>
      <c r="F92" s="915" t="s">
        <v>1240</v>
      </c>
      <c r="G92" s="915" t="s">
        <v>1238</v>
      </c>
      <c r="H92" s="915" t="s">
        <v>1238</v>
      </c>
    </row>
    <row r="93" spans="1:8">
      <c r="A93" s="913">
        <v>4.0999999999999996</v>
      </c>
      <c r="B93" s="913">
        <v>4.0999999999999996</v>
      </c>
      <c r="C93" s="913">
        <v>4.0999999999999996</v>
      </c>
      <c r="D93" s="914">
        <v>4.0999999999999996</v>
      </c>
      <c r="E93" s="915" t="s">
        <v>1232</v>
      </c>
      <c r="F93" s="915" t="s">
        <v>1232</v>
      </c>
      <c r="G93" s="915" t="s">
        <v>1240</v>
      </c>
      <c r="H93" s="915" t="s">
        <v>1240</v>
      </c>
    </row>
    <row r="94" spans="1:8">
      <c r="A94" s="913">
        <v>4.1100000000000003</v>
      </c>
      <c r="B94" s="913">
        <v>4.1100000000000003</v>
      </c>
      <c r="C94" s="913" t="s">
        <v>1013</v>
      </c>
      <c r="D94" s="913" t="s">
        <v>1013</v>
      </c>
      <c r="E94" s="913" t="s">
        <v>1013</v>
      </c>
      <c r="F94" s="913" t="s">
        <v>1013</v>
      </c>
      <c r="G94" s="913" t="s">
        <v>1013</v>
      </c>
      <c r="H94" s="913" t="s">
        <v>1013</v>
      </c>
    </row>
    <row r="95" spans="1:8">
      <c r="A95" s="913">
        <v>4.12</v>
      </c>
      <c r="B95" s="913">
        <v>4.12</v>
      </c>
      <c r="C95" s="913" t="s">
        <v>1013</v>
      </c>
      <c r="D95" s="913" t="s">
        <v>1013</v>
      </c>
      <c r="E95" s="913" t="s">
        <v>1013</v>
      </c>
      <c r="F95" s="913" t="s">
        <v>1013</v>
      </c>
      <c r="G95" s="913" t="s">
        <v>1013</v>
      </c>
      <c r="H95" s="913" t="s">
        <v>1013</v>
      </c>
    </row>
    <row r="96" spans="1:8">
      <c r="A96" s="913">
        <v>4.13</v>
      </c>
      <c r="B96" s="913">
        <v>4.13</v>
      </c>
      <c r="C96" s="913" t="s">
        <v>1013</v>
      </c>
      <c r="D96" s="913" t="s">
        <v>1013</v>
      </c>
      <c r="E96" s="913" t="s">
        <v>1013</v>
      </c>
      <c r="F96" s="913" t="s">
        <v>1013</v>
      </c>
      <c r="G96" s="913" t="s">
        <v>1013</v>
      </c>
      <c r="H96" s="913" t="s">
        <v>1013</v>
      </c>
    </row>
    <row r="97" spans="1:8">
      <c r="A97" s="917">
        <v>5.01</v>
      </c>
      <c r="B97" s="917">
        <v>5.01</v>
      </c>
      <c r="C97" s="917">
        <v>5.0199999999999996</v>
      </c>
      <c r="D97" s="915">
        <v>5.01</v>
      </c>
      <c r="E97" s="916" t="s">
        <v>1013</v>
      </c>
      <c r="F97" s="916" t="s">
        <v>1013</v>
      </c>
      <c r="G97" s="916" t="s">
        <v>1013</v>
      </c>
      <c r="H97" s="916" t="s">
        <v>1013</v>
      </c>
    </row>
    <row r="98" spans="1:8">
      <c r="A98" s="917">
        <v>5.01</v>
      </c>
      <c r="B98" s="917">
        <v>5.01</v>
      </c>
      <c r="C98" s="917">
        <v>5.0199999999999996</v>
      </c>
      <c r="D98" s="915">
        <v>5.0199999999999996</v>
      </c>
      <c r="E98" s="916" t="s">
        <v>1013</v>
      </c>
      <c r="F98" s="916" t="s">
        <v>1013</v>
      </c>
      <c r="G98" s="916" t="s">
        <v>1013</v>
      </c>
      <c r="H98" s="916" t="s">
        <v>1013</v>
      </c>
    </row>
    <row r="99" spans="1:8">
      <c r="A99" s="917">
        <v>5.01</v>
      </c>
      <c r="B99" s="917">
        <v>5.01</v>
      </c>
      <c r="C99" s="917">
        <v>5.0199999999999996</v>
      </c>
      <c r="D99" s="915">
        <v>5.03</v>
      </c>
      <c r="E99" s="916" t="s">
        <v>1013</v>
      </c>
      <c r="F99" s="916" t="s">
        <v>1013</v>
      </c>
      <c r="G99" s="916" t="s">
        <v>1013</v>
      </c>
      <c r="H99" s="916" t="s">
        <v>1013</v>
      </c>
    </row>
    <row r="100" spans="1:8">
      <c r="A100" s="917">
        <v>5.0199999999999996</v>
      </c>
      <c r="B100" s="917">
        <v>5.0199999999999996</v>
      </c>
      <c r="C100" s="917">
        <v>5.01</v>
      </c>
      <c r="D100" s="916" t="s">
        <v>1241</v>
      </c>
      <c r="E100" s="915" t="s">
        <v>1013</v>
      </c>
      <c r="F100" s="915" t="s">
        <v>1013</v>
      </c>
      <c r="G100" s="915" t="s">
        <v>1013</v>
      </c>
      <c r="H100" s="915" t="s">
        <v>1013</v>
      </c>
    </row>
    <row r="101" spans="1:8">
      <c r="A101" s="917">
        <v>5.03</v>
      </c>
      <c r="B101" s="917">
        <v>5.03</v>
      </c>
      <c r="C101" s="917" t="s">
        <v>1013</v>
      </c>
      <c r="D101" s="917" t="s">
        <v>1013</v>
      </c>
      <c r="E101" s="917" t="s">
        <v>1013</v>
      </c>
      <c r="F101" s="917" t="s">
        <v>1013</v>
      </c>
      <c r="G101" s="917" t="s">
        <v>1013</v>
      </c>
      <c r="H101" s="917" t="s">
        <v>1013</v>
      </c>
    </row>
    <row r="102" spans="1:8">
      <c r="A102" s="917">
        <v>5.04</v>
      </c>
      <c r="B102" s="917">
        <v>5.04</v>
      </c>
      <c r="C102" s="917" t="s">
        <v>1013</v>
      </c>
      <c r="D102" s="917" t="s">
        <v>1013</v>
      </c>
      <c r="E102" s="917" t="s">
        <v>1013</v>
      </c>
      <c r="F102" s="917" t="s">
        <v>1013</v>
      </c>
      <c r="G102" s="917" t="s">
        <v>1013</v>
      </c>
      <c r="H102" s="917" t="s">
        <v>1013</v>
      </c>
    </row>
    <row r="103" spans="1:8">
      <c r="A103" s="917">
        <v>6.01</v>
      </c>
      <c r="B103" s="917">
        <v>6.01</v>
      </c>
      <c r="C103" s="917">
        <v>6.01</v>
      </c>
      <c r="D103" s="915">
        <v>6.01</v>
      </c>
      <c r="E103" s="915" t="s">
        <v>1242</v>
      </c>
      <c r="F103" s="915" t="s">
        <v>1242</v>
      </c>
      <c r="G103" s="915" t="s">
        <v>1242</v>
      </c>
      <c r="H103" s="915" t="s">
        <v>1242</v>
      </c>
    </row>
    <row r="104" spans="1:8">
      <c r="A104" s="917">
        <v>6.02</v>
      </c>
      <c r="B104" s="917">
        <v>6.02</v>
      </c>
      <c r="C104" s="917">
        <v>6.02</v>
      </c>
      <c r="D104" s="915">
        <v>6.02</v>
      </c>
      <c r="E104" s="915" t="s">
        <v>1243</v>
      </c>
      <c r="F104" s="915" t="s">
        <v>1243</v>
      </c>
      <c r="G104" s="915" t="s">
        <v>1243</v>
      </c>
      <c r="H104" s="915" t="s">
        <v>1243</v>
      </c>
    </row>
    <row r="105" spans="1:8">
      <c r="A105" s="917">
        <v>6.03</v>
      </c>
      <c r="B105" s="917">
        <v>6.03</v>
      </c>
      <c r="C105" s="917">
        <v>6.03</v>
      </c>
      <c r="D105" s="915">
        <v>6.03</v>
      </c>
      <c r="E105" s="915" t="s">
        <v>1244</v>
      </c>
      <c r="F105" s="915" t="s">
        <v>1244</v>
      </c>
      <c r="G105" s="915" t="s">
        <v>1244</v>
      </c>
      <c r="H105" s="915" t="s">
        <v>1244</v>
      </c>
    </row>
    <row r="106" spans="1:8">
      <c r="A106" s="917">
        <v>6.04</v>
      </c>
      <c r="B106" s="917">
        <v>6.04</v>
      </c>
      <c r="C106" s="917">
        <v>6.04</v>
      </c>
      <c r="D106" s="915">
        <v>6.04</v>
      </c>
      <c r="E106" s="915" t="s">
        <v>1245</v>
      </c>
      <c r="F106" s="915" t="s">
        <v>1245</v>
      </c>
      <c r="G106" s="915" t="s">
        <v>1245</v>
      </c>
      <c r="H106" s="915" t="s">
        <v>1245</v>
      </c>
    </row>
    <row r="107" spans="1:8">
      <c r="A107" s="917">
        <v>6.05</v>
      </c>
      <c r="B107" s="917">
        <v>6.05</v>
      </c>
      <c r="C107" s="917">
        <v>6.05</v>
      </c>
      <c r="D107" s="915">
        <v>6.05</v>
      </c>
      <c r="E107" s="915" t="s">
        <v>1246</v>
      </c>
      <c r="F107" s="915" t="s">
        <v>1246</v>
      </c>
      <c r="G107" s="915" t="s">
        <v>1246</v>
      </c>
      <c r="H107" s="915" t="s">
        <v>1246</v>
      </c>
    </row>
    <row r="108" spans="1:8">
      <c r="A108" s="917">
        <v>6.06</v>
      </c>
      <c r="B108" s="917">
        <v>6.06</v>
      </c>
      <c r="C108" s="917">
        <v>6.06</v>
      </c>
      <c r="D108" s="915">
        <v>6.06</v>
      </c>
      <c r="E108" s="915" t="s">
        <v>1247</v>
      </c>
      <c r="F108" s="915" t="s">
        <v>1247</v>
      </c>
      <c r="G108" s="915" t="s">
        <v>1247</v>
      </c>
      <c r="H108" s="915" t="s">
        <v>1247</v>
      </c>
    </row>
    <row r="109" spans="1:8">
      <c r="A109" s="917">
        <v>7.01</v>
      </c>
      <c r="B109" s="917">
        <v>7.01</v>
      </c>
      <c r="C109" s="917">
        <v>7.01</v>
      </c>
      <c r="D109" s="915">
        <v>7.01</v>
      </c>
      <c r="E109" s="915" t="s">
        <v>1248</v>
      </c>
      <c r="F109" s="915" t="s">
        <v>1248</v>
      </c>
      <c r="G109" s="915" t="s">
        <v>1248</v>
      </c>
      <c r="H109" s="915" t="s">
        <v>1248</v>
      </c>
    </row>
    <row r="110" spans="1:8">
      <c r="A110" s="917">
        <v>7.02</v>
      </c>
      <c r="B110" s="917">
        <v>7.02</v>
      </c>
      <c r="C110" s="917">
        <v>7.02</v>
      </c>
      <c r="D110" s="915">
        <v>7.02</v>
      </c>
      <c r="E110" s="915" t="s">
        <v>1249</v>
      </c>
      <c r="F110" s="915" t="s">
        <v>1249</v>
      </c>
      <c r="G110" s="915" t="s">
        <v>1249</v>
      </c>
      <c r="H110" s="915" t="s">
        <v>1249</v>
      </c>
    </row>
    <row r="111" spans="1:8">
      <c r="A111" s="917">
        <v>7.03</v>
      </c>
      <c r="B111" s="917">
        <v>7.03</v>
      </c>
      <c r="C111" s="917">
        <v>7.03</v>
      </c>
      <c r="D111" s="915">
        <v>7.03</v>
      </c>
      <c r="E111" s="915" t="s">
        <v>1250</v>
      </c>
      <c r="F111" s="915" t="s">
        <v>1250</v>
      </c>
      <c r="G111" s="915" t="s">
        <v>1250</v>
      </c>
      <c r="H111" s="915" t="s">
        <v>1250</v>
      </c>
    </row>
    <row r="112" spans="1:8">
      <c r="A112" s="917">
        <v>7.04</v>
      </c>
      <c r="B112" s="917">
        <v>7.04</v>
      </c>
      <c r="C112" s="917">
        <v>7.04</v>
      </c>
      <c r="D112" s="915">
        <v>7.04</v>
      </c>
      <c r="E112" s="915" t="s">
        <v>1251</v>
      </c>
      <c r="F112" s="915" t="s">
        <v>1251</v>
      </c>
      <c r="G112" s="915" t="s">
        <v>1251</v>
      </c>
      <c r="H112" s="915" t="s">
        <v>1251</v>
      </c>
    </row>
    <row r="113" spans="1:8">
      <c r="A113" s="917">
        <v>7.05</v>
      </c>
      <c r="B113" s="917">
        <v>7.05</v>
      </c>
      <c r="C113" s="917">
        <v>7.05</v>
      </c>
      <c r="D113" s="915">
        <v>7.05</v>
      </c>
      <c r="E113" s="915" t="s">
        <v>1252</v>
      </c>
      <c r="F113" s="915" t="s">
        <v>1252</v>
      </c>
      <c r="G113" s="915" t="s">
        <v>1252</v>
      </c>
      <c r="H113" s="915" t="s">
        <v>1252</v>
      </c>
    </row>
    <row r="114" spans="1:8">
      <c r="A114" s="917">
        <v>7.06</v>
      </c>
      <c r="B114" s="917">
        <v>7.06</v>
      </c>
      <c r="C114" s="917" t="s">
        <v>1013</v>
      </c>
      <c r="D114" s="917" t="s">
        <v>1013</v>
      </c>
      <c r="E114" s="917" t="s">
        <v>1013</v>
      </c>
      <c r="F114" s="917" t="s">
        <v>1013</v>
      </c>
      <c r="G114" s="917" t="s">
        <v>1013</v>
      </c>
      <c r="H114" s="917" t="s">
        <v>1013</v>
      </c>
    </row>
    <row r="115" spans="1:8">
      <c r="A115" s="913">
        <v>8.01</v>
      </c>
      <c r="B115" s="913">
        <v>8.01</v>
      </c>
      <c r="C115" s="913">
        <v>8.01</v>
      </c>
      <c r="D115" s="914">
        <v>8.01</v>
      </c>
      <c r="E115" s="915" t="s">
        <v>1253</v>
      </c>
      <c r="F115" s="915" t="s">
        <v>1253</v>
      </c>
      <c r="G115" s="915" t="s">
        <v>1253</v>
      </c>
      <c r="H115" s="915" t="s">
        <v>1253</v>
      </c>
    </row>
    <row r="116" spans="1:8">
      <c r="A116" s="913">
        <v>8.02</v>
      </c>
      <c r="B116" s="913">
        <v>8.02</v>
      </c>
      <c r="C116" s="913">
        <v>8.02</v>
      </c>
      <c r="D116" s="914">
        <v>8.01</v>
      </c>
      <c r="E116" s="915" t="s">
        <v>1253</v>
      </c>
      <c r="F116" s="915" t="s">
        <v>1253</v>
      </c>
      <c r="G116" s="915" t="s">
        <v>1253</v>
      </c>
      <c r="H116" s="915" t="s">
        <v>1253</v>
      </c>
    </row>
    <row r="117" spans="1:8">
      <c r="A117" s="913">
        <v>8.0299999999999994</v>
      </c>
      <c r="B117" s="913">
        <v>8.0299999999999994</v>
      </c>
      <c r="C117" s="913">
        <v>8.0299999999999994</v>
      </c>
      <c r="D117" s="914">
        <v>8.0299999999999994</v>
      </c>
      <c r="E117" s="915" t="s">
        <v>1254</v>
      </c>
      <c r="F117" s="915" t="s">
        <v>1254</v>
      </c>
      <c r="G117" s="915" t="s">
        <v>1254</v>
      </c>
      <c r="H117" s="915" t="s">
        <v>1254</v>
      </c>
    </row>
    <row r="118" spans="1:8">
      <c r="A118" s="913">
        <v>8.0399999999999991</v>
      </c>
      <c r="B118" s="913">
        <v>8.0399999999999991</v>
      </c>
      <c r="C118" s="913">
        <v>8.0399999999999991</v>
      </c>
      <c r="D118" s="914">
        <v>8.0399999999999991</v>
      </c>
      <c r="E118" s="915" t="s">
        <v>1255</v>
      </c>
      <c r="F118" s="915" t="s">
        <v>1255</v>
      </c>
      <c r="G118" s="915" t="s">
        <v>1255</v>
      </c>
      <c r="H118" s="915" t="s">
        <v>1255</v>
      </c>
    </row>
    <row r="119" spans="1:8">
      <c r="A119" s="913">
        <v>8.0500000000000007</v>
      </c>
      <c r="B119" s="913">
        <v>8.0500000000000007</v>
      </c>
      <c r="C119" s="913">
        <v>8.0500000000000007</v>
      </c>
      <c r="D119" s="914">
        <v>8.0500000000000007</v>
      </c>
      <c r="E119" s="915" t="s">
        <v>1256</v>
      </c>
      <c r="F119" s="915" t="s">
        <v>1256</v>
      </c>
      <c r="G119" s="915" t="s">
        <v>1256</v>
      </c>
      <c r="H119" s="915" t="s">
        <v>1256</v>
      </c>
    </row>
    <row r="120" spans="1:8">
      <c r="A120" s="913">
        <v>8.06</v>
      </c>
      <c r="B120" s="913">
        <v>8.06</v>
      </c>
      <c r="C120" s="913">
        <v>8.06</v>
      </c>
      <c r="D120" s="914">
        <v>8.06</v>
      </c>
      <c r="E120" s="915" t="s">
        <v>1257</v>
      </c>
      <c r="F120" s="915" t="s">
        <v>1257</v>
      </c>
      <c r="G120" s="915" t="s">
        <v>1257</v>
      </c>
      <c r="H120" s="915" t="s">
        <v>1257</v>
      </c>
    </row>
    <row r="121" spans="1:8">
      <c r="A121" s="913">
        <v>8.07</v>
      </c>
      <c r="B121" s="913">
        <v>8.07</v>
      </c>
      <c r="C121" s="913">
        <v>8.07</v>
      </c>
      <c r="D121" s="914">
        <v>8.07</v>
      </c>
      <c r="E121" s="915" t="s">
        <v>1258</v>
      </c>
      <c r="F121" s="915" t="s">
        <v>1258</v>
      </c>
      <c r="G121" s="915" t="s">
        <v>1258</v>
      </c>
      <c r="H121" s="915" t="s">
        <v>1258</v>
      </c>
    </row>
    <row r="122" spans="1:8">
      <c r="A122" s="913">
        <v>8.08</v>
      </c>
      <c r="B122" s="913">
        <v>8.08</v>
      </c>
      <c r="C122" s="913">
        <v>8.08</v>
      </c>
      <c r="D122" s="914">
        <v>8.08</v>
      </c>
      <c r="E122" s="915" t="s">
        <v>1259</v>
      </c>
      <c r="F122" s="915" t="s">
        <v>1259</v>
      </c>
      <c r="G122" s="915" t="s">
        <v>1259</v>
      </c>
      <c r="H122" s="915" t="s">
        <v>1259</v>
      </c>
    </row>
    <row r="123" spans="1:8">
      <c r="A123" s="913">
        <v>8.09</v>
      </c>
      <c r="B123" s="913">
        <v>8.09</v>
      </c>
      <c r="C123" s="913">
        <v>8.09</v>
      </c>
      <c r="D123" s="914">
        <v>8.09</v>
      </c>
      <c r="E123" s="915" t="s">
        <v>1260</v>
      </c>
      <c r="F123" s="915" t="s">
        <v>1260</v>
      </c>
      <c r="G123" s="915" t="s">
        <v>1260</v>
      </c>
      <c r="H123" s="915" t="s">
        <v>1260</v>
      </c>
    </row>
    <row r="124" spans="1:8">
      <c r="A124" s="913">
        <v>8.1</v>
      </c>
      <c r="B124" s="913">
        <v>8.1</v>
      </c>
      <c r="C124" s="913">
        <v>8.1</v>
      </c>
      <c r="D124" s="914">
        <v>8.1</v>
      </c>
      <c r="E124" s="915" t="s">
        <v>1261</v>
      </c>
      <c r="F124" s="915" t="s">
        <v>1261</v>
      </c>
      <c r="G124" s="915" t="s">
        <v>1261</v>
      </c>
      <c r="H124" s="915" t="s">
        <v>1261</v>
      </c>
    </row>
    <row r="125" spans="1:8">
      <c r="A125" s="913">
        <v>8.11</v>
      </c>
      <c r="B125" s="913" t="s">
        <v>1013</v>
      </c>
      <c r="C125" s="913" t="s">
        <v>1013</v>
      </c>
      <c r="D125" s="913" t="s">
        <v>1013</v>
      </c>
      <c r="E125" s="913" t="s">
        <v>1013</v>
      </c>
      <c r="F125" s="913" t="s">
        <v>1013</v>
      </c>
      <c r="G125" s="913" t="s">
        <v>1013</v>
      </c>
      <c r="H125" s="913" t="s">
        <v>1013</v>
      </c>
    </row>
    <row r="126" spans="1:8">
      <c r="A126" s="913">
        <v>8.1199999999999992</v>
      </c>
      <c r="B126" s="913" t="s">
        <v>1013</v>
      </c>
      <c r="C126" s="913" t="s">
        <v>1013</v>
      </c>
      <c r="D126" s="913" t="s">
        <v>1013</v>
      </c>
      <c r="E126" s="913" t="s">
        <v>1013</v>
      </c>
      <c r="F126" s="913" t="s">
        <v>1013</v>
      </c>
      <c r="G126" s="913" t="s">
        <v>1013</v>
      </c>
      <c r="H126" s="913" t="s">
        <v>1013</v>
      </c>
    </row>
    <row r="127" spans="1:8">
      <c r="A127" s="913">
        <v>9.01</v>
      </c>
      <c r="B127" s="913" t="s">
        <v>1013</v>
      </c>
      <c r="C127" s="913" t="s">
        <v>1013</v>
      </c>
      <c r="D127" s="913" t="s">
        <v>1013</v>
      </c>
      <c r="E127" s="916" t="s">
        <v>1013</v>
      </c>
      <c r="F127" s="916" t="s">
        <v>1013</v>
      </c>
      <c r="G127" s="916" t="s">
        <v>1013</v>
      </c>
      <c r="H127" s="916" t="s">
        <v>1013</v>
      </c>
    </row>
    <row r="128" spans="1:8">
      <c r="A128" s="913">
        <v>9.02</v>
      </c>
      <c r="B128" s="913">
        <v>9.02</v>
      </c>
      <c r="C128" s="913">
        <v>9.02</v>
      </c>
      <c r="D128" s="914">
        <v>9.02</v>
      </c>
      <c r="E128" s="916" t="s">
        <v>1013</v>
      </c>
      <c r="F128" s="916" t="s">
        <v>1013</v>
      </c>
      <c r="G128" s="916" t="s">
        <v>1013</v>
      </c>
      <c r="H128" s="916" t="s">
        <v>1013</v>
      </c>
    </row>
    <row r="129" spans="1:8">
      <c r="A129" s="913">
        <v>9.0299999999999994</v>
      </c>
      <c r="B129" s="913">
        <v>9.0299999999999994</v>
      </c>
      <c r="C129" s="913">
        <v>9.0299999999999994</v>
      </c>
      <c r="D129" s="914">
        <v>9.0299999999999994</v>
      </c>
      <c r="E129" s="916" t="s">
        <v>1013</v>
      </c>
      <c r="F129" s="916" t="s">
        <v>1013</v>
      </c>
      <c r="G129" s="916" t="s">
        <v>1013</v>
      </c>
      <c r="H129" s="916" t="s">
        <v>1013</v>
      </c>
    </row>
    <row r="130" spans="1:8">
      <c r="A130" s="913">
        <v>9.0399999999999991</v>
      </c>
      <c r="B130" s="913">
        <v>9.0399999999999991</v>
      </c>
      <c r="C130" s="913">
        <v>9.0399999999999991</v>
      </c>
      <c r="D130" s="921" t="s">
        <v>1013</v>
      </c>
      <c r="E130" s="916" t="s">
        <v>1013</v>
      </c>
      <c r="F130" s="916" t="s">
        <v>1013</v>
      </c>
      <c r="G130" s="916" t="s">
        <v>1013</v>
      </c>
      <c r="H130" s="916" t="s">
        <v>1013</v>
      </c>
    </row>
    <row r="131" spans="1:8">
      <c r="A131" s="913">
        <v>9.0500000000000007</v>
      </c>
      <c r="B131" s="913">
        <v>9.0500000000000007</v>
      </c>
      <c r="C131" s="913">
        <v>9.0500000000000007</v>
      </c>
      <c r="D131" s="921" t="s">
        <v>1013</v>
      </c>
      <c r="E131" s="916" t="s">
        <v>1013</v>
      </c>
      <c r="F131" s="916" t="s">
        <v>1013</v>
      </c>
      <c r="G131" s="916" t="s">
        <v>1013</v>
      </c>
      <c r="H131" s="916" t="s">
        <v>1013</v>
      </c>
    </row>
    <row r="132" spans="1:8">
      <c r="A132" s="913">
        <v>9.06</v>
      </c>
      <c r="B132" s="913">
        <v>9.06</v>
      </c>
      <c r="C132" s="913">
        <v>9.06</v>
      </c>
      <c r="D132" s="914" t="s">
        <v>1013</v>
      </c>
      <c r="E132" s="915" t="s">
        <v>1013</v>
      </c>
      <c r="F132" s="915" t="s">
        <v>1013</v>
      </c>
      <c r="G132" s="915" t="s">
        <v>1013</v>
      </c>
      <c r="H132" s="915" t="s">
        <v>1013</v>
      </c>
    </row>
    <row r="133" spans="1:8">
      <c r="A133" s="913">
        <v>9.07</v>
      </c>
      <c r="B133" s="913">
        <v>9.07</v>
      </c>
      <c r="C133" s="913">
        <v>9.07</v>
      </c>
      <c r="D133" s="914" t="s">
        <v>1013</v>
      </c>
      <c r="E133" s="915" t="s">
        <v>1013</v>
      </c>
      <c r="F133" s="915" t="s">
        <v>1013</v>
      </c>
      <c r="G133" s="915" t="s">
        <v>1013</v>
      </c>
      <c r="H133" s="915" t="s">
        <v>1013</v>
      </c>
    </row>
    <row r="134" spans="1:8">
      <c r="A134" s="913">
        <v>9.08</v>
      </c>
      <c r="B134" s="913">
        <v>9.08</v>
      </c>
      <c r="C134" s="913">
        <v>9.08</v>
      </c>
      <c r="D134" s="914" t="s">
        <v>1013</v>
      </c>
      <c r="E134" s="915" t="s">
        <v>1013</v>
      </c>
      <c r="F134" s="915" t="s">
        <v>1013</v>
      </c>
      <c r="G134" s="915" t="s">
        <v>1013</v>
      </c>
      <c r="H134" s="915" t="s">
        <v>1013</v>
      </c>
    </row>
    <row r="135" spans="1:8">
      <c r="A135" s="913">
        <v>9.09</v>
      </c>
      <c r="B135" s="913">
        <v>9.09</v>
      </c>
      <c r="C135" s="913">
        <v>9.09</v>
      </c>
      <c r="D135" s="914">
        <v>9.09</v>
      </c>
      <c r="E135" s="915" t="s">
        <v>1262</v>
      </c>
      <c r="F135" s="915" t="s">
        <v>1263</v>
      </c>
      <c r="G135" s="915" t="s">
        <v>1263</v>
      </c>
      <c r="H135" s="915" t="s">
        <v>1264</v>
      </c>
    </row>
    <row r="136" spans="1:8">
      <c r="A136" s="913">
        <v>9.09</v>
      </c>
      <c r="B136" s="913">
        <v>9.09</v>
      </c>
      <c r="C136" s="913">
        <v>9.09</v>
      </c>
      <c r="D136" s="914">
        <v>9.09</v>
      </c>
      <c r="E136" s="915" t="s">
        <v>1265</v>
      </c>
      <c r="F136" s="915" t="s">
        <v>1265</v>
      </c>
      <c r="G136" s="915" t="s">
        <v>1265</v>
      </c>
      <c r="H136" s="915" t="s">
        <v>1266</v>
      </c>
    </row>
    <row r="137" spans="1:8">
      <c r="A137" s="913">
        <v>9.09</v>
      </c>
      <c r="B137" s="913">
        <v>9.09</v>
      </c>
      <c r="C137" s="913">
        <v>9.09</v>
      </c>
      <c r="D137" s="914">
        <v>9.09</v>
      </c>
      <c r="E137" s="915" t="s">
        <v>1267</v>
      </c>
      <c r="F137" s="915" t="s">
        <v>1268</v>
      </c>
      <c r="G137" s="915" t="s">
        <v>1268</v>
      </c>
      <c r="H137" s="915" t="s">
        <v>1217</v>
      </c>
    </row>
    <row r="138" spans="1:8">
      <c r="A138" s="913">
        <v>9.11</v>
      </c>
      <c r="B138" s="913">
        <v>9.11</v>
      </c>
      <c r="C138" s="913">
        <v>9.11</v>
      </c>
      <c r="D138" s="914">
        <v>9.11</v>
      </c>
      <c r="E138" s="916" t="s">
        <v>1013</v>
      </c>
      <c r="F138" s="916" t="s">
        <v>1013</v>
      </c>
      <c r="G138" s="916" t="s">
        <v>1013</v>
      </c>
      <c r="H138" s="916" t="s">
        <v>1013</v>
      </c>
    </row>
    <row r="139" spans="1:8">
      <c r="A139" s="913">
        <v>9.1199999999999992</v>
      </c>
      <c r="B139" s="913">
        <v>9.1199999999999992</v>
      </c>
      <c r="C139" s="913">
        <v>9.1199999999999992</v>
      </c>
      <c r="D139" s="914">
        <v>9.0399999999999991</v>
      </c>
      <c r="E139" s="915" t="s">
        <v>1269</v>
      </c>
      <c r="F139" s="915" t="s">
        <v>1269</v>
      </c>
      <c r="G139" s="915" t="s">
        <v>1269</v>
      </c>
      <c r="H139" s="915" t="s">
        <v>1270</v>
      </c>
    </row>
    <row r="140" spans="1:8">
      <c r="A140" s="913">
        <v>9.1300000000000008</v>
      </c>
      <c r="B140" s="913">
        <v>9.1300000000000008</v>
      </c>
      <c r="C140" s="913">
        <v>9.1300000000000008</v>
      </c>
      <c r="D140" s="914">
        <v>9.0500000000000007</v>
      </c>
      <c r="E140" s="915" t="s">
        <v>1271</v>
      </c>
      <c r="F140" s="915" t="s">
        <v>1271</v>
      </c>
      <c r="G140" s="915" t="s">
        <v>1271</v>
      </c>
      <c r="H140" s="915" t="s">
        <v>1272</v>
      </c>
    </row>
    <row r="141" spans="1:8">
      <c r="A141" s="913">
        <v>9.14</v>
      </c>
      <c r="B141" s="913">
        <v>9.14</v>
      </c>
      <c r="C141" s="913">
        <v>9.14</v>
      </c>
      <c r="D141" s="914">
        <v>9.06</v>
      </c>
      <c r="E141" s="915" t="s">
        <v>1273</v>
      </c>
      <c r="F141" s="915" t="s">
        <v>1273</v>
      </c>
      <c r="G141" s="915" t="s">
        <v>1273</v>
      </c>
      <c r="H141" s="915" t="s">
        <v>1274</v>
      </c>
    </row>
    <row r="142" spans="1:8">
      <c r="A142" s="913">
        <v>9.15</v>
      </c>
      <c r="B142" s="913">
        <v>9.15</v>
      </c>
      <c r="C142" s="913">
        <v>9.15</v>
      </c>
      <c r="D142" s="914" t="s">
        <v>1013</v>
      </c>
      <c r="E142" s="916" t="s">
        <v>1013</v>
      </c>
      <c r="F142" s="916" t="s">
        <v>1013</v>
      </c>
      <c r="G142" s="916" t="s">
        <v>1013</v>
      </c>
      <c r="H142" s="916" t="s">
        <v>1013</v>
      </c>
    </row>
    <row r="143" spans="1:8">
      <c r="A143" s="913">
        <v>9.16</v>
      </c>
      <c r="B143" s="913">
        <v>9.16</v>
      </c>
      <c r="C143" s="913">
        <v>9.16</v>
      </c>
      <c r="D143" s="914">
        <v>9.1</v>
      </c>
      <c r="E143" s="915" t="s">
        <v>1267</v>
      </c>
      <c r="F143" s="915" t="s">
        <v>1267</v>
      </c>
      <c r="G143" s="915" t="s">
        <v>1267</v>
      </c>
      <c r="H143" s="915" t="s">
        <v>1218</v>
      </c>
    </row>
    <row r="144" spans="1:8">
      <c r="A144" s="913">
        <v>9.17</v>
      </c>
      <c r="B144" s="913">
        <v>9.17</v>
      </c>
      <c r="C144" s="913">
        <v>9.17</v>
      </c>
      <c r="D144" s="921" t="s">
        <v>1013</v>
      </c>
      <c r="E144" s="916" t="s">
        <v>1013</v>
      </c>
      <c r="F144" s="916" t="s">
        <v>1013</v>
      </c>
      <c r="G144" s="916" t="s">
        <v>1013</v>
      </c>
      <c r="H144" s="916" t="s">
        <v>1013</v>
      </c>
    </row>
    <row r="145" spans="1:8">
      <c r="A145" s="913">
        <v>9.18</v>
      </c>
      <c r="B145" s="913">
        <v>9.18</v>
      </c>
      <c r="C145" s="913">
        <v>9.18</v>
      </c>
      <c r="D145" s="921" t="s">
        <v>1013</v>
      </c>
      <c r="E145" s="916" t="s">
        <v>1013</v>
      </c>
      <c r="F145" s="916" t="s">
        <v>1013</v>
      </c>
      <c r="G145" s="916" t="s">
        <v>1013</v>
      </c>
      <c r="H145" s="916" t="s">
        <v>1013</v>
      </c>
    </row>
    <row r="146" spans="1:8">
      <c r="A146" s="913">
        <v>9.19</v>
      </c>
      <c r="B146" s="913">
        <v>9.01</v>
      </c>
      <c r="C146" s="913">
        <v>9.01</v>
      </c>
      <c r="D146" s="914">
        <v>9.01</v>
      </c>
      <c r="E146" s="916" t="s">
        <v>1013</v>
      </c>
      <c r="F146" s="916" t="s">
        <v>1013</v>
      </c>
      <c r="G146" s="916" t="s">
        <v>1013</v>
      </c>
      <c r="H146" s="916" t="s">
        <v>1013</v>
      </c>
    </row>
    <row r="147" spans="1:8">
      <c r="A147" s="913">
        <v>9.1999999999999993</v>
      </c>
      <c r="B147" s="913" t="s">
        <v>1013</v>
      </c>
      <c r="C147" s="913" t="s">
        <v>1013</v>
      </c>
      <c r="D147" s="913" t="s">
        <v>1013</v>
      </c>
      <c r="E147" s="913" t="s">
        <v>1013</v>
      </c>
      <c r="F147" s="913" t="s">
        <v>1013</v>
      </c>
      <c r="G147" s="913" t="s">
        <v>1013</v>
      </c>
      <c r="H147" s="913" t="s">
        <v>1013</v>
      </c>
    </row>
    <row r="148" spans="1:8">
      <c r="A148" s="913" t="s">
        <v>1013</v>
      </c>
      <c r="B148" s="913" t="s">
        <v>1013</v>
      </c>
      <c r="C148" s="913" t="s">
        <v>1013</v>
      </c>
      <c r="D148" s="914" t="s">
        <v>1013</v>
      </c>
      <c r="E148" s="915" t="s">
        <v>1275</v>
      </c>
      <c r="F148" s="915" t="s">
        <v>1275</v>
      </c>
      <c r="G148" s="915" t="s">
        <v>1275</v>
      </c>
      <c r="H148" s="915" t="s">
        <v>1275</v>
      </c>
    </row>
    <row r="149" spans="1:8">
      <c r="A149" s="913" t="s">
        <v>1013</v>
      </c>
      <c r="B149" s="913" t="s">
        <v>1013</v>
      </c>
      <c r="C149" s="913" t="s">
        <v>1013</v>
      </c>
      <c r="D149" s="914" t="s">
        <v>1013</v>
      </c>
      <c r="E149" s="915" t="s">
        <v>1276</v>
      </c>
      <c r="F149" s="915" t="s">
        <v>1276</v>
      </c>
      <c r="G149" s="915" t="s">
        <v>1276</v>
      </c>
      <c r="H149" s="915" t="s">
        <v>1276</v>
      </c>
    </row>
    <row r="150" spans="1:8">
      <c r="A150" s="913" t="s">
        <v>1013</v>
      </c>
      <c r="B150" s="913" t="s">
        <v>1013</v>
      </c>
      <c r="C150" s="913" t="s">
        <v>1013</v>
      </c>
      <c r="D150" s="914" t="s">
        <v>1013</v>
      </c>
      <c r="E150" s="915" t="s">
        <v>1277</v>
      </c>
      <c r="F150" s="915" t="s">
        <v>1277</v>
      </c>
      <c r="G150" s="915" t="s">
        <v>1277</v>
      </c>
      <c r="H150" s="915" t="s">
        <v>1277</v>
      </c>
    </row>
    <row r="151" spans="1:8">
      <c r="A151" s="913" t="s">
        <v>1013</v>
      </c>
      <c r="B151" s="913" t="s">
        <v>1013</v>
      </c>
      <c r="C151" s="913" t="s">
        <v>1013</v>
      </c>
      <c r="D151" s="914" t="s">
        <v>1013</v>
      </c>
      <c r="E151" s="915" t="s">
        <v>1278</v>
      </c>
      <c r="F151" s="915" t="s">
        <v>1278</v>
      </c>
      <c r="G151" s="915" t="s">
        <v>1278</v>
      </c>
      <c r="H151" s="915" t="s">
        <v>1278</v>
      </c>
    </row>
    <row r="152" spans="1:8">
      <c r="A152" s="913" t="s">
        <v>1013</v>
      </c>
      <c r="B152" s="913" t="s">
        <v>1013</v>
      </c>
      <c r="C152" s="913" t="s">
        <v>1013</v>
      </c>
      <c r="D152" s="914" t="s">
        <v>1013</v>
      </c>
      <c r="E152" s="915" t="s">
        <v>1279</v>
      </c>
      <c r="F152" s="915" t="s">
        <v>1279</v>
      </c>
      <c r="G152" s="915" t="s">
        <v>1279</v>
      </c>
      <c r="H152" s="915" t="s">
        <v>1279</v>
      </c>
    </row>
    <row r="153" spans="1:8">
      <c r="A153" s="913" t="s">
        <v>1013</v>
      </c>
      <c r="B153" s="913" t="s">
        <v>1013</v>
      </c>
      <c r="C153" s="913" t="s">
        <v>1013</v>
      </c>
      <c r="D153" s="914" t="s">
        <v>1013</v>
      </c>
      <c r="E153" s="915" t="s">
        <v>1280</v>
      </c>
      <c r="F153" s="915" t="s">
        <v>1280</v>
      </c>
      <c r="G153" s="915" t="s">
        <v>1280</v>
      </c>
      <c r="H153" s="915" t="s">
        <v>1280</v>
      </c>
    </row>
    <row r="154" spans="1:8">
      <c r="A154" s="913" t="s">
        <v>1013</v>
      </c>
      <c r="B154" s="913" t="s">
        <v>1013</v>
      </c>
      <c r="C154" s="913" t="s">
        <v>1013</v>
      </c>
      <c r="D154" s="914" t="s">
        <v>1013</v>
      </c>
      <c r="E154" s="915" t="s">
        <v>1281</v>
      </c>
      <c r="F154" s="915" t="s">
        <v>1281</v>
      </c>
      <c r="G154" s="915" t="s">
        <v>1281</v>
      </c>
      <c r="H154" s="915" t="s">
        <v>1281</v>
      </c>
    </row>
    <row r="155" spans="1:8">
      <c r="A155" s="913" t="s">
        <v>1013</v>
      </c>
      <c r="B155" s="913" t="s">
        <v>1013</v>
      </c>
      <c r="C155" s="913" t="s">
        <v>1013</v>
      </c>
      <c r="D155" s="914" t="s">
        <v>1013</v>
      </c>
      <c r="E155" s="915" t="s">
        <v>1282</v>
      </c>
      <c r="F155" s="915" t="s">
        <v>1282</v>
      </c>
      <c r="G155" s="915" t="s">
        <v>1282</v>
      </c>
      <c r="H155" s="915" t="s">
        <v>1282</v>
      </c>
    </row>
    <row r="156" spans="1:8">
      <c r="A156" s="913" t="s">
        <v>1013</v>
      </c>
      <c r="B156" s="913" t="s">
        <v>1013</v>
      </c>
      <c r="C156" s="913" t="s">
        <v>1013</v>
      </c>
      <c r="D156" s="914" t="s">
        <v>1013</v>
      </c>
      <c r="E156" s="915" t="s">
        <v>1283</v>
      </c>
      <c r="F156" s="915" t="s">
        <v>1283</v>
      </c>
      <c r="G156" s="915" t="s">
        <v>1283</v>
      </c>
      <c r="H156" s="915" t="s">
        <v>1283</v>
      </c>
    </row>
    <row r="157" spans="1:8">
      <c r="A157" s="913" t="s">
        <v>1013</v>
      </c>
      <c r="B157" s="913" t="s">
        <v>1013</v>
      </c>
      <c r="C157" s="913" t="s">
        <v>1013</v>
      </c>
      <c r="D157" s="914" t="s">
        <v>1013</v>
      </c>
      <c r="E157" s="915" t="s">
        <v>1284</v>
      </c>
      <c r="F157" s="915" t="s">
        <v>1284</v>
      </c>
      <c r="G157" s="915" t="s">
        <v>1284</v>
      </c>
      <c r="H157" s="915" t="s">
        <v>1284</v>
      </c>
    </row>
    <row r="158" spans="1:8">
      <c r="A158" s="913" t="s">
        <v>1013</v>
      </c>
      <c r="B158" s="913" t="s">
        <v>1013</v>
      </c>
      <c r="C158" s="913" t="s">
        <v>1013</v>
      </c>
      <c r="D158" s="914" t="s">
        <v>1013</v>
      </c>
      <c r="E158" s="915" t="s">
        <v>1285</v>
      </c>
      <c r="F158" s="915" t="s">
        <v>1285</v>
      </c>
      <c r="G158" s="915" t="s">
        <v>1285</v>
      </c>
      <c r="H158" s="915" t="s">
        <v>1285</v>
      </c>
    </row>
    <row r="159" spans="1:8">
      <c r="A159" s="913" t="s">
        <v>1013</v>
      </c>
      <c r="B159" s="913" t="s">
        <v>1013</v>
      </c>
      <c r="C159" s="913" t="s">
        <v>1013</v>
      </c>
      <c r="D159" s="914" t="s">
        <v>1013</v>
      </c>
      <c r="E159" s="915" t="s">
        <v>1286</v>
      </c>
      <c r="F159" s="915" t="s">
        <v>1286</v>
      </c>
      <c r="G159" s="915" t="s">
        <v>1286</v>
      </c>
      <c r="H159" s="915" t="s">
        <v>1286</v>
      </c>
    </row>
    <row r="160" spans="1:8">
      <c r="A160" s="913" t="s">
        <v>1013</v>
      </c>
      <c r="B160" s="913" t="s">
        <v>1013</v>
      </c>
      <c r="C160" s="913" t="s">
        <v>1013</v>
      </c>
      <c r="D160" s="914" t="s">
        <v>1013</v>
      </c>
      <c r="E160" s="915" t="s">
        <v>1287</v>
      </c>
      <c r="F160" s="915" t="s">
        <v>1287</v>
      </c>
      <c r="G160" s="915" t="s">
        <v>1287</v>
      </c>
      <c r="H160" s="915" t="s">
        <v>1287</v>
      </c>
    </row>
    <row r="161" spans="1:8">
      <c r="A161" s="913" t="s">
        <v>1013</v>
      </c>
      <c r="B161" s="913" t="s">
        <v>1013</v>
      </c>
      <c r="C161" s="913" t="s">
        <v>1013</v>
      </c>
      <c r="D161" s="914" t="s">
        <v>1013</v>
      </c>
      <c r="E161" s="915" t="s">
        <v>1288</v>
      </c>
      <c r="F161" s="915" t="s">
        <v>1288</v>
      </c>
      <c r="G161" s="915" t="s">
        <v>1288</v>
      </c>
      <c r="H161" s="915" t="s">
        <v>1288</v>
      </c>
    </row>
    <row r="162" spans="1:8">
      <c r="A162" s="913" t="s">
        <v>1013</v>
      </c>
      <c r="B162" s="913" t="s">
        <v>1013</v>
      </c>
      <c r="C162" s="913" t="s">
        <v>1013</v>
      </c>
      <c r="D162" s="914" t="s">
        <v>1013</v>
      </c>
      <c r="E162" s="915" t="s">
        <v>1289</v>
      </c>
      <c r="F162" s="915" t="s">
        <v>1289</v>
      </c>
      <c r="G162" s="915" t="s">
        <v>1289</v>
      </c>
      <c r="H162" s="915" t="s">
        <v>1289</v>
      </c>
    </row>
    <row r="163" spans="1:8">
      <c r="A163" s="913" t="s">
        <v>1013</v>
      </c>
      <c r="B163" s="913" t="s">
        <v>1013</v>
      </c>
      <c r="C163" s="913" t="s">
        <v>1013</v>
      </c>
      <c r="D163" s="914" t="s">
        <v>1013</v>
      </c>
      <c r="E163" s="915" t="s">
        <v>1290</v>
      </c>
      <c r="F163" s="915" t="s">
        <v>1290</v>
      </c>
      <c r="G163" s="915" t="s">
        <v>1290</v>
      </c>
      <c r="H163" s="915" t="s">
        <v>1290</v>
      </c>
    </row>
    <row r="164" spans="1:8">
      <c r="A164" s="913" t="s">
        <v>1013</v>
      </c>
      <c r="B164" s="913" t="s">
        <v>1013</v>
      </c>
      <c r="C164" s="913" t="s">
        <v>1013</v>
      </c>
      <c r="D164" s="914" t="s">
        <v>1013</v>
      </c>
      <c r="E164" s="915" t="s">
        <v>1291</v>
      </c>
      <c r="F164" s="915" t="s">
        <v>1291</v>
      </c>
      <c r="G164" s="915" t="s">
        <v>1291</v>
      </c>
      <c r="H164" s="915" t="s">
        <v>1291</v>
      </c>
    </row>
    <row r="165" spans="1:8">
      <c r="A165" s="913" t="s">
        <v>1013</v>
      </c>
      <c r="B165" s="913" t="s">
        <v>1013</v>
      </c>
      <c r="C165" s="913" t="s">
        <v>1013</v>
      </c>
      <c r="D165" s="914" t="s">
        <v>1013</v>
      </c>
      <c r="E165" s="915" t="s">
        <v>1292</v>
      </c>
      <c r="F165" s="915" t="s">
        <v>1292</v>
      </c>
      <c r="G165" s="915" t="s">
        <v>1231</v>
      </c>
      <c r="H165" s="915" t="s">
        <v>1231</v>
      </c>
    </row>
    <row r="166" spans="1:8">
      <c r="A166" s="913" t="s">
        <v>1013</v>
      </c>
      <c r="B166" s="913" t="s">
        <v>1013</v>
      </c>
      <c r="C166" s="913" t="s">
        <v>1013</v>
      </c>
      <c r="D166" s="914" t="s">
        <v>1013</v>
      </c>
      <c r="E166" s="915" t="s">
        <v>1293</v>
      </c>
      <c r="F166" s="915" t="s">
        <v>1293</v>
      </c>
      <c r="G166" s="915" t="s">
        <v>1292</v>
      </c>
      <c r="H166" s="915" t="s">
        <v>1292</v>
      </c>
    </row>
    <row r="167" spans="1:8">
      <c r="A167" s="913" t="s">
        <v>1013</v>
      </c>
      <c r="B167" s="913" t="s">
        <v>1013</v>
      </c>
      <c r="C167" s="913" t="s">
        <v>1013</v>
      </c>
      <c r="D167" s="914" t="s">
        <v>1013</v>
      </c>
      <c r="E167" s="915" t="s">
        <v>1234</v>
      </c>
      <c r="F167" s="915" t="s">
        <v>1234</v>
      </c>
      <c r="G167" s="915" t="s">
        <v>1293</v>
      </c>
      <c r="H167" s="915" t="s">
        <v>1293</v>
      </c>
    </row>
    <row r="168" spans="1:8">
      <c r="A168" s="913" t="s">
        <v>1013</v>
      </c>
      <c r="B168" s="913" t="s">
        <v>1013</v>
      </c>
      <c r="C168" s="913" t="s">
        <v>1013</v>
      </c>
      <c r="D168" s="914" t="s">
        <v>1013</v>
      </c>
      <c r="E168" s="915" t="s">
        <v>1270</v>
      </c>
      <c r="F168" s="915" t="s">
        <v>1270</v>
      </c>
      <c r="G168" s="915" t="s">
        <v>1270</v>
      </c>
      <c r="H168" s="915" t="s">
        <v>1013</v>
      </c>
    </row>
    <row r="169" spans="1:8">
      <c r="A169" s="913" t="s">
        <v>1013</v>
      </c>
      <c r="B169" s="913" t="s">
        <v>1013</v>
      </c>
      <c r="C169" s="913" t="s">
        <v>1013</v>
      </c>
      <c r="D169" s="914" t="s">
        <v>1013</v>
      </c>
      <c r="E169" s="915" t="s">
        <v>1272</v>
      </c>
      <c r="F169" s="915" t="s">
        <v>1272</v>
      </c>
      <c r="G169" s="915" t="s">
        <v>1272</v>
      </c>
      <c r="H169" s="915" t="s">
        <v>1013</v>
      </c>
    </row>
    <row r="170" spans="1:8">
      <c r="A170" s="913" t="s">
        <v>1013</v>
      </c>
      <c r="B170" s="913" t="s">
        <v>1013</v>
      </c>
      <c r="C170" s="913" t="s">
        <v>1013</v>
      </c>
      <c r="D170" s="914" t="s">
        <v>1013</v>
      </c>
      <c r="E170" s="915" t="s">
        <v>1294</v>
      </c>
      <c r="F170" s="915" t="s">
        <v>1294</v>
      </c>
      <c r="G170" s="915" t="s">
        <v>1294</v>
      </c>
      <c r="H170" s="915" t="s">
        <v>1013</v>
      </c>
    </row>
    <row r="171" spans="1:8">
      <c r="A171" s="913" t="s">
        <v>1013</v>
      </c>
      <c r="B171" s="913" t="s">
        <v>1013</v>
      </c>
      <c r="C171" s="913" t="s">
        <v>1013</v>
      </c>
      <c r="D171" s="914" t="s">
        <v>1013</v>
      </c>
      <c r="E171" s="915" t="s">
        <v>1295</v>
      </c>
      <c r="F171" s="915" t="s">
        <v>1295</v>
      </c>
      <c r="G171" s="915" t="s">
        <v>1295</v>
      </c>
      <c r="H171" s="915" t="s">
        <v>1013</v>
      </c>
    </row>
    <row r="172" spans="1:8">
      <c r="A172" s="913" t="s">
        <v>1013</v>
      </c>
      <c r="B172" s="913" t="s">
        <v>1013</v>
      </c>
      <c r="C172" s="913" t="s">
        <v>1013</v>
      </c>
      <c r="D172" s="914" t="s">
        <v>1013</v>
      </c>
      <c r="E172" s="915" t="s">
        <v>1266</v>
      </c>
      <c r="F172" s="915" t="s">
        <v>1266</v>
      </c>
      <c r="G172" s="915" t="s">
        <v>1013</v>
      </c>
      <c r="H172" s="915" t="s">
        <v>1013</v>
      </c>
    </row>
    <row r="173" spans="1:8">
      <c r="A173" s="913" t="s">
        <v>1013</v>
      </c>
      <c r="B173" s="913" t="s">
        <v>1013</v>
      </c>
      <c r="C173" s="913" t="s">
        <v>1013</v>
      </c>
      <c r="D173" s="914" t="s">
        <v>1013</v>
      </c>
      <c r="E173" s="915" t="s">
        <v>1296</v>
      </c>
      <c r="F173" s="915" t="s">
        <v>1013</v>
      </c>
      <c r="G173" s="915" t="s">
        <v>1013</v>
      </c>
      <c r="H173" s="915" t="s">
        <v>1013</v>
      </c>
    </row>
    <row r="174" spans="1:8">
      <c r="A174" s="913" t="s">
        <v>1013</v>
      </c>
      <c r="B174" s="913" t="s">
        <v>1013</v>
      </c>
      <c r="C174" s="913" t="s">
        <v>1013</v>
      </c>
      <c r="D174" s="914" t="s">
        <v>1013</v>
      </c>
      <c r="E174" s="915" t="s">
        <v>1297</v>
      </c>
      <c r="F174" s="915" t="s">
        <v>1297</v>
      </c>
      <c r="G174" s="915" t="s">
        <v>1297</v>
      </c>
      <c r="H174" s="915" t="s">
        <v>1298</v>
      </c>
    </row>
    <row r="175" spans="1:8">
      <c r="A175" s="913" t="s">
        <v>1013</v>
      </c>
      <c r="B175" s="913" t="s">
        <v>1013</v>
      </c>
      <c r="C175" s="913" t="s">
        <v>1013</v>
      </c>
      <c r="D175" s="914" t="s">
        <v>1013</v>
      </c>
      <c r="E175" s="915" t="s">
        <v>1299</v>
      </c>
      <c r="F175" s="915" t="s">
        <v>1299</v>
      </c>
      <c r="G175" s="915" t="s">
        <v>1299</v>
      </c>
      <c r="H175" s="915" t="s">
        <v>1300</v>
      </c>
    </row>
    <row r="176" spans="1:8">
      <c r="A176" s="913" t="s">
        <v>1013</v>
      </c>
      <c r="B176" s="913" t="s">
        <v>1013</v>
      </c>
      <c r="C176" s="913" t="s">
        <v>1013</v>
      </c>
      <c r="D176" s="914" t="s">
        <v>1013</v>
      </c>
      <c r="E176" s="915" t="s">
        <v>1301</v>
      </c>
      <c r="F176" s="915" t="s">
        <v>1301</v>
      </c>
      <c r="G176" s="915" t="s">
        <v>1301</v>
      </c>
      <c r="H176" s="915" t="s">
        <v>1302</v>
      </c>
    </row>
    <row r="177" spans="1:8">
      <c r="A177" s="913" t="s">
        <v>1013</v>
      </c>
      <c r="B177" s="913" t="s">
        <v>1013</v>
      </c>
      <c r="C177" s="913" t="s">
        <v>1013</v>
      </c>
      <c r="D177" s="914" t="s">
        <v>1013</v>
      </c>
      <c r="E177" s="915" t="s">
        <v>1303</v>
      </c>
      <c r="F177" s="915" t="s">
        <v>1303</v>
      </c>
      <c r="G177" s="915" t="s">
        <v>1303</v>
      </c>
      <c r="H177" s="915" t="s">
        <v>1215</v>
      </c>
    </row>
    <row r="178" spans="1:8">
      <c r="A178" s="917" t="s">
        <v>1013</v>
      </c>
      <c r="B178" s="917" t="s">
        <v>1013</v>
      </c>
      <c r="C178" s="917" t="s">
        <v>1013</v>
      </c>
      <c r="D178" s="915" t="s">
        <v>1013</v>
      </c>
      <c r="E178" s="915" t="s">
        <v>1013</v>
      </c>
      <c r="F178" s="915" t="s">
        <v>1225</v>
      </c>
      <c r="G178" s="915" t="s">
        <v>1013</v>
      </c>
      <c r="H178" s="915" t="s">
        <v>1013</v>
      </c>
    </row>
    <row r="179" spans="1:8">
      <c r="A179" s="917" t="s">
        <v>1013</v>
      </c>
      <c r="B179" s="917" t="s">
        <v>1013</v>
      </c>
      <c r="C179" s="917" t="s">
        <v>1013</v>
      </c>
      <c r="D179" s="915" t="s">
        <v>1013</v>
      </c>
      <c r="E179" s="915" t="s">
        <v>1013</v>
      </c>
      <c r="F179" s="915" t="s">
        <v>1013</v>
      </c>
      <c r="G179" s="915" t="s">
        <v>1222</v>
      </c>
      <c r="H179" s="915" t="s">
        <v>1225</v>
      </c>
    </row>
    <row r="181" spans="1:8" ht="13">
      <c r="A181" s="899" t="s">
        <v>1304</v>
      </c>
      <c r="B181" s="922"/>
      <c r="C181" s="922"/>
    </row>
    <row r="182" spans="1:8" ht="9.75" customHeight="1">
      <c r="B182" s="922"/>
      <c r="C182" s="922"/>
    </row>
    <row r="184" spans="1:8">
      <c r="A184" s="899" t="s">
        <v>256</v>
      </c>
    </row>
  </sheetData>
  <phoneticPr fontId="21" type="noConversion"/>
  <pageMargins left="0.55000000000000004" right="0.41" top="0.46" bottom="0.48" header="0.36" footer="0.28000000000000003"/>
  <pageSetup paperSize="9" scale="90" fitToHeight="2" orientation="portrait"/>
  <headerFooter alignWithMargins="0">
    <oddFooter>&amp;R&amp;P/&amp;N</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149</vt:i4>
      </vt:variant>
      <vt:variant>
        <vt:lpstr>Benannte Bereiche</vt:lpstr>
      </vt:variant>
      <vt:variant>
        <vt:i4>145</vt:i4>
      </vt:variant>
    </vt:vector>
  </HeadingPairs>
  <TitlesOfParts>
    <vt:vector size="294" baseType="lpstr">
      <vt:lpstr>Info</vt:lpstr>
      <vt:lpstr> H d</vt:lpstr>
      <vt:lpstr>T1d</vt:lpstr>
      <vt:lpstr>101d</vt:lpstr>
      <vt:lpstr>102d</vt:lpstr>
      <vt:lpstr>103d</vt:lpstr>
      <vt:lpstr>104d</vt:lpstr>
      <vt:lpstr>105d</vt:lpstr>
      <vt:lpstr>106d</vt:lpstr>
      <vt:lpstr>107d</vt:lpstr>
      <vt:lpstr>108d</vt:lpstr>
      <vt:lpstr>109d</vt:lpstr>
      <vt:lpstr>110d</vt:lpstr>
      <vt:lpstr>111d</vt:lpstr>
      <vt:lpstr>112d</vt:lpstr>
      <vt:lpstr>113d</vt:lpstr>
      <vt:lpstr>114d</vt:lpstr>
      <vt:lpstr>115d</vt:lpstr>
      <vt:lpstr>116d</vt:lpstr>
      <vt:lpstr>117d</vt:lpstr>
      <vt:lpstr>118d</vt:lpstr>
      <vt:lpstr>119d</vt:lpstr>
      <vt:lpstr>120d</vt:lpstr>
      <vt:lpstr>121d</vt:lpstr>
      <vt:lpstr>122d</vt:lpstr>
      <vt:lpstr>123d</vt:lpstr>
      <vt:lpstr>124d</vt:lpstr>
      <vt:lpstr>125d</vt:lpstr>
      <vt:lpstr>126d</vt:lpstr>
      <vt:lpstr>127d</vt:lpstr>
      <vt:lpstr>128d</vt:lpstr>
      <vt:lpstr>129d</vt:lpstr>
      <vt:lpstr>130d</vt:lpstr>
      <vt:lpstr>131d</vt:lpstr>
      <vt:lpstr>132d</vt:lpstr>
      <vt:lpstr>133d</vt:lpstr>
      <vt:lpstr>134d</vt:lpstr>
      <vt:lpstr>135d</vt:lpstr>
      <vt:lpstr>136d</vt:lpstr>
      <vt:lpstr>137d</vt:lpstr>
      <vt:lpstr>138d</vt:lpstr>
      <vt:lpstr>139d</vt:lpstr>
      <vt:lpstr>140d</vt:lpstr>
      <vt:lpstr>141d</vt:lpstr>
      <vt:lpstr>142d</vt:lpstr>
      <vt:lpstr>143d</vt:lpstr>
      <vt:lpstr>144d</vt:lpstr>
      <vt:lpstr>145d</vt:lpstr>
      <vt:lpstr>146d</vt:lpstr>
      <vt:lpstr>147d</vt:lpstr>
      <vt:lpstr>148d</vt:lpstr>
      <vt:lpstr>149d</vt:lpstr>
      <vt:lpstr>T2d</vt:lpstr>
      <vt:lpstr>201d</vt:lpstr>
      <vt:lpstr>202d</vt:lpstr>
      <vt:lpstr>203d</vt:lpstr>
      <vt:lpstr>204d</vt:lpstr>
      <vt:lpstr>205d</vt:lpstr>
      <vt:lpstr>206d</vt:lpstr>
      <vt:lpstr>207d</vt:lpstr>
      <vt:lpstr>208d</vt:lpstr>
      <vt:lpstr>209d</vt:lpstr>
      <vt:lpstr>210d</vt:lpstr>
      <vt:lpstr>211d</vt:lpstr>
      <vt:lpstr>212d</vt:lpstr>
      <vt:lpstr>213d</vt:lpstr>
      <vt:lpstr>T3d</vt:lpstr>
      <vt:lpstr>301d</vt:lpstr>
      <vt:lpstr>302d</vt:lpstr>
      <vt:lpstr>303d</vt:lpstr>
      <vt:lpstr>304d</vt:lpstr>
      <vt:lpstr>305d</vt:lpstr>
      <vt:lpstr>306d</vt:lpstr>
      <vt:lpstr>307d</vt:lpstr>
      <vt:lpstr>308d</vt:lpstr>
      <vt:lpstr>309d</vt:lpstr>
      <vt:lpstr>310d</vt:lpstr>
      <vt:lpstr>311d</vt:lpstr>
      <vt:lpstr>312d</vt:lpstr>
      <vt:lpstr>313d</vt:lpstr>
      <vt:lpstr>T4d</vt:lpstr>
      <vt:lpstr>401d</vt:lpstr>
      <vt:lpstr>402d</vt:lpstr>
      <vt:lpstr>403d</vt:lpstr>
      <vt:lpstr>404d</vt:lpstr>
      <vt:lpstr>405d</vt:lpstr>
      <vt:lpstr>406d</vt:lpstr>
      <vt:lpstr>407d</vt:lpstr>
      <vt:lpstr>408d</vt:lpstr>
      <vt:lpstr>409d</vt:lpstr>
      <vt:lpstr>410d</vt:lpstr>
      <vt:lpstr>411d</vt:lpstr>
      <vt:lpstr>412d</vt:lpstr>
      <vt:lpstr>413d</vt:lpstr>
      <vt:lpstr>T5d</vt:lpstr>
      <vt:lpstr>501d</vt:lpstr>
      <vt:lpstr>502d</vt:lpstr>
      <vt:lpstr>503d</vt:lpstr>
      <vt:lpstr>504d</vt:lpstr>
      <vt:lpstr>T6d</vt:lpstr>
      <vt:lpstr>601d</vt:lpstr>
      <vt:lpstr>602d</vt:lpstr>
      <vt:lpstr>603d</vt:lpstr>
      <vt:lpstr>604d</vt:lpstr>
      <vt:lpstr>605d</vt:lpstr>
      <vt:lpstr>606d</vt:lpstr>
      <vt:lpstr>T7d</vt:lpstr>
      <vt:lpstr>701d</vt:lpstr>
      <vt:lpstr>702d</vt:lpstr>
      <vt:lpstr>703d</vt:lpstr>
      <vt:lpstr>704d</vt:lpstr>
      <vt:lpstr>705d</vt:lpstr>
      <vt:lpstr>706d</vt:lpstr>
      <vt:lpstr>T8d</vt:lpstr>
      <vt:lpstr>801d</vt:lpstr>
      <vt:lpstr>802d</vt:lpstr>
      <vt:lpstr>803d</vt:lpstr>
      <vt:lpstr>804d</vt:lpstr>
      <vt:lpstr>805d</vt:lpstr>
      <vt:lpstr>806d</vt:lpstr>
      <vt:lpstr>807d</vt:lpstr>
      <vt:lpstr>808d</vt:lpstr>
      <vt:lpstr>809d</vt:lpstr>
      <vt:lpstr>810d</vt:lpstr>
      <vt:lpstr>811d</vt:lpstr>
      <vt:lpstr>812d</vt:lpstr>
      <vt:lpstr>T9d</vt:lpstr>
      <vt:lpstr>901d</vt:lpstr>
      <vt:lpstr>902d</vt:lpstr>
      <vt:lpstr>903d</vt:lpstr>
      <vt:lpstr>904d</vt:lpstr>
      <vt:lpstr>905d</vt:lpstr>
      <vt:lpstr>906d</vt:lpstr>
      <vt:lpstr>907d</vt:lpstr>
      <vt:lpstr>908d</vt:lpstr>
      <vt:lpstr>909d</vt:lpstr>
      <vt:lpstr>910d</vt:lpstr>
      <vt:lpstr>911d</vt:lpstr>
      <vt:lpstr>912d</vt:lpstr>
      <vt:lpstr>913d</vt:lpstr>
      <vt:lpstr>914d</vt:lpstr>
      <vt:lpstr>915d</vt:lpstr>
      <vt:lpstr>916d</vt:lpstr>
      <vt:lpstr>917d</vt:lpstr>
      <vt:lpstr>918d</vt:lpstr>
      <vt:lpstr>919d</vt:lpstr>
      <vt:lpstr>920d</vt:lpstr>
      <vt:lpstr>F1d</vt:lpstr>
      <vt:lpstr>F2d</vt:lpstr>
      <vt:lpstr>'101d'!Druckbereich</vt:lpstr>
      <vt:lpstr>'102d'!Druckbereich</vt:lpstr>
      <vt:lpstr>'103d'!Druckbereich</vt:lpstr>
      <vt:lpstr>'104d'!Druckbereich</vt:lpstr>
      <vt:lpstr>'105d'!Druckbereich</vt:lpstr>
      <vt:lpstr>'106d'!Druckbereich</vt:lpstr>
      <vt:lpstr>'107d'!Druckbereich</vt:lpstr>
      <vt:lpstr>'108d'!Druckbereich</vt:lpstr>
      <vt:lpstr>'109d'!Druckbereich</vt:lpstr>
      <vt:lpstr>'110d'!Druckbereich</vt:lpstr>
      <vt:lpstr>'111d'!Druckbereich</vt:lpstr>
      <vt:lpstr>'112d'!Druckbereich</vt:lpstr>
      <vt:lpstr>'113d'!Druckbereich</vt:lpstr>
      <vt:lpstr>'114d'!Druckbereich</vt:lpstr>
      <vt:lpstr>'115d'!Druckbereich</vt:lpstr>
      <vt:lpstr>'116d'!Druckbereich</vt:lpstr>
      <vt:lpstr>'117d'!Druckbereich</vt:lpstr>
      <vt:lpstr>'118d'!Druckbereich</vt:lpstr>
      <vt:lpstr>'119d'!Druckbereich</vt:lpstr>
      <vt:lpstr>'120d'!Druckbereich</vt:lpstr>
      <vt:lpstr>'121d'!Druckbereich</vt:lpstr>
      <vt:lpstr>'122d'!Druckbereich</vt:lpstr>
      <vt:lpstr>'123d'!Druckbereich</vt:lpstr>
      <vt:lpstr>'124d'!Druckbereich</vt:lpstr>
      <vt:lpstr>'125d'!Druckbereich</vt:lpstr>
      <vt:lpstr>'126d'!Druckbereich</vt:lpstr>
      <vt:lpstr>'127d'!Druckbereich</vt:lpstr>
      <vt:lpstr>'128d'!Druckbereich</vt:lpstr>
      <vt:lpstr>'129d'!Druckbereich</vt:lpstr>
      <vt:lpstr>'130d'!Druckbereich</vt:lpstr>
      <vt:lpstr>'131d'!Druckbereich</vt:lpstr>
      <vt:lpstr>'132d'!Druckbereich</vt:lpstr>
      <vt:lpstr>'133d'!Druckbereich</vt:lpstr>
      <vt:lpstr>'134d'!Druckbereich</vt:lpstr>
      <vt:lpstr>'135d'!Druckbereich</vt:lpstr>
      <vt:lpstr>'136d'!Druckbereich</vt:lpstr>
      <vt:lpstr>'138d'!Druckbereich</vt:lpstr>
      <vt:lpstr>'139d'!Druckbereich</vt:lpstr>
      <vt:lpstr>'140d'!Druckbereich</vt:lpstr>
      <vt:lpstr>'141d'!Druckbereich</vt:lpstr>
      <vt:lpstr>'142d'!Druckbereich</vt:lpstr>
      <vt:lpstr>'143d'!Druckbereich</vt:lpstr>
      <vt:lpstr>'144d'!Druckbereich</vt:lpstr>
      <vt:lpstr>'145d'!Druckbereich</vt:lpstr>
      <vt:lpstr>'146d'!Druckbereich</vt:lpstr>
      <vt:lpstr>'147d'!Druckbereich</vt:lpstr>
      <vt:lpstr>'148d'!Druckbereich</vt:lpstr>
      <vt:lpstr>'149d'!Druckbereich</vt:lpstr>
      <vt:lpstr>'201d'!Druckbereich</vt:lpstr>
      <vt:lpstr>'202d'!Druckbereich</vt:lpstr>
      <vt:lpstr>'203d'!Druckbereich</vt:lpstr>
      <vt:lpstr>'204d'!Druckbereich</vt:lpstr>
      <vt:lpstr>'205d'!Druckbereich</vt:lpstr>
      <vt:lpstr>'206d'!Druckbereich</vt:lpstr>
      <vt:lpstr>'207d'!Druckbereich</vt:lpstr>
      <vt:lpstr>'208d'!Druckbereich</vt:lpstr>
      <vt:lpstr>'209d'!Druckbereich</vt:lpstr>
      <vt:lpstr>'210d'!Druckbereich</vt:lpstr>
      <vt:lpstr>'211d'!Druckbereich</vt:lpstr>
      <vt:lpstr>'212d'!Druckbereich</vt:lpstr>
      <vt:lpstr>'213d'!Druckbereich</vt:lpstr>
      <vt:lpstr>'301d'!Druckbereich</vt:lpstr>
      <vt:lpstr>'302d'!Druckbereich</vt:lpstr>
      <vt:lpstr>'303d'!Druckbereich</vt:lpstr>
      <vt:lpstr>'304d'!Druckbereich</vt:lpstr>
      <vt:lpstr>'305d'!Druckbereich</vt:lpstr>
      <vt:lpstr>'306d'!Druckbereich</vt:lpstr>
      <vt:lpstr>'307d'!Druckbereich</vt:lpstr>
      <vt:lpstr>'308d'!Druckbereich</vt:lpstr>
      <vt:lpstr>'309d'!Druckbereich</vt:lpstr>
      <vt:lpstr>'310d'!Druckbereich</vt:lpstr>
      <vt:lpstr>'311d'!Druckbereich</vt:lpstr>
      <vt:lpstr>'312d'!Druckbereich</vt:lpstr>
      <vt:lpstr>'313d'!Druckbereich</vt:lpstr>
      <vt:lpstr>'401d'!Druckbereich</vt:lpstr>
      <vt:lpstr>'402d'!Druckbereich</vt:lpstr>
      <vt:lpstr>'403d'!Druckbereich</vt:lpstr>
      <vt:lpstr>'404d'!Druckbereich</vt:lpstr>
      <vt:lpstr>'405d'!Druckbereich</vt:lpstr>
      <vt:lpstr>'406d'!Druckbereich</vt:lpstr>
      <vt:lpstr>'407d'!Druckbereich</vt:lpstr>
      <vt:lpstr>'408d'!Druckbereich</vt:lpstr>
      <vt:lpstr>'409d'!Druckbereich</vt:lpstr>
      <vt:lpstr>'410d'!Druckbereich</vt:lpstr>
      <vt:lpstr>'411d'!Druckbereich</vt:lpstr>
      <vt:lpstr>'412d'!Druckbereich</vt:lpstr>
      <vt:lpstr>'413d'!Druckbereich</vt:lpstr>
      <vt:lpstr>'501d'!Druckbereich</vt:lpstr>
      <vt:lpstr>'502d'!Druckbereich</vt:lpstr>
      <vt:lpstr>'503d'!Druckbereich</vt:lpstr>
      <vt:lpstr>'504d'!Druckbereich</vt:lpstr>
      <vt:lpstr>'601d'!Druckbereich</vt:lpstr>
      <vt:lpstr>'602d'!Druckbereich</vt:lpstr>
      <vt:lpstr>'603d'!Druckbereich</vt:lpstr>
      <vt:lpstr>'604d'!Druckbereich</vt:lpstr>
      <vt:lpstr>'605d'!Druckbereich</vt:lpstr>
      <vt:lpstr>'606d'!Druckbereich</vt:lpstr>
      <vt:lpstr>'701d'!Druckbereich</vt:lpstr>
      <vt:lpstr>'702d'!Druckbereich</vt:lpstr>
      <vt:lpstr>'703d'!Druckbereich</vt:lpstr>
      <vt:lpstr>'704d'!Druckbereich</vt:lpstr>
      <vt:lpstr>'705d'!Druckbereich</vt:lpstr>
      <vt:lpstr>'706d'!Druckbereich</vt:lpstr>
      <vt:lpstr>'801d'!Druckbereich</vt:lpstr>
      <vt:lpstr>'802d'!Druckbereich</vt:lpstr>
      <vt:lpstr>'803d'!Druckbereich</vt:lpstr>
      <vt:lpstr>'804d'!Druckbereich</vt:lpstr>
      <vt:lpstr>'805d'!Druckbereich</vt:lpstr>
      <vt:lpstr>'806d'!Druckbereich</vt:lpstr>
      <vt:lpstr>'807d'!Druckbereich</vt:lpstr>
      <vt:lpstr>'808d'!Druckbereich</vt:lpstr>
      <vt:lpstr>'809d'!Druckbereich</vt:lpstr>
      <vt:lpstr>'810d'!Druckbereich</vt:lpstr>
      <vt:lpstr>'811d'!Druckbereich</vt:lpstr>
      <vt:lpstr>'812d'!Druckbereich</vt:lpstr>
      <vt:lpstr>'901d'!Druckbereich</vt:lpstr>
      <vt:lpstr>'902d'!Druckbereich</vt:lpstr>
      <vt:lpstr>'903d'!Druckbereich</vt:lpstr>
      <vt:lpstr>'904d'!Druckbereich</vt:lpstr>
      <vt:lpstr>'905d'!Druckbereich</vt:lpstr>
      <vt:lpstr>'906d'!Druckbereich</vt:lpstr>
      <vt:lpstr>'907d'!Druckbereich</vt:lpstr>
      <vt:lpstr>'908d'!Druckbereich</vt:lpstr>
      <vt:lpstr>'909d'!Druckbereich</vt:lpstr>
      <vt:lpstr>'910d'!Druckbereich</vt:lpstr>
      <vt:lpstr>'911d'!Druckbereich</vt:lpstr>
      <vt:lpstr>'912d'!Druckbereich</vt:lpstr>
      <vt:lpstr>'913d'!Druckbereich</vt:lpstr>
      <vt:lpstr>'914d'!Druckbereich</vt:lpstr>
      <vt:lpstr>'915d'!Druckbereich</vt:lpstr>
      <vt:lpstr>'916d'!Druckbereich</vt:lpstr>
      <vt:lpstr>'917d'!Druckbereich</vt:lpstr>
      <vt:lpstr>'918d'!Druckbereich</vt:lpstr>
      <vt:lpstr>'919d'!Druckbereich</vt:lpstr>
      <vt:lpstr>'920d'!Druckbereich</vt:lpstr>
      <vt:lpstr>F1d!Druckbereich</vt:lpstr>
      <vt:lpstr>F2d!Druckbereich</vt:lpstr>
      <vt:lpstr>Info!Druckbereich</vt:lpstr>
      <vt:lpstr>'501d'!Drucktitel</vt:lpstr>
      <vt:lpstr>'503d'!Drucktitel</vt:lpstr>
      <vt:lpstr>'504d'!Drucktitel</vt:lpstr>
      <vt:lpstr>'906d'!Drucktitel</vt:lpstr>
      <vt:lpstr>'908d'!Drucktitel</vt:lpstr>
      <vt:lpstr>F1d!Drucktitel</vt:lpstr>
      <vt:lpstr>F2d!Drucktitel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Informatikdienst</dc:creator>
  <cp:lastModifiedBy>Smaili Kenan (smailken)</cp:lastModifiedBy>
  <cp:lastPrinted>2005-03-03T14:28:08Z</cp:lastPrinted>
  <dcterms:created xsi:type="dcterms:W3CDTF">1999-10-15T08:29:27Z</dcterms:created>
  <dcterms:modified xsi:type="dcterms:W3CDTF">2026-05-02T10:25:26Z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-2021548164</vt:i4>
  </property>
  <property fmtid="{D5CDD505-2E9C-101B-9397-08002B2CF9AE}" pid="3" name="_EmailSubject">
    <vt:lpwstr>enlever liaisons</vt:lpwstr>
  </property>
  <property fmtid="{D5CDD505-2E9C-101B-9397-08002B2CF9AE}" pid="4" name="_AuthorEmail">
    <vt:lpwstr>Yves-Alain.Gerber@bfs.admin.ch</vt:lpwstr>
  </property>
  <property fmtid="{D5CDD505-2E9C-101B-9397-08002B2CF9AE}" pid="5" name="_AuthorEmailDisplayName">
    <vt:lpwstr>Gerber Yves-Alain BFS</vt:lpwstr>
  </property>
  <property fmtid="{D5CDD505-2E9C-101B-9397-08002B2CF9AE}" pid="6" name="_PreviousAdHocReviewCycleID">
    <vt:i4>1897203600</vt:i4>
  </property>
  <property fmtid="{D5CDD505-2E9C-101B-9397-08002B2CF9AE}" pid="7" name="_ReviewingToolsShownOnce">
    <vt:lpwstr/>
  </property>
</Properties>
</file>